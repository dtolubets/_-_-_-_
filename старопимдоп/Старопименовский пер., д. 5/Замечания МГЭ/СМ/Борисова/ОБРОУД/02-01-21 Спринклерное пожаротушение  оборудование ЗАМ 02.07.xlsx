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ЭКСПЕРТИЗА\Школы-IT\2026 год\57945-1-9 Кап рем школы 1574 Старопименовский пер д.5\00_Заявлено\"/>
    </mc:Choice>
  </mc:AlternateContent>
  <xr:revisionPtr revIDLastSave="0" documentId="13_ncr:1_{45B8EB6A-0128-41B4-BEBC-349055A8EEF7}" xr6:coauthVersionLast="36" xr6:coauthVersionMax="47" xr10:uidLastSave="{00000000-0000-0000-0000-000000000000}"/>
  <bookViews>
    <workbookView xWindow="57480" yWindow="-120" windowWidth="38640" windowHeight="21240" xr2:uid="{00000000-000D-0000-FFFF-FFFF00000000}"/>
  </bookViews>
  <sheets>
    <sheet name="02-01-21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_FilterDatabase" localSheetId="0" hidden="1">'02-01-21'!$A$1:$AU$593</definedName>
    <definedName name="_xlnm.Print_Titles" localSheetId="0">'02-01-21'!$27:$27</definedName>
    <definedName name="_xlnm.Print_Area" localSheetId="0">'02-01-21'!$A$1:$K$594</definedName>
  </definedNames>
  <calcPr calcId="191029" calcOnSave="0"/>
</workbook>
</file>

<file path=xl/calcChain.xml><?xml version="1.0" encoding="utf-8"?>
<calcChain xmlns="http://schemas.openxmlformats.org/spreadsheetml/2006/main">
  <c r="A3" i="7" l="1"/>
  <c r="H592" i="7"/>
  <c r="H589" i="7"/>
  <c r="C592" i="7"/>
  <c r="C589" i="7"/>
  <c r="J22" i="7"/>
  <c r="J19" i="7"/>
  <c r="J18" i="7"/>
  <c r="J17" i="7"/>
  <c r="J16" i="7"/>
  <c r="J15" i="7"/>
  <c r="J14" i="7"/>
  <c r="I22" i="7"/>
  <c r="I20" i="7"/>
  <c r="I19" i="7"/>
  <c r="I18" i="7"/>
  <c r="I17" i="7"/>
  <c r="I16" i="7"/>
  <c r="I15" i="7"/>
  <c r="I586" i="7"/>
  <c r="J586" i="7"/>
  <c r="I585" i="7"/>
  <c r="J585" i="7"/>
  <c r="A584" i="7"/>
  <c r="I582" i="7"/>
  <c r="J582" i="7"/>
  <c r="I581" i="7"/>
  <c r="J581" i="7"/>
  <c r="AQ580" i="7"/>
  <c r="A580" i="7"/>
  <c r="H576" i="7"/>
  <c r="J576" i="7"/>
  <c r="I574" i="7"/>
  <c r="H574" i="7"/>
  <c r="E574" i="7"/>
  <c r="K573" i="7"/>
  <c r="J573" i="7"/>
  <c r="E573" i="7"/>
  <c r="J572" i="7"/>
  <c r="E572" i="7"/>
  <c r="K571" i="7"/>
  <c r="J571" i="7"/>
  <c r="I571" i="7"/>
  <c r="H571" i="7"/>
  <c r="F571" i="7"/>
  <c r="K570" i="7"/>
  <c r="J570" i="7"/>
  <c r="I570" i="7"/>
  <c r="H570" i="7"/>
  <c r="F570" i="7"/>
  <c r="K569" i="7"/>
  <c r="J569" i="7"/>
  <c r="I569" i="7"/>
  <c r="H569" i="7"/>
  <c r="F569" i="7"/>
  <c r="K568" i="7"/>
  <c r="J568" i="7"/>
  <c r="I568" i="7"/>
  <c r="H568" i="7"/>
  <c r="F568" i="7"/>
  <c r="C567" i="7"/>
  <c r="V566" i="7"/>
  <c r="T566" i="7"/>
  <c r="R566" i="7"/>
  <c r="K572" i="7" s="1"/>
  <c r="U566" i="7"/>
  <c r="S566" i="7"/>
  <c r="I573" i="7" s="1"/>
  <c r="Q566" i="7"/>
  <c r="I572" i="7" s="1"/>
  <c r="E566" i="7"/>
  <c r="D566" i="7"/>
  <c r="B566" i="7"/>
  <c r="H563" i="7"/>
  <c r="J563" i="7"/>
  <c r="I561" i="7"/>
  <c r="H561" i="7"/>
  <c r="E561" i="7"/>
  <c r="J560" i="7"/>
  <c r="E560" i="7"/>
  <c r="J559" i="7"/>
  <c r="E559" i="7"/>
  <c r="K558" i="7"/>
  <c r="J558" i="7"/>
  <c r="H558" i="7"/>
  <c r="I558" i="7"/>
  <c r="F558" i="7"/>
  <c r="V558" i="7"/>
  <c r="T558" i="7"/>
  <c r="R558" i="7"/>
  <c r="U558" i="7"/>
  <c r="S558" i="7"/>
  <c r="Q558" i="7"/>
  <c r="E558" i="7"/>
  <c r="D558" i="7"/>
  <c r="B558" i="7"/>
  <c r="K557" i="7"/>
  <c r="J557" i="7"/>
  <c r="I557" i="7"/>
  <c r="H557" i="7"/>
  <c r="F557" i="7"/>
  <c r="K556" i="7"/>
  <c r="J556" i="7"/>
  <c r="I556" i="7"/>
  <c r="H556" i="7"/>
  <c r="F556" i="7"/>
  <c r="K555" i="7"/>
  <c r="J555" i="7"/>
  <c r="I555" i="7"/>
  <c r="H555" i="7"/>
  <c r="F555" i="7"/>
  <c r="K554" i="7"/>
  <c r="J554" i="7"/>
  <c r="I554" i="7"/>
  <c r="H554" i="7"/>
  <c r="F554" i="7"/>
  <c r="C553" i="7"/>
  <c r="V552" i="7"/>
  <c r="T552" i="7"/>
  <c r="K560" i="7" s="1"/>
  <c r="R552" i="7"/>
  <c r="K559" i="7" s="1"/>
  <c r="U552" i="7"/>
  <c r="S552" i="7"/>
  <c r="I560" i="7" s="1"/>
  <c r="Q552" i="7"/>
  <c r="I559" i="7" s="1"/>
  <c r="E552" i="7"/>
  <c r="D552" i="7"/>
  <c r="B552" i="7"/>
  <c r="P550" i="7"/>
  <c r="K549" i="7"/>
  <c r="J550" i="7" s="1"/>
  <c r="J549" i="7"/>
  <c r="I549" i="7"/>
  <c r="H550" i="7" s="1"/>
  <c r="H549" i="7"/>
  <c r="F549" i="7"/>
  <c r="V549" i="7"/>
  <c r="T549" i="7"/>
  <c r="R549" i="7"/>
  <c r="U549" i="7"/>
  <c r="S549" i="7"/>
  <c r="Q549" i="7"/>
  <c r="E549" i="7"/>
  <c r="D549" i="7"/>
  <c r="B549" i="7"/>
  <c r="K546" i="7"/>
  <c r="P547" i="7" s="1"/>
  <c r="J546" i="7"/>
  <c r="I546" i="7"/>
  <c r="O547" i="7" s="1"/>
  <c r="H546" i="7"/>
  <c r="F546" i="7"/>
  <c r="V546" i="7"/>
  <c r="T546" i="7"/>
  <c r="R546" i="7"/>
  <c r="U546" i="7"/>
  <c r="S546" i="7"/>
  <c r="Q546" i="7"/>
  <c r="E546" i="7"/>
  <c r="D546" i="7"/>
  <c r="B546" i="7"/>
  <c r="H543" i="7"/>
  <c r="I541" i="7"/>
  <c r="H541" i="7"/>
  <c r="E541" i="7"/>
  <c r="J540" i="7"/>
  <c r="E540" i="7"/>
  <c r="J539" i="7"/>
  <c r="E539" i="7"/>
  <c r="K538" i="7"/>
  <c r="J543" i="7" s="1"/>
  <c r="J538" i="7"/>
  <c r="H538" i="7"/>
  <c r="I538" i="7"/>
  <c r="F538" i="7"/>
  <c r="V538" i="7"/>
  <c r="T538" i="7"/>
  <c r="R538" i="7"/>
  <c r="U538" i="7"/>
  <c r="S538" i="7"/>
  <c r="Q538" i="7"/>
  <c r="E538" i="7"/>
  <c r="D538" i="7"/>
  <c r="B538" i="7"/>
  <c r="K537" i="7"/>
  <c r="J537" i="7"/>
  <c r="I537" i="7"/>
  <c r="H537" i="7"/>
  <c r="F537" i="7"/>
  <c r="K536" i="7"/>
  <c r="J536" i="7"/>
  <c r="I536" i="7"/>
  <c r="H536" i="7"/>
  <c r="F536" i="7"/>
  <c r="V535" i="7"/>
  <c r="T535" i="7"/>
  <c r="K540" i="7" s="1"/>
  <c r="R535" i="7"/>
  <c r="U535" i="7"/>
  <c r="S535" i="7"/>
  <c r="I540" i="7" s="1"/>
  <c r="Q535" i="7"/>
  <c r="E535" i="7"/>
  <c r="D535" i="7"/>
  <c r="B535" i="7"/>
  <c r="H532" i="7"/>
  <c r="J532" i="7"/>
  <c r="I530" i="7"/>
  <c r="H530" i="7"/>
  <c r="E530" i="7"/>
  <c r="K529" i="7"/>
  <c r="J529" i="7"/>
  <c r="E529" i="7"/>
  <c r="J528" i="7"/>
  <c r="E528" i="7"/>
  <c r="K527" i="7"/>
  <c r="J527" i="7"/>
  <c r="H527" i="7"/>
  <c r="I527" i="7"/>
  <c r="F527" i="7"/>
  <c r="V527" i="7"/>
  <c r="T527" i="7"/>
  <c r="R527" i="7"/>
  <c r="U527" i="7"/>
  <c r="S527" i="7"/>
  <c r="Q527" i="7"/>
  <c r="E527" i="7"/>
  <c r="D527" i="7"/>
  <c r="B527" i="7"/>
  <c r="K526" i="7"/>
  <c r="J526" i="7"/>
  <c r="I526" i="7"/>
  <c r="H526" i="7"/>
  <c r="F526" i="7"/>
  <c r="K525" i="7"/>
  <c r="J525" i="7"/>
  <c r="I525" i="7"/>
  <c r="H525" i="7"/>
  <c r="F525" i="7"/>
  <c r="K524" i="7"/>
  <c r="J524" i="7"/>
  <c r="I524" i="7"/>
  <c r="H524" i="7"/>
  <c r="F524" i="7"/>
  <c r="K523" i="7"/>
  <c r="J523" i="7"/>
  <c r="I523" i="7"/>
  <c r="H523" i="7"/>
  <c r="F523" i="7"/>
  <c r="V522" i="7"/>
  <c r="T522" i="7"/>
  <c r="R522" i="7"/>
  <c r="K528" i="7" s="1"/>
  <c r="J533" i="7" s="1"/>
  <c r="U522" i="7"/>
  <c r="S522" i="7"/>
  <c r="I529" i="7" s="1"/>
  <c r="Q522" i="7"/>
  <c r="E522" i="7"/>
  <c r="D522" i="7"/>
  <c r="B522" i="7"/>
  <c r="H519" i="7"/>
  <c r="J519" i="7"/>
  <c r="I517" i="7"/>
  <c r="H517" i="7"/>
  <c r="E517" i="7"/>
  <c r="J516" i="7"/>
  <c r="E516" i="7"/>
  <c r="J515" i="7"/>
  <c r="E515" i="7"/>
  <c r="K514" i="7"/>
  <c r="J514" i="7"/>
  <c r="H514" i="7"/>
  <c r="I514" i="7"/>
  <c r="F514" i="7"/>
  <c r="V514" i="7"/>
  <c r="T514" i="7"/>
  <c r="R514" i="7"/>
  <c r="U514" i="7"/>
  <c r="S514" i="7"/>
  <c r="Q514" i="7"/>
  <c r="E514" i="7"/>
  <c r="D514" i="7"/>
  <c r="B514" i="7"/>
  <c r="K513" i="7"/>
  <c r="J513" i="7"/>
  <c r="I513" i="7"/>
  <c r="H513" i="7"/>
  <c r="F513" i="7"/>
  <c r="K512" i="7"/>
  <c r="J512" i="7"/>
  <c r="I512" i="7"/>
  <c r="H512" i="7"/>
  <c r="F512" i="7"/>
  <c r="K511" i="7"/>
  <c r="J511" i="7"/>
  <c r="I511" i="7"/>
  <c r="H511" i="7"/>
  <c r="F511" i="7"/>
  <c r="K510" i="7"/>
  <c r="J510" i="7"/>
  <c r="I510" i="7"/>
  <c r="H510" i="7"/>
  <c r="F510" i="7"/>
  <c r="V509" i="7"/>
  <c r="T509" i="7"/>
  <c r="R509" i="7"/>
  <c r="U509" i="7"/>
  <c r="S509" i="7"/>
  <c r="I516" i="7" s="1"/>
  <c r="Q509" i="7"/>
  <c r="E509" i="7"/>
  <c r="D509" i="7"/>
  <c r="B509" i="7"/>
  <c r="H506" i="7"/>
  <c r="J506" i="7"/>
  <c r="I504" i="7"/>
  <c r="H504" i="7"/>
  <c r="E504" i="7"/>
  <c r="J503" i="7"/>
  <c r="I503" i="7"/>
  <c r="E503" i="7"/>
  <c r="J502" i="7"/>
  <c r="E502" i="7"/>
  <c r="K501" i="7"/>
  <c r="J501" i="7"/>
  <c r="I501" i="7"/>
  <c r="H501" i="7"/>
  <c r="F501" i="7"/>
  <c r="K500" i="7"/>
  <c r="J500" i="7"/>
  <c r="I500" i="7"/>
  <c r="H500" i="7"/>
  <c r="F500" i="7"/>
  <c r="C499" i="7"/>
  <c r="V498" i="7"/>
  <c r="T498" i="7"/>
  <c r="K503" i="7" s="1"/>
  <c r="R498" i="7"/>
  <c r="K502" i="7" s="1"/>
  <c r="U498" i="7"/>
  <c r="S498" i="7"/>
  <c r="Q498" i="7"/>
  <c r="I502" i="7" s="1"/>
  <c r="E498" i="7"/>
  <c r="D498" i="7"/>
  <c r="B498" i="7"/>
  <c r="H495" i="7"/>
  <c r="J495" i="7"/>
  <c r="I493" i="7"/>
  <c r="H493" i="7"/>
  <c r="E493" i="7"/>
  <c r="J492" i="7"/>
  <c r="E492" i="7"/>
  <c r="J491" i="7"/>
  <c r="E491" i="7"/>
  <c r="K490" i="7"/>
  <c r="J490" i="7"/>
  <c r="H490" i="7"/>
  <c r="I490" i="7"/>
  <c r="F490" i="7"/>
  <c r="V490" i="7"/>
  <c r="T490" i="7"/>
  <c r="R490" i="7"/>
  <c r="U490" i="7"/>
  <c r="S490" i="7"/>
  <c r="Q490" i="7"/>
  <c r="E490" i="7"/>
  <c r="D490" i="7"/>
  <c r="B490" i="7"/>
  <c r="K489" i="7"/>
  <c r="J489" i="7"/>
  <c r="H489" i="7"/>
  <c r="I489" i="7"/>
  <c r="F489" i="7"/>
  <c r="V489" i="7"/>
  <c r="T489" i="7"/>
  <c r="R489" i="7"/>
  <c r="U489" i="7"/>
  <c r="S489" i="7"/>
  <c r="Q489" i="7"/>
  <c r="E489" i="7"/>
  <c r="D489" i="7"/>
  <c r="B489" i="7"/>
  <c r="K488" i="7"/>
  <c r="J488" i="7"/>
  <c r="H488" i="7"/>
  <c r="I488" i="7"/>
  <c r="F488" i="7"/>
  <c r="V488" i="7"/>
  <c r="T488" i="7"/>
  <c r="R488" i="7"/>
  <c r="U488" i="7"/>
  <c r="S488" i="7"/>
  <c r="Q488" i="7"/>
  <c r="E488" i="7"/>
  <c r="D488" i="7"/>
  <c r="B488" i="7"/>
  <c r="K487" i="7"/>
  <c r="J487" i="7"/>
  <c r="I487" i="7"/>
  <c r="H487" i="7"/>
  <c r="F487" i="7"/>
  <c r="K486" i="7"/>
  <c r="J486" i="7"/>
  <c r="I486" i="7"/>
  <c r="H486" i="7"/>
  <c r="F486" i="7"/>
  <c r="K485" i="7"/>
  <c r="J485" i="7"/>
  <c r="I485" i="7"/>
  <c r="H485" i="7"/>
  <c r="F485" i="7"/>
  <c r="K484" i="7"/>
  <c r="J484" i="7"/>
  <c r="I484" i="7"/>
  <c r="H484" i="7"/>
  <c r="F484" i="7"/>
  <c r="C483" i="7"/>
  <c r="V482" i="7"/>
  <c r="T482" i="7"/>
  <c r="K492" i="7" s="1"/>
  <c r="R482" i="7"/>
  <c r="K491" i="7" s="1"/>
  <c r="U482" i="7"/>
  <c r="S482" i="7"/>
  <c r="I492" i="7" s="1"/>
  <c r="Q482" i="7"/>
  <c r="E482" i="7"/>
  <c r="D482" i="7"/>
  <c r="B482" i="7"/>
  <c r="H479" i="7"/>
  <c r="J479" i="7"/>
  <c r="I477" i="7"/>
  <c r="H477" i="7"/>
  <c r="E477" i="7"/>
  <c r="J476" i="7"/>
  <c r="E476" i="7"/>
  <c r="J475" i="7"/>
  <c r="E475" i="7"/>
  <c r="K474" i="7"/>
  <c r="J474" i="7"/>
  <c r="H474" i="7"/>
  <c r="I474" i="7"/>
  <c r="F474" i="7"/>
  <c r="V474" i="7"/>
  <c r="T474" i="7"/>
  <c r="R474" i="7"/>
  <c r="K475" i="7" s="1"/>
  <c r="U474" i="7"/>
  <c r="S474" i="7"/>
  <c r="Q474" i="7"/>
  <c r="E474" i="7"/>
  <c r="D474" i="7"/>
  <c r="B474" i="7"/>
  <c r="K473" i="7"/>
  <c r="J473" i="7"/>
  <c r="H473" i="7"/>
  <c r="I473" i="7"/>
  <c r="F473" i="7"/>
  <c r="V473" i="7"/>
  <c r="T473" i="7"/>
  <c r="R473" i="7"/>
  <c r="U473" i="7"/>
  <c r="S473" i="7"/>
  <c r="Q473" i="7"/>
  <c r="E473" i="7"/>
  <c r="D473" i="7"/>
  <c r="B473" i="7"/>
  <c r="K472" i="7"/>
  <c r="J472" i="7"/>
  <c r="I472" i="7"/>
  <c r="H472" i="7"/>
  <c r="F472" i="7"/>
  <c r="K471" i="7"/>
  <c r="J471" i="7"/>
  <c r="I471" i="7"/>
  <c r="H471" i="7"/>
  <c r="F471" i="7"/>
  <c r="K470" i="7"/>
  <c r="J470" i="7"/>
  <c r="I470" i="7"/>
  <c r="H470" i="7"/>
  <c r="F470" i="7"/>
  <c r="K469" i="7"/>
  <c r="J469" i="7"/>
  <c r="I469" i="7"/>
  <c r="H469" i="7"/>
  <c r="F469" i="7"/>
  <c r="C468" i="7"/>
  <c r="V467" i="7"/>
  <c r="T467" i="7"/>
  <c r="K476" i="7" s="1"/>
  <c r="R467" i="7"/>
  <c r="U467" i="7"/>
  <c r="S467" i="7"/>
  <c r="I476" i="7" s="1"/>
  <c r="Q467" i="7"/>
  <c r="I475" i="7" s="1"/>
  <c r="E467" i="7"/>
  <c r="D467" i="7"/>
  <c r="B467" i="7"/>
  <c r="H464" i="7"/>
  <c r="J464" i="7"/>
  <c r="I462" i="7"/>
  <c r="H462" i="7"/>
  <c r="E462" i="7"/>
  <c r="J461" i="7"/>
  <c r="I461" i="7"/>
  <c r="E461" i="7"/>
  <c r="J460" i="7"/>
  <c r="E460" i="7"/>
  <c r="K459" i="7"/>
  <c r="J459" i="7"/>
  <c r="H459" i="7"/>
  <c r="I459" i="7"/>
  <c r="F459" i="7"/>
  <c r="V459" i="7"/>
  <c r="T459" i="7"/>
  <c r="R459" i="7"/>
  <c r="U459" i="7"/>
  <c r="S459" i="7"/>
  <c r="Q459" i="7"/>
  <c r="E459" i="7"/>
  <c r="D459" i="7"/>
  <c r="B459" i="7"/>
  <c r="K458" i="7"/>
  <c r="J458" i="7"/>
  <c r="I458" i="7"/>
  <c r="H458" i="7"/>
  <c r="F458" i="7"/>
  <c r="K457" i="7"/>
  <c r="J457" i="7"/>
  <c r="I457" i="7"/>
  <c r="H457" i="7"/>
  <c r="F457" i="7"/>
  <c r="K456" i="7"/>
  <c r="J456" i="7"/>
  <c r="I456" i="7"/>
  <c r="H456" i="7"/>
  <c r="F456" i="7"/>
  <c r="K455" i="7"/>
  <c r="J455" i="7"/>
  <c r="I455" i="7"/>
  <c r="H455" i="7"/>
  <c r="F455" i="7"/>
  <c r="C454" i="7"/>
  <c r="V453" i="7"/>
  <c r="T453" i="7"/>
  <c r="K461" i="7" s="1"/>
  <c r="R453" i="7"/>
  <c r="K460" i="7" s="1"/>
  <c r="U453" i="7"/>
  <c r="S453" i="7"/>
  <c r="Q453" i="7"/>
  <c r="E453" i="7"/>
  <c r="D453" i="7"/>
  <c r="B453" i="7"/>
  <c r="H450" i="7"/>
  <c r="J450" i="7"/>
  <c r="I448" i="7"/>
  <c r="H448" i="7"/>
  <c r="E448" i="7"/>
  <c r="J447" i="7"/>
  <c r="E447" i="7"/>
  <c r="J446" i="7"/>
  <c r="E446" i="7"/>
  <c r="K445" i="7"/>
  <c r="J445" i="7"/>
  <c r="H445" i="7"/>
  <c r="I445" i="7"/>
  <c r="F445" i="7"/>
  <c r="V445" i="7"/>
  <c r="T445" i="7"/>
  <c r="R445" i="7"/>
  <c r="U445" i="7"/>
  <c r="S445" i="7"/>
  <c r="Q445" i="7"/>
  <c r="E445" i="7"/>
  <c r="D445" i="7"/>
  <c r="B445" i="7"/>
  <c r="K444" i="7"/>
  <c r="J444" i="7"/>
  <c r="I444" i="7"/>
  <c r="H444" i="7"/>
  <c r="F444" i="7"/>
  <c r="K443" i="7"/>
  <c r="J443" i="7"/>
  <c r="I443" i="7"/>
  <c r="H443" i="7"/>
  <c r="F443" i="7"/>
  <c r="K442" i="7"/>
  <c r="J442" i="7"/>
  <c r="I442" i="7"/>
  <c r="H442" i="7"/>
  <c r="F442" i="7"/>
  <c r="K441" i="7"/>
  <c r="J441" i="7"/>
  <c r="I441" i="7"/>
  <c r="H441" i="7"/>
  <c r="F441" i="7"/>
  <c r="C440" i="7"/>
  <c r="V439" i="7"/>
  <c r="T439" i="7"/>
  <c r="K447" i="7" s="1"/>
  <c r="R439" i="7"/>
  <c r="U439" i="7"/>
  <c r="S439" i="7"/>
  <c r="I447" i="7" s="1"/>
  <c r="Q439" i="7"/>
  <c r="I446" i="7" s="1"/>
  <c r="E439" i="7"/>
  <c r="D439" i="7"/>
  <c r="B439" i="7"/>
  <c r="H436" i="7"/>
  <c r="J436" i="7"/>
  <c r="I434" i="7"/>
  <c r="H434" i="7"/>
  <c r="E434" i="7"/>
  <c r="J433" i="7"/>
  <c r="E433" i="7"/>
  <c r="J432" i="7"/>
  <c r="E432" i="7"/>
  <c r="K431" i="7"/>
  <c r="J431" i="7"/>
  <c r="H431" i="7"/>
  <c r="I431" i="7"/>
  <c r="F431" i="7"/>
  <c r="V431" i="7"/>
  <c r="T431" i="7"/>
  <c r="R431" i="7"/>
  <c r="U431" i="7"/>
  <c r="S431" i="7"/>
  <c r="Q431" i="7"/>
  <c r="E431" i="7"/>
  <c r="D431" i="7"/>
  <c r="B431" i="7"/>
  <c r="K430" i="7"/>
  <c r="J430" i="7"/>
  <c r="I430" i="7"/>
  <c r="H430" i="7"/>
  <c r="F430" i="7"/>
  <c r="K429" i="7"/>
  <c r="J429" i="7"/>
  <c r="I429" i="7"/>
  <c r="H429" i="7"/>
  <c r="F429" i="7"/>
  <c r="K428" i="7"/>
  <c r="J428" i="7"/>
  <c r="I428" i="7"/>
  <c r="H428" i="7"/>
  <c r="F428" i="7"/>
  <c r="K427" i="7"/>
  <c r="J427" i="7"/>
  <c r="I427" i="7"/>
  <c r="H427" i="7"/>
  <c r="F427" i="7"/>
  <c r="V426" i="7"/>
  <c r="T426" i="7"/>
  <c r="R426" i="7"/>
  <c r="K432" i="7" s="1"/>
  <c r="U426" i="7"/>
  <c r="S426" i="7"/>
  <c r="Q426" i="7"/>
  <c r="E426" i="7"/>
  <c r="D426" i="7"/>
  <c r="B426" i="7"/>
  <c r="H423" i="7"/>
  <c r="J423" i="7"/>
  <c r="I421" i="7"/>
  <c r="H421" i="7"/>
  <c r="E421" i="7"/>
  <c r="J420" i="7"/>
  <c r="E420" i="7"/>
  <c r="J419" i="7"/>
  <c r="E419" i="7"/>
  <c r="K418" i="7"/>
  <c r="J418" i="7"/>
  <c r="H418" i="7"/>
  <c r="I418" i="7"/>
  <c r="F418" i="7"/>
  <c r="V418" i="7"/>
  <c r="T418" i="7"/>
  <c r="R418" i="7"/>
  <c r="U418" i="7"/>
  <c r="S418" i="7"/>
  <c r="Q418" i="7"/>
  <c r="E418" i="7"/>
  <c r="D418" i="7"/>
  <c r="B418" i="7"/>
  <c r="K417" i="7"/>
  <c r="J417" i="7"/>
  <c r="I417" i="7"/>
  <c r="H417" i="7"/>
  <c r="F417" i="7"/>
  <c r="K416" i="7"/>
  <c r="J416" i="7"/>
  <c r="I416" i="7"/>
  <c r="H416" i="7"/>
  <c r="F416" i="7"/>
  <c r="K415" i="7"/>
  <c r="J415" i="7"/>
  <c r="I415" i="7"/>
  <c r="H415" i="7"/>
  <c r="F415" i="7"/>
  <c r="K414" i="7"/>
  <c r="J414" i="7"/>
  <c r="I414" i="7"/>
  <c r="H414" i="7"/>
  <c r="F414" i="7"/>
  <c r="V413" i="7"/>
  <c r="T413" i="7"/>
  <c r="R413" i="7"/>
  <c r="K419" i="7" s="1"/>
  <c r="U413" i="7"/>
  <c r="S413" i="7"/>
  <c r="I420" i="7" s="1"/>
  <c r="Q413" i="7"/>
  <c r="I419" i="7" s="1"/>
  <c r="E413" i="7"/>
  <c r="D413" i="7"/>
  <c r="B413" i="7"/>
  <c r="H410" i="7"/>
  <c r="J410" i="7"/>
  <c r="I408" i="7"/>
  <c r="H408" i="7"/>
  <c r="E408" i="7"/>
  <c r="J407" i="7"/>
  <c r="E407" i="7"/>
  <c r="K406" i="7"/>
  <c r="J406" i="7"/>
  <c r="E406" i="7"/>
  <c r="K405" i="7"/>
  <c r="J405" i="7"/>
  <c r="H405" i="7"/>
  <c r="I405" i="7"/>
  <c r="F405" i="7"/>
  <c r="V405" i="7"/>
  <c r="T405" i="7"/>
  <c r="R405" i="7"/>
  <c r="U405" i="7"/>
  <c r="S405" i="7"/>
  <c r="Q405" i="7"/>
  <c r="E405" i="7"/>
  <c r="D405" i="7"/>
  <c r="B405" i="7"/>
  <c r="K404" i="7"/>
  <c r="J404" i="7"/>
  <c r="I404" i="7"/>
  <c r="H404" i="7"/>
  <c r="F404" i="7"/>
  <c r="K403" i="7"/>
  <c r="J403" i="7"/>
  <c r="I403" i="7"/>
  <c r="H403" i="7"/>
  <c r="F403" i="7"/>
  <c r="K402" i="7"/>
  <c r="J402" i="7"/>
  <c r="I402" i="7"/>
  <c r="H402" i="7"/>
  <c r="F402" i="7"/>
  <c r="K401" i="7"/>
  <c r="J401" i="7"/>
  <c r="I401" i="7"/>
  <c r="H401" i="7"/>
  <c r="F401" i="7"/>
  <c r="C400" i="7"/>
  <c r="V399" i="7"/>
  <c r="T399" i="7"/>
  <c r="K407" i="7" s="1"/>
  <c r="R399" i="7"/>
  <c r="U399" i="7"/>
  <c r="S399" i="7"/>
  <c r="Q399" i="7"/>
  <c r="E399" i="7"/>
  <c r="D399" i="7"/>
  <c r="B399" i="7"/>
  <c r="H396" i="7"/>
  <c r="J396" i="7"/>
  <c r="I394" i="7"/>
  <c r="H394" i="7"/>
  <c r="E394" i="7"/>
  <c r="J393" i="7"/>
  <c r="E393" i="7"/>
  <c r="J392" i="7"/>
  <c r="E392" i="7"/>
  <c r="K391" i="7"/>
  <c r="J391" i="7"/>
  <c r="H391" i="7"/>
  <c r="I391" i="7"/>
  <c r="F391" i="7"/>
  <c r="V391" i="7"/>
  <c r="T391" i="7"/>
  <c r="R391" i="7"/>
  <c r="U391" i="7"/>
  <c r="S391" i="7"/>
  <c r="Q391" i="7"/>
  <c r="E391" i="7"/>
  <c r="D391" i="7"/>
  <c r="B391" i="7"/>
  <c r="K390" i="7"/>
  <c r="J390" i="7"/>
  <c r="H390" i="7"/>
  <c r="I390" i="7"/>
  <c r="F390" i="7"/>
  <c r="V390" i="7"/>
  <c r="T390" i="7"/>
  <c r="R390" i="7"/>
  <c r="U390" i="7"/>
  <c r="S390" i="7"/>
  <c r="Q390" i="7"/>
  <c r="E390" i="7"/>
  <c r="D390" i="7"/>
  <c r="B390" i="7"/>
  <c r="K389" i="7"/>
  <c r="J389" i="7"/>
  <c r="I389" i="7"/>
  <c r="H389" i="7"/>
  <c r="F389" i="7"/>
  <c r="K388" i="7"/>
  <c r="J388" i="7"/>
  <c r="I388" i="7"/>
  <c r="H388" i="7"/>
  <c r="F388" i="7"/>
  <c r="K387" i="7"/>
  <c r="J387" i="7"/>
  <c r="I387" i="7"/>
  <c r="H387" i="7"/>
  <c r="F387" i="7"/>
  <c r="V386" i="7"/>
  <c r="T386" i="7"/>
  <c r="K393" i="7" s="1"/>
  <c r="R386" i="7"/>
  <c r="K392" i="7" s="1"/>
  <c r="U386" i="7"/>
  <c r="S386" i="7"/>
  <c r="Q386" i="7"/>
  <c r="E386" i="7"/>
  <c r="D386" i="7"/>
  <c r="B386" i="7"/>
  <c r="H383" i="7"/>
  <c r="J383" i="7"/>
  <c r="I381" i="7"/>
  <c r="H381" i="7"/>
  <c r="E381" i="7"/>
  <c r="J380" i="7"/>
  <c r="E380" i="7"/>
  <c r="J379" i="7"/>
  <c r="E379" i="7"/>
  <c r="K378" i="7"/>
  <c r="J378" i="7"/>
  <c r="H378" i="7"/>
  <c r="I378" i="7"/>
  <c r="F378" i="7"/>
  <c r="V378" i="7"/>
  <c r="T378" i="7"/>
  <c r="R378" i="7"/>
  <c r="U378" i="7"/>
  <c r="S378" i="7"/>
  <c r="Q378" i="7"/>
  <c r="E378" i="7"/>
  <c r="D378" i="7"/>
  <c r="B378" i="7"/>
  <c r="K377" i="7"/>
  <c r="J377" i="7"/>
  <c r="H377" i="7"/>
  <c r="I377" i="7"/>
  <c r="F377" i="7"/>
  <c r="V377" i="7"/>
  <c r="T377" i="7"/>
  <c r="R377" i="7"/>
  <c r="U377" i="7"/>
  <c r="S377" i="7"/>
  <c r="Q377" i="7"/>
  <c r="E377" i="7"/>
  <c r="D377" i="7"/>
  <c r="B377" i="7"/>
  <c r="K376" i="7"/>
  <c r="J376" i="7"/>
  <c r="H376" i="7"/>
  <c r="I376" i="7"/>
  <c r="F376" i="7"/>
  <c r="V376" i="7"/>
  <c r="T376" i="7"/>
  <c r="R376" i="7"/>
  <c r="U376" i="7"/>
  <c r="S376" i="7"/>
  <c r="Q376" i="7"/>
  <c r="E376" i="7"/>
  <c r="D376" i="7"/>
  <c r="B376" i="7"/>
  <c r="K375" i="7"/>
  <c r="J375" i="7"/>
  <c r="H375" i="7"/>
  <c r="I375" i="7"/>
  <c r="F375" i="7"/>
  <c r="V375" i="7"/>
  <c r="T375" i="7"/>
  <c r="R375" i="7"/>
  <c r="U375" i="7"/>
  <c r="S375" i="7"/>
  <c r="Q375" i="7"/>
  <c r="E375" i="7"/>
  <c r="D375" i="7"/>
  <c r="B375" i="7"/>
  <c r="K374" i="7"/>
  <c r="J374" i="7"/>
  <c r="I374" i="7"/>
  <c r="H374" i="7"/>
  <c r="F374" i="7"/>
  <c r="K373" i="7"/>
  <c r="J373" i="7"/>
  <c r="I373" i="7"/>
  <c r="H373" i="7"/>
  <c r="F373" i="7"/>
  <c r="K372" i="7"/>
  <c r="J372" i="7"/>
  <c r="I372" i="7"/>
  <c r="H372" i="7"/>
  <c r="F372" i="7"/>
  <c r="K371" i="7"/>
  <c r="J371" i="7"/>
  <c r="I371" i="7"/>
  <c r="H371" i="7"/>
  <c r="F371" i="7"/>
  <c r="C370" i="7"/>
  <c r="V369" i="7"/>
  <c r="T369" i="7"/>
  <c r="K380" i="7" s="1"/>
  <c r="R369" i="7"/>
  <c r="K379" i="7" s="1"/>
  <c r="U369" i="7"/>
  <c r="S369" i="7"/>
  <c r="I380" i="7" s="1"/>
  <c r="Q369" i="7"/>
  <c r="E369" i="7"/>
  <c r="D369" i="7"/>
  <c r="B369" i="7"/>
  <c r="A368" i="7"/>
  <c r="I366" i="7"/>
  <c r="J366" i="7"/>
  <c r="I365" i="7"/>
  <c r="J365" i="7"/>
  <c r="A364" i="7"/>
  <c r="H360" i="7"/>
  <c r="J360" i="7"/>
  <c r="I358" i="7"/>
  <c r="H358" i="7"/>
  <c r="E358" i="7"/>
  <c r="J357" i="7"/>
  <c r="E357" i="7"/>
  <c r="J356" i="7"/>
  <c r="E356" i="7"/>
  <c r="K355" i="7"/>
  <c r="J355" i="7"/>
  <c r="H355" i="7"/>
  <c r="I355" i="7"/>
  <c r="F355" i="7"/>
  <c r="V355" i="7"/>
  <c r="T355" i="7"/>
  <c r="R355" i="7"/>
  <c r="U355" i="7"/>
  <c r="S355" i="7"/>
  <c r="Q355" i="7"/>
  <c r="E355" i="7"/>
  <c r="D355" i="7"/>
  <c r="B355" i="7"/>
  <c r="K354" i="7"/>
  <c r="J354" i="7"/>
  <c r="I354" i="7"/>
  <c r="H354" i="7"/>
  <c r="F354" i="7"/>
  <c r="K353" i="7"/>
  <c r="J353" i="7"/>
  <c r="I353" i="7"/>
  <c r="H353" i="7"/>
  <c r="F353" i="7"/>
  <c r="K352" i="7"/>
  <c r="J352" i="7"/>
  <c r="I352" i="7"/>
  <c r="H352" i="7"/>
  <c r="F352" i="7"/>
  <c r="K351" i="7"/>
  <c r="J351" i="7"/>
  <c r="I351" i="7"/>
  <c r="H351" i="7"/>
  <c r="F351" i="7"/>
  <c r="V350" i="7"/>
  <c r="T350" i="7"/>
  <c r="K357" i="7" s="1"/>
  <c r="R350" i="7"/>
  <c r="K356" i="7" s="1"/>
  <c r="U350" i="7"/>
  <c r="S350" i="7"/>
  <c r="Q350" i="7"/>
  <c r="E350" i="7"/>
  <c r="D350" i="7"/>
  <c r="B350" i="7"/>
  <c r="H347" i="7"/>
  <c r="J347" i="7"/>
  <c r="I345" i="7"/>
  <c r="H345" i="7"/>
  <c r="E345" i="7"/>
  <c r="J344" i="7"/>
  <c r="E344" i="7"/>
  <c r="J343" i="7"/>
  <c r="E343" i="7"/>
  <c r="K342" i="7"/>
  <c r="J342" i="7"/>
  <c r="I342" i="7"/>
  <c r="H342" i="7"/>
  <c r="F342" i="7"/>
  <c r="K341" i="7"/>
  <c r="J341" i="7"/>
  <c r="I341" i="7"/>
  <c r="H341" i="7"/>
  <c r="F341" i="7"/>
  <c r="K340" i="7"/>
  <c r="J340" i="7"/>
  <c r="I340" i="7"/>
  <c r="H340" i="7"/>
  <c r="F340" i="7"/>
  <c r="K339" i="7"/>
  <c r="J339" i="7"/>
  <c r="I339" i="7"/>
  <c r="H339" i="7"/>
  <c r="F339" i="7"/>
  <c r="C338" i="7"/>
  <c r="V337" i="7"/>
  <c r="T337" i="7"/>
  <c r="K344" i="7" s="1"/>
  <c r="R337" i="7"/>
  <c r="K343" i="7" s="1"/>
  <c r="U337" i="7"/>
  <c r="S337" i="7"/>
  <c r="I344" i="7" s="1"/>
  <c r="Q337" i="7"/>
  <c r="I343" i="7" s="1"/>
  <c r="E337" i="7"/>
  <c r="D337" i="7"/>
  <c r="B337" i="7"/>
  <c r="H334" i="7"/>
  <c r="J334" i="7"/>
  <c r="I332" i="7"/>
  <c r="H332" i="7"/>
  <c r="E332" i="7"/>
  <c r="J331" i="7"/>
  <c r="E331" i="7"/>
  <c r="J330" i="7"/>
  <c r="E330" i="7"/>
  <c r="K329" i="7"/>
  <c r="J329" i="7"/>
  <c r="H329" i="7"/>
  <c r="I329" i="7"/>
  <c r="F329" i="7"/>
  <c r="V329" i="7"/>
  <c r="T329" i="7"/>
  <c r="R329" i="7"/>
  <c r="U329" i="7"/>
  <c r="S329" i="7"/>
  <c r="Q329" i="7"/>
  <c r="E329" i="7"/>
  <c r="D329" i="7"/>
  <c r="B329" i="7"/>
  <c r="K328" i="7"/>
  <c r="J328" i="7"/>
  <c r="I328" i="7"/>
  <c r="H328" i="7"/>
  <c r="F328" i="7"/>
  <c r="K327" i="7"/>
  <c r="J327" i="7"/>
  <c r="I327" i="7"/>
  <c r="H327" i="7"/>
  <c r="F327" i="7"/>
  <c r="K326" i="7"/>
  <c r="J326" i="7"/>
  <c r="I326" i="7"/>
  <c r="H326" i="7"/>
  <c r="F326" i="7"/>
  <c r="K325" i="7"/>
  <c r="J325" i="7"/>
  <c r="I325" i="7"/>
  <c r="H325" i="7"/>
  <c r="F325" i="7"/>
  <c r="C324" i="7"/>
  <c r="V323" i="7"/>
  <c r="T323" i="7"/>
  <c r="R323" i="7"/>
  <c r="K330" i="7" s="1"/>
  <c r="U323" i="7"/>
  <c r="S323" i="7"/>
  <c r="I331" i="7" s="1"/>
  <c r="Q323" i="7"/>
  <c r="I330" i="7" s="1"/>
  <c r="E323" i="7"/>
  <c r="D323" i="7"/>
  <c r="B323" i="7"/>
  <c r="H320" i="7"/>
  <c r="J320" i="7"/>
  <c r="I318" i="7"/>
  <c r="H318" i="7"/>
  <c r="E318" i="7"/>
  <c r="J317" i="7"/>
  <c r="E317" i="7"/>
  <c r="J316" i="7"/>
  <c r="E316" i="7"/>
  <c r="K315" i="7"/>
  <c r="J315" i="7"/>
  <c r="H315" i="7"/>
  <c r="I315" i="7"/>
  <c r="F315" i="7"/>
  <c r="V315" i="7"/>
  <c r="T315" i="7"/>
  <c r="R315" i="7"/>
  <c r="U315" i="7"/>
  <c r="S315" i="7"/>
  <c r="Q315" i="7"/>
  <c r="E315" i="7"/>
  <c r="D315" i="7"/>
  <c r="B315" i="7"/>
  <c r="K314" i="7"/>
  <c r="J314" i="7"/>
  <c r="H314" i="7"/>
  <c r="I314" i="7"/>
  <c r="F314" i="7"/>
  <c r="V314" i="7"/>
  <c r="T314" i="7"/>
  <c r="K317" i="7" s="1"/>
  <c r="R314" i="7"/>
  <c r="U314" i="7"/>
  <c r="S314" i="7"/>
  <c r="Q314" i="7"/>
  <c r="E314" i="7"/>
  <c r="D314" i="7"/>
  <c r="B314" i="7"/>
  <c r="K313" i="7"/>
  <c r="J313" i="7"/>
  <c r="I313" i="7"/>
  <c r="H313" i="7"/>
  <c r="F313" i="7"/>
  <c r="K312" i="7"/>
  <c r="J312" i="7"/>
  <c r="I312" i="7"/>
  <c r="H312" i="7"/>
  <c r="F312" i="7"/>
  <c r="K311" i="7"/>
  <c r="J311" i="7"/>
  <c r="I311" i="7"/>
  <c r="H311" i="7"/>
  <c r="F311" i="7"/>
  <c r="C310" i="7"/>
  <c r="V309" i="7"/>
  <c r="T309" i="7"/>
  <c r="R309" i="7"/>
  <c r="U309" i="7"/>
  <c r="S309" i="7"/>
  <c r="I317" i="7" s="1"/>
  <c r="Q309" i="7"/>
  <c r="E309" i="7"/>
  <c r="D309" i="7"/>
  <c r="B309" i="7"/>
  <c r="K306" i="7"/>
  <c r="P307" i="7" s="1"/>
  <c r="J306" i="7"/>
  <c r="I306" i="7"/>
  <c r="O307" i="7" s="1"/>
  <c r="H306" i="7"/>
  <c r="F306" i="7"/>
  <c r="V306" i="7"/>
  <c r="T306" i="7"/>
  <c r="R306" i="7"/>
  <c r="U306" i="7"/>
  <c r="S306" i="7"/>
  <c r="Q306" i="7"/>
  <c r="E306" i="7"/>
  <c r="D306" i="7"/>
  <c r="B306" i="7"/>
  <c r="K303" i="7"/>
  <c r="P304" i="7" s="1"/>
  <c r="J303" i="7"/>
  <c r="I303" i="7"/>
  <c r="O304" i="7" s="1"/>
  <c r="H303" i="7"/>
  <c r="F303" i="7"/>
  <c r="V303" i="7"/>
  <c r="T303" i="7"/>
  <c r="R303" i="7"/>
  <c r="U303" i="7"/>
  <c r="S303" i="7"/>
  <c r="Q303" i="7"/>
  <c r="E303" i="7"/>
  <c r="D303" i="7"/>
  <c r="B303" i="7"/>
  <c r="P301" i="7"/>
  <c r="J301" i="7"/>
  <c r="K300" i="7"/>
  <c r="J300" i="7"/>
  <c r="I300" i="7"/>
  <c r="O301" i="7" s="1"/>
  <c r="H300" i="7"/>
  <c r="F300" i="7"/>
  <c r="V300" i="7"/>
  <c r="T300" i="7"/>
  <c r="R300" i="7"/>
  <c r="U300" i="7"/>
  <c r="S300" i="7"/>
  <c r="Q300" i="7"/>
  <c r="E300" i="7"/>
  <c r="D300" i="7"/>
  <c r="B300" i="7"/>
  <c r="K297" i="7"/>
  <c r="P298" i="7" s="1"/>
  <c r="J297" i="7"/>
  <c r="I297" i="7"/>
  <c r="O298" i="7" s="1"/>
  <c r="H297" i="7"/>
  <c r="F297" i="7"/>
  <c r="V297" i="7"/>
  <c r="T297" i="7"/>
  <c r="R297" i="7"/>
  <c r="U297" i="7"/>
  <c r="S297" i="7"/>
  <c r="Q297" i="7"/>
  <c r="E297" i="7"/>
  <c r="D297" i="7"/>
  <c r="B297" i="7"/>
  <c r="H294" i="7"/>
  <c r="J294" i="7"/>
  <c r="I292" i="7"/>
  <c r="H292" i="7"/>
  <c r="E292" i="7"/>
  <c r="J291" i="7"/>
  <c r="E291" i="7"/>
  <c r="J290" i="7"/>
  <c r="E290" i="7"/>
  <c r="K289" i="7"/>
  <c r="J289" i="7"/>
  <c r="H289" i="7"/>
  <c r="I289" i="7"/>
  <c r="F289" i="7"/>
  <c r="V289" i="7"/>
  <c r="T289" i="7"/>
  <c r="R289" i="7"/>
  <c r="U289" i="7"/>
  <c r="S289" i="7"/>
  <c r="Q289" i="7"/>
  <c r="I290" i="7" s="1"/>
  <c r="E289" i="7"/>
  <c r="D289" i="7"/>
  <c r="B289" i="7"/>
  <c r="K288" i="7"/>
  <c r="J288" i="7"/>
  <c r="H288" i="7"/>
  <c r="I288" i="7"/>
  <c r="F288" i="7"/>
  <c r="V288" i="7"/>
  <c r="T288" i="7"/>
  <c r="R288" i="7"/>
  <c r="U288" i="7"/>
  <c r="S288" i="7"/>
  <c r="Q288" i="7"/>
  <c r="E288" i="7"/>
  <c r="D288" i="7"/>
  <c r="B288" i="7"/>
  <c r="K287" i="7"/>
  <c r="J287" i="7"/>
  <c r="I287" i="7"/>
  <c r="H287" i="7"/>
  <c r="F287" i="7"/>
  <c r="K286" i="7"/>
  <c r="J286" i="7"/>
  <c r="I286" i="7"/>
  <c r="H286" i="7"/>
  <c r="F286" i="7"/>
  <c r="K285" i="7"/>
  <c r="J285" i="7"/>
  <c r="I285" i="7"/>
  <c r="H285" i="7"/>
  <c r="F285" i="7"/>
  <c r="K284" i="7"/>
  <c r="J284" i="7"/>
  <c r="I284" i="7"/>
  <c r="H284" i="7"/>
  <c r="F284" i="7"/>
  <c r="C283" i="7"/>
  <c r="V282" i="7"/>
  <c r="T282" i="7"/>
  <c r="R282" i="7"/>
  <c r="U282" i="7"/>
  <c r="S282" i="7"/>
  <c r="I291" i="7" s="1"/>
  <c r="Q282" i="7"/>
  <c r="E282" i="7"/>
  <c r="D282" i="7"/>
  <c r="B282" i="7"/>
  <c r="H279" i="7"/>
  <c r="J279" i="7"/>
  <c r="I277" i="7"/>
  <c r="H277" i="7"/>
  <c r="E277" i="7"/>
  <c r="J276" i="7"/>
  <c r="E276" i="7"/>
  <c r="J275" i="7"/>
  <c r="E275" i="7"/>
  <c r="K274" i="7"/>
  <c r="J274" i="7"/>
  <c r="H274" i="7"/>
  <c r="I274" i="7"/>
  <c r="F274" i="7"/>
  <c r="V274" i="7"/>
  <c r="T274" i="7"/>
  <c r="R274" i="7"/>
  <c r="U274" i="7"/>
  <c r="S274" i="7"/>
  <c r="Q274" i="7"/>
  <c r="E274" i="7"/>
  <c r="D274" i="7"/>
  <c r="B274" i="7"/>
  <c r="K273" i="7"/>
  <c r="J273" i="7"/>
  <c r="I273" i="7"/>
  <c r="H273" i="7"/>
  <c r="F273" i="7"/>
  <c r="K272" i="7"/>
  <c r="J272" i="7"/>
  <c r="I272" i="7"/>
  <c r="H272" i="7"/>
  <c r="F272" i="7"/>
  <c r="K271" i="7"/>
  <c r="J271" i="7"/>
  <c r="I271" i="7"/>
  <c r="H271" i="7"/>
  <c r="F271" i="7"/>
  <c r="K270" i="7"/>
  <c r="J270" i="7"/>
  <c r="I270" i="7"/>
  <c r="H270" i="7"/>
  <c r="F270" i="7"/>
  <c r="C269" i="7"/>
  <c r="V268" i="7"/>
  <c r="T268" i="7"/>
  <c r="K276" i="7" s="1"/>
  <c r="R268" i="7"/>
  <c r="K275" i="7" s="1"/>
  <c r="U268" i="7"/>
  <c r="S268" i="7"/>
  <c r="Q268" i="7"/>
  <c r="E268" i="7"/>
  <c r="D268" i="7"/>
  <c r="B268" i="7"/>
  <c r="H265" i="7"/>
  <c r="J265" i="7"/>
  <c r="I263" i="7"/>
  <c r="H263" i="7"/>
  <c r="E263" i="7"/>
  <c r="J262" i="7"/>
  <c r="E262" i="7"/>
  <c r="J261" i="7"/>
  <c r="E261" i="7"/>
  <c r="K260" i="7"/>
  <c r="J260" i="7"/>
  <c r="H260" i="7"/>
  <c r="I260" i="7"/>
  <c r="F260" i="7"/>
  <c r="V260" i="7"/>
  <c r="T260" i="7"/>
  <c r="R260" i="7"/>
  <c r="U260" i="7"/>
  <c r="S260" i="7"/>
  <c r="Q260" i="7"/>
  <c r="E260" i="7"/>
  <c r="D260" i="7"/>
  <c r="B260" i="7"/>
  <c r="K259" i="7"/>
  <c r="J259" i="7"/>
  <c r="H259" i="7"/>
  <c r="I259" i="7"/>
  <c r="F259" i="7"/>
  <c r="V259" i="7"/>
  <c r="T259" i="7"/>
  <c r="R259" i="7"/>
  <c r="U259" i="7"/>
  <c r="S259" i="7"/>
  <c r="Q259" i="7"/>
  <c r="E259" i="7"/>
  <c r="D259" i="7"/>
  <c r="B259" i="7"/>
  <c r="K258" i="7"/>
  <c r="J258" i="7"/>
  <c r="I258" i="7"/>
  <c r="H258" i="7"/>
  <c r="F258" i="7"/>
  <c r="K257" i="7"/>
  <c r="J257" i="7"/>
  <c r="I257" i="7"/>
  <c r="H257" i="7"/>
  <c r="F257" i="7"/>
  <c r="K256" i="7"/>
  <c r="J256" i="7"/>
  <c r="I256" i="7"/>
  <c r="H256" i="7"/>
  <c r="F256" i="7"/>
  <c r="K255" i="7"/>
  <c r="J255" i="7"/>
  <c r="I255" i="7"/>
  <c r="H255" i="7"/>
  <c r="F255" i="7"/>
  <c r="C254" i="7"/>
  <c r="V253" i="7"/>
  <c r="T253" i="7"/>
  <c r="R253" i="7"/>
  <c r="U253" i="7"/>
  <c r="S253" i="7"/>
  <c r="I262" i="7" s="1"/>
  <c r="Q253" i="7"/>
  <c r="E253" i="7"/>
  <c r="D253" i="7"/>
  <c r="B253" i="7"/>
  <c r="H250" i="7"/>
  <c r="J250" i="7"/>
  <c r="I248" i="7"/>
  <c r="H248" i="7"/>
  <c r="E248" i="7"/>
  <c r="J247" i="7"/>
  <c r="E247" i="7"/>
  <c r="J246" i="7"/>
  <c r="E246" i="7"/>
  <c r="K245" i="7"/>
  <c r="J245" i="7"/>
  <c r="H245" i="7"/>
  <c r="I245" i="7"/>
  <c r="F245" i="7"/>
  <c r="V245" i="7"/>
  <c r="T245" i="7"/>
  <c r="R245" i="7"/>
  <c r="U245" i="7"/>
  <c r="S245" i="7"/>
  <c r="I247" i="7" s="1"/>
  <c r="Q245" i="7"/>
  <c r="E245" i="7"/>
  <c r="D245" i="7"/>
  <c r="B245" i="7"/>
  <c r="K244" i="7"/>
  <c r="J244" i="7"/>
  <c r="I244" i="7"/>
  <c r="H244" i="7"/>
  <c r="F244" i="7"/>
  <c r="K243" i="7"/>
  <c r="J243" i="7"/>
  <c r="I243" i="7"/>
  <c r="H243" i="7"/>
  <c r="F243" i="7"/>
  <c r="K242" i="7"/>
  <c r="J242" i="7"/>
  <c r="I242" i="7"/>
  <c r="H242" i="7"/>
  <c r="F242" i="7"/>
  <c r="K241" i="7"/>
  <c r="J241" i="7"/>
  <c r="I241" i="7"/>
  <c r="H241" i="7"/>
  <c r="F241" i="7"/>
  <c r="C240" i="7"/>
  <c r="V239" i="7"/>
  <c r="T239" i="7"/>
  <c r="K247" i="7" s="1"/>
  <c r="R239" i="7"/>
  <c r="K246" i="7" s="1"/>
  <c r="U239" i="7"/>
  <c r="S239" i="7"/>
  <c r="Q239" i="7"/>
  <c r="I246" i="7" s="1"/>
  <c r="E239" i="7"/>
  <c r="D239" i="7"/>
  <c r="B239" i="7"/>
  <c r="H236" i="7"/>
  <c r="J236" i="7"/>
  <c r="I234" i="7"/>
  <c r="H234" i="7"/>
  <c r="E234" i="7"/>
  <c r="J233" i="7"/>
  <c r="E233" i="7"/>
  <c r="J232" i="7"/>
  <c r="E232" i="7"/>
  <c r="K231" i="7"/>
  <c r="J231" i="7"/>
  <c r="H231" i="7"/>
  <c r="I231" i="7"/>
  <c r="F231" i="7"/>
  <c r="V231" i="7"/>
  <c r="T231" i="7"/>
  <c r="R231" i="7"/>
  <c r="U231" i="7"/>
  <c r="S231" i="7"/>
  <c r="Q231" i="7"/>
  <c r="E231" i="7"/>
  <c r="D231" i="7"/>
  <c r="B231" i="7"/>
  <c r="K230" i="7"/>
  <c r="J230" i="7"/>
  <c r="H230" i="7"/>
  <c r="I230" i="7"/>
  <c r="F230" i="7"/>
  <c r="V230" i="7"/>
  <c r="T230" i="7"/>
  <c r="R230" i="7"/>
  <c r="U230" i="7"/>
  <c r="S230" i="7"/>
  <c r="Q230" i="7"/>
  <c r="E230" i="7"/>
  <c r="D230" i="7"/>
  <c r="B230" i="7"/>
  <c r="K229" i="7"/>
  <c r="J229" i="7"/>
  <c r="I229" i="7"/>
  <c r="H229" i="7"/>
  <c r="F229" i="7"/>
  <c r="K228" i="7"/>
  <c r="J228" i="7"/>
  <c r="I228" i="7"/>
  <c r="H228" i="7"/>
  <c r="F228" i="7"/>
  <c r="K227" i="7"/>
  <c r="J227" i="7"/>
  <c r="I227" i="7"/>
  <c r="H227" i="7"/>
  <c r="F227" i="7"/>
  <c r="C226" i="7"/>
  <c r="V225" i="7"/>
  <c r="T225" i="7"/>
  <c r="R225" i="7"/>
  <c r="U225" i="7"/>
  <c r="S225" i="7"/>
  <c r="Q225" i="7"/>
  <c r="E225" i="7"/>
  <c r="D225" i="7"/>
  <c r="B225" i="7"/>
  <c r="H222" i="7"/>
  <c r="J222" i="7"/>
  <c r="I220" i="7"/>
  <c r="H220" i="7"/>
  <c r="E220" i="7"/>
  <c r="J219" i="7"/>
  <c r="E219" i="7"/>
  <c r="J218" i="7"/>
  <c r="E218" i="7"/>
  <c r="K217" i="7"/>
  <c r="J217" i="7"/>
  <c r="H217" i="7"/>
  <c r="I217" i="7"/>
  <c r="F217" i="7"/>
  <c r="V217" i="7"/>
  <c r="T217" i="7"/>
  <c r="R217" i="7"/>
  <c r="U217" i="7"/>
  <c r="S217" i="7"/>
  <c r="Q217" i="7"/>
  <c r="E217" i="7"/>
  <c r="D217" i="7"/>
  <c r="B217" i="7"/>
  <c r="K216" i="7"/>
  <c r="J216" i="7"/>
  <c r="I216" i="7"/>
  <c r="H216" i="7"/>
  <c r="F216" i="7"/>
  <c r="K215" i="7"/>
  <c r="J215" i="7"/>
  <c r="I215" i="7"/>
  <c r="H215" i="7"/>
  <c r="F215" i="7"/>
  <c r="K214" i="7"/>
  <c r="J214" i="7"/>
  <c r="I214" i="7"/>
  <c r="H214" i="7"/>
  <c r="F214" i="7"/>
  <c r="K213" i="7"/>
  <c r="J213" i="7"/>
  <c r="I213" i="7"/>
  <c r="H213" i="7"/>
  <c r="F213" i="7"/>
  <c r="V212" i="7"/>
  <c r="T212" i="7"/>
  <c r="R212" i="7"/>
  <c r="K218" i="7" s="1"/>
  <c r="U212" i="7"/>
  <c r="S212" i="7"/>
  <c r="I219" i="7" s="1"/>
  <c r="Q212" i="7"/>
  <c r="E212" i="7"/>
  <c r="D212" i="7"/>
  <c r="B212" i="7"/>
  <c r="H209" i="7"/>
  <c r="J209" i="7"/>
  <c r="I207" i="7"/>
  <c r="H207" i="7"/>
  <c r="E207" i="7"/>
  <c r="J206" i="7"/>
  <c r="E206" i="7"/>
  <c r="J205" i="7"/>
  <c r="E205" i="7"/>
  <c r="K204" i="7"/>
  <c r="J204" i="7"/>
  <c r="H204" i="7"/>
  <c r="I204" i="7"/>
  <c r="F204" i="7"/>
  <c r="V204" i="7"/>
  <c r="T204" i="7"/>
  <c r="R204" i="7"/>
  <c r="U204" i="7"/>
  <c r="S204" i="7"/>
  <c r="Q204" i="7"/>
  <c r="E204" i="7"/>
  <c r="D204" i="7"/>
  <c r="B204" i="7"/>
  <c r="K203" i="7"/>
  <c r="J203" i="7"/>
  <c r="H203" i="7"/>
  <c r="I203" i="7"/>
  <c r="F203" i="7"/>
  <c r="V203" i="7"/>
  <c r="T203" i="7"/>
  <c r="R203" i="7"/>
  <c r="U203" i="7"/>
  <c r="S203" i="7"/>
  <c r="Q203" i="7"/>
  <c r="E203" i="7"/>
  <c r="D203" i="7"/>
  <c r="B203" i="7"/>
  <c r="K202" i="7"/>
  <c r="J202" i="7"/>
  <c r="I202" i="7"/>
  <c r="H202" i="7"/>
  <c r="F202" i="7"/>
  <c r="K201" i="7"/>
  <c r="J201" i="7"/>
  <c r="I201" i="7"/>
  <c r="H201" i="7"/>
  <c r="F201" i="7"/>
  <c r="K200" i="7"/>
  <c r="J200" i="7"/>
  <c r="I200" i="7"/>
  <c r="H200" i="7"/>
  <c r="F200" i="7"/>
  <c r="K199" i="7"/>
  <c r="J199" i="7"/>
  <c r="I199" i="7"/>
  <c r="H199" i="7"/>
  <c r="F199" i="7"/>
  <c r="C198" i="7"/>
  <c r="V197" i="7"/>
  <c r="T197" i="7"/>
  <c r="K206" i="7" s="1"/>
  <c r="R197" i="7"/>
  <c r="U197" i="7"/>
  <c r="S197" i="7"/>
  <c r="Q197" i="7"/>
  <c r="E197" i="7"/>
  <c r="D197" i="7"/>
  <c r="B197" i="7"/>
  <c r="H194" i="7"/>
  <c r="J194" i="7"/>
  <c r="I192" i="7"/>
  <c r="H192" i="7"/>
  <c r="E192" i="7"/>
  <c r="J191" i="7"/>
  <c r="E191" i="7"/>
  <c r="J190" i="7"/>
  <c r="E190" i="7"/>
  <c r="K189" i="7"/>
  <c r="J189" i="7"/>
  <c r="H189" i="7"/>
  <c r="I189" i="7"/>
  <c r="F189" i="7"/>
  <c r="V189" i="7"/>
  <c r="T189" i="7"/>
  <c r="R189" i="7"/>
  <c r="U189" i="7"/>
  <c r="S189" i="7"/>
  <c r="Q189" i="7"/>
  <c r="E189" i="7"/>
  <c r="D189" i="7"/>
  <c r="B189" i="7"/>
  <c r="K188" i="7"/>
  <c r="J188" i="7"/>
  <c r="H188" i="7"/>
  <c r="I188" i="7"/>
  <c r="F188" i="7"/>
  <c r="V188" i="7"/>
  <c r="T188" i="7"/>
  <c r="R188" i="7"/>
  <c r="K190" i="7" s="1"/>
  <c r="U188" i="7"/>
  <c r="S188" i="7"/>
  <c r="Q188" i="7"/>
  <c r="E188" i="7"/>
  <c r="D188" i="7"/>
  <c r="B188" i="7"/>
  <c r="K187" i="7"/>
  <c r="J187" i="7"/>
  <c r="I187" i="7"/>
  <c r="H187" i="7"/>
  <c r="F187" i="7"/>
  <c r="K186" i="7"/>
  <c r="J186" i="7"/>
  <c r="I186" i="7"/>
  <c r="H186" i="7"/>
  <c r="F186" i="7"/>
  <c r="K185" i="7"/>
  <c r="J185" i="7"/>
  <c r="I185" i="7"/>
  <c r="H185" i="7"/>
  <c r="F185" i="7"/>
  <c r="K184" i="7"/>
  <c r="J184" i="7"/>
  <c r="I184" i="7"/>
  <c r="H184" i="7"/>
  <c r="F184" i="7"/>
  <c r="C183" i="7"/>
  <c r="V182" i="7"/>
  <c r="T182" i="7"/>
  <c r="K191" i="7" s="1"/>
  <c r="R182" i="7"/>
  <c r="U182" i="7"/>
  <c r="S182" i="7"/>
  <c r="Q182" i="7"/>
  <c r="I190" i="7" s="1"/>
  <c r="E182" i="7"/>
  <c r="D182" i="7"/>
  <c r="B182" i="7"/>
  <c r="H179" i="7"/>
  <c r="J179" i="7"/>
  <c r="I177" i="7"/>
  <c r="H177" i="7"/>
  <c r="E177" i="7"/>
  <c r="J176" i="7"/>
  <c r="E176" i="7"/>
  <c r="J175" i="7"/>
  <c r="E175" i="7"/>
  <c r="K174" i="7"/>
  <c r="J174" i="7"/>
  <c r="H174" i="7"/>
  <c r="I174" i="7"/>
  <c r="F174" i="7"/>
  <c r="V174" i="7"/>
  <c r="T174" i="7"/>
  <c r="R174" i="7"/>
  <c r="U174" i="7"/>
  <c r="S174" i="7"/>
  <c r="Q174" i="7"/>
  <c r="E174" i="7"/>
  <c r="D174" i="7"/>
  <c r="B174" i="7"/>
  <c r="K173" i="7"/>
  <c r="J173" i="7"/>
  <c r="I173" i="7"/>
  <c r="H173" i="7"/>
  <c r="F173" i="7"/>
  <c r="K172" i="7"/>
  <c r="J172" i="7"/>
  <c r="I172" i="7"/>
  <c r="H172" i="7"/>
  <c r="F172" i="7"/>
  <c r="K171" i="7"/>
  <c r="J171" i="7"/>
  <c r="I171" i="7"/>
  <c r="H171" i="7"/>
  <c r="F171" i="7"/>
  <c r="K170" i="7"/>
  <c r="J170" i="7"/>
  <c r="I170" i="7"/>
  <c r="H170" i="7"/>
  <c r="F170" i="7"/>
  <c r="V169" i="7"/>
  <c r="T169" i="7"/>
  <c r="R169" i="7"/>
  <c r="U169" i="7"/>
  <c r="S169" i="7"/>
  <c r="I176" i="7" s="1"/>
  <c r="Q169" i="7"/>
  <c r="I175" i="7" s="1"/>
  <c r="E169" i="7"/>
  <c r="D169" i="7"/>
  <c r="B169" i="7"/>
  <c r="H166" i="7"/>
  <c r="J166" i="7"/>
  <c r="I164" i="7"/>
  <c r="H164" i="7"/>
  <c r="E164" i="7"/>
  <c r="J163" i="7"/>
  <c r="E163" i="7"/>
  <c r="J162" i="7"/>
  <c r="E162" i="7"/>
  <c r="K161" i="7"/>
  <c r="J161" i="7"/>
  <c r="H161" i="7"/>
  <c r="I161" i="7"/>
  <c r="F161" i="7"/>
  <c r="V161" i="7"/>
  <c r="T161" i="7"/>
  <c r="R161" i="7"/>
  <c r="U161" i="7"/>
  <c r="S161" i="7"/>
  <c r="Q161" i="7"/>
  <c r="E161" i="7"/>
  <c r="D161" i="7"/>
  <c r="B161" i="7"/>
  <c r="K160" i="7"/>
  <c r="J160" i="7"/>
  <c r="H160" i="7"/>
  <c r="I160" i="7"/>
  <c r="F160" i="7"/>
  <c r="V160" i="7"/>
  <c r="T160" i="7"/>
  <c r="R160" i="7"/>
  <c r="U160" i="7"/>
  <c r="S160" i="7"/>
  <c r="Q160" i="7"/>
  <c r="E160" i="7"/>
  <c r="D160" i="7"/>
  <c r="B160" i="7"/>
  <c r="K159" i="7"/>
  <c r="J159" i="7"/>
  <c r="I159" i="7"/>
  <c r="H159" i="7"/>
  <c r="F159" i="7"/>
  <c r="K158" i="7"/>
  <c r="J158" i="7"/>
  <c r="I158" i="7"/>
  <c r="H158" i="7"/>
  <c r="F158" i="7"/>
  <c r="K157" i="7"/>
  <c r="J157" i="7"/>
  <c r="I157" i="7"/>
  <c r="H157" i="7"/>
  <c r="F157" i="7"/>
  <c r="K156" i="7"/>
  <c r="J156" i="7"/>
  <c r="I156" i="7"/>
  <c r="H156" i="7"/>
  <c r="F156" i="7"/>
  <c r="C155" i="7"/>
  <c r="V154" i="7"/>
  <c r="T154" i="7"/>
  <c r="K163" i="7" s="1"/>
  <c r="R154" i="7"/>
  <c r="K162" i="7" s="1"/>
  <c r="U154" i="7"/>
  <c r="S154" i="7"/>
  <c r="I163" i="7" s="1"/>
  <c r="Q154" i="7"/>
  <c r="E154" i="7"/>
  <c r="D154" i="7"/>
  <c r="B154" i="7"/>
  <c r="H151" i="7"/>
  <c r="J151" i="7"/>
  <c r="I149" i="7"/>
  <c r="H149" i="7"/>
  <c r="E149" i="7"/>
  <c r="J148" i="7"/>
  <c r="E148" i="7"/>
  <c r="J147" i="7"/>
  <c r="E147" i="7"/>
  <c r="K146" i="7"/>
  <c r="J146" i="7"/>
  <c r="H146" i="7"/>
  <c r="I146" i="7"/>
  <c r="F146" i="7"/>
  <c r="V146" i="7"/>
  <c r="T146" i="7"/>
  <c r="R146" i="7"/>
  <c r="U146" i="7"/>
  <c r="S146" i="7"/>
  <c r="Q146" i="7"/>
  <c r="E146" i="7"/>
  <c r="D146" i="7"/>
  <c r="B146" i="7"/>
  <c r="K145" i="7"/>
  <c r="J145" i="7"/>
  <c r="I145" i="7"/>
  <c r="H145" i="7"/>
  <c r="F145" i="7"/>
  <c r="K144" i="7"/>
  <c r="J144" i="7"/>
  <c r="I144" i="7"/>
  <c r="H144" i="7"/>
  <c r="F144" i="7"/>
  <c r="K143" i="7"/>
  <c r="J143" i="7"/>
  <c r="I143" i="7"/>
  <c r="H143" i="7"/>
  <c r="F143" i="7"/>
  <c r="K142" i="7"/>
  <c r="J142" i="7"/>
  <c r="I142" i="7"/>
  <c r="H142" i="7"/>
  <c r="F142" i="7"/>
  <c r="V141" i="7"/>
  <c r="T141" i="7"/>
  <c r="R141" i="7"/>
  <c r="K147" i="7" s="1"/>
  <c r="U141" i="7"/>
  <c r="S141" i="7"/>
  <c r="I148" i="7" s="1"/>
  <c r="Q141" i="7"/>
  <c r="I147" i="7" s="1"/>
  <c r="E141" i="7"/>
  <c r="D141" i="7"/>
  <c r="B141" i="7"/>
  <c r="J138" i="7"/>
  <c r="I136" i="7"/>
  <c r="H136" i="7"/>
  <c r="E136" i="7"/>
  <c r="J135" i="7"/>
  <c r="E135" i="7"/>
  <c r="J134" i="7"/>
  <c r="E134" i="7"/>
  <c r="K133" i="7"/>
  <c r="J133" i="7"/>
  <c r="H133" i="7"/>
  <c r="I133" i="7"/>
  <c r="H138" i="7" s="1"/>
  <c r="F133" i="7"/>
  <c r="V133" i="7"/>
  <c r="T133" i="7"/>
  <c r="R133" i="7"/>
  <c r="U133" i="7"/>
  <c r="S133" i="7"/>
  <c r="Q133" i="7"/>
  <c r="E133" i="7"/>
  <c r="D133" i="7"/>
  <c r="B133" i="7"/>
  <c r="K132" i="7"/>
  <c r="J132" i="7"/>
  <c r="I132" i="7"/>
  <c r="H132" i="7"/>
  <c r="F132" i="7"/>
  <c r="K131" i="7"/>
  <c r="J131" i="7"/>
  <c r="I131" i="7"/>
  <c r="H131" i="7"/>
  <c r="F131" i="7"/>
  <c r="K130" i="7"/>
  <c r="J130" i="7"/>
  <c r="I130" i="7"/>
  <c r="H130" i="7"/>
  <c r="F130" i="7"/>
  <c r="K129" i="7"/>
  <c r="J129" i="7"/>
  <c r="I129" i="7"/>
  <c r="H129" i="7"/>
  <c r="F129" i="7"/>
  <c r="V128" i="7"/>
  <c r="T128" i="7"/>
  <c r="K135" i="7" s="1"/>
  <c r="R128" i="7"/>
  <c r="K134" i="7" s="1"/>
  <c r="U128" i="7"/>
  <c r="S128" i="7"/>
  <c r="I135" i="7" s="1"/>
  <c r="Q128" i="7"/>
  <c r="I134" i="7" s="1"/>
  <c r="E128" i="7"/>
  <c r="D128" i="7"/>
  <c r="B128" i="7"/>
  <c r="K125" i="7"/>
  <c r="P126" i="7" s="1"/>
  <c r="J125" i="7"/>
  <c r="I125" i="7"/>
  <c r="O126" i="7" s="1"/>
  <c r="H125" i="7"/>
  <c r="F125" i="7"/>
  <c r="V125" i="7"/>
  <c r="T125" i="7"/>
  <c r="R125" i="7"/>
  <c r="U125" i="7"/>
  <c r="S125" i="7"/>
  <c r="Q125" i="7"/>
  <c r="E125" i="7"/>
  <c r="D125" i="7"/>
  <c r="B125" i="7"/>
  <c r="H122" i="7"/>
  <c r="J122" i="7"/>
  <c r="I120" i="7"/>
  <c r="H120" i="7"/>
  <c r="E120" i="7"/>
  <c r="J119" i="7"/>
  <c r="E119" i="7"/>
  <c r="J118" i="7"/>
  <c r="E118" i="7"/>
  <c r="K117" i="7"/>
  <c r="J117" i="7"/>
  <c r="I117" i="7"/>
  <c r="H117" i="7"/>
  <c r="F117" i="7"/>
  <c r="K116" i="7"/>
  <c r="J116" i="7"/>
  <c r="I116" i="7"/>
  <c r="H116" i="7"/>
  <c r="F116" i="7"/>
  <c r="C115" i="7"/>
  <c r="V114" i="7"/>
  <c r="T114" i="7"/>
  <c r="K119" i="7" s="1"/>
  <c r="R114" i="7"/>
  <c r="K118" i="7" s="1"/>
  <c r="U114" i="7"/>
  <c r="S114" i="7"/>
  <c r="I119" i="7" s="1"/>
  <c r="Q114" i="7"/>
  <c r="I118" i="7" s="1"/>
  <c r="E114" i="7"/>
  <c r="D114" i="7"/>
  <c r="B114" i="7"/>
  <c r="H111" i="7"/>
  <c r="J111" i="7"/>
  <c r="I109" i="7"/>
  <c r="H109" i="7"/>
  <c r="E109" i="7"/>
  <c r="J108" i="7"/>
  <c r="E108" i="7"/>
  <c r="J107" i="7"/>
  <c r="E107" i="7"/>
  <c r="K106" i="7"/>
  <c r="J106" i="7"/>
  <c r="I106" i="7"/>
  <c r="H106" i="7"/>
  <c r="F106" i="7"/>
  <c r="K105" i="7"/>
  <c r="J105" i="7"/>
  <c r="I105" i="7"/>
  <c r="H105" i="7"/>
  <c r="F105" i="7"/>
  <c r="C104" i="7"/>
  <c r="V103" i="7"/>
  <c r="T103" i="7"/>
  <c r="K108" i="7" s="1"/>
  <c r="R103" i="7"/>
  <c r="K107" i="7" s="1"/>
  <c r="U103" i="7"/>
  <c r="S103" i="7"/>
  <c r="I108" i="7" s="1"/>
  <c r="Q103" i="7"/>
  <c r="I107" i="7" s="1"/>
  <c r="E103" i="7"/>
  <c r="D103" i="7"/>
  <c r="B103" i="7"/>
  <c r="H100" i="7"/>
  <c r="J100" i="7"/>
  <c r="I98" i="7"/>
  <c r="H98" i="7"/>
  <c r="E98" i="7"/>
  <c r="J97" i="7"/>
  <c r="E97" i="7"/>
  <c r="J96" i="7"/>
  <c r="E96" i="7"/>
  <c r="K95" i="7"/>
  <c r="J95" i="7"/>
  <c r="I95" i="7"/>
  <c r="H95" i="7"/>
  <c r="F95" i="7"/>
  <c r="K94" i="7"/>
  <c r="J94" i="7"/>
  <c r="I94" i="7"/>
  <c r="H94" i="7"/>
  <c r="F94" i="7"/>
  <c r="K93" i="7"/>
  <c r="J93" i="7"/>
  <c r="I93" i="7"/>
  <c r="H93" i="7"/>
  <c r="F93" i="7"/>
  <c r="K92" i="7"/>
  <c r="J92" i="7"/>
  <c r="I92" i="7"/>
  <c r="H92" i="7"/>
  <c r="F92" i="7"/>
  <c r="V91" i="7"/>
  <c r="T91" i="7"/>
  <c r="K97" i="7" s="1"/>
  <c r="R91" i="7"/>
  <c r="K96" i="7" s="1"/>
  <c r="U91" i="7"/>
  <c r="S91" i="7"/>
  <c r="I97" i="7" s="1"/>
  <c r="Q91" i="7"/>
  <c r="I96" i="7" s="1"/>
  <c r="E91" i="7"/>
  <c r="D91" i="7"/>
  <c r="B91" i="7"/>
  <c r="H88" i="7"/>
  <c r="J88" i="7"/>
  <c r="I86" i="7"/>
  <c r="H86" i="7"/>
  <c r="E86" i="7"/>
  <c r="J85" i="7"/>
  <c r="E85" i="7"/>
  <c r="J84" i="7"/>
  <c r="E84" i="7"/>
  <c r="K83" i="7"/>
  <c r="J83" i="7"/>
  <c r="I83" i="7"/>
  <c r="H83" i="7"/>
  <c r="F83" i="7"/>
  <c r="K82" i="7"/>
  <c r="J82" i="7"/>
  <c r="I82" i="7"/>
  <c r="H82" i="7"/>
  <c r="F82" i="7"/>
  <c r="K81" i="7"/>
  <c r="J81" i="7"/>
  <c r="I81" i="7"/>
  <c r="H81" i="7"/>
  <c r="F81" i="7"/>
  <c r="K80" i="7"/>
  <c r="J80" i="7"/>
  <c r="I80" i="7"/>
  <c r="H80" i="7"/>
  <c r="F80" i="7"/>
  <c r="C79" i="7"/>
  <c r="V78" i="7"/>
  <c r="T78" i="7"/>
  <c r="K85" i="7" s="1"/>
  <c r="R78" i="7"/>
  <c r="K84" i="7" s="1"/>
  <c r="U78" i="7"/>
  <c r="S78" i="7"/>
  <c r="I85" i="7" s="1"/>
  <c r="Q78" i="7"/>
  <c r="I84" i="7" s="1"/>
  <c r="E78" i="7"/>
  <c r="D78" i="7"/>
  <c r="B78" i="7"/>
  <c r="H75" i="7"/>
  <c r="J75" i="7"/>
  <c r="I73" i="7"/>
  <c r="H73" i="7"/>
  <c r="E73" i="7"/>
  <c r="J72" i="7"/>
  <c r="E72" i="7"/>
  <c r="J71" i="7"/>
  <c r="E71" i="7"/>
  <c r="K70" i="7"/>
  <c r="J70" i="7"/>
  <c r="I70" i="7"/>
  <c r="H70" i="7"/>
  <c r="F70" i="7"/>
  <c r="K69" i="7"/>
  <c r="J69" i="7"/>
  <c r="I69" i="7"/>
  <c r="H69" i="7"/>
  <c r="F69" i="7"/>
  <c r="K68" i="7"/>
  <c r="J68" i="7"/>
  <c r="I68" i="7"/>
  <c r="H68" i="7"/>
  <c r="F68" i="7"/>
  <c r="K67" i="7"/>
  <c r="J67" i="7"/>
  <c r="I67" i="7"/>
  <c r="H67" i="7"/>
  <c r="F67" i="7"/>
  <c r="V66" i="7"/>
  <c r="T66" i="7"/>
  <c r="K72" i="7" s="1"/>
  <c r="R66" i="7"/>
  <c r="K71" i="7" s="1"/>
  <c r="U66" i="7"/>
  <c r="S66" i="7"/>
  <c r="I72" i="7" s="1"/>
  <c r="Q66" i="7"/>
  <c r="I71" i="7" s="1"/>
  <c r="E66" i="7"/>
  <c r="D66" i="7"/>
  <c r="B66" i="7"/>
  <c r="H63" i="7"/>
  <c r="J63" i="7"/>
  <c r="I61" i="7"/>
  <c r="H61" i="7"/>
  <c r="E61" i="7"/>
  <c r="J60" i="7"/>
  <c r="E60" i="7"/>
  <c r="J59" i="7"/>
  <c r="I59" i="7"/>
  <c r="E59" i="7"/>
  <c r="K58" i="7"/>
  <c r="J58" i="7"/>
  <c r="I58" i="7"/>
  <c r="H58" i="7"/>
  <c r="F58" i="7"/>
  <c r="K57" i="7"/>
  <c r="J57" i="7"/>
  <c r="I57" i="7"/>
  <c r="H57" i="7"/>
  <c r="F57" i="7"/>
  <c r="K56" i="7"/>
  <c r="J56" i="7"/>
  <c r="I56" i="7"/>
  <c r="H56" i="7"/>
  <c r="F56" i="7"/>
  <c r="K55" i="7"/>
  <c r="J55" i="7"/>
  <c r="I55" i="7"/>
  <c r="H55" i="7"/>
  <c r="F55" i="7"/>
  <c r="V54" i="7"/>
  <c r="T54" i="7"/>
  <c r="K60" i="7" s="1"/>
  <c r="R54" i="7"/>
  <c r="K59" i="7" s="1"/>
  <c r="U54" i="7"/>
  <c r="S54" i="7"/>
  <c r="I60" i="7" s="1"/>
  <c r="Q54" i="7"/>
  <c r="E54" i="7"/>
  <c r="D54" i="7"/>
  <c r="B54" i="7"/>
  <c r="H51" i="7"/>
  <c r="J51" i="7"/>
  <c r="I49" i="7"/>
  <c r="H49" i="7"/>
  <c r="E49" i="7"/>
  <c r="J48" i="7"/>
  <c r="E48" i="7"/>
  <c r="J47" i="7"/>
  <c r="E47" i="7"/>
  <c r="K46" i="7"/>
  <c r="J46" i="7"/>
  <c r="I46" i="7"/>
  <c r="H46" i="7"/>
  <c r="F46" i="7"/>
  <c r="K45" i="7"/>
  <c r="J45" i="7"/>
  <c r="I45" i="7"/>
  <c r="H45" i="7"/>
  <c r="F45" i="7"/>
  <c r="K44" i="7"/>
  <c r="J44" i="7"/>
  <c r="I44" i="7"/>
  <c r="H44" i="7"/>
  <c r="F44" i="7"/>
  <c r="K43" i="7"/>
  <c r="J43" i="7"/>
  <c r="I43" i="7"/>
  <c r="H43" i="7"/>
  <c r="F43" i="7"/>
  <c r="V42" i="7"/>
  <c r="T42" i="7"/>
  <c r="K48" i="7" s="1"/>
  <c r="R42" i="7"/>
  <c r="K47" i="7" s="1"/>
  <c r="U42" i="7"/>
  <c r="S42" i="7"/>
  <c r="I48" i="7" s="1"/>
  <c r="Q42" i="7"/>
  <c r="I47" i="7" s="1"/>
  <c r="E42" i="7"/>
  <c r="D42" i="7"/>
  <c r="B42" i="7"/>
  <c r="H39" i="7"/>
  <c r="J39" i="7"/>
  <c r="I37" i="7"/>
  <c r="H37" i="7"/>
  <c r="E37" i="7"/>
  <c r="J36" i="7"/>
  <c r="E36" i="7"/>
  <c r="J35" i="7"/>
  <c r="E35" i="7"/>
  <c r="K34" i="7"/>
  <c r="J34" i="7"/>
  <c r="I34" i="7"/>
  <c r="H34" i="7"/>
  <c r="F34" i="7"/>
  <c r="K33" i="7"/>
  <c r="J33" i="7"/>
  <c r="I33" i="7"/>
  <c r="H33" i="7"/>
  <c r="F33" i="7"/>
  <c r="K32" i="7"/>
  <c r="J32" i="7"/>
  <c r="I32" i="7"/>
  <c r="H32" i="7"/>
  <c r="F32" i="7"/>
  <c r="K31" i="7"/>
  <c r="J31" i="7"/>
  <c r="I31" i="7"/>
  <c r="H31" i="7"/>
  <c r="F31" i="7"/>
  <c r="V30" i="7"/>
  <c r="T30" i="7"/>
  <c r="K36" i="7" s="1"/>
  <c r="R30" i="7"/>
  <c r="K35" i="7" s="1"/>
  <c r="U30" i="7"/>
  <c r="S30" i="7"/>
  <c r="I36" i="7" s="1"/>
  <c r="Q30" i="7"/>
  <c r="I35" i="7" s="1"/>
  <c r="E30" i="7"/>
  <c r="D30" i="7"/>
  <c r="B30" i="7"/>
  <c r="A29" i="7"/>
  <c r="A11" i="7"/>
  <c r="A8" i="7"/>
  <c r="A6" i="7"/>
  <c r="A1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1" i="3"/>
  <c r="Y1" i="3"/>
  <c r="CU1" i="3"/>
  <c r="CY1" i="3"/>
  <c r="CZ1" i="3"/>
  <c r="DB1" i="3" s="1"/>
  <c r="DA1" i="3"/>
  <c r="DC1" i="3"/>
  <c r="A2" i="3"/>
  <c r="Y2" i="3"/>
  <c r="CW2" i="3" s="1"/>
  <c r="CX2" i="3"/>
  <c r="CY2" i="3"/>
  <c r="CZ2" i="3"/>
  <c r="DA2" i="3"/>
  <c r="DB2" i="3"/>
  <c r="DC2" i="3"/>
  <c r="DG2" i="3"/>
  <c r="DJ2" i="3" s="1"/>
  <c r="A3" i="3"/>
  <c r="Y3" i="3"/>
  <c r="CX3" i="3" s="1"/>
  <c r="CW3" i="3"/>
  <c r="CY3" i="3"/>
  <c r="CZ3" i="3"/>
  <c r="DB3" i="3" s="1"/>
  <c r="DA3" i="3"/>
  <c r="DC3" i="3"/>
  <c r="DF3" i="3"/>
  <c r="A4" i="3"/>
  <c r="Y4" i="3"/>
  <c r="CW4" i="3"/>
  <c r="CX4" i="3"/>
  <c r="CY4" i="3"/>
  <c r="CZ4" i="3"/>
  <c r="DA4" i="3"/>
  <c r="DB4" i="3"/>
  <c r="DC4" i="3"/>
  <c r="DH4" i="3"/>
  <c r="DI4" i="3"/>
  <c r="A5" i="3"/>
  <c r="Y5" i="3"/>
  <c r="CX5" i="3" s="1"/>
  <c r="DF5" i="3" s="1"/>
  <c r="CW5" i="3"/>
  <c r="CY5" i="3"/>
  <c r="CZ5" i="3"/>
  <c r="DB5" i="3" s="1"/>
  <c r="DA5" i="3"/>
  <c r="DC5" i="3"/>
  <c r="A6" i="3"/>
  <c r="Y6" i="3"/>
  <c r="CW6" i="3"/>
  <c r="CX6" i="3"/>
  <c r="DH6" i="3" s="1"/>
  <c r="CY6" i="3"/>
  <c r="CZ6" i="3"/>
  <c r="DA6" i="3"/>
  <c r="DB6" i="3"/>
  <c r="DC6" i="3"/>
  <c r="A7" i="3"/>
  <c r="Y7" i="3"/>
  <c r="CX7" i="3" s="1"/>
  <c r="CY7" i="3"/>
  <c r="CZ7" i="3"/>
  <c r="DA7" i="3"/>
  <c r="DB7" i="3"/>
  <c r="DC7" i="3"/>
  <c r="A8" i="3"/>
  <c r="Y8" i="3"/>
  <c r="CX8" i="3"/>
  <c r="DH8" i="3" s="1"/>
  <c r="CY8" i="3"/>
  <c r="CZ8" i="3"/>
  <c r="DB8" i="3" s="1"/>
  <c r="DA8" i="3"/>
  <c r="DC8" i="3"/>
  <c r="DF8" i="3"/>
  <c r="DJ8" i="3" s="1"/>
  <c r="DG8" i="3"/>
  <c r="DI8" i="3"/>
  <c r="A9" i="3"/>
  <c r="Y9" i="3"/>
  <c r="CX9" i="3" s="1"/>
  <c r="DG9" i="3" s="1"/>
  <c r="CY9" i="3"/>
  <c r="CZ9" i="3"/>
  <c r="DB9" i="3" s="1"/>
  <c r="DA9" i="3"/>
  <c r="DC9" i="3"/>
  <c r="DF9" i="3"/>
  <c r="DJ9" i="3" s="1"/>
  <c r="DH9" i="3"/>
  <c r="DI9" i="3"/>
  <c r="A10" i="3"/>
  <c r="Y10" i="3"/>
  <c r="CX10" i="3"/>
  <c r="CY10" i="3"/>
  <c r="CZ10" i="3"/>
  <c r="DA10" i="3"/>
  <c r="DB10" i="3"/>
  <c r="DC10" i="3"/>
  <c r="DG10" i="3"/>
  <c r="DH10" i="3"/>
  <c r="A11" i="3"/>
  <c r="Y11" i="3"/>
  <c r="CU11" i="3"/>
  <c r="CY11" i="3"/>
  <c r="CZ11" i="3"/>
  <c r="DA11" i="3"/>
  <c r="DB11" i="3"/>
  <c r="DC11" i="3"/>
  <c r="A12" i="3"/>
  <c r="Y12" i="3"/>
  <c r="CW12" i="3"/>
  <c r="CX12" i="3"/>
  <c r="CY12" i="3"/>
  <c r="CZ12" i="3"/>
  <c r="DB12" i="3" s="1"/>
  <c r="DA12" i="3"/>
  <c r="DC12" i="3"/>
  <c r="A13" i="3"/>
  <c r="Y13" i="3"/>
  <c r="CW13" i="3" s="1"/>
  <c r="CX13" i="3"/>
  <c r="CY13" i="3"/>
  <c r="CZ13" i="3"/>
  <c r="DB13" i="3" s="1"/>
  <c r="DA13" i="3"/>
  <c r="DC13" i="3"/>
  <c r="A14" i="3"/>
  <c r="Y14" i="3"/>
  <c r="CX14" i="3" s="1"/>
  <c r="CW14" i="3"/>
  <c r="CY14" i="3"/>
  <c r="CZ14" i="3"/>
  <c r="DA14" i="3"/>
  <c r="DB14" i="3"/>
  <c r="DC14" i="3"/>
  <c r="A15" i="3"/>
  <c r="Y15" i="3"/>
  <c r="CX15" i="3" s="1"/>
  <c r="DG15" i="3" s="1"/>
  <c r="DJ15" i="3" s="1"/>
  <c r="CW15" i="3"/>
  <c r="CY15" i="3"/>
  <c r="CZ15" i="3"/>
  <c r="DB15" i="3" s="1"/>
  <c r="DA15" i="3"/>
  <c r="DC15" i="3"/>
  <c r="DF15" i="3"/>
  <c r="DH15" i="3"/>
  <c r="A16" i="3"/>
  <c r="Y16" i="3"/>
  <c r="CW16" i="3"/>
  <c r="CX16" i="3"/>
  <c r="CY16" i="3"/>
  <c r="CZ16" i="3"/>
  <c r="DA16" i="3"/>
  <c r="DB16" i="3"/>
  <c r="DC16" i="3"/>
  <c r="DF16" i="3"/>
  <c r="DG16" i="3"/>
  <c r="DJ16" i="3" s="1"/>
  <c r="A17" i="3"/>
  <c r="Y17" i="3"/>
  <c r="CX17" i="3" s="1"/>
  <c r="CY17" i="3"/>
  <c r="CZ17" i="3"/>
  <c r="DB17" i="3" s="1"/>
  <c r="DA17" i="3"/>
  <c r="DC17" i="3"/>
  <c r="DF17" i="3"/>
  <c r="DJ17" i="3" s="1"/>
  <c r="A18" i="3"/>
  <c r="Y18" i="3"/>
  <c r="CX18" i="3"/>
  <c r="DF18" i="3" s="1"/>
  <c r="DJ18" i="3" s="1"/>
  <c r="CY18" i="3"/>
  <c r="CZ18" i="3"/>
  <c r="DA18" i="3"/>
  <c r="DB18" i="3"/>
  <c r="DC18" i="3"/>
  <c r="DI18" i="3"/>
  <c r="A19" i="3"/>
  <c r="Y19" i="3"/>
  <c r="CX19" i="3"/>
  <c r="CY19" i="3"/>
  <c r="CZ19" i="3"/>
  <c r="DA19" i="3"/>
  <c r="DB19" i="3"/>
  <c r="DC19" i="3"/>
  <c r="DI19" i="3"/>
  <c r="A20" i="3"/>
  <c r="Y20" i="3"/>
  <c r="CX20" i="3"/>
  <c r="CY20" i="3"/>
  <c r="CZ20" i="3"/>
  <c r="DB20" i="3" s="1"/>
  <c r="DA20" i="3"/>
  <c r="DC20" i="3"/>
  <c r="DG20" i="3"/>
  <c r="A21" i="3"/>
  <c r="Y21" i="3"/>
  <c r="CY21" i="3"/>
  <c r="CZ21" i="3"/>
  <c r="DA21" i="3"/>
  <c r="DB21" i="3"/>
  <c r="DC21" i="3"/>
  <c r="A22" i="3"/>
  <c r="Y22" i="3"/>
  <c r="CY22" i="3"/>
  <c r="CZ22" i="3"/>
  <c r="DB22" i="3" s="1"/>
  <c r="DA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B24" i="3" s="1"/>
  <c r="DA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B26" i="3" s="1"/>
  <c r="DA26" i="3"/>
  <c r="DC26" i="3"/>
  <c r="A27" i="3"/>
  <c r="Y27" i="3"/>
  <c r="CY27" i="3"/>
  <c r="CZ27" i="3"/>
  <c r="DB27" i="3" s="1"/>
  <c r="DA27" i="3"/>
  <c r="DC27" i="3"/>
  <c r="A28" i="3"/>
  <c r="Y28" i="3"/>
  <c r="CY28" i="3"/>
  <c r="CZ28" i="3"/>
  <c r="DA28" i="3"/>
  <c r="DB28" i="3"/>
  <c r="DC28" i="3"/>
  <c r="A29" i="3"/>
  <c r="Y29" i="3"/>
  <c r="CY29" i="3"/>
  <c r="CZ29" i="3"/>
  <c r="DA29" i="3"/>
  <c r="DB29" i="3"/>
  <c r="DC29" i="3"/>
  <c r="A30" i="3"/>
  <c r="Y30" i="3"/>
  <c r="CY30" i="3"/>
  <c r="CZ30" i="3"/>
  <c r="DB30" i="3" s="1"/>
  <c r="DA30" i="3"/>
  <c r="DC30" i="3"/>
  <c r="A31" i="3"/>
  <c r="Y31" i="3"/>
  <c r="CY31" i="3"/>
  <c r="CZ31" i="3"/>
  <c r="DA31" i="3"/>
  <c r="DB31" i="3"/>
  <c r="DC31" i="3"/>
  <c r="A32" i="3"/>
  <c r="Y32" i="3"/>
  <c r="CY32" i="3"/>
  <c r="CZ32" i="3"/>
  <c r="DA32" i="3"/>
  <c r="DB32" i="3"/>
  <c r="DC32" i="3"/>
  <c r="A33" i="3"/>
  <c r="Y33" i="3"/>
  <c r="CY33" i="3"/>
  <c r="CZ33" i="3"/>
  <c r="DB33" i="3" s="1"/>
  <c r="DA33" i="3"/>
  <c r="DC33" i="3"/>
  <c r="A34" i="3"/>
  <c r="Y34" i="3"/>
  <c r="CY34" i="3"/>
  <c r="CZ34" i="3"/>
  <c r="DB34" i="3" s="1"/>
  <c r="DA34" i="3"/>
  <c r="DC34" i="3"/>
  <c r="A35" i="3"/>
  <c r="Y35" i="3"/>
  <c r="CY35" i="3"/>
  <c r="CZ35" i="3"/>
  <c r="DA35" i="3"/>
  <c r="DB35" i="3"/>
  <c r="DC35" i="3"/>
  <c r="A36" i="3"/>
  <c r="Y36" i="3"/>
  <c r="CY36" i="3"/>
  <c r="CZ36" i="3"/>
  <c r="DA36" i="3"/>
  <c r="DB36" i="3"/>
  <c r="DC36" i="3"/>
  <c r="A37" i="3"/>
  <c r="Y37" i="3"/>
  <c r="CY37" i="3"/>
  <c r="CZ37" i="3"/>
  <c r="DA37" i="3"/>
  <c r="DB37" i="3"/>
  <c r="DC37" i="3"/>
  <c r="A38" i="3"/>
  <c r="Y38" i="3"/>
  <c r="CY38" i="3"/>
  <c r="CZ38" i="3"/>
  <c r="DB38" i="3" s="1"/>
  <c r="DA38" i="3"/>
  <c r="DC38" i="3"/>
  <c r="A39" i="3"/>
  <c r="Y39" i="3"/>
  <c r="CY39" i="3"/>
  <c r="CZ39" i="3"/>
  <c r="DB39" i="3" s="1"/>
  <c r="DA39" i="3"/>
  <c r="DC39" i="3"/>
  <c r="A40" i="3"/>
  <c r="Y40" i="3"/>
  <c r="CY40" i="3"/>
  <c r="CZ40" i="3"/>
  <c r="DB40" i="3" s="1"/>
  <c r="DA40" i="3"/>
  <c r="DC40" i="3"/>
  <c r="A41" i="3"/>
  <c r="Y41" i="3"/>
  <c r="CX41" i="3" s="1"/>
  <c r="DH41" i="3" s="1"/>
  <c r="CU41" i="3"/>
  <c r="CV41" i="3"/>
  <c r="CY41" i="3"/>
  <c r="CZ41" i="3"/>
  <c r="DB41" i="3" s="1"/>
  <c r="DA41" i="3"/>
  <c r="DC41" i="3"/>
  <c r="DF41" i="3"/>
  <c r="DG41" i="3"/>
  <c r="DI41" i="3"/>
  <c r="DJ41" i="3" s="1"/>
  <c r="A42" i="3"/>
  <c r="Y42" i="3"/>
  <c r="CU42" i="3"/>
  <c r="CV42" i="3"/>
  <c r="CX42" i="3"/>
  <c r="DI42" i="3" s="1"/>
  <c r="DJ42" i="3" s="1"/>
  <c r="CY42" i="3"/>
  <c r="CZ42" i="3"/>
  <c r="DA42" i="3"/>
  <c r="DB42" i="3"/>
  <c r="DC42" i="3"/>
  <c r="DF42" i="3"/>
  <c r="DG42" i="3"/>
  <c r="DH42" i="3"/>
  <c r="A43" i="3"/>
  <c r="Y43" i="3"/>
  <c r="CV43" i="3" s="1"/>
  <c r="CU43" i="3"/>
  <c r="CX43" i="3"/>
  <c r="CY43" i="3"/>
  <c r="CZ43" i="3"/>
  <c r="DA43" i="3"/>
  <c r="DB43" i="3"/>
  <c r="DC43" i="3"/>
  <c r="DG43" i="3"/>
  <c r="DH43" i="3"/>
  <c r="A44" i="3"/>
  <c r="Y44" i="3"/>
  <c r="CX44" i="3" s="1"/>
  <c r="CW44" i="3"/>
  <c r="CY44" i="3"/>
  <c r="CZ44" i="3"/>
  <c r="DB44" i="3" s="1"/>
  <c r="DA44" i="3"/>
  <c r="DC44" i="3"/>
  <c r="DF44" i="3"/>
  <c r="A45" i="3"/>
  <c r="Y45" i="3"/>
  <c r="CW45" i="3"/>
  <c r="CX45" i="3"/>
  <c r="CY45" i="3"/>
  <c r="CZ45" i="3"/>
  <c r="DA45" i="3"/>
  <c r="DB45" i="3"/>
  <c r="DC45" i="3"/>
  <c r="DH45" i="3"/>
  <c r="DI45" i="3"/>
  <c r="A46" i="3"/>
  <c r="Y46" i="3"/>
  <c r="CY46" i="3"/>
  <c r="CZ46" i="3"/>
  <c r="DB46" i="3" s="1"/>
  <c r="DA46" i="3"/>
  <c r="DC46" i="3"/>
  <c r="A47" i="3"/>
  <c r="Y47" i="3"/>
  <c r="CX47" i="3"/>
  <c r="CY47" i="3"/>
  <c r="CZ47" i="3"/>
  <c r="DB47" i="3" s="1"/>
  <c r="DA47" i="3"/>
  <c r="DC47" i="3"/>
  <c r="A48" i="3"/>
  <c r="Y48" i="3"/>
  <c r="CX48" i="3" s="1"/>
  <c r="CY48" i="3"/>
  <c r="CZ48" i="3"/>
  <c r="DA48" i="3"/>
  <c r="DB48" i="3"/>
  <c r="DC48" i="3"/>
  <c r="A49" i="3"/>
  <c r="Y49" i="3"/>
  <c r="CX49" i="3" s="1"/>
  <c r="CY49" i="3"/>
  <c r="CZ49" i="3"/>
  <c r="DA49" i="3"/>
  <c r="DB49" i="3"/>
  <c r="DC49" i="3"/>
  <c r="A50" i="3"/>
  <c r="Y50" i="3"/>
  <c r="CX50" i="3"/>
  <c r="DH50" i="3" s="1"/>
  <c r="CY50" i="3"/>
  <c r="CZ50" i="3"/>
  <c r="DB50" i="3" s="1"/>
  <c r="DA50" i="3"/>
  <c r="DC50" i="3"/>
  <c r="DF50" i="3"/>
  <c r="DJ50" i="3" s="1"/>
  <c r="DG50" i="3"/>
  <c r="DI50" i="3"/>
  <c r="A51" i="3"/>
  <c r="Y51" i="3"/>
  <c r="CU51" i="3"/>
  <c r="CV51" i="3"/>
  <c r="CX51" i="3"/>
  <c r="CY51" i="3"/>
  <c r="CZ51" i="3"/>
  <c r="DB51" i="3" s="1"/>
  <c r="DA51" i="3"/>
  <c r="DC51" i="3"/>
  <c r="A52" i="3"/>
  <c r="Y52" i="3"/>
  <c r="CW52" i="3" s="1"/>
  <c r="CX52" i="3"/>
  <c r="CY52" i="3"/>
  <c r="CZ52" i="3"/>
  <c r="DA52" i="3"/>
  <c r="DB52" i="3"/>
  <c r="DC52" i="3"/>
  <c r="DI52" i="3"/>
  <c r="A53" i="3"/>
  <c r="Y53" i="3"/>
  <c r="CW53" i="3"/>
  <c r="CX53" i="3"/>
  <c r="CY53" i="3"/>
  <c r="CZ53" i="3"/>
  <c r="DB53" i="3" s="1"/>
  <c r="DA53" i="3"/>
  <c r="DC53" i="3"/>
  <c r="DG53" i="3"/>
  <c r="DJ53" i="3" s="1"/>
  <c r="DH53" i="3"/>
  <c r="A54" i="3"/>
  <c r="Y54" i="3"/>
  <c r="CW54" i="3" s="1"/>
  <c r="CX54" i="3"/>
  <c r="DG54" i="3" s="1"/>
  <c r="CY54" i="3"/>
  <c r="CZ54" i="3"/>
  <c r="DB54" i="3" s="1"/>
  <c r="DA54" i="3"/>
  <c r="DC54" i="3"/>
  <c r="DF54" i="3"/>
  <c r="DH54" i="3"/>
  <c r="DI54" i="3"/>
  <c r="DJ54" i="3"/>
  <c r="A55" i="3"/>
  <c r="Y55" i="3"/>
  <c r="CX55" i="3"/>
  <c r="DF55" i="3" s="1"/>
  <c r="DJ55" i="3" s="1"/>
  <c r="CY55" i="3"/>
  <c r="CZ55" i="3"/>
  <c r="DA55" i="3"/>
  <c r="DB55" i="3"/>
  <c r="DC55" i="3"/>
  <c r="DG55" i="3"/>
  <c r="DH55" i="3"/>
  <c r="DI55" i="3"/>
  <c r="A56" i="3"/>
  <c r="Y56" i="3"/>
  <c r="CX56" i="3" s="1"/>
  <c r="CY56" i="3"/>
  <c r="CZ56" i="3"/>
  <c r="DA56" i="3"/>
  <c r="DB56" i="3"/>
  <c r="DC56" i="3"/>
  <c r="DG56" i="3"/>
  <c r="A57" i="3"/>
  <c r="Y57" i="3"/>
  <c r="CX57" i="3"/>
  <c r="DH57" i="3" s="1"/>
  <c r="CY57" i="3"/>
  <c r="CZ57" i="3"/>
  <c r="DB57" i="3" s="1"/>
  <c r="DA57" i="3"/>
  <c r="DC57" i="3"/>
  <c r="DF57" i="3"/>
  <c r="DJ57" i="3" s="1"/>
  <c r="DG57" i="3"/>
  <c r="DI57" i="3"/>
  <c r="A58" i="3"/>
  <c r="Y58" i="3"/>
  <c r="CX58" i="3" s="1"/>
  <c r="CY58" i="3"/>
  <c r="CZ58" i="3"/>
  <c r="DB58" i="3" s="1"/>
  <c r="DA58" i="3"/>
  <c r="DC58" i="3"/>
  <c r="A59" i="3"/>
  <c r="Y59" i="3"/>
  <c r="CU59" i="3"/>
  <c r="CV59" i="3"/>
  <c r="CX59" i="3"/>
  <c r="DI59" i="3" s="1"/>
  <c r="CY59" i="3"/>
  <c r="CZ59" i="3"/>
  <c r="DB59" i="3" s="1"/>
  <c r="DA59" i="3"/>
  <c r="DC59" i="3"/>
  <c r="DF59" i="3"/>
  <c r="DG59" i="3"/>
  <c r="DH59" i="3"/>
  <c r="DJ59" i="3"/>
  <c r="A60" i="3"/>
  <c r="Y60" i="3"/>
  <c r="CW60" i="3"/>
  <c r="CX60" i="3"/>
  <c r="DH60" i="3" s="1"/>
  <c r="CY60" i="3"/>
  <c r="CZ60" i="3"/>
  <c r="DA60" i="3"/>
  <c r="DB60" i="3"/>
  <c r="DC60" i="3"/>
  <c r="A61" i="3"/>
  <c r="Y61" i="3"/>
  <c r="CX61" i="3" s="1"/>
  <c r="DH61" i="3" s="1"/>
  <c r="CY61" i="3"/>
  <c r="CZ61" i="3"/>
  <c r="DB61" i="3" s="1"/>
  <c r="DA61" i="3"/>
  <c r="DC61" i="3"/>
  <c r="DI61" i="3"/>
  <c r="A62" i="3"/>
  <c r="Y62" i="3"/>
  <c r="CW62" i="3"/>
  <c r="CX62" i="3"/>
  <c r="DF62" i="3" s="1"/>
  <c r="CY62" i="3"/>
  <c r="CZ62" i="3"/>
  <c r="DA62" i="3"/>
  <c r="DB62" i="3"/>
  <c r="DC62" i="3"/>
  <c r="DH62" i="3"/>
  <c r="DI62" i="3"/>
  <c r="A63" i="3"/>
  <c r="Y63" i="3"/>
  <c r="CY63" i="3"/>
  <c r="CZ63" i="3"/>
  <c r="DB63" i="3" s="1"/>
  <c r="DA63" i="3"/>
  <c r="DC63" i="3"/>
  <c r="A64" i="3"/>
  <c r="Y64" i="3"/>
  <c r="CX64" i="3" s="1"/>
  <c r="DG64" i="3" s="1"/>
  <c r="CY64" i="3"/>
  <c r="CZ64" i="3"/>
  <c r="DB64" i="3" s="1"/>
  <c r="DA64" i="3"/>
  <c r="DC64" i="3"/>
  <c r="DF64" i="3"/>
  <c r="DJ64" i="3" s="1"/>
  <c r="DH64" i="3"/>
  <c r="A65" i="3"/>
  <c r="Y65" i="3"/>
  <c r="CX65" i="3"/>
  <c r="CY65" i="3"/>
  <c r="CZ65" i="3"/>
  <c r="DA65" i="3"/>
  <c r="DB65" i="3"/>
  <c r="DC65" i="3"/>
  <c r="DG65" i="3"/>
  <c r="DH65" i="3"/>
  <c r="A66" i="3"/>
  <c r="Y66" i="3"/>
  <c r="CV66" i="3" s="1"/>
  <c r="CU66" i="3"/>
  <c r="CX66" i="3"/>
  <c r="CY66" i="3"/>
  <c r="CZ66" i="3"/>
  <c r="DA66" i="3"/>
  <c r="DB66" i="3"/>
  <c r="DC66" i="3"/>
  <c r="DI66" i="3"/>
  <c r="DJ66" i="3"/>
  <c r="A67" i="3"/>
  <c r="Y67" i="3"/>
  <c r="CY67" i="3"/>
  <c r="CZ67" i="3"/>
  <c r="DB67" i="3" s="1"/>
  <c r="DA67" i="3"/>
  <c r="DC67" i="3"/>
  <c r="A68" i="3"/>
  <c r="Y68" i="3"/>
  <c r="CW68" i="3" s="1"/>
  <c r="CX68" i="3"/>
  <c r="CY68" i="3"/>
  <c r="CZ68" i="3"/>
  <c r="DB68" i="3" s="1"/>
  <c r="DA68" i="3"/>
  <c r="DC68" i="3"/>
  <c r="DI68" i="3"/>
  <c r="A69" i="3"/>
  <c r="Y69" i="3"/>
  <c r="CY69" i="3"/>
  <c r="CZ69" i="3"/>
  <c r="DA69" i="3"/>
  <c r="DB69" i="3"/>
  <c r="DC69" i="3"/>
  <c r="A70" i="3"/>
  <c r="Y70" i="3"/>
  <c r="CX70" i="3" s="1"/>
  <c r="CW70" i="3"/>
  <c r="CY70" i="3"/>
  <c r="CZ70" i="3"/>
  <c r="DA70" i="3"/>
  <c r="DB70" i="3"/>
  <c r="DC70" i="3"/>
  <c r="A71" i="3"/>
  <c r="Y71" i="3"/>
  <c r="CX71" i="3"/>
  <c r="CY71" i="3"/>
  <c r="CZ71" i="3"/>
  <c r="DA71" i="3"/>
  <c r="DB71" i="3"/>
  <c r="DC71" i="3"/>
  <c r="A72" i="3"/>
  <c r="Y72" i="3"/>
  <c r="CX72" i="3" s="1"/>
  <c r="CY72" i="3"/>
  <c r="CZ72" i="3"/>
  <c r="DB72" i="3" s="1"/>
  <c r="DA72" i="3"/>
  <c r="DC72" i="3"/>
  <c r="A73" i="3"/>
  <c r="Y73" i="3"/>
  <c r="CY73" i="3"/>
  <c r="CZ73" i="3"/>
  <c r="DA73" i="3"/>
  <c r="DB73" i="3"/>
  <c r="DC73" i="3"/>
  <c r="A74" i="3"/>
  <c r="Y74" i="3"/>
  <c r="CY74" i="3"/>
  <c r="CZ74" i="3"/>
  <c r="DB74" i="3" s="1"/>
  <c r="DA74" i="3"/>
  <c r="DC74" i="3"/>
  <c r="A75" i="3"/>
  <c r="Y75" i="3"/>
  <c r="CY75" i="3"/>
  <c r="CZ75" i="3"/>
  <c r="DB75" i="3" s="1"/>
  <c r="DA75" i="3"/>
  <c r="DC75" i="3"/>
  <c r="A76" i="3"/>
  <c r="Y76" i="3"/>
  <c r="CY76" i="3"/>
  <c r="CZ76" i="3"/>
  <c r="DB76" i="3" s="1"/>
  <c r="DA76" i="3"/>
  <c r="DC76" i="3"/>
  <c r="A77" i="3"/>
  <c r="Y77" i="3"/>
  <c r="CY77" i="3"/>
  <c r="CZ77" i="3"/>
  <c r="DA77" i="3"/>
  <c r="DB77" i="3"/>
  <c r="DC77" i="3"/>
  <c r="A78" i="3"/>
  <c r="Y78" i="3"/>
  <c r="CY78" i="3"/>
  <c r="CZ78" i="3"/>
  <c r="DA78" i="3"/>
  <c r="DB78" i="3"/>
  <c r="DC78" i="3"/>
  <c r="A79" i="3"/>
  <c r="Y79" i="3"/>
  <c r="CY79" i="3"/>
  <c r="CZ79" i="3"/>
  <c r="DA79" i="3"/>
  <c r="DB79" i="3"/>
  <c r="DC79" i="3"/>
  <c r="A80" i="3"/>
  <c r="Y80" i="3"/>
  <c r="CY80" i="3"/>
  <c r="CZ80" i="3"/>
  <c r="DB80" i="3" s="1"/>
  <c r="DA80" i="3"/>
  <c r="DC80" i="3"/>
  <c r="A81" i="3"/>
  <c r="Y81" i="3"/>
  <c r="CY81" i="3"/>
  <c r="CZ81" i="3"/>
  <c r="DB81" i="3" s="1"/>
  <c r="DA81" i="3"/>
  <c r="DC81" i="3"/>
  <c r="A82" i="3"/>
  <c r="Y82" i="3"/>
  <c r="CY82" i="3"/>
  <c r="CZ82" i="3"/>
  <c r="DB82" i="3" s="1"/>
  <c r="DA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B84" i="3" s="1"/>
  <c r="DA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B86" i="3" s="1"/>
  <c r="DA86" i="3"/>
  <c r="DC86" i="3"/>
  <c r="A87" i="3"/>
  <c r="Y87" i="3"/>
  <c r="CY87" i="3"/>
  <c r="CZ87" i="3"/>
  <c r="DA87" i="3"/>
  <c r="DB87" i="3"/>
  <c r="DC87" i="3"/>
  <c r="A88" i="3"/>
  <c r="Y88" i="3"/>
  <c r="CY88" i="3"/>
  <c r="CZ88" i="3"/>
  <c r="DA88" i="3"/>
  <c r="DB88" i="3"/>
  <c r="DC88" i="3"/>
  <c r="A89" i="3"/>
  <c r="Y89" i="3"/>
  <c r="CY89" i="3"/>
  <c r="CZ89" i="3"/>
  <c r="DA89" i="3"/>
  <c r="DB89" i="3"/>
  <c r="DC89" i="3"/>
  <c r="A90" i="3"/>
  <c r="Y90" i="3"/>
  <c r="CY90" i="3"/>
  <c r="CZ90" i="3"/>
  <c r="DB90" i="3" s="1"/>
  <c r="DA90" i="3"/>
  <c r="DC90" i="3"/>
  <c r="A91" i="3"/>
  <c r="Y91" i="3"/>
  <c r="CY91" i="3"/>
  <c r="CZ91" i="3"/>
  <c r="DB91" i="3" s="1"/>
  <c r="DA91" i="3"/>
  <c r="DC91" i="3"/>
  <c r="A92" i="3"/>
  <c r="Y92" i="3"/>
  <c r="CY92" i="3"/>
  <c r="CZ92" i="3"/>
  <c r="DA92" i="3"/>
  <c r="DB92" i="3"/>
  <c r="DC92" i="3"/>
  <c r="A93" i="3"/>
  <c r="Y93" i="3"/>
  <c r="CY93" i="3"/>
  <c r="CZ93" i="3"/>
  <c r="DA93" i="3"/>
  <c r="DB93" i="3"/>
  <c r="DC93" i="3"/>
  <c r="A94" i="3"/>
  <c r="Y94" i="3"/>
  <c r="CY94" i="3"/>
  <c r="CZ94" i="3"/>
  <c r="DB94" i="3" s="1"/>
  <c r="DA94" i="3"/>
  <c r="DC94" i="3"/>
  <c r="A95" i="3"/>
  <c r="Y95" i="3"/>
  <c r="CY95" i="3"/>
  <c r="CZ95" i="3"/>
  <c r="DB95" i="3" s="1"/>
  <c r="DA95" i="3"/>
  <c r="DC95" i="3"/>
  <c r="A96" i="3"/>
  <c r="Y96" i="3"/>
  <c r="CY96" i="3"/>
  <c r="CZ96" i="3"/>
  <c r="DA96" i="3"/>
  <c r="DB96" i="3"/>
  <c r="DC96" i="3"/>
  <c r="A97" i="3"/>
  <c r="Y97" i="3"/>
  <c r="CV97" i="3" s="1"/>
  <c r="CU97" i="3"/>
  <c r="CX97" i="3"/>
  <c r="CY97" i="3"/>
  <c r="CZ97" i="3"/>
  <c r="DA97" i="3"/>
  <c r="DB97" i="3"/>
  <c r="DC97" i="3"/>
  <c r="DG97" i="3"/>
  <c r="DH97" i="3"/>
  <c r="A98" i="3"/>
  <c r="Y98" i="3"/>
  <c r="CX98" i="3" s="1"/>
  <c r="CW98" i="3"/>
  <c r="CY98" i="3"/>
  <c r="CZ98" i="3"/>
  <c r="DB98" i="3" s="1"/>
  <c r="DA98" i="3"/>
  <c r="DC98" i="3"/>
  <c r="DF98" i="3"/>
  <c r="DH98" i="3"/>
  <c r="A99" i="3"/>
  <c r="Y99" i="3"/>
  <c r="CX99" i="3"/>
  <c r="CY99" i="3"/>
  <c r="CZ99" i="3"/>
  <c r="DA99" i="3"/>
  <c r="DB99" i="3"/>
  <c r="DC99" i="3"/>
  <c r="DG99" i="3"/>
  <c r="DI99" i="3"/>
  <c r="A100" i="3"/>
  <c r="Y100" i="3"/>
  <c r="CX100" i="3"/>
  <c r="CY100" i="3"/>
  <c r="CZ100" i="3"/>
  <c r="DA100" i="3"/>
  <c r="DB100" i="3"/>
  <c r="DC100" i="3"/>
  <c r="A101" i="3"/>
  <c r="Y101" i="3"/>
  <c r="CV101" i="3" s="1"/>
  <c r="CU101" i="3"/>
  <c r="CX101" i="3"/>
  <c r="CY101" i="3"/>
  <c r="CZ101" i="3"/>
  <c r="DB101" i="3" s="1"/>
  <c r="DA101" i="3"/>
  <c r="DC101" i="3"/>
  <c r="DI101" i="3"/>
  <c r="DJ101" i="3" s="1"/>
  <c r="A102" i="3"/>
  <c r="Y102" i="3"/>
  <c r="CY102" i="3"/>
  <c r="CZ102" i="3"/>
  <c r="DA102" i="3"/>
  <c r="DB102" i="3"/>
  <c r="DC102" i="3"/>
  <c r="A103" i="3"/>
  <c r="Y103" i="3"/>
  <c r="CX103" i="3"/>
  <c r="DH103" i="3" s="1"/>
  <c r="CY103" i="3"/>
  <c r="CZ103" i="3"/>
  <c r="DB103" i="3" s="1"/>
  <c r="DA103" i="3"/>
  <c r="DC103" i="3"/>
  <c r="A104" i="3"/>
  <c r="Y104" i="3"/>
  <c r="CX104" i="3" s="1"/>
  <c r="DG104" i="3" s="1"/>
  <c r="CY104" i="3"/>
  <c r="CZ104" i="3"/>
  <c r="DB104" i="3" s="1"/>
  <c r="DA104" i="3"/>
  <c r="DC104" i="3"/>
  <c r="DH104" i="3"/>
  <c r="DI104" i="3"/>
  <c r="A105" i="3"/>
  <c r="Y105" i="3"/>
  <c r="CY105" i="3"/>
  <c r="CZ105" i="3"/>
  <c r="DB105" i="3" s="1"/>
  <c r="DA105" i="3"/>
  <c r="DC105" i="3"/>
  <c r="A106" i="3"/>
  <c r="Y106" i="3"/>
  <c r="CY106" i="3"/>
  <c r="CZ106" i="3"/>
  <c r="DA106" i="3"/>
  <c r="DB106" i="3"/>
  <c r="DC106" i="3"/>
  <c r="A107" i="3"/>
  <c r="Y107" i="3"/>
  <c r="CY107" i="3"/>
  <c r="CZ107" i="3"/>
  <c r="DB107" i="3" s="1"/>
  <c r="DA107" i="3"/>
  <c r="DC107" i="3"/>
  <c r="A108" i="3"/>
  <c r="Y108" i="3"/>
  <c r="CY108" i="3"/>
  <c r="CZ108" i="3"/>
  <c r="DB108" i="3" s="1"/>
  <c r="DA108" i="3"/>
  <c r="DC108" i="3"/>
  <c r="A109" i="3"/>
  <c r="Y109" i="3"/>
  <c r="CY109" i="3"/>
  <c r="CZ109" i="3"/>
  <c r="DA109" i="3"/>
  <c r="DB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A113" i="3"/>
  <c r="DB113" i="3"/>
  <c r="DC113" i="3"/>
  <c r="A114" i="3"/>
  <c r="Y114" i="3"/>
  <c r="CY114" i="3"/>
  <c r="CZ114" i="3"/>
  <c r="DB114" i="3" s="1"/>
  <c r="DA114" i="3"/>
  <c r="DC114" i="3"/>
  <c r="A115" i="3"/>
  <c r="Y115" i="3"/>
  <c r="CY115" i="3"/>
  <c r="CZ115" i="3"/>
  <c r="DB115" i="3" s="1"/>
  <c r="DA115" i="3"/>
  <c r="DC115" i="3"/>
  <c r="A116" i="3"/>
  <c r="Y116" i="3"/>
  <c r="CY116" i="3"/>
  <c r="CZ116" i="3"/>
  <c r="DA116" i="3"/>
  <c r="DB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A118" i="3"/>
  <c r="DB118" i="3"/>
  <c r="DC118" i="3"/>
  <c r="A119" i="3"/>
  <c r="Y119" i="3"/>
  <c r="CY119" i="3"/>
  <c r="CZ119" i="3"/>
  <c r="DB119" i="3" s="1"/>
  <c r="DA119" i="3"/>
  <c r="DC119" i="3"/>
  <c r="A120" i="3"/>
  <c r="Y120" i="3"/>
  <c r="CY120" i="3"/>
  <c r="CZ120" i="3"/>
  <c r="DB120" i="3" s="1"/>
  <c r="DA120" i="3"/>
  <c r="DC120" i="3"/>
  <c r="A121" i="3"/>
  <c r="Y121" i="3"/>
  <c r="CY121" i="3"/>
  <c r="CZ121" i="3"/>
  <c r="DA121" i="3"/>
  <c r="DB121" i="3"/>
  <c r="DC121" i="3"/>
  <c r="A122" i="3"/>
  <c r="Y122" i="3"/>
  <c r="CY122" i="3"/>
  <c r="CZ122" i="3"/>
  <c r="DB122" i="3" s="1"/>
  <c r="DA122" i="3"/>
  <c r="DC122" i="3"/>
  <c r="A123" i="3"/>
  <c r="Y123" i="3"/>
  <c r="CV123" i="3" s="1"/>
  <c r="CU123" i="3"/>
  <c r="CX123" i="3"/>
  <c r="CY123" i="3"/>
  <c r="CZ123" i="3"/>
  <c r="DA123" i="3"/>
  <c r="DB123" i="3"/>
  <c r="DC123" i="3"/>
  <c r="A124" i="3"/>
  <c r="Y124" i="3"/>
  <c r="CW124" i="3" s="1"/>
  <c r="CX124" i="3"/>
  <c r="CY124" i="3"/>
  <c r="CZ124" i="3"/>
  <c r="DB124" i="3" s="1"/>
  <c r="DA124" i="3"/>
  <c r="DC124" i="3"/>
  <c r="DF124" i="3"/>
  <c r="A125" i="3"/>
  <c r="Y125" i="3"/>
  <c r="CW125" i="3" s="1"/>
  <c r="CY125" i="3"/>
  <c r="CZ125" i="3"/>
  <c r="DA125" i="3"/>
  <c r="DB125" i="3"/>
  <c r="DC125" i="3"/>
  <c r="A126" i="3"/>
  <c r="Y126" i="3"/>
  <c r="CX126" i="3" s="1"/>
  <c r="DF126" i="3" s="1"/>
  <c r="DJ126" i="3" s="1"/>
  <c r="CY126" i="3"/>
  <c r="CZ126" i="3"/>
  <c r="DA126" i="3"/>
  <c r="DB126" i="3"/>
  <c r="DC126" i="3"/>
  <c r="A127" i="3"/>
  <c r="Y127" i="3"/>
  <c r="CX127" i="3" s="1"/>
  <c r="DI127" i="3" s="1"/>
  <c r="CY127" i="3"/>
  <c r="CZ127" i="3"/>
  <c r="DB127" i="3" s="1"/>
  <c r="DA127" i="3"/>
  <c r="DC127" i="3"/>
  <c r="DF127" i="3"/>
  <c r="DJ127" i="3" s="1"/>
  <c r="DG127" i="3"/>
  <c r="DH127" i="3"/>
  <c r="A128" i="3"/>
  <c r="Y128" i="3"/>
  <c r="CX128" i="3"/>
  <c r="DH128" i="3" s="1"/>
  <c r="CY128" i="3"/>
  <c r="CZ128" i="3"/>
  <c r="DA128" i="3"/>
  <c r="DB128" i="3"/>
  <c r="DC128" i="3"/>
  <c r="DF128" i="3"/>
  <c r="DJ128" i="3" s="1"/>
  <c r="DG128" i="3"/>
  <c r="DI128" i="3"/>
  <c r="A129" i="3"/>
  <c r="Y129" i="3"/>
  <c r="CX129" i="3"/>
  <c r="DG129" i="3" s="1"/>
  <c r="CY129" i="3"/>
  <c r="CZ129" i="3"/>
  <c r="DA129" i="3"/>
  <c r="DB129" i="3"/>
  <c r="DC129" i="3"/>
  <c r="DF129" i="3"/>
  <c r="DJ129" i="3" s="1"/>
  <c r="DH129" i="3"/>
  <c r="DI129" i="3"/>
  <c r="A130" i="3"/>
  <c r="Y130" i="3"/>
  <c r="CV130" i="3" s="1"/>
  <c r="CU130" i="3"/>
  <c r="CX130" i="3"/>
  <c r="DG130" i="3" s="1"/>
  <c r="CY130" i="3"/>
  <c r="CZ130" i="3"/>
  <c r="DB130" i="3" s="1"/>
  <c r="DA130" i="3"/>
  <c r="DC130" i="3"/>
  <c r="DH130" i="3"/>
  <c r="DI130" i="3"/>
  <c r="DJ130" i="3"/>
  <c r="A131" i="3"/>
  <c r="Y131" i="3"/>
  <c r="CW131" i="3"/>
  <c r="CX131" i="3"/>
  <c r="DI131" i="3" s="1"/>
  <c r="CY131" i="3"/>
  <c r="CZ131" i="3"/>
  <c r="DA131" i="3"/>
  <c r="DB131" i="3"/>
  <c r="DC131" i="3"/>
  <c r="A132" i="3"/>
  <c r="Y132" i="3"/>
  <c r="CY132" i="3"/>
  <c r="CZ132" i="3"/>
  <c r="DA132" i="3"/>
  <c r="DB132" i="3"/>
  <c r="DC132" i="3"/>
  <c r="A133" i="3"/>
  <c r="Y133" i="3"/>
  <c r="CX133" i="3"/>
  <c r="DI133" i="3" s="1"/>
  <c r="CY133" i="3"/>
  <c r="CZ133" i="3"/>
  <c r="DA133" i="3"/>
  <c r="DB133" i="3"/>
  <c r="DC133" i="3"/>
  <c r="A134" i="3"/>
  <c r="Y134" i="3"/>
  <c r="CX134" i="3" s="1"/>
  <c r="DH134" i="3" s="1"/>
  <c r="CY134" i="3"/>
  <c r="CZ134" i="3"/>
  <c r="DA134" i="3"/>
  <c r="DB134" i="3"/>
  <c r="DC134" i="3"/>
  <c r="A135" i="3"/>
  <c r="Y135" i="3"/>
  <c r="CX135" i="3" s="1"/>
  <c r="CY135" i="3"/>
  <c r="CZ135" i="3"/>
  <c r="DB135" i="3" s="1"/>
  <c r="DA135" i="3"/>
  <c r="DC135" i="3"/>
  <c r="DG135" i="3"/>
  <c r="A136" i="3"/>
  <c r="Y136" i="3"/>
  <c r="CX136" i="3"/>
  <c r="CY136" i="3"/>
  <c r="CZ136" i="3"/>
  <c r="DB136" i="3" s="1"/>
  <c r="DA136" i="3"/>
  <c r="DC136" i="3"/>
  <c r="DF136" i="3"/>
  <c r="DJ136" i="3" s="1"/>
  <c r="DI136" i="3"/>
  <c r="A137" i="3"/>
  <c r="Y137" i="3"/>
  <c r="CY137" i="3"/>
  <c r="CZ137" i="3"/>
  <c r="DA137" i="3"/>
  <c r="DB137" i="3"/>
  <c r="DC137" i="3"/>
  <c r="A138" i="3"/>
  <c r="Y138" i="3"/>
  <c r="CY138" i="3"/>
  <c r="CZ138" i="3"/>
  <c r="DB138" i="3" s="1"/>
  <c r="DA138" i="3"/>
  <c r="DC138" i="3"/>
  <c r="A139" i="3"/>
  <c r="Y139" i="3"/>
  <c r="CY139" i="3"/>
  <c r="CZ139" i="3"/>
  <c r="DB139" i="3" s="1"/>
  <c r="DA139" i="3"/>
  <c r="DC139" i="3"/>
  <c r="A140" i="3"/>
  <c r="Y140" i="3"/>
  <c r="CY140" i="3"/>
  <c r="CZ140" i="3"/>
  <c r="DB140" i="3" s="1"/>
  <c r="DA140" i="3"/>
  <c r="DC140" i="3"/>
  <c r="A141" i="3"/>
  <c r="Y141" i="3"/>
  <c r="CY141" i="3"/>
  <c r="CZ141" i="3"/>
  <c r="DA141" i="3"/>
  <c r="DB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B143" i="3" s="1"/>
  <c r="DA143" i="3"/>
  <c r="DC143" i="3"/>
  <c r="A144" i="3"/>
  <c r="Y144" i="3"/>
  <c r="CY144" i="3"/>
  <c r="CZ144" i="3"/>
  <c r="DB144" i="3" s="1"/>
  <c r="DA144" i="3"/>
  <c r="DC144" i="3"/>
  <c r="A145" i="3"/>
  <c r="Y145" i="3"/>
  <c r="CY145" i="3"/>
  <c r="CZ145" i="3"/>
  <c r="DA145" i="3"/>
  <c r="DB145" i="3"/>
  <c r="DC145" i="3"/>
  <c r="A146" i="3"/>
  <c r="Y146" i="3"/>
  <c r="CY146" i="3"/>
  <c r="CZ146" i="3"/>
  <c r="DB146" i="3" s="1"/>
  <c r="DA146" i="3"/>
  <c r="DC146" i="3"/>
  <c r="A147" i="3"/>
  <c r="Y147" i="3"/>
  <c r="CY147" i="3"/>
  <c r="CZ147" i="3"/>
  <c r="DB147" i="3" s="1"/>
  <c r="DA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A149" i="3"/>
  <c r="DB149" i="3"/>
  <c r="DC149" i="3"/>
  <c r="A150" i="3"/>
  <c r="Y150" i="3"/>
  <c r="CY150" i="3"/>
  <c r="CZ150" i="3"/>
  <c r="DA150" i="3"/>
  <c r="DB150" i="3"/>
  <c r="DC150" i="3"/>
  <c r="A151" i="3"/>
  <c r="Y151" i="3"/>
  <c r="CY151" i="3"/>
  <c r="CZ151" i="3"/>
  <c r="DB151" i="3" s="1"/>
  <c r="DA151" i="3"/>
  <c r="DC151" i="3"/>
  <c r="A152" i="3"/>
  <c r="Y152" i="3"/>
  <c r="CY152" i="3"/>
  <c r="CZ152" i="3"/>
  <c r="DB152" i="3" s="1"/>
  <c r="DA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B154" i="3" s="1"/>
  <c r="DA154" i="3"/>
  <c r="DC154" i="3"/>
  <c r="A155" i="3"/>
  <c r="Y155" i="3"/>
  <c r="CY155" i="3"/>
  <c r="CZ155" i="3"/>
  <c r="DB155" i="3" s="1"/>
  <c r="DA155" i="3"/>
  <c r="DC155" i="3"/>
  <c r="A156" i="3"/>
  <c r="Y156" i="3"/>
  <c r="CY156" i="3"/>
  <c r="CZ156" i="3"/>
  <c r="DB156" i="3" s="1"/>
  <c r="DA156" i="3"/>
  <c r="DC156" i="3"/>
  <c r="A157" i="3"/>
  <c r="Y157" i="3"/>
  <c r="CY157" i="3"/>
  <c r="CZ157" i="3"/>
  <c r="DA157" i="3"/>
  <c r="DB157" i="3"/>
  <c r="DC157" i="3"/>
  <c r="A158" i="3"/>
  <c r="Y158" i="3"/>
  <c r="CY158" i="3"/>
  <c r="CZ158" i="3"/>
  <c r="DA158" i="3"/>
  <c r="DB158" i="3"/>
  <c r="DC158" i="3"/>
  <c r="A159" i="3"/>
  <c r="Y159" i="3"/>
  <c r="CY159" i="3"/>
  <c r="CZ159" i="3"/>
  <c r="DB159" i="3" s="1"/>
  <c r="DA159" i="3"/>
  <c r="DC159" i="3"/>
  <c r="A160" i="3"/>
  <c r="Y160" i="3"/>
  <c r="CY160" i="3"/>
  <c r="CZ160" i="3"/>
  <c r="DB160" i="3" s="1"/>
  <c r="DA160" i="3"/>
  <c r="DC160" i="3"/>
  <c r="A161" i="3"/>
  <c r="Y161" i="3"/>
  <c r="CY161" i="3"/>
  <c r="CZ161" i="3"/>
  <c r="DA161" i="3"/>
  <c r="DB161" i="3"/>
  <c r="DC161" i="3"/>
  <c r="A162" i="3"/>
  <c r="Y162" i="3"/>
  <c r="CY162" i="3"/>
  <c r="CZ162" i="3"/>
  <c r="DB162" i="3" s="1"/>
  <c r="DA162" i="3"/>
  <c r="DC162" i="3"/>
  <c r="A163" i="3"/>
  <c r="Y163" i="3"/>
  <c r="CY163" i="3"/>
  <c r="CZ163" i="3"/>
  <c r="DA163" i="3"/>
  <c r="DB163" i="3"/>
  <c r="DC163" i="3"/>
  <c r="A164" i="3"/>
  <c r="Y164" i="3"/>
  <c r="CY164" i="3"/>
  <c r="CZ164" i="3"/>
  <c r="DA164" i="3"/>
  <c r="DB164" i="3"/>
  <c r="DC164" i="3"/>
  <c r="A165" i="3"/>
  <c r="Y165" i="3"/>
  <c r="CY165" i="3"/>
  <c r="CZ165" i="3"/>
  <c r="DA165" i="3"/>
  <c r="DB165" i="3"/>
  <c r="DC165" i="3"/>
  <c r="A166" i="3"/>
  <c r="Y166" i="3"/>
  <c r="CY166" i="3"/>
  <c r="CZ166" i="3"/>
  <c r="DB166" i="3" s="1"/>
  <c r="DA166" i="3"/>
  <c r="DC166" i="3"/>
  <c r="A167" i="3"/>
  <c r="Y167" i="3"/>
  <c r="CY167" i="3"/>
  <c r="CZ167" i="3"/>
  <c r="DB167" i="3" s="1"/>
  <c r="DA167" i="3"/>
  <c r="DC167" i="3"/>
  <c r="A168" i="3"/>
  <c r="Y168" i="3"/>
  <c r="CY168" i="3"/>
  <c r="CZ168" i="3"/>
  <c r="DB168" i="3" s="1"/>
  <c r="DA168" i="3"/>
  <c r="DC168" i="3"/>
  <c r="A169" i="3"/>
  <c r="Y169" i="3"/>
  <c r="CY169" i="3"/>
  <c r="CZ169" i="3"/>
  <c r="DA169" i="3"/>
  <c r="DB169" i="3"/>
  <c r="DC169" i="3"/>
  <c r="A170" i="3"/>
  <c r="Y170" i="3"/>
  <c r="CY170" i="3"/>
  <c r="CZ170" i="3"/>
  <c r="DB170" i="3" s="1"/>
  <c r="DA170" i="3"/>
  <c r="DC170" i="3"/>
  <c r="A171" i="3"/>
  <c r="Y171" i="3"/>
  <c r="CY171" i="3"/>
  <c r="CZ171" i="3"/>
  <c r="DA171" i="3"/>
  <c r="DB171" i="3"/>
  <c r="DC171" i="3"/>
  <c r="A172" i="3"/>
  <c r="Y172" i="3"/>
  <c r="CY172" i="3"/>
  <c r="CZ172" i="3"/>
  <c r="DA172" i="3"/>
  <c r="DB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A174" i="3"/>
  <c r="DB174" i="3"/>
  <c r="DC174" i="3"/>
  <c r="A175" i="3"/>
  <c r="Y175" i="3"/>
  <c r="CY175" i="3"/>
  <c r="CZ175" i="3"/>
  <c r="DB175" i="3" s="1"/>
  <c r="DA175" i="3"/>
  <c r="DC175" i="3"/>
  <c r="A176" i="3"/>
  <c r="Y176" i="3"/>
  <c r="CY176" i="3"/>
  <c r="CZ176" i="3"/>
  <c r="DA176" i="3"/>
  <c r="DB176" i="3"/>
  <c r="DC176" i="3"/>
  <c r="A177" i="3"/>
  <c r="Y177" i="3"/>
  <c r="CY177" i="3"/>
  <c r="CZ177" i="3"/>
  <c r="DB177" i="3" s="1"/>
  <c r="DA177" i="3"/>
  <c r="DC177" i="3"/>
  <c r="A178" i="3"/>
  <c r="Y178" i="3"/>
  <c r="CY178" i="3"/>
  <c r="CZ178" i="3"/>
  <c r="DB178" i="3" s="1"/>
  <c r="DA178" i="3"/>
  <c r="DC178" i="3"/>
  <c r="A179" i="3"/>
  <c r="Y179" i="3"/>
  <c r="CY179" i="3"/>
  <c r="CZ179" i="3"/>
  <c r="DB179" i="3" s="1"/>
  <c r="DA179" i="3"/>
  <c r="DC179" i="3"/>
  <c r="A180" i="3"/>
  <c r="Y180" i="3"/>
  <c r="CY180" i="3"/>
  <c r="CZ180" i="3"/>
  <c r="DB180" i="3" s="1"/>
  <c r="DA180" i="3"/>
  <c r="DC180" i="3"/>
  <c r="A181" i="3"/>
  <c r="Y181" i="3"/>
  <c r="CY181" i="3"/>
  <c r="CZ181" i="3"/>
  <c r="DB181" i="3" s="1"/>
  <c r="DA181" i="3"/>
  <c r="DC181" i="3"/>
  <c r="A182" i="3"/>
  <c r="Y182" i="3"/>
  <c r="CY182" i="3"/>
  <c r="CZ182" i="3"/>
  <c r="DB182" i="3" s="1"/>
  <c r="DA182" i="3"/>
  <c r="DC182" i="3"/>
  <c r="A183" i="3"/>
  <c r="Y183" i="3"/>
  <c r="CY183" i="3"/>
  <c r="CZ183" i="3"/>
  <c r="DA183" i="3"/>
  <c r="DB183" i="3"/>
  <c r="DC183" i="3"/>
  <c r="A184" i="3"/>
  <c r="Y184" i="3"/>
  <c r="CY184" i="3"/>
  <c r="CZ184" i="3"/>
  <c r="DB184" i="3" s="1"/>
  <c r="DA184" i="3"/>
  <c r="DC184" i="3"/>
  <c r="A185" i="3"/>
  <c r="Y185" i="3"/>
  <c r="CY185" i="3"/>
  <c r="CZ185" i="3"/>
  <c r="DB185" i="3" s="1"/>
  <c r="DA185" i="3"/>
  <c r="DC185" i="3"/>
  <c r="A186" i="3"/>
  <c r="Y186" i="3"/>
  <c r="CY186" i="3"/>
  <c r="CZ186" i="3"/>
  <c r="DA186" i="3"/>
  <c r="DB186" i="3"/>
  <c r="DC186" i="3"/>
  <c r="A187" i="3"/>
  <c r="Y187" i="3"/>
  <c r="CY187" i="3"/>
  <c r="CZ187" i="3"/>
  <c r="DA187" i="3"/>
  <c r="DB187" i="3"/>
  <c r="DC187" i="3"/>
  <c r="A188" i="3"/>
  <c r="Y188" i="3"/>
  <c r="CY188" i="3"/>
  <c r="CZ188" i="3"/>
  <c r="DA188" i="3"/>
  <c r="DB188" i="3"/>
  <c r="DC188" i="3"/>
  <c r="A189" i="3"/>
  <c r="Y189" i="3"/>
  <c r="CY189" i="3"/>
  <c r="CZ189" i="3"/>
  <c r="DA189" i="3"/>
  <c r="DB189" i="3"/>
  <c r="DC189" i="3"/>
  <c r="A190" i="3"/>
  <c r="Y190" i="3"/>
  <c r="CY190" i="3"/>
  <c r="CZ190" i="3"/>
  <c r="DB190" i="3" s="1"/>
  <c r="DA190" i="3"/>
  <c r="DC190" i="3"/>
  <c r="A191" i="3"/>
  <c r="Y191" i="3"/>
  <c r="CY191" i="3"/>
  <c r="CZ191" i="3"/>
  <c r="DA191" i="3"/>
  <c r="DB191" i="3"/>
  <c r="DC191" i="3"/>
  <c r="A192" i="3"/>
  <c r="Y192" i="3"/>
  <c r="CY192" i="3"/>
  <c r="CZ192" i="3"/>
  <c r="DB192" i="3" s="1"/>
  <c r="DA192" i="3"/>
  <c r="DC192" i="3"/>
  <c r="A193" i="3"/>
  <c r="Y193" i="3"/>
  <c r="CY193" i="3"/>
  <c r="CZ193" i="3"/>
  <c r="DB193" i="3" s="1"/>
  <c r="DA193" i="3"/>
  <c r="DC193" i="3"/>
  <c r="A194" i="3"/>
  <c r="Y194" i="3"/>
  <c r="CY194" i="3"/>
  <c r="CZ194" i="3"/>
  <c r="DB194" i="3" s="1"/>
  <c r="DA194" i="3"/>
  <c r="DC194" i="3"/>
  <c r="A195" i="3"/>
  <c r="Y195" i="3"/>
  <c r="CY195" i="3"/>
  <c r="CZ195" i="3"/>
  <c r="DA195" i="3"/>
  <c r="DB195" i="3"/>
  <c r="DC195" i="3"/>
  <c r="A196" i="3"/>
  <c r="Y196" i="3"/>
  <c r="CY196" i="3"/>
  <c r="CZ196" i="3"/>
  <c r="DA196" i="3"/>
  <c r="DB196" i="3"/>
  <c r="DC196" i="3"/>
  <c r="A197" i="3"/>
  <c r="Y197" i="3"/>
  <c r="CY197" i="3"/>
  <c r="CZ197" i="3"/>
  <c r="DA197" i="3"/>
  <c r="DB197" i="3"/>
  <c r="DC197" i="3"/>
  <c r="A198" i="3"/>
  <c r="Y198" i="3"/>
  <c r="CY198" i="3"/>
  <c r="CZ198" i="3"/>
  <c r="DA198" i="3"/>
  <c r="DB198" i="3"/>
  <c r="DC198" i="3"/>
  <c r="A199" i="3"/>
  <c r="Y199" i="3"/>
  <c r="CY199" i="3"/>
  <c r="CZ199" i="3"/>
  <c r="DB199" i="3" s="1"/>
  <c r="DA199" i="3"/>
  <c r="DC199" i="3"/>
  <c r="A200" i="3"/>
  <c r="Y200" i="3"/>
  <c r="CY200" i="3"/>
  <c r="CZ200" i="3"/>
  <c r="DA200" i="3"/>
  <c r="DB200" i="3"/>
  <c r="DC200" i="3"/>
  <c r="A201" i="3"/>
  <c r="Y201" i="3"/>
  <c r="CY201" i="3"/>
  <c r="CZ201" i="3"/>
  <c r="DB201" i="3" s="1"/>
  <c r="DA201" i="3"/>
  <c r="DC201" i="3"/>
  <c r="A202" i="3"/>
  <c r="Y202" i="3"/>
  <c r="CY202" i="3"/>
  <c r="CZ202" i="3"/>
  <c r="DA202" i="3"/>
  <c r="DB202" i="3"/>
  <c r="DC202" i="3"/>
  <c r="A203" i="3"/>
  <c r="Y203" i="3"/>
  <c r="CY203" i="3"/>
  <c r="CZ203" i="3"/>
  <c r="DA203" i="3"/>
  <c r="DB203" i="3"/>
  <c r="DC203" i="3"/>
  <c r="A204" i="3"/>
  <c r="Y204" i="3"/>
  <c r="CY204" i="3"/>
  <c r="CZ204" i="3"/>
  <c r="DB204" i="3" s="1"/>
  <c r="DA204" i="3"/>
  <c r="DC204" i="3"/>
  <c r="A205" i="3"/>
  <c r="Y205" i="3"/>
  <c r="CY205" i="3"/>
  <c r="CZ205" i="3"/>
  <c r="DA205" i="3"/>
  <c r="DB205" i="3"/>
  <c r="DC205" i="3"/>
  <c r="A206" i="3"/>
  <c r="Y206" i="3"/>
  <c r="CY206" i="3"/>
  <c r="CZ206" i="3"/>
  <c r="DB206" i="3" s="1"/>
  <c r="DA206" i="3"/>
  <c r="DC206" i="3"/>
  <c r="A207" i="3"/>
  <c r="Y207" i="3"/>
  <c r="CY207" i="3"/>
  <c r="CZ207" i="3"/>
  <c r="DA207" i="3"/>
  <c r="DB207" i="3"/>
  <c r="DC207" i="3"/>
  <c r="A208" i="3"/>
  <c r="Y208" i="3"/>
  <c r="CY208" i="3"/>
  <c r="CZ208" i="3"/>
  <c r="DB208" i="3" s="1"/>
  <c r="DA208" i="3"/>
  <c r="DC208" i="3"/>
  <c r="A209" i="3"/>
  <c r="Y209" i="3"/>
  <c r="CY209" i="3"/>
  <c r="CZ209" i="3"/>
  <c r="DA209" i="3"/>
  <c r="DB209" i="3"/>
  <c r="DC209" i="3"/>
  <c r="A210" i="3"/>
  <c r="Y210" i="3"/>
  <c r="CY210" i="3"/>
  <c r="CZ210" i="3"/>
  <c r="DA210" i="3"/>
  <c r="DB210" i="3"/>
  <c r="DC210" i="3"/>
  <c r="A211" i="3"/>
  <c r="Y211" i="3"/>
  <c r="CY211" i="3"/>
  <c r="CZ211" i="3"/>
  <c r="DB211" i="3" s="1"/>
  <c r="DA211" i="3"/>
  <c r="DC211" i="3"/>
  <c r="A212" i="3"/>
  <c r="Y212" i="3"/>
  <c r="CY212" i="3"/>
  <c r="CZ212" i="3"/>
  <c r="DB212" i="3" s="1"/>
  <c r="DA212" i="3"/>
  <c r="DC212" i="3"/>
  <c r="A213" i="3"/>
  <c r="Y213" i="3"/>
  <c r="CY213" i="3"/>
  <c r="CZ213" i="3"/>
  <c r="DA213" i="3"/>
  <c r="DB213" i="3"/>
  <c r="DC213" i="3"/>
  <c r="A214" i="3"/>
  <c r="Y214" i="3"/>
  <c r="CY214" i="3"/>
  <c r="CZ214" i="3"/>
  <c r="DB214" i="3" s="1"/>
  <c r="DA214" i="3"/>
  <c r="DC214" i="3"/>
  <c r="A215" i="3"/>
  <c r="Y215" i="3"/>
  <c r="CY215" i="3"/>
  <c r="CZ215" i="3"/>
  <c r="DB215" i="3" s="1"/>
  <c r="DA215" i="3"/>
  <c r="DC215" i="3"/>
  <c r="A216" i="3"/>
  <c r="Y216" i="3"/>
  <c r="CY216" i="3"/>
  <c r="CZ216" i="3"/>
  <c r="DB216" i="3" s="1"/>
  <c r="DA216" i="3"/>
  <c r="DC216" i="3"/>
  <c r="A217" i="3"/>
  <c r="Y217" i="3"/>
  <c r="CY217" i="3"/>
  <c r="CZ217" i="3"/>
  <c r="DA217" i="3"/>
  <c r="DB217" i="3"/>
  <c r="DC217" i="3"/>
  <c r="A218" i="3"/>
  <c r="Y218" i="3"/>
  <c r="CY218" i="3"/>
  <c r="CZ218" i="3"/>
  <c r="DB218" i="3" s="1"/>
  <c r="DA218" i="3"/>
  <c r="DC218" i="3"/>
  <c r="A219" i="3"/>
  <c r="Y219" i="3"/>
  <c r="CY219" i="3"/>
  <c r="CZ219" i="3"/>
  <c r="DB219" i="3" s="1"/>
  <c r="DA219" i="3"/>
  <c r="DC219" i="3"/>
  <c r="A220" i="3"/>
  <c r="Y220" i="3"/>
  <c r="CY220" i="3"/>
  <c r="CZ220" i="3"/>
  <c r="DA220" i="3"/>
  <c r="DB220" i="3"/>
  <c r="DC220" i="3"/>
  <c r="A221" i="3"/>
  <c r="Y221" i="3"/>
  <c r="CY221" i="3"/>
  <c r="CZ221" i="3"/>
  <c r="DB221" i="3" s="1"/>
  <c r="DA221" i="3"/>
  <c r="DC221" i="3"/>
  <c r="A222" i="3"/>
  <c r="Y222" i="3"/>
  <c r="CY222" i="3"/>
  <c r="CZ222" i="3"/>
  <c r="DA222" i="3"/>
  <c r="DB222" i="3"/>
  <c r="DC222" i="3"/>
  <c r="A223" i="3"/>
  <c r="Y223" i="3"/>
  <c r="CY223" i="3"/>
  <c r="CZ223" i="3"/>
  <c r="DB223" i="3" s="1"/>
  <c r="DA223" i="3"/>
  <c r="DC223" i="3"/>
  <c r="A224" i="3"/>
  <c r="Y224" i="3"/>
  <c r="CY224" i="3"/>
  <c r="CZ224" i="3"/>
  <c r="DA224" i="3"/>
  <c r="DB224" i="3"/>
  <c r="DC224" i="3"/>
  <c r="A225" i="3"/>
  <c r="Y225" i="3"/>
  <c r="CY225" i="3"/>
  <c r="CZ225" i="3"/>
  <c r="DA225" i="3"/>
  <c r="DB225" i="3"/>
  <c r="DC225" i="3"/>
  <c r="A226" i="3"/>
  <c r="Y226" i="3"/>
  <c r="CY226" i="3"/>
  <c r="CZ226" i="3"/>
  <c r="DB226" i="3" s="1"/>
  <c r="DA226" i="3"/>
  <c r="DC226" i="3"/>
  <c r="A227" i="3"/>
  <c r="Y227" i="3"/>
  <c r="CY227" i="3"/>
  <c r="CZ227" i="3"/>
  <c r="DB227" i="3" s="1"/>
  <c r="DA227" i="3"/>
  <c r="DC227" i="3"/>
  <c r="A228" i="3"/>
  <c r="Y228" i="3"/>
  <c r="CY228" i="3"/>
  <c r="CZ228" i="3"/>
  <c r="DB228" i="3" s="1"/>
  <c r="DA228" i="3"/>
  <c r="DC228" i="3"/>
  <c r="A229" i="3"/>
  <c r="Y229" i="3"/>
  <c r="CY229" i="3"/>
  <c r="CZ229" i="3"/>
  <c r="DB229" i="3" s="1"/>
  <c r="DA229" i="3"/>
  <c r="DC229" i="3"/>
  <c r="A230" i="3"/>
  <c r="Y230" i="3"/>
  <c r="CY230" i="3"/>
  <c r="CZ230" i="3"/>
  <c r="DA230" i="3"/>
  <c r="DB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A232" i="3"/>
  <c r="DB232" i="3"/>
  <c r="DC232" i="3"/>
  <c r="A233" i="3"/>
  <c r="Y233" i="3"/>
  <c r="CY233" i="3"/>
  <c r="CZ233" i="3"/>
  <c r="DB233" i="3" s="1"/>
  <c r="DA233" i="3"/>
  <c r="DC233" i="3"/>
  <c r="A234" i="3"/>
  <c r="Y234" i="3"/>
  <c r="CY234" i="3"/>
  <c r="CZ234" i="3"/>
  <c r="DA234" i="3"/>
  <c r="DB234" i="3"/>
  <c r="DC234" i="3"/>
  <c r="A235" i="3"/>
  <c r="Y235" i="3"/>
  <c r="CY235" i="3"/>
  <c r="CZ235" i="3"/>
  <c r="DA235" i="3"/>
  <c r="DB235" i="3"/>
  <c r="DC235" i="3"/>
  <c r="A236" i="3"/>
  <c r="Y236" i="3"/>
  <c r="CY236" i="3"/>
  <c r="CZ236" i="3"/>
  <c r="DB236" i="3" s="1"/>
  <c r="DA236" i="3"/>
  <c r="DC236" i="3"/>
  <c r="A237" i="3"/>
  <c r="Y237" i="3"/>
  <c r="CY237" i="3"/>
  <c r="CZ237" i="3"/>
  <c r="DA237" i="3"/>
  <c r="DB237" i="3"/>
  <c r="DC237" i="3"/>
  <c r="A238" i="3"/>
  <c r="Y238" i="3"/>
  <c r="CY238" i="3"/>
  <c r="CZ238" i="3"/>
  <c r="DA238" i="3"/>
  <c r="DB238" i="3"/>
  <c r="DC238" i="3"/>
  <c r="A239" i="3"/>
  <c r="Y239" i="3"/>
  <c r="CY239" i="3"/>
  <c r="CZ239" i="3"/>
  <c r="DB239" i="3" s="1"/>
  <c r="DA239" i="3"/>
  <c r="DC239" i="3"/>
  <c r="A240" i="3"/>
  <c r="Y240" i="3"/>
  <c r="CY240" i="3"/>
  <c r="CZ240" i="3"/>
  <c r="DB240" i="3" s="1"/>
  <c r="DA240" i="3"/>
  <c r="DC240" i="3"/>
  <c r="A241" i="3"/>
  <c r="Y241" i="3"/>
  <c r="CY241" i="3"/>
  <c r="CZ241" i="3"/>
  <c r="DA241" i="3"/>
  <c r="DB241" i="3"/>
  <c r="DC241" i="3"/>
  <c r="A242" i="3"/>
  <c r="Y242" i="3"/>
  <c r="CY242" i="3"/>
  <c r="CZ242" i="3"/>
  <c r="DB242" i="3" s="1"/>
  <c r="DA242" i="3"/>
  <c r="DC242" i="3"/>
  <c r="A243" i="3"/>
  <c r="Y243" i="3"/>
  <c r="CY243" i="3"/>
  <c r="CZ243" i="3"/>
  <c r="DB243" i="3" s="1"/>
  <c r="DA243" i="3"/>
  <c r="DC243" i="3"/>
  <c r="A244" i="3"/>
  <c r="Y244" i="3"/>
  <c r="CY244" i="3"/>
  <c r="CZ244" i="3"/>
  <c r="DA244" i="3"/>
  <c r="DB244" i="3"/>
  <c r="DC244" i="3"/>
  <c r="A245" i="3"/>
  <c r="Y245" i="3"/>
  <c r="CY245" i="3"/>
  <c r="CZ245" i="3"/>
  <c r="DB245" i="3" s="1"/>
  <c r="DA245" i="3"/>
  <c r="DC245" i="3"/>
  <c r="A246" i="3"/>
  <c r="Y246" i="3"/>
  <c r="CY246" i="3"/>
  <c r="CZ246" i="3"/>
  <c r="DA246" i="3"/>
  <c r="DB246" i="3"/>
  <c r="DC246" i="3"/>
  <c r="A247" i="3"/>
  <c r="Y247" i="3"/>
  <c r="CY247" i="3"/>
  <c r="CZ247" i="3"/>
  <c r="DA247" i="3"/>
  <c r="DB247" i="3"/>
  <c r="DC247" i="3"/>
  <c r="A248" i="3"/>
  <c r="Y248" i="3"/>
  <c r="CY248" i="3"/>
  <c r="CZ248" i="3"/>
  <c r="DB248" i="3" s="1"/>
  <c r="DA248" i="3"/>
  <c r="DC248" i="3"/>
  <c r="A249" i="3"/>
  <c r="Y249" i="3"/>
  <c r="CY249" i="3"/>
  <c r="CZ249" i="3"/>
  <c r="DA249" i="3"/>
  <c r="DB249" i="3"/>
  <c r="DC249" i="3"/>
  <c r="A250" i="3"/>
  <c r="Y250" i="3"/>
  <c r="CY250" i="3"/>
  <c r="CZ250" i="3"/>
  <c r="DA250" i="3"/>
  <c r="DB250" i="3"/>
  <c r="DC250" i="3"/>
  <c r="A251" i="3"/>
  <c r="Y251" i="3"/>
  <c r="CY251" i="3"/>
  <c r="CZ251" i="3"/>
  <c r="DA251" i="3"/>
  <c r="DB251" i="3"/>
  <c r="DC251" i="3"/>
  <c r="A252" i="3"/>
  <c r="Y252" i="3"/>
  <c r="CY252" i="3"/>
  <c r="CZ252" i="3"/>
  <c r="DB252" i="3" s="1"/>
  <c r="DA252" i="3"/>
  <c r="DC252" i="3"/>
  <c r="A253" i="3"/>
  <c r="Y253" i="3"/>
  <c r="CY253" i="3"/>
  <c r="CZ253" i="3"/>
  <c r="DA253" i="3"/>
  <c r="DB253" i="3"/>
  <c r="DC253" i="3"/>
  <c r="A254" i="3"/>
  <c r="Y254" i="3"/>
  <c r="CY254" i="3"/>
  <c r="CZ254" i="3"/>
  <c r="DA254" i="3"/>
  <c r="DB254" i="3"/>
  <c r="DC254" i="3"/>
  <c r="A255" i="3"/>
  <c r="Y255" i="3"/>
  <c r="CY255" i="3"/>
  <c r="CZ255" i="3"/>
  <c r="DB255" i="3" s="1"/>
  <c r="DA255" i="3"/>
  <c r="DC255" i="3"/>
  <c r="A256" i="3"/>
  <c r="Y256" i="3"/>
  <c r="CY256" i="3"/>
  <c r="CZ256" i="3"/>
  <c r="DA256" i="3"/>
  <c r="DB256" i="3"/>
  <c r="DC256" i="3"/>
  <c r="A257" i="3"/>
  <c r="Y257" i="3"/>
  <c r="CY257" i="3"/>
  <c r="CZ257" i="3"/>
  <c r="DA257" i="3"/>
  <c r="DB257" i="3"/>
  <c r="DC257" i="3"/>
  <c r="A258" i="3"/>
  <c r="Y258" i="3"/>
  <c r="CY258" i="3"/>
  <c r="CZ258" i="3"/>
  <c r="DB258" i="3" s="1"/>
  <c r="DA258" i="3"/>
  <c r="DC258" i="3"/>
  <c r="A259" i="3"/>
  <c r="Y259" i="3"/>
  <c r="CY259" i="3"/>
  <c r="CZ259" i="3"/>
  <c r="DB259" i="3" s="1"/>
  <c r="DA259" i="3"/>
  <c r="DC259" i="3"/>
  <c r="A260" i="3"/>
  <c r="Y260" i="3"/>
  <c r="CY260" i="3"/>
  <c r="CZ260" i="3"/>
  <c r="DA260" i="3"/>
  <c r="DB260" i="3"/>
  <c r="DC260" i="3"/>
  <c r="A261" i="3"/>
  <c r="Y261" i="3"/>
  <c r="CY261" i="3"/>
  <c r="CZ261" i="3"/>
  <c r="DB261" i="3" s="1"/>
  <c r="DA261" i="3"/>
  <c r="DC261" i="3"/>
  <c r="A262" i="3"/>
  <c r="Y262" i="3"/>
  <c r="CY262" i="3"/>
  <c r="CZ262" i="3"/>
  <c r="DB262" i="3" s="1"/>
  <c r="DA262" i="3"/>
  <c r="DC262" i="3"/>
  <c r="A263" i="3"/>
  <c r="Y263" i="3"/>
  <c r="CY263" i="3"/>
  <c r="CZ263" i="3"/>
  <c r="DB263" i="3" s="1"/>
  <c r="DA263" i="3"/>
  <c r="DC263" i="3"/>
  <c r="A264" i="3"/>
  <c r="Y264" i="3"/>
  <c r="CY264" i="3"/>
  <c r="CZ264" i="3"/>
  <c r="DA264" i="3"/>
  <c r="DB264" i="3"/>
  <c r="DC264" i="3"/>
  <c r="A265" i="3"/>
  <c r="Y265" i="3"/>
  <c r="CY265" i="3"/>
  <c r="CZ265" i="3"/>
  <c r="DA265" i="3"/>
  <c r="DB265" i="3"/>
  <c r="DC265" i="3"/>
  <c r="A266" i="3"/>
  <c r="Y266" i="3"/>
  <c r="CY266" i="3"/>
  <c r="CZ266" i="3"/>
  <c r="DA266" i="3"/>
  <c r="DB266" i="3"/>
  <c r="DC266" i="3"/>
  <c r="A267" i="3"/>
  <c r="Y267" i="3"/>
  <c r="CY267" i="3"/>
  <c r="CZ267" i="3"/>
  <c r="DA267" i="3"/>
  <c r="DB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B269" i="3" s="1"/>
  <c r="DA269" i="3"/>
  <c r="DC269" i="3"/>
  <c r="A270" i="3"/>
  <c r="Y270" i="3"/>
  <c r="CY270" i="3"/>
  <c r="CZ270" i="3"/>
  <c r="DB270" i="3" s="1"/>
  <c r="DA270" i="3"/>
  <c r="DC270" i="3"/>
  <c r="A271" i="3"/>
  <c r="Y271" i="3"/>
  <c r="CY271" i="3"/>
  <c r="CZ271" i="3"/>
  <c r="DA271" i="3"/>
  <c r="DB271" i="3"/>
  <c r="DC271" i="3"/>
  <c r="A272" i="3"/>
  <c r="Y272" i="3"/>
  <c r="CY272" i="3"/>
  <c r="CZ272" i="3"/>
  <c r="DB272" i="3" s="1"/>
  <c r="DA272" i="3"/>
  <c r="DC272" i="3"/>
  <c r="A273" i="3"/>
  <c r="Y273" i="3"/>
  <c r="CY273" i="3"/>
  <c r="CZ273" i="3"/>
  <c r="DB273" i="3" s="1"/>
  <c r="DA273" i="3"/>
  <c r="DC273" i="3"/>
  <c r="A274" i="3"/>
  <c r="Y274" i="3"/>
  <c r="CY274" i="3"/>
  <c r="CZ274" i="3"/>
  <c r="DA274" i="3"/>
  <c r="DB274" i="3"/>
  <c r="DC274" i="3"/>
  <c r="A275" i="3"/>
  <c r="Y275" i="3"/>
  <c r="CY275" i="3"/>
  <c r="CZ275" i="3"/>
  <c r="DB275" i="3" s="1"/>
  <c r="DA275" i="3"/>
  <c r="DC275" i="3"/>
  <c r="A276" i="3"/>
  <c r="Y276" i="3"/>
  <c r="CY276" i="3"/>
  <c r="CZ276" i="3"/>
  <c r="DA276" i="3"/>
  <c r="DB276" i="3"/>
  <c r="DC276" i="3"/>
  <c r="A277" i="3"/>
  <c r="Y277" i="3"/>
  <c r="CY277" i="3"/>
  <c r="CZ277" i="3"/>
  <c r="DA277" i="3"/>
  <c r="DB277" i="3"/>
  <c r="DC277" i="3"/>
  <c r="A278" i="3"/>
  <c r="Y278" i="3"/>
  <c r="CY278" i="3"/>
  <c r="CZ278" i="3"/>
  <c r="DB278" i="3" s="1"/>
  <c r="DA278" i="3"/>
  <c r="DC278" i="3"/>
  <c r="A279" i="3"/>
  <c r="Y279" i="3"/>
  <c r="CY279" i="3"/>
  <c r="CZ279" i="3"/>
  <c r="DB279" i="3" s="1"/>
  <c r="DA279" i="3"/>
  <c r="DC279" i="3"/>
  <c r="A280" i="3"/>
  <c r="Y280" i="3"/>
  <c r="CY280" i="3"/>
  <c r="CZ280" i="3"/>
  <c r="DB280" i="3" s="1"/>
  <c r="DA280" i="3"/>
  <c r="DC280" i="3"/>
  <c r="A281" i="3"/>
  <c r="Y281" i="3"/>
  <c r="CY281" i="3"/>
  <c r="CZ281" i="3"/>
  <c r="DA281" i="3"/>
  <c r="DB281" i="3"/>
  <c r="DC281" i="3"/>
  <c r="A282" i="3"/>
  <c r="Y282" i="3"/>
  <c r="CY282" i="3"/>
  <c r="CZ282" i="3"/>
  <c r="DA282" i="3"/>
  <c r="DB282" i="3"/>
  <c r="DC282" i="3"/>
  <c r="A283" i="3"/>
  <c r="Y283" i="3"/>
  <c r="CY283" i="3"/>
  <c r="CZ283" i="3"/>
  <c r="DB283" i="3" s="1"/>
  <c r="DA283" i="3"/>
  <c r="DC283" i="3"/>
  <c r="A284" i="3"/>
  <c r="Y284" i="3"/>
  <c r="CY284" i="3"/>
  <c r="CZ284" i="3"/>
  <c r="DB284" i="3" s="1"/>
  <c r="DA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B286" i="3" s="1"/>
  <c r="DA286" i="3"/>
  <c r="DC286" i="3"/>
  <c r="A287" i="3"/>
  <c r="Y287" i="3"/>
  <c r="CY287" i="3"/>
  <c r="CZ287" i="3"/>
  <c r="DB287" i="3" s="1"/>
  <c r="DA287" i="3"/>
  <c r="DC287" i="3"/>
  <c r="A288" i="3"/>
  <c r="Y288" i="3"/>
  <c r="CY288" i="3"/>
  <c r="CZ288" i="3"/>
  <c r="DA288" i="3"/>
  <c r="DB288" i="3"/>
  <c r="DC288" i="3"/>
  <c r="A289" i="3"/>
  <c r="Y289" i="3"/>
  <c r="CY289" i="3"/>
  <c r="CZ289" i="3"/>
  <c r="DB289" i="3" s="1"/>
  <c r="DA289" i="3"/>
  <c r="DC289" i="3"/>
  <c r="A290" i="3"/>
  <c r="Y290" i="3"/>
  <c r="CY290" i="3"/>
  <c r="CZ290" i="3"/>
  <c r="DB290" i="3" s="1"/>
  <c r="DA290" i="3"/>
  <c r="DC290" i="3"/>
  <c r="A291" i="3"/>
  <c r="Y291" i="3"/>
  <c r="CY291" i="3"/>
  <c r="CZ291" i="3"/>
  <c r="DA291" i="3"/>
  <c r="DB291" i="3"/>
  <c r="DC291" i="3"/>
  <c r="A292" i="3"/>
  <c r="Y292" i="3"/>
  <c r="CY292" i="3"/>
  <c r="CZ292" i="3"/>
  <c r="DB292" i="3" s="1"/>
  <c r="DA292" i="3"/>
  <c r="DC292" i="3"/>
  <c r="A293" i="3"/>
  <c r="Y293" i="3"/>
  <c r="CY293" i="3"/>
  <c r="CZ293" i="3"/>
  <c r="DA293" i="3"/>
  <c r="DB293" i="3"/>
  <c r="DC293" i="3"/>
  <c r="A294" i="3"/>
  <c r="Y294" i="3"/>
  <c r="CY294" i="3"/>
  <c r="CZ294" i="3"/>
  <c r="DA294" i="3"/>
  <c r="DB294" i="3"/>
  <c r="DC294" i="3"/>
  <c r="A295" i="3"/>
  <c r="Y295" i="3"/>
  <c r="CY295" i="3"/>
  <c r="CZ295" i="3"/>
  <c r="DA295" i="3"/>
  <c r="DB295" i="3"/>
  <c r="DC295" i="3"/>
  <c r="A296" i="3"/>
  <c r="Y296" i="3"/>
  <c r="CY296" i="3"/>
  <c r="CZ296" i="3"/>
  <c r="DB296" i="3" s="1"/>
  <c r="DA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A298" i="3"/>
  <c r="DB298" i="3"/>
  <c r="DC298" i="3"/>
  <c r="A299" i="3"/>
  <c r="Y299" i="3"/>
  <c r="CY299" i="3"/>
  <c r="CZ299" i="3"/>
  <c r="DB299" i="3" s="1"/>
  <c r="DA299" i="3"/>
  <c r="DC299" i="3"/>
  <c r="A300" i="3"/>
  <c r="Y300" i="3"/>
  <c r="CY300" i="3"/>
  <c r="CZ300" i="3"/>
  <c r="DA300" i="3"/>
  <c r="DB300" i="3"/>
  <c r="DC300" i="3"/>
  <c r="A301" i="3"/>
  <c r="Y301" i="3"/>
  <c r="CY301" i="3"/>
  <c r="CZ301" i="3"/>
  <c r="DA301" i="3"/>
  <c r="DB301" i="3"/>
  <c r="DC301" i="3"/>
  <c r="A302" i="3"/>
  <c r="Y302" i="3"/>
  <c r="CY302" i="3"/>
  <c r="CZ302" i="3"/>
  <c r="DB302" i="3" s="1"/>
  <c r="DA302" i="3"/>
  <c r="DC302" i="3"/>
  <c r="A303" i="3"/>
  <c r="Y303" i="3"/>
  <c r="CY303" i="3"/>
  <c r="CZ303" i="3"/>
  <c r="DB303" i="3" s="1"/>
  <c r="DA303" i="3"/>
  <c r="DC303" i="3"/>
  <c r="A304" i="3"/>
  <c r="Y304" i="3"/>
  <c r="CY304" i="3"/>
  <c r="CZ304" i="3"/>
  <c r="DA304" i="3"/>
  <c r="DB304" i="3"/>
  <c r="DC304" i="3"/>
  <c r="A305" i="3"/>
  <c r="Y305" i="3"/>
  <c r="CY305" i="3"/>
  <c r="CZ305" i="3"/>
  <c r="DA305" i="3"/>
  <c r="DB305" i="3"/>
  <c r="DC305" i="3"/>
  <c r="A306" i="3"/>
  <c r="Y306" i="3"/>
  <c r="CY306" i="3"/>
  <c r="CZ306" i="3"/>
  <c r="DB306" i="3" s="1"/>
  <c r="DA306" i="3"/>
  <c r="DC306" i="3"/>
  <c r="A307" i="3"/>
  <c r="Y307" i="3"/>
  <c r="CY307" i="3"/>
  <c r="CZ307" i="3"/>
  <c r="DB307" i="3" s="1"/>
  <c r="DA307" i="3"/>
  <c r="DC307" i="3"/>
  <c r="A308" i="3"/>
  <c r="Y308" i="3"/>
  <c r="CY308" i="3"/>
  <c r="CZ308" i="3"/>
  <c r="DA308" i="3"/>
  <c r="DB308" i="3"/>
  <c r="DC308" i="3"/>
  <c r="A309" i="3"/>
  <c r="Y309" i="3"/>
  <c r="CY309" i="3"/>
  <c r="CZ309" i="3"/>
  <c r="DB309" i="3" s="1"/>
  <c r="DA309" i="3"/>
  <c r="DC309" i="3"/>
  <c r="A310" i="3"/>
  <c r="Y310" i="3"/>
  <c r="CY310" i="3"/>
  <c r="CZ310" i="3"/>
  <c r="DA310" i="3"/>
  <c r="DB310" i="3"/>
  <c r="DC310" i="3"/>
  <c r="A311" i="3"/>
  <c r="Y311" i="3"/>
  <c r="CY311" i="3"/>
  <c r="CZ311" i="3"/>
  <c r="DA311" i="3"/>
  <c r="DB311" i="3"/>
  <c r="DC311" i="3"/>
  <c r="A312" i="3"/>
  <c r="Y312" i="3"/>
  <c r="CY312" i="3"/>
  <c r="CZ312" i="3"/>
  <c r="DB312" i="3" s="1"/>
  <c r="DA312" i="3"/>
  <c r="DC312" i="3"/>
  <c r="A313" i="3"/>
  <c r="Y313" i="3"/>
  <c r="CY313" i="3"/>
  <c r="CZ313" i="3"/>
  <c r="DB313" i="3" s="1"/>
  <c r="DA313" i="3"/>
  <c r="DC313" i="3"/>
  <c r="A314" i="3"/>
  <c r="Y314" i="3"/>
  <c r="CY314" i="3"/>
  <c r="CZ314" i="3"/>
  <c r="DB314" i="3" s="1"/>
  <c r="DA314" i="3"/>
  <c r="DC314" i="3"/>
  <c r="A315" i="3"/>
  <c r="Y315" i="3"/>
  <c r="CY315" i="3"/>
  <c r="CZ315" i="3"/>
  <c r="DA315" i="3"/>
  <c r="DB315" i="3"/>
  <c r="DC315" i="3"/>
  <c r="A316" i="3"/>
  <c r="Y316" i="3"/>
  <c r="CY316" i="3"/>
  <c r="CZ316" i="3"/>
  <c r="DB316" i="3" s="1"/>
  <c r="DA316" i="3"/>
  <c r="DC316" i="3"/>
  <c r="A317" i="3"/>
  <c r="Y317" i="3"/>
  <c r="CY317" i="3"/>
  <c r="CZ317" i="3"/>
  <c r="DB317" i="3" s="1"/>
  <c r="DA317" i="3"/>
  <c r="DC317" i="3"/>
  <c r="A318" i="3"/>
  <c r="Y318" i="3"/>
  <c r="CY318" i="3"/>
  <c r="CZ318" i="3"/>
  <c r="DA318" i="3"/>
  <c r="DB318" i="3"/>
  <c r="DC318" i="3"/>
  <c r="A319" i="3"/>
  <c r="Y319" i="3"/>
  <c r="CY319" i="3"/>
  <c r="CZ319" i="3"/>
  <c r="DB319" i="3" s="1"/>
  <c r="DA319" i="3"/>
  <c r="DC319" i="3"/>
  <c r="A320" i="3"/>
  <c r="Y320" i="3"/>
  <c r="CY320" i="3"/>
  <c r="CZ320" i="3"/>
  <c r="DB320" i="3" s="1"/>
  <c r="DA320" i="3"/>
  <c r="DC320" i="3"/>
  <c r="A321" i="3"/>
  <c r="Y321" i="3"/>
  <c r="CY321" i="3"/>
  <c r="CZ321" i="3"/>
  <c r="DB321" i="3" s="1"/>
  <c r="DA321" i="3"/>
  <c r="DC321" i="3"/>
  <c r="A322" i="3"/>
  <c r="Y322" i="3"/>
  <c r="CY322" i="3"/>
  <c r="CZ322" i="3"/>
  <c r="DA322" i="3"/>
  <c r="DB322" i="3"/>
  <c r="DC322" i="3"/>
  <c r="A323" i="3"/>
  <c r="Y323" i="3"/>
  <c r="CY323" i="3"/>
  <c r="CZ323" i="3"/>
  <c r="DB323" i="3" s="1"/>
  <c r="DA323" i="3"/>
  <c r="DC323" i="3"/>
  <c r="A324" i="3"/>
  <c r="Y324" i="3"/>
  <c r="CY324" i="3"/>
  <c r="CZ324" i="3"/>
  <c r="DA324" i="3"/>
  <c r="DB324" i="3"/>
  <c r="DC324" i="3"/>
  <c r="A325" i="3"/>
  <c r="Y325" i="3"/>
  <c r="CY325" i="3"/>
  <c r="CZ325" i="3"/>
  <c r="DA325" i="3"/>
  <c r="DB325" i="3"/>
  <c r="DC325" i="3"/>
  <c r="A326" i="3"/>
  <c r="Y326" i="3"/>
  <c r="CY326" i="3"/>
  <c r="CZ326" i="3"/>
  <c r="DB326" i="3" s="1"/>
  <c r="DA326" i="3"/>
  <c r="DC326" i="3"/>
  <c r="A327" i="3"/>
  <c r="Y327" i="3"/>
  <c r="CY327" i="3"/>
  <c r="CZ327" i="3"/>
  <c r="DA327" i="3"/>
  <c r="DB327" i="3"/>
  <c r="DC327" i="3"/>
  <c r="A328" i="3"/>
  <c r="Y328" i="3"/>
  <c r="CY328" i="3"/>
  <c r="CZ328" i="3"/>
  <c r="DA328" i="3"/>
  <c r="DB328" i="3"/>
  <c r="DC328" i="3"/>
  <c r="A329" i="3"/>
  <c r="Y329" i="3"/>
  <c r="CY329" i="3"/>
  <c r="CZ329" i="3"/>
  <c r="DB329" i="3" s="1"/>
  <c r="DA329" i="3"/>
  <c r="DC329" i="3"/>
  <c r="A330" i="3"/>
  <c r="Y330" i="3"/>
  <c r="CY330" i="3"/>
  <c r="CZ330" i="3"/>
  <c r="DB330" i="3" s="1"/>
  <c r="DA330" i="3"/>
  <c r="DC330" i="3"/>
  <c r="A331" i="3"/>
  <c r="Y331" i="3"/>
  <c r="CY331" i="3"/>
  <c r="CZ331" i="3"/>
  <c r="DB331" i="3" s="1"/>
  <c r="DA331" i="3"/>
  <c r="DC331" i="3"/>
  <c r="A332" i="3"/>
  <c r="Y332" i="3"/>
  <c r="CY332" i="3"/>
  <c r="CZ332" i="3"/>
  <c r="DA332" i="3"/>
  <c r="DB332" i="3"/>
  <c r="DC332" i="3"/>
  <c r="A333" i="3"/>
  <c r="Y333" i="3"/>
  <c r="CY333" i="3"/>
  <c r="CZ333" i="3"/>
  <c r="DB333" i="3" s="1"/>
  <c r="DA333" i="3"/>
  <c r="DC333" i="3"/>
  <c r="A334" i="3"/>
  <c r="Y334" i="3"/>
  <c r="CY334" i="3"/>
  <c r="CZ334" i="3"/>
  <c r="DA334" i="3"/>
  <c r="DB334" i="3"/>
  <c r="DC334" i="3"/>
  <c r="A335" i="3"/>
  <c r="Y335" i="3"/>
  <c r="CY335" i="3"/>
  <c r="CZ335" i="3"/>
  <c r="DA335" i="3"/>
  <c r="DB335" i="3"/>
  <c r="DC335" i="3"/>
  <c r="A336" i="3"/>
  <c r="Y336" i="3"/>
  <c r="CY336" i="3"/>
  <c r="CZ336" i="3"/>
  <c r="DB336" i="3" s="1"/>
  <c r="DA336" i="3"/>
  <c r="DC336" i="3"/>
  <c r="A337" i="3"/>
  <c r="Y337" i="3"/>
  <c r="CY337" i="3"/>
  <c r="CZ337" i="3"/>
  <c r="DB337" i="3" s="1"/>
  <c r="DA337" i="3"/>
  <c r="DC337" i="3"/>
  <c r="A338" i="3"/>
  <c r="Y338" i="3"/>
  <c r="CY338" i="3"/>
  <c r="CZ338" i="3"/>
  <c r="DA338" i="3"/>
  <c r="DB338" i="3"/>
  <c r="DC338" i="3"/>
  <c r="A339" i="3"/>
  <c r="Y339" i="3"/>
  <c r="CY339" i="3"/>
  <c r="CZ339" i="3"/>
  <c r="DB339" i="3" s="1"/>
  <c r="DA339" i="3"/>
  <c r="DC339" i="3"/>
  <c r="A340" i="3"/>
  <c r="Y340" i="3"/>
  <c r="CY340" i="3"/>
  <c r="CZ340" i="3"/>
  <c r="DA340" i="3"/>
  <c r="DB340" i="3"/>
  <c r="DC340" i="3"/>
  <c r="A341" i="3"/>
  <c r="Y341" i="3"/>
  <c r="CY341" i="3"/>
  <c r="CZ341" i="3"/>
  <c r="DA341" i="3"/>
  <c r="DB341" i="3"/>
  <c r="DC341" i="3"/>
  <c r="A342" i="3"/>
  <c r="Y342" i="3"/>
  <c r="CY342" i="3"/>
  <c r="CZ342" i="3"/>
  <c r="DA342" i="3"/>
  <c r="DB342" i="3"/>
  <c r="DC342" i="3"/>
  <c r="A343" i="3"/>
  <c r="Y343" i="3"/>
  <c r="CY343" i="3"/>
  <c r="CZ343" i="3"/>
  <c r="DB343" i="3" s="1"/>
  <c r="DA343" i="3"/>
  <c r="DC343" i="3"/>
  <c r="A344" i="3"/>
  <c r="Y344" i="3"/>
  <c r="CY344" i="3"/>
  <c r="CZ344" i="3"/>
  <c r="DA344" i="3"/>
  <c r="DB344" i="3"/>
  <c r="DC344" i="3"/>
  <c r="A345" i="3"/>
  <c r="Y345" i="3"/>
  <c r="CY345" i="3"/>
  <c r="CZ345" i="3"/>
  <c r="DA345" i="3"/>
  <c r="DB345" i="3"/>
  <c r="DC345" i="3"/>
  <c r="A346" i="3"/>
  <c r="Y346" i="3"/>
  <c r="CY346" i="3"/>
  <c r="CZ346" i="3"/>
  <c r="DB346" i="3" s="1"/>
  <c r="DA346" i="3"/>
  <c r="DC346" i="3"/>
  <c r="A347" i="3"/>
  <c r="Y347" i="3"/>
  <c r="CY347" i="3"/>
  <c r="CZ347" i="3"/>
  <c r="DB347" i="3" s="1"/>
  <c r="DA347" i="3"/>
  <c r="DC347" i="3"/>
  <c r="A348" i="3"/>
  <c r="Y348" i="3"/>
  <c r="CY348" i="3"/>
  <c r="CZ348" i="3"/>
  <c r="DA348" i="3"/>
  <c r="DB348" i="3"/>
  <c r="DC348" i="3"/>
  <c r="A349" i="3"/>
  <c r="Y349" i="3"/>
  <c r="CY349" i="3"/>
  <c r="CZ349" i="3"/>
  <c r="DB349" i="3" s="1"/>
  <c r="DA349" i="3"/>
  <c r="DC349" i="3"/>
  <c r="A350" i="3"/>
  <c r="Y350" i="3"/>
  <c r="CY350" i="3"/>
  <c r="CZ350" i="3"/>
  <c r="DA350" i="3"/>
  <c r="DB350" i="3"/>
  <c r="DC350" i="3"/>
  <c r="A351" i="3"/>
  <c r="Y351" i="3"/>
  <c r="CY351" i="3"/>
  <c r="CZ351" i="3"/>
  <c r="DA351" i="3"/>
  <c r="DB351" i="3"/>
  <c r="DC351" i="3"/>
  <c r="A352" i="3"/>
  <c r="Y352" i="3"/>
  <c r="CY352" i="3"/>
  <c r="CZ352" i="3"/>
  <c r="DA352" i="3"/>
  <c r="DB352" i="3"/>
  <c r="DC352" i="3"/>
  <c r="A353" i="3"/>
  <c r="Y353" i="3"/>
  <c r="CY353" i="3"/>
  <c r="CZ353" i="3"/>
  <c r="DA353" i="3"/>
  <c r="DB353" i="3"/>
  <c r="DC353" i="3"/>
  <c r="A354" i="3"/>
  <c r="Y354" i="3"/>
  <c r="CY354" i="3"/>
  <c r="CZ354" i="3"/>
  <c r="DA354" i="3"/>
  <c r="DB354" i="3"/>
  <c r="DC354" i="3"/>
  <c r="A355" i="3"/>
  <c r="Y355" i="3"/>
  <c r="CY355" i="3"/>
  <c r="CZ355" i="3"/>
  <c r="DA355" i="3"/>
  <c r="DB355" i="3"/>
  <c r="DC355" i="3"/>
  <c r="A356" i="3"/>
  <c r="Y356" i="3"/>
  <c r="CY356" i="3"/>
  <c r="CZ356" i="3"/>
  <c r="DB356" i="3" s="1"/>
  <c r="DA356" i="3"/>
  <c r="DC356" i="3"/>
  <c r="A357" i="3"/>
  <c r="Y357" i="3"/>
  <c r="CY357" i="3"/>
  <c r="CZ357" i="3"/>
  <c r="DB357" i="3" s="1"/>
  <c r="DA357" i="3"/>
  <c r="DC357" i="3"/>
  <c r="A358" i="3"/>
  <c r="Y358" i="3"/>
  <c r="CY358" i="3"/>
  <c r="CZ358" i="3"/>
  <c r="DA358" i="3"/>
  <c r="DB358" i="3"/>
  <c r="DC358" i="3"/>
  <c r="A359" i="3"/>
  <c r="Y359" i="3"/>
  <c r="CY359" i="3"/>
  <c r="CZ359" i="3"/>
  <c r="DA359" i="3"/>
  <c r="DB359" i="3"/>
  <c r="DC359" i="3"/>
  <c r="A360" i="3"/>
  <c r="Y360" i="3"/>
  <c r="CY360" i="3"/>
  <c r="CZ360" i="3"/>
  <c r="DB360" i="3" s="1"/>
  <c r="DA360" i="3"/>
  <c r="DC360" i="3"/>
  <c r="A361" i="3"/>
  <c r="Y361" i="3"/>
  <c r="CY361" i="3"/>
  <c r="CZ361" i="3"/>
  <c r="DA361" i="3"/>
  <c r="DB361" i="3"/>
  <c r="DC361" i="3"/>
  <c r="A362" i="3"/>
  <c r="Y362" i="3"/>
  <c r="CY362" i="3"/>
  <c r="CZ362" i="3"/>
  <c r="DA362" i="3"/>
  <c r="DB362" i="3"/>
  <c r="DC362" i="3"/>
  <c r="A363" i="3"/>
  <c r="Y363" i="3"/>
  <c r="CY363" i="3"/>
  <c r="CZ363" i="3"/>
  <c r="DA363" i="3"/>
  <c r="DB363" i="3"/>
  <c r="DC363" i="3"/>
  <c r="A364" i="3"/>
  <c r="Y364" i="3"/>
  <c r="CY364" i="3"/>
  <c r="CZ364" i="3"/>
  <c r="DA364" i="3"/>
  <c r="DB364" i="3"/>
  <c r="DC364" i="3"/>
  <c r="A365" i="3"/>
  <c r="Y365" i="3"/>
  <c r="CY365" i="3"/>
  <c r="CZ365" i="3"/>
  <c r="DA365" i="3"/>
  <c r="DB365" i="3"/>
  <c r="DC365" i="3"/>
  <c r="A366" i="3"/>
  <c r="Y366" i="3"/>
  <c r="CY366" i="3"/>
  <c r="CZ366" i="3"/>
  <c r="DB366" i="3" s="1"/>
  <c r="DA366" i="3"/>
  <c r="DC366" i="3"/>
  <c r="A367" i="3"/>
  <c r="Y367" i="3"/>
  <c r="CY367" i="3"/>
  <c r="CZ367" i="3"/>
  <c r="DA367" i="3"/>
  <c r="DB367" i="3"/>
  <c r="DC367" i="3"/>
  <c r="A368" i="3"/>
  <c r="Y368" i="3"/>
  <c r="CY368" i="3"/>
  <c r="CZ368" i="3"/>
  <c r="DA368" i="3"/>
  <c r="DB368" i="3"/>
  <c r="DC368" i="3"/>
  <c r="A369" i="3"/>
  <c r="Y369" i="3"/>
  <c r="CY369" i="3"/>
  <c r="CZ369" i="3"/>
  <c r="DB369" i="3" s="1"/>
  <c r="DA369" i="3"/>
  <c r="DC369" i="3"/>
  <c r="A370" i="3"/>
  <c r="Y370" i="3"/>
  <c r="CY370" i="3"/>
  <c r="CZ370" i="3"/>
  <c r="DA370" i="3"/>
  <c r="DB370" i="3"/>
  <c r="DC370" i="3"/>
  <c r="A371" i="3"/>
  <c r="Y371" i="3"/>
  <c r="CY371" i="3"/>
  <c r="CZ371" i="3"/>
  <c r="DA371" i="3"/>
  <c r="DB371" i="3"/>
  <c r="DC371" i="3"/>
  <c r="A372" i="3"/>
  <c r="Y372" i="3"/>
  <c r="CY372" i="3"/>
  <c r="CZ372" i="3"/>
  <c r="DA372" i="3"/>
  <c r="DB372" i="3"/>
  <c r="DC372" i="3"/>
  <c r="A373" i="3"/>
  <c r="Y373" i="3"/>
  <c r="CY373" i="3"/>
  <c r="CZ373" i="3"/>
  <c r="DA373" i="3"/>
  <c r="DB373" i="3"/>
  <c r="DC373" i="3"/>
  <c r="A374" i="3"/>
  <c r="Y374" i="3"/>
  <c r="CY374" i="3"/>
  <c r="CZ374" i="3"/>
  <c r="DB374" i="3" s="1"/>
  <c r="DA374" i="3"/>
  <c r="DC374" i="3"/>
  <c r="A375" i="3"/>
  <c r="Y375" i="3"/>
  <c r="CY375" i="3"/>
  <c r="CZ375" i="3"/>
  <c r="DA375" i="3"/>
  <c r="DB375" i="3"/>
  <c r="DC375" i="3"/>
  <c r="A376" i="3"/>
  <c r="Y376" i="3"/>
  <c r="CY376" i="3"/>
  <c r="CZ376" i="3"/>
  <c r="DA376" i="3"/>
  <c r="DB376" i="3"/>
  <c r="DC376" i="3"/>
  <c r="A377" i="3"/>
  <c r="Y377" i="3"/>
  <c r="CY377" i="3"/>
  <c r="CZ377" i="3"/>
  <c r="DB377" i="3" s="1"/>
  <c r="DA377" i="3"/>
  <c r="DC377" i="3"/>
  <c r="A378" i="3"/>
  <c r="Y378" i="3"/>
  <c r="CY378" i="3"/>
  <c r="CZ378" i="3"/>
  <c r="DA378" i="3"/>
  <c r="DB378" i="3"/>
  <c r="DC378" i="3"/>
  <c r="A379" i="3"/>
  <c r="Y379" i="3"/>
  <c r="CY379" i="3"/>
  <c r="CZ379" i="3"/>
  <c r="DA379" i="3"/>
  <c r="DB379" i="3"/>
  <c r="DC379" i="3"/>
  <c r="A380" i="3"/>
  <c r="Y380" i="3"/>
  <c r="CY380" i="3"/>
  <c r="CZ380" i="3"/>
  <c r="DA380" i="3"/>
  <c r="DB380" i="3"/>
  <c r="DC380" i="3"/>
  <c r="A381" i="3"/>
  <c r="Y381" i="3"/>
  <c r="CY381" i="3"/>
  <c r="CZ381" i="3"/>
  <c r="DA381" i="3"/>
  <c r="DB381" i="3"/>
  <c r="DC381" i="3"/>
  <c r="A382" i="3"/>
  <c r="Y382" i="3"/>
  <c r="CY382" i="3"/>
  <c r="CZ382" i="3"/>
  <c r="DB382" i="3" s="1"/>
  <c r="DA382" i="3"/>
  <c r="DC382" i="3"/>
  <c r="A383" i="3"/>
  <c r="Y383" i="3"/>
  <c r="CY383" i="3"/>
  <c r="CZ383" i="3"/>
  <c r="DA383" i="3"/>
  <c r="DB383" i="3"/>
  <c r="DC383" i="3"/>
  <c r="A384" i="3"/>
  <c r="Y384" i="3"/>
  <c r="CY384" i="3"/>
  <c r="CZ384" i="3"/>
  <c r="DA384" i="3"/>
  <c r="DB384" i="3"/>
  <c r="DC384" i="3"/>
  <c r="A385" i="3"/>
  <c r="Y385" i="3"/>
  <c r="CY385" i="3"/>
  <c r="CZ385" i="3"/>
  <c r="DB385" i="3" s="1"/>
  <c r="DA385" i="3"/>
  <c r="DC385" i="3"/>
  <c r="A386" i="3"/>
  <c r="Y386" i="3"/>
  <c r="CY386" i="3"/>
  <c r="CZ386" i="3"/>
  <c r="DB386" i="3" s="1"/>
  <c r="DA386" i="3"/>
  <c r="DC386" i="3"/>
  <c r="A387" i="3"/>
  <c r="Y387" i="3"/>
  <c r="CY387" i="3"/>
  <c r="CZ387" i="3"/>
  <c r="DB387" i="3" s="1"/>
  <c r="DA387" i="3"/>
  <c r="DC387" i="3"/>
  <c r="A388" i="3"/>
  <c r="Y388" i="3"/>
  <c r="CY388" i="3"/>
  <c r="CZ388" i="3"/>
  <c r="DA388" i="3"/>
  <c r="DB388" i="3"/>
  <c r="DC388" i="3"/>
  <c r="A389" i="3"/>
  <c r="Y389" i="3"/>
  <c r="CY389" i="3"/>
  <c r="CZ389" i="3"/>
  <c r="DA389" i="3"/>
  <c r="DB389" i="3"/>
  <c r="DC389" i="3"/>
  <c r="A390" i="3"/>
  <c r="Y390" i="3"/>
  <c r="CY390" i="3"/>
  <c r="CZ390" i="3"/>
  <c r="DA390" i="3"/>
  <c r="DB390" i="3"/>
  <c r="DC390" i="3"/>
  <c r="A391" i="3"/>
  <c r="Y391" i="3"/>
  <c r="CY391" i="3"/>
  <c r="CZ391" i="3"/>
  <c r="DA391" i="3"/>
  <c r="DB391" i="3"/>
  <c r="DC391" i="3"/>
  <c r="A392" i="3"/>
  <c r="Y392" i="3"/>
  <c r="CY392" i="3"/>
  <c r="CZ392" i="3"/>
  <c r="DA392" i="3"/>
  <c r="DB392" i="3"/>
  <c r="DC392" i="3"/>
  <c r="A393" i="3"/>
  <c r="Y393" i="3"/>
  <c r="CY393" i="3"/>
  <c r="CZ393" i="3"/>
  <c r="DB393" i="3" s="1"/>
  <c r="DA393" i="3"/>
  <c r="DC393" i="3"/>
  <c r="A394" i="3"/>
  <c r="Y394" i="3"/>
  <c r="CY394" i="3"/>
  <c r="CZ394" i="3"/>
  <c r="DB394" i="3" s="1"/>
  <c r="DA394" i="3"/>
  <c r="DC394" i="3"/>
  <c r="A395" i="3"/>
  <c r="Y395" i="3"/>
  <c r="CY395" i="3"/>
  <c r="CZ395" i="3"/>
  <c r="DB395" i="3" s="1"/>
  <c r="DA395" i="3"/>
  <c r="DC395" i="3"/>
  <c r="A396" i="3"/>
  <c r="Y396" i="3"/>
  <c r="CY396" i="3"/>
  <c r="CZ396" i="3"/>
  <c r="DA396" i="3"/>
  <c r="DB396" i="3"/>
  <c r="DC396" i="3"/>
  <c r="A397" i="3"/>
  <c r="Y397" i="3"/>
  <c r="CY397" i="3"/>
  <c r="CZ397" i="3"/>
  <c r="DA397" i="3"/>
  <c r="DB397" i="3"/>
  <c r="DC397" i="3"/>
  <c r="A398" i="3"/>
  <c r="Y398" i="3"/>
  <c r="CY398" i="3"/>
  <c r="CZ398" i="3"/>
  <c r="DA398" i="3"/>
  <c r="DB398" i="3"/>
  <c r="DC398" i="3"/>
  <c r="A399" i="3"/>
  <c r="Y399" i="3"/>
  <c r="CY399" i="3"/>
  <c r="CZ399" i="3"/>
  <c r="DA399" i="3"/>
  <c r="DB399" i="3"/>
  <c r="DC399" i="3"/>
  <c r="A400" i="3"/>
  <c r="Y400" i="3"/>
  <c r="CY400" i="3"/>
  <c r="CZ400" i="3"/>
  <c r="DA400" i="3"/>
  <c r="DB400" i="3"/>
  <c r="DC400" i="3"/>
  <c r="A401" i="3"/>
  <c r="Y401" i="3"/>
  <c r="CY401" i="3"/>
  <c r="CZ401" i="3"/>
  <c r="DA401" i="3"/>
  <c r="DB401" i="3"/>
  <c r="DC401" i="3"/>
  <c r="A402" i="3"/>
  <c r="Y402" i="3"/>
  <c r="CY402" i="3"/>
  <c r="CZ402" i="3"/>
  <c r="DB402" i="3" s="1"/>
  <c r="DA402" i="3"/>
  <c r="DC402" i="3"/>
  <c r="A403" i="3"/>
  <c r="Y403" i="3"/>
  <c r="CY403" i="3"/>
  <c r="CZ403" i="3"/>
  <c r="DB403" i="3" s="1"/>
  <c r="DA403" i="3"/>
  <c r="DC403" i="3"/>
  <c r="A404" i="3"/>
  <c r="Y404" i="3"/>
  <c r="CY404" i="3"/>
  <c r="CZ404" i="3"/>
  <c r="DA404" i="3"/>
  <c r="DB404" i="3"/>
  <c r="DC404" i="3"/>
  <c r="A405" i="3"/>
  <c r="Y405" i="3"/>
  <c r="CV405" i="3" s="1"/>
  <c r="CU405" i="3"/>
  <c r="CX405" i="3"/>
  <c r="CY405" i="3"/>
  <c r="CZ405" i="3"/>
  <c r="DB405" i="3" s="1"/>
  <c r="DA405" i="3"/>
  <c r="DC405" i="3"/>
  <c r="A406" i="3"/>
  <c r="Y406" i="3"/>
  <c r="CW406" i="3" s="1"/>
  <c r="CY406" i="3"/>
  <c r="CZ406" i="3"/>
  <c r="DA406" i="3"/>
  <c r="DB406" i="3"/>
  <c r="DC406" i="3"/>
  <c r="A407" i="3"/>
  <c r="Y407" i="3"/>
  <c r="CX407" i="3" s="1"/>
  <c r="DH407" i="3" s="1"/>
  <c r="CY407" i="3"/>
  <c r="CZ407" i="3"/>
  <c r="DA407" i="3"/>
  <c r="DB407" i="3"/>
  <c r="DC407" i="3"/>
  <c r="A408" i="3"/>
  <c r="Y408" i="3"/>
  <c r="CX408" i="3" s="1"/>
  <c r="DG408" i="3" s="1"/>
  <c r="CY408" i="3"/>
  <c r="CZ408" i="3"/>
  <c r="DB408" i="3" s="1"/>
  <c r="DA408" i="3"/>
  <c r="DC408" i="3"/>
  <c r="DF408" i="3"/>
  <c r="DJ408" i="3" s="1"/>
  <c r="A409" i="3"/>
  <c r="Y409" i="3"/>
  <c r="CX409" i="3"/>
  <c r="DF409" i="3" s="1"/>
  <c r="DJ409" i="3" s="1"/>
  <c r="CY409" i="3"/>
  <c r="CZ409" i="3"/>
  <c r="DB409" i="3" s="1"/>
  <c r="DA409" i="3"/>
  <c r="DC409" i="3"/>
  <c r="DG409" i="3"/>
  <c r="DH409" i="3"/>
  <c r="DI409" i="3"/>
  <c r="A410" i="3"/>
  <c r="Y410" i="3"/>
  <c r="CX410" i="3" s="1"/>
  <c r="DI410" i="3" s="1"/>
  <c r="CY410" i="3"/>
  <c r="CZ410" i="3"/>
  <c r="DA410" i="3"/>
  <c r="DB410" i="3"/>
  <c r="DC410" i="3"/>
  <c r="DF410" i="3"/>
  <c r="DJ410" i="3" s="1"/>
  <c r="DG410" i="3"/>
  <c r="DH410" i="3"/>
  <c r="A411" i="3"/>
  <c r="Y411" i="3"/>
  <c r="CX411" i="3"/>
  <c r="CY411" i="3"/>
  <c r="CZ411" i="3"/>
  <c r="DB411" i="3" s="1"/>
  <c r="DA411" i="3"/>
  <c r="DC411" i="3"/>
  <c r="DF411" i="3"/>
  <c r="DJ411" i="3" s="1"/>
  <c r="DG411" i="3"/>
  <c r="A412" i="3"/>
  <c r="Y412" i="3"/>
  <c r="CU412" i="3"/>
  <c r="CY412" i="3"/>
  <c r="CZ412" i="3"/>
  <c r="DA412" i="3"/>
  <c r="DB412" i="3"/>
  <c r="DC412" i="3"/>
  <c r="A413" i="3"/>
  <c r="Y413" i="3"/>
  <c r="CW413" i="3" s="1"/>
  <c r="CX413" i="3"/>
  <c r="CY413" i="3"/>
  <c r="CZ413" i="3"/>
  <c r="DB413" i="3" s="1"/>
  <c r="DA413" i="3"/>
  <c r="DC413" i="3"/>
  <c r="A414" i="3"/>
  <c r="Y414" i="3"/>
  <c r="CX414" i="3" s="1"/>
  <c r="CY414" i="3"/>
  <c r="CZ414" i="3"/>
  <c r="DA414" i="3"/>
  <c r="DB414" i="3"/>
  <c r="DC414" i="3"/>
  <c r="A415" i="3"/>
  <c r="Y415" i="3"/>
  <c r="CX415" i="3"/>
  <c r="CY415" i="3"/>
  <c r="CZ415" i="3"/>
  <c r="DA415" i="3"/>
  <c r="DB415" i="3"/>
  <c r="DC415" i="3"/>
  <c r="A416" i="3"/>
  <c r="Y416" i="3"/>
  <c r="CX416" i="3" s="1"/>
  <c r="DH416" i="3" s="1"/>
  <c r="CY416" i="3"/>
  <c r="CZ416" i="3"/>
  <c r="DA416" i="3"/>
  <c r="DB416" i="3"/>
  <c r="DC416" i="3"/>
  <c r="A417" i="3"/>
  <c r="Y417" i="3"/>
  <c r="CX417" i="3" s="1"/>
  <c r="DG417" i="3" s="1"/>
  <c r="CY417" i="3"/>
  <c r="CZ417" i="3"/>
  <c r="DB417" i="3" s="1"/>
  <c r="DA417" i="3"/>
  <c r="DC417" i="3"/>
  <c r="DF417" i="3"/>
  <c r="DJ417" i="3" s="1"/>
  <c r="DH417" i="3"/>
  <c r="DI417" i="3"/>
  <c r="A418" i="3"/>
  <c r="Y418" i="3"/>
  <c r="CX418" i="3"/>
  <c r="DF418" i="3" s="1"/>
  <c r="DJ418" i="3" s="1"/>
  <c r="CY418" i="3"/>
  <c r="CZ418" i="3"/>
  <c r="DB418" i="3" s="1"/>
  <c r="DA418" i="3"/>
  <c r="DC418" i="3"/>
  <c r="DG418" i="3"/>
  <c r="DH418" i="3"/>
  <c r="DI418" i="3"/>
  <c r="A419" i="3"/>
  <c r="Y419" i="3"/>
  <c r="CY419" i="3"/>
  <c r="CZ419" i="3"/>
  <c r="DA419" i="3"/>
  <c r="DB419" i="3"/>
  <c r="DC419" i="3"/>
  <c r="A420" i="3"/>
  <c r="Y420" i="3"/>
  <c r="CY420" i="3"/>
  <c r="CZ420" i="3"/>
  <c r="DA420" i="3"/>
  <c r="DB420" i="3"/>
  <c r="DC420" i="3"/>
  <c r="A421" i="3"/>
  <c r="Y421" i="3"/>
  <c r="CY421" i="3"/>
  <c r="CZ421" i="3"/>
  <c r="DB421" i="3" s="1"/>
  <c r="DA421" i="3"/>
  <c r="DC421" i="3"/>
  <c r="A422" i="3"/>
  <c r="Y422" i="3"/>
  <c r="CY422" i="3"/>
  <c r="CZ422" i="3"/>
  <c r="DA422" i="3"/>
  <c r="DB422" i="3"/>
  <c r="DC422" i="3"/>
  <c r="A423" i="3"/>
  <c r="Y423" i="3"/>
  <c r="CY423" i="3"/>
  <c r="CZ423" i="3"/>
  <c r="DA423" i="3"/>
  <c r="DB423" i="3"/>
  <c r="DC423" i="3"/>
  <c r="A424" i="3"/>
  <c r="Y424" i="3"/>
  <c r="CY424" i="3"/>
  <c r="CZ424" i="3"/>
  <c r="DA424" i="3"/>
  <c r="DB424" i="3"/>
  <c r="DC424" i="3"/>
  <c r="A425" i="3"/>
  <c r="Y425" i="3"/>
  <c r="CY425" i="3"/>
  <c r="CZ425" i="3"/>
  <c r="DB425" i="3" s="1"/>
  <c r="DA425" i="3"/>
  <c r="DC425" i="3"/>
  <c r="A426" i="3"/>
  <c r="Y426" i="3"/>
  <c r="CY426" i="3"/>
  <c r="CZ426" i="3"/>
  <c r="DA426" i="3"/>
  <c r="DB426" i="3"/>
  <c r="DC426" i="3"/>
  <c r="A427" i="3"/>
  <c r="Y427" i="3"/>
  <c r="CY427" i="3"/>
  <c r="CZ427" i="3"/>
  <c r="DA427" i="3"/>
  <c r="DB427" i="3"/>
  <c r="DC427" i="3"/>
  <c r="A428" i="3"/>
  <c r="Y428" i="3"/>
  <c r="CY428" i="3"/>
  <c r="CZ428" i="3"/>
  <c r="DA428" i="3"/>
  <c r="DB428" i="3"/>
  <c r="DC428" i="3"/>
  <c r="A429" i="3"/>
  <c r="Y429" i="3"/>
  <c r="CY429" i="3"/>
  <c r="CZ429" i="3"/>
  <c r="DB429" i="3" s="1"/>
  <c r="DA429" i="3"/>
  <c r="DC429" i="3"/>
  <c r="A430" i="3"/>
  <c r="Y430" i="3"/>
  <c r="CY430" i="3"/>
  <c r="CZ430" i="3"/>
  <c r="DA430" i="3"/>
  <c r="DB430" i="3"/>
  <c r="DC430" i="3"/>
  <c r="A431" i="3"/>
  <c r="Y431" i="3"/>
  <c r="CY431" i="3"/>
  <c r="CZ431" i="3"/>
  <c r="DA431" i="3"/>
  <c r="DB431" i="3"/>
  <c r="DC431" i="3"/>
  <c r="A432" i="3"/>
  <c r="Y432" i="3"/>
  <c r="CY432" i="3"/>
  <c r="CZ432" i="3"/>
  <c r="DA432" i="3"/>
  <c r="DB432" i="3"/>
  <c r="DC432" i="3"/>
  <c r="A433" i="3"/>
  <c r="Y433" i="3"/>
  <c r="CY433" i="3"/>
  <c r="CZ433" i="3"/>
  <c r="DB433" i="3" s="1"/>
  <c r="DA433" i="3"/>
  <c r="DC433" i="3"/>
  <c r="A434" i="3"/>
  <c r="Y434" i="3"/>
  <c r="CY434" i="3"/>
  <c r="CZ434" i="3"/>
  <c r="DA434" i="3"/>
  <c r="DB434" i="3"/>
  <c r="DC434" i="3"/>
  <c r="A435" i="3"/>
  <c r="Y435" i="3"/>
  <c r="CY435" i="3"/>
  <c r="CZ435" i="3"/>
  <c r="DA435" i="3"/>
  <c r="DB435" i="3"/>
  <c r="DC435" i="3"/>
  <c r="A436" i="3"/>
  <c r="Y436" i="3"/>
  <c r="CY436" i="3"/>
  <c r="CZ436" i="3"/>
  <c r="DB436" i="3" s="1"/>
  <c r="DA436" i="3"/>
  <c r="DC436" i="3"/>
  <c r="A437" i="3"/>
  <c r="Y437" i="3"/>
  <c r="CY437" i="3"/>
  <c r="CZ437" i="3"/>
  <c r="DB437" i="3" s="1"/>
  <c r="DA437" i="3"/>
  <c r="DC437" i="3"/>
  <c r="A438" i="3"/>
  <c r="Y438" i="3"/>
  <c r="CY438" i="3"/>
  <c r="CZ438" i="3"/>
  <c r="DA438" i="3"/>
  <c r="DB438" i="3"/>
  <c r="DC438" i="3"/>
  <c r="A439" i="3"/>
  <c r="Y439" i="3"/>
  <c r="CY439" i="3"/>
  <c r="CZ439" i="3"/>
  <c r="DA439" i="3"/>
  <c r="DB439" i="3"/>
  <c r="DC439" i="3"/>
  <c r="A440" i="3"/>
  <c r="Y440" i="3"/>
  <c r="CY440" i="3"/>
  <c r="CZ440" i="3"/>
  <c r="DA440" i="3"/>
  <c r="DB440" i="3"/>
  <c r="DC440" i="3"/>
  <c r="A441" i="3"/>
  <c r="Y441" i="3"/>
  <c r="CY441" i="3"/>
  <c r="CZ441" i="3"/>
  <c r="DB441" i="3" s="1"/>
  <c r="DA441" i="3"/>
  <c r="DC441" i="3"/>
  <c r="A442" i="3"/>
  <c r="Y442" i="3"/>
  <c r="CY442" i="3"/>
  <c r="CZ442" i="3"/>
  <c r="DB442" i="3" s="1"/>
  <c r="DA442" i="3"/>
  <c r="DC442" i="3"/>
  <c r="A443" i="3"/>
  <c r="Y443" i="3"/>
  <c r="CY443" i="3"/>
  <c r="CZ443" i="3"/>
  <c r="DB443" i="3" s="1"/>
  <c r="DA443" i="3"/>
  <c r="DC443" i="3"/>
  <c r="A444" i="3"/>
  <c r="Y444" i="3"/>
  <c r="CY444" i="3"/>
  <c r="CZ444" i="3"/>
  <c r="DA444" i="3"/>
  <c r="DB444" i="3"/>
  <c r="DC444" i="3"/>
  <c r="A445" i="3"/>
  <c r="Y445" i="3"/>
  <c r="CY445" i="3"/>
  <c r="CZ445" i="3"/>
  <c r="DA445" i="3"/>
  <c r="DB445" i="3"/>
  <c r="DC445" i="3"/>
  <c r="A446" i="3"/>
  <c r="Y446" i="3"/>
  <c r="CY446" i="3"/>
  <c r="CZ446" i="3"/>
  <c r="DA446" i="3"/>
  <c r="DB446" i="3"/>
  <c r="DC446" i="3"/>
  <c r="A447" i="3"/>
  <c r="Y447" i="3"/>
  <c r="CY447" i="3"/>
  <c r="CZ447" i="3"/>
  <c r="DA447" i="3"/>
  <c r="DB447" i="3"/>
  <c r="DC447" i="3"/>
  <c r="A448" i="3"/>
  <c r="Y448" i="3"/>
  <c r="CY448" i="3"/>
  <c r="CZ448" i="3"/>
  <c r="DA448" i="3"/>
  <c r="DB448" i="3"/>
  <c r="DC448" i="3"/>
  <c r="A449" i="3"/>
  <c r="Y449" i="3"/>
  <c r="CY449" i="3"/>
  <c r="CZ449" i="3"/>
  <c r="DB449" i="3" s="1"/>
  <c r="DA449" i="3"/>
  <c r="DC449" i="3"/>
  <c r="A450" i="3"/>
  <c r="Y450" i="3"/>
  <c r="CY450" i="3"/>
  <c r="CZ450" i="3"/>
  <c r="DA450" i="3"/>
  <c r="DB450" i="3"/>
  <c r="DC450" i="3"/>
  <c r="A451" i="3"/>
  <c r="Y451" i="3"/>
  <c r="CY451" i="3"/>
  <c r="CZ451" i="3"/>
  <c r="DA451" i="3"/>
  <c r="DB451" i="3"/>
  <c r="DC451" i="3"/>
  <c r="A452" i="3"/>
  <c r="Y452" i="3"/>
  <c r="CY452" i="3"/>
  <c r="CZ452" i="3"/>
  <c r="DB452" i="3" s="1"/>
  <c r="DA452" i="3"/>
  <c r="DC452" i="3"/>
  <c r="A453" i="3"/>
  <c r="Y453" i="3"/>
  <c r="CY453" i="3"/>
  <c r="CZ453" i="3"/>
  <c r="DA453" i="3"/>
  <c r="DB453" i="3"/>
  <c r="DC453" i="3"/>
  <c r="A454" i="3"/>
  <c r="Y454" i="3"/>
  <c r="CY454" i="3"/>
  <c r="CZ454" i="3"/>
  <c r="DA454" i="3"/>
  <c r="DB454" i="3"/>
  <c r="DC454" i="3"/>
  <c r="A455" i="3"/>
  <c r="Y455" i="3"/>
  <c r="CY455" i="3"/>
  <c r="CZ455" i="3"/>
  <c r="DB455" i="3" s="1"/>
  <c r="DA455" i="3"/>
  <c r="DC455" i="3"/>
  <c r="A456" i="3"/>
  <c r="Y456" i="3"/>
  <c r="CY456" i="3"/>
  <c r="CZ456" i="3"/>
  <c r="DB456" i="3" s="1"/>
  <c r="DA456" i="3"/>
  <c r="DC456" i="3"/>
  <c r="A457" i="3"/>
  <c r="Y457" i="3"/>
  <c r="CY457" i="3"/>
  <c r="CZ457" i="3"/>
  <c r="DA457" i="3"/>
  <c r="DB457" i="3"/>
  <c r="DC457" i="3"/>
  <c r="A458" i="3"/>
  <c r="Y458" i="3"/>
  <c r="CY458" i="3"/>
  <c r="CZ458" i="3"/>
  <c r="DA458" i="3"/>
  <c r="DB458" i="3"/>
  <c r="DC458" i="3"/>
  <c r="A459" i="3"/>
  <c r="Y459" i="3"/>
  <c r="CY459" i="3"/>
  <c r="CZ459" i="3"/>
  <c r="DB459" i="3" s="1"/>
  <c r="DA459" i="3"/>
  <c r="DC459" i="3"/>
  <c r="A460" i="3"/>
  <c r="Y460" i="3"/>
  <c r="CY460" i="3"/>
  <c r="CZ460" i="3"/>
  <c r="DB460" i="3" s="1"/>
  <c r="DA460" i="3"/>
  <c r="DC460" i="3"/>
  <c r="A461" i="3"/>
  <c r="Y461" i="3"/>
  <c r="CY461" i="3"/>
  <c r="CZ461" i="3"/>
  <c r="DA461" i="3"/>
  <c r="DB461" i="3"/>
  <c r="DC461" i="3"/>
  <c r="A462" i="3"/>
  <c r="Y462" i="3"/>
  <c r="CY462" i="3"/>
  <c r="CZ462" i="3"/>
  <c r="DA462" i="3"/>
  <c r="DB462" i="3"/>
  <c r="DC462" i="3"/>
  <c r="A463" i="3"/>
  <c r="Y463" i="3"/>
  <c r="CY463" i="3"/>
  <c r="CZ463" i="3"/>
  <c r="DB463" i="3" s="1"/>
  <c r="DA463" i="3"/>
  <c r="DC463" i="3"/>
  <c r="A464" i="3"/>
  <c r="Y464" i="3"/>
  <c r="CY464" i="3"/>
  <c r="CZ464" i="3"/>
  <c r="DB464" i="3" s="1"/>
  <c r="DA464" i="3"/>
  <c r="DC464" i="3"/>
  <c r="A465" i="3"/>
  <c r="Y465" i="3"/>
  <c r="CY465" i="3"/>
  <c r="CZ465" i="3"/>
  <c r="DA465" i="3"/>
  <c r="DB465" i="3"/>
  <c r="DC465" i="3"/>
  <c r="A466" i="3"/>
  <c r="Y466" i="3"/>
  <c r="CY466" i="3"/>
  <c r="CZ466" i="3"/>
  <c r="DA466" i="3"/>
  <c r="DB466" i="3"/>
  <c r="DC466" i="3"/>
  <c r="A467" i="3"/>
  <c r="Y467" i="3"/>
  <c r="CY467" i="3"/>
  <c r="CZ467" i="3"/>
  <c r="DB467" i="3" s="1"/>
  <c r="DA467" i="3"/>
  <c r="DC467" i="3"/>
  <c r="A468" i="3"/>
  <c r="Y468" i="3"/>
  <c r="CY468" i="3"/>
  <c r="CZ468" i="3"/>
  <c r="DB468" i="3" s="1"/>
  <c r="DA468" i="3"/>
  <c r="DC468" i="3"/>
  <c r="A469" i="3"/>
  <c r="Y469" i="3"/>
  <c r="CY469" i="3"/>
  <c r="CZ469" i="3"/>
  <c r="DA469" i="3"/>
  <c r="DB469" i="3"/>
  <c r="DC469" i="3"/>
  <c r="A470" i="3"/>
  <c r="Y470" i="3"/>
  <c r="CY470" i="3"/>
  <c r="CZ470" i="3"/>
  <c r="DA470" i="3"/>
  <c r="DB470" i="3"/>
  <c r="DC470" i="3"/>
  <c r="A471" i="3"/>
  <c r="Y471" i="3"/>
  <c r="CY471" i="3"/>
  <c r="CZ471" i="3"/>
  <c r="DB471" i="3" s="1"/>
  <c r="DA471" i="3"/>
  <c r="DC471" i="3"/>
  <c r="A472" i="3"/>
  <c r="Y472" i="3"/>
  <c r="CY472" i="3"/>
  <c r="CZ472" i="3"/>
  <c r="DB472" i="3" s="1"/>
  <c r="DA472" i="3"/>
  <c r="DC472" i="3"/>
  <c r="A473" i="3"/>
  <c r="Y473" i="3"/>
  <c r="CY473" i="3"/>
  <c r="CZ473" i="3"/>
  <c r="DA473" i="3"/>
  <c r="DB473" i="3"/>
  <c r="DC473" i="3"/>
  <c r="A474" i="3"/>
  <c r="Y474" i="3"/>
  <c r="CY474" i="3"/>
  <c r="CZ474" i="3"/>
  <c r="DA474" i="3"/>
  <c r="DB474" i="3"/>
  <c r="DC474" i="3"/>
  <c r="A475" i="3"/>
  <c r="Y475" i="3"/>
  <c r="CY475" i="3"/>
  <c r="CZ475" i="3"/>
  <c r="DB475" i="3" s="1"/>
  <c r="DA475" i="3"/>
  <c r="DC475" i="3"/>
  <c r="A476" i="3"/>
  <c r="Y476" i="3"/>
  <c r="CY476" i="3"/>
  <c r="CZ476" i="3"/>
  <c r="DB476" i="3" s="1"/>
  <c r="DA476" i="3"/>
  <c r="DC476" i="3"/>
  <c r="A477" i="3"/>
  <c r="Y477" i="3"/>
  <c r="CY477" i="3"/>
  <c r="CZ477" i="3"/>
  <c r="DA477" i="3"/>
  <c r="DB477" i="3"/>
  <c r="DC477" i="3"/>
  <c r="A478" i="3"/>
  <c r="Y478" i="3"/>
  <c r="CY478" i="3"/>
  <c r="CZ478" i="3"/>
  <c r="DA478" i="3"/>
  <c r="DB478" i="3"/>
  <c r="DC478" i="3"/>
  <c r="A479" i="3"/>
  <c r="Y479" i="3"/>
  <c r="CY479" i="3"/>
  <c r="CZ479" i="3"/>
  <c r="DB479" i="3" s="1"/>
  <c r="DA479" i="3"/>
  <c r="DC479" i="3"/>
  <c r="A480" i="3"/>
  <c r="Y480" i="3"/>
  <c r="CY480" i="3"/>
  <c r="CZ480" i="3"/>
  <c r="DB480" i="3" s="1"/>
  <c r="DA480" i="3"/>
  <c r="DC480" i="3"/>
  <c r="A481" i="3"/>
  <c r="Y481" i="3"/>
  <c r="CY481" i="3"/>
  <c r="CZ481" i="3"/>
  <c r="DB481" i="3" s="1"/>
  <c r="DA481" i="3"/>
  <c r="DC481" i="3"/>
  <c r="A482" i="3"/>
  <c r="Y482" i="3"/>
  <c r="CY482" i="3"/>
  <c r="CZ482" i="3"/>
  <c r="DA482" i="3"/>
  <c r="DB482" i="3"/>
  <c r="DC482" i="3"/>
  <c r="A483" i="3"/>
  <c r="Y483" i="3"/>
  <c r="CY483" i="3"/>
  <c r="CZ483" i="3"/>
  <c r="DB483" i="3" s="1"/>
  <c r="DA483" i="3"/>
  <c r="DC483" i="3"/>
  <c r="A484" i="3"/>
  <c r="Y484" i="3"/>
  <c r="CY484" i="3"/>
  <c r="CZ484" i="3"/>
  <c r="DA484" i="3"/>
  <c r="DB484" i="3"/>
  <c r="DC484" i="3"/>
  <c r="A485" i="3"/>
  <c r="Y485" i="3"/>
  <c r="CY485" i="3"/>
  <c r="CZ485" i="3"/>
  <c r="DB485" i="3" s="1"/>
  <c r="DA485" i="3"/>
  <c r="DC485" i="3"/>
  <c r="A486" i="3"/>
  <c r="Y486" i="3"/>
  <c r="CY486" i="3"/>
  <c r="CZ486" i="3"/>
  <c r="DB486" i="3" s="1"/>
  <c r="DA486" i="3"/>
  <c r="DC486" i="3"/>
  <c r="A487" i="3"/>
  <c r="Y487" i="3"/>
  <c r="CY487" i="3"/>
  <c r="CZ487" i="3"/>
  <c r="DB487" i="3" s="1"/>
  <c r="DA487" i="3"/>
  <c r="DC487" i="3"/>
  <c r="A488" i="3"/>
  <c r="Y488" i="3"/>
  <c r="CY488" i="3"/>
  <c r="CZ488" i="3"/>
  <c r="DA488" i="3"/>
  <c r="DB488" i="3"/>
  <c r="DC488" i="3"/>
  <c r="A489" i="3"/>
  <c r="Y489" i="3"/>
  <c r="CY489" i="3"/>
  <c r="CZ489" i="3"/>
  <c r="DA489" i="3"/>
  <c r="DB489" i="3"/>
  <c r="DC489" i="3"/>
  <c r="A490" i="3"/>
  <c r="Y490" i="3"/>
  <c r="CY490" i="3"/>
  <c r="CZ490" i="3"/>
  <c r="DB490" i="3" s="1"/>
  <c r="DA490" i="3"/>
  <c r="DC490" i="3"/>
  <c r="A491" i="3"/>
  <c r="Y491" i="3"/>
  <c r="CY491" i="3"/>
  <c r="CZ491" i="3"/>
  <c r="DA491" i="3"/>
  <c r="DB491" i="3"/>
  <c r="DC491" i="3"/>
  <c r="A492" i="3"/>
  <c r="Y492" i="3"/>
  <c r="CY492" i="3"/>
  <c r="CZ492" i="3"/>
  <c r="DB492" i="3" s="1"/>
  <c r="DA492" i="3"/>
  <c r="DC492" i="3"/>
  <c r="A493" i="3"/>
  <c r="Y493" i="3"/>
  <c r="CY493" i="3"/>
  <c r="CZ493" i="3"/>
  <c r="DB493" i="3" s="1"/>
  <c r="DA493" i="3"/>
  <c r="DC493" i="3"/>
  <c r="A494" i="3"/>
  <c r="Y494" i="3"/>
  <c r="CY494" i="3"/>
  <c r="CZ494" i="3"/>
  <c r="DA494" i="3"/>
  <c r="DB494" i="3"/>
  <c r="DC494" i="3"/>
  <c r="A495" i="3"/>
  <c r="Y495" i="3"/>
  <c r="CY495" i="3"/>
  <c r="CZ495" i="3"/>
  <c r="DA495" i="3"/>
  <c r="DB495" i="3"/>
  <c r="DC495" i="3"/>
  <c r="A496" i="3"/>
  <c r="Y496" i="3"/>
  <c r="CY496" i="3"/>
  <c r="CZ496" i="3"/>
  <c r="DB496" i="3" s="1"/>
  <c r="DA496" i="3"/>
  <c r="DC496" i="3"/>
  <c r="A497" i="3"/>
  <c r="Y497" i="3"/>
  <c r="CY497" i="3"/>
  <c r="CZ497" i="3"/>
  <c r="DB497" i="3" s="1"/>
  <c r="DA497" i="3"/>
  <c r="DC497" i="3"/>
  <c r="A498" i="3"/>
  <c r="Y498" i="3"/>
  <c r="CY498" i="3"/>
  <c r="CZ498" i="3"/>
  <c r="DB498" i="3" s="1"/>
  <c r="DA498" i="3"/>
  <c r="DC498" i="3"/>
  <c r="A499" i="3"/>
  <c r="Y499" i="3"/>
  <c r="CY499" i="3"/>
  <c r="CZ499" i="3"/>
  <c r="DB499" i="3" s="1"/>
  <c r="DA499" i="3"/>
  <c r="DC499" i="3"/>
  <c r="A500" i="3"/>
  <c r="Y500" i="3"/>
  <c r="CY500" i="3"/>
  <c r="CZ500" i="3"/>
  <c r="DB500" i="3" s="1"/>
  <c r="DA500" i="3"/>
  <c r="DC500" i="3"/>
  <c r="A501" i="3"/>
  <c r="Y501" i="3"/>
  <c r="CY501" i="3"/>
  <c r="CZ501" i="3"/>
  <c r="DA501" i="3"/>
  <c r="DB501" i="3"/>
  <c r="DC501" i="3"/>
  <c r="A502" i="3"/>
  <c r="Y502" i="3"/>
  <c r="CY502" i="3"/>
  <c r="CZ502" i="3"/>
  <c r="DA502" i="3"/>
  <c r="DB502" i="3"/>
  <c r="DC502" i="3"/>
  <c r="A503" i="3"/>
  <c r="Y503" i="3"/>
  <c r="CY503" i="3"/>
  <c r="CZ503" i="3"/>
  <c r="DA503" i="3"/>
  <c r="DB503" i="3"/>
  <c r="DC503" i="3"/>
  <c r="A504" i="3"/>
  <c r="Y504" i="3"/>
  <c r="CY504" i="3"/>
  <c r="CZ504" i="3"/>
  <c r="DA504" i="3"/>
  <c r="DB504" i="3"/>
  <c r="DC504" i="3"/>
  <c r="A505" i="3"/>
  <c r="Y505" i="3"/>
  <c r="CY505" i="3"/>
  <c r="CZ505" i="3"/>
  <c r="DB505" i="3" s="1"/>
  <c r="DA505" i="3"/>
  <c r="DC505" i="3"/>
  <c r="A506" i="3"/>
  <c r="Y506" i="3"/>
  <c r="CY506" i="3"/>
  <c r="CZ506" i="3"/>
  <c r="DB506" i="3" s="1"/>
  <c r="DA506" i="3"/>
  <c r="DC506" i="3"/>
  <c r="A507" i="3"/>
  <c r="Y507" i="3"/>
  <c r="CY507" i="3"/>
  <c r="CZ507" i="3"/>
  <c r="DB507" i="3" s="1"/>
  <c r="DA507" i="3"/>
  <c r="DC507" i="3"/>
  <c r="A508" i="3"/>
  <c r="Y508" i="3"/>
  <c r="CY508" i="3"/>
  <c r="CZ508" i="3"/>
  <c r="DB508" i="3" s="1"/>
  <c r="DA508" i="3"/>
  <c r="DC508" i="3"/>
  <c r="A509" i="3"/>
  <c r="Y509" i="3"/>
  <c r="CY509" i="3"/>
  <c r="CZ509" i="3"/>
  <c r="DA509" i="3"/>
  <c r="DB509" i="3"/>
  <c r="DC509" i="3"/>
  <c r="A510" i="3"/>
  <c r="Y510" i="3"/>
  <c r="CY510" i="3"/>
  <c r="CZ510" i="3"/>
  <c r="DA510" i="3"/>
  <c r="DB510" i="3"/>
  <c r="DC510" i="3"/>
  <c r="A511" i="3"/>
  <c r="Y511" i="3"/>
  <c r="CY511" i="3"/>
  <c r="CZ511" i="3"/>
  <c r="DA511" i="3"/>
  <c r="DB511" i="3"/>
  <c r="DC511" i="3"/>
  <c r="A512" i="3"/>
  <c r="Y512" i="3"/>
  <c r="CY512" i="3"/>
  <c r="CZ512" i="3"/>
  <c r="DB512" i="3" s="1"/>
  <c r="DA512" i="3"/>
  <c r="DC512" i="3"/>
  <c r="A513" i="3"/>
  <c r="Y513" i="3"/>
  <c r="CY513" i="3"/>
  <c r="CZ513" i="3"/>
  <c r="DB513" i="3" s="1"/>
  <c r="DA513" i="3"/>
  <c r="DC513" i="3"/>
  <c r="A514" i="3"/>
  <c r="Y514" i="3"/>
  <c r="CY514" i="3"/>
  <c r="CZ514" i="3"/>
  <c r="DB514" i="3" s="1"/>
  <c r="DA514" i="3"/>
  <c r="DC514" i="3"/>
  <c r="A515" i="3"/>
  <c r="Y515" i="3"/>
  <c r="CY515" i="3"/>
  <c r="CZ515" i="3"/>
  <c r="DB515" i="3" s="1"/>
  <c r="DA515" i="3"/>
  <c r="DC515" i="3"/>
  <c r="A516" i="3"/>
  <c r="Y516" i="3"/>
  <c r="CY516" i="3"/>
  <c r="CZ516" i="3"/>
  <c r="DA516" i="3"/>
  <c r="DB516" i="3"/>
  <c r="DC516" i="3"/>
  <c r="A517" i="3"/>
  <c r="Y517" i="3"/>
  <c r="CY517" i="3"/>
  <c r="CZ517" i="3"/>
  <c r="DB517" i="3" s="1"/>
  <c r="DA517" i="3"/>
  <c r="DC517" i="3"/>
  <c r="A518" i="3"/>
  <c r="Y518" i="3"/>
  <c r="CY518" i="3"/>
  <c r="CZ518" i="3"/>
  <c r="DA518" i="3"/>
  <c r="DB518" i="3"/>
  <c r="DC518" i="3"/>
  <c r="A519" i="3"/>
  <c r="Y519" i="3"/>
  <c r="CY519" i="3"/>
  <c r="CZ519" i="3"/>
  <c r="DB519" i="3" s="1"/>
  <c r="DA519" i="3"/>
  <c r="DC519" i="3"/>
  <c r="A520" i="3"/>
  <c r="Y520" i="3"/>
  <c r="CY520" i="3"/>
  <c r="CZ520" i="3"/>
  <c r="DA520" i="3"/>
  <c r="DB520" i="3"/>
  <c r="DC520" i="3"/>
  <c r="A521" i="3"/>
  <c r="Y521" i="3"/>
  <c r="CY521" i="3"/>
  <c r="CZ521" i="3"/>
  <c r="DA521" i="3"/>
  <c r="DB521" i="3"/>
  <c r="DC521" i="3"/>
  <c r="A522" i="3"/>
  <c r="Y522" i="3"/>
  <c r="CY522" i="3"/>
  <c r="CZ522" i="3"/>
  <c r="DB522" i="3" s="1"/>
  <c r="DA522" i="3"/>
  <c r="DC522" i="3"/>
  <c r="A523" i="3"/>
  <c r="Y523" i="3"/>
  <c r="CY523" i="3"/>
  <c r="CZ523" i="3"/>
  <c r="DB523" i="3" s="1"/>
  <c r="DA523" i="3"/>
  <c r="DC523" i="3"/>
  <c r="A524" i="3"/>
  <c r="Y524" i="3"/>
  <c r="CY524" i="3"/>
  <c r="CZ524" i="3"/>
  <c r="DA524" i="3"/>
  <c r="DB524" i="3"/>
  <c r="DC524" i="3"/>
  <c r="A525" i="3"/>
  <c r="Y525" i="3"/>
  <c r="CY525" i="3"/>
  <c r="CZ525" i="3"/>
  <c r="DB525" i="3" s="1"/>
  <c r="DA525" i="3"/>
  <c r="DC525" i="3"/>
  <c r="A526" i="3"/>
  <c r="Y526" i="3"/>
  <c r="CY526" i="3"/>
  <c r="CZ526" i="3"/>
  <c r="DB526" i="3" s="1"/>
  <c r="DA526" i="3"/>
  <c r="DC526" i="3"/>
  <c r="A527" i="3"/>
  <c r="Y527" i="3"/>
  <c r="CY527" i="3"/>
  <c r="CZ527" i="3"/>
  <c r="DA527" i="3"/>
  <c r="DB527" i="3"/>
  <c r="DC527" i="3"/>
  <c r="A528" i="3"/>
  <c r="Y528" i="3"/>
  <c r="CY528" i="3"/>
  <c r="CZ528" i="3"/>
  <c r="DA528" i="3"/>
  <c r="DB528" i="3"/>
  <c r="DC528" i="3"/>
  <c r="A529" i="3"/>
  <c r="Y529" i="3"/>
  <c r="CY529" i="3"/>
  <c r="CZ529" i="3"/>
  <c r="DA529" i="3"/>
  <c r="DB529" i="3"/>
  <c r="DC529" i="3"/>
  <c r="A530" i="3"/>
  <c r="Y530" i="3"/>
  <c r="CY530" i="3"/>
  <c r="CZ530" i="3"/>
  <c r="DA530" i="3"/>
  <c r="DB530" i="3"/>
  <c r="DC530" i="3"/>
  <c r="A531" i="3"/>
  <c r="Y531" i="3"/>
  <c r="CY531" i="3"/>
  <c r="CZ531" i="3"/>
  <c r="DA531" i="3"/>
  <c r="DB531" i="3"/>
  <c r="DC531" i="3"/>
  <c r="A532" i="3"/>
  <c r="Y532" i="3"/>
  <c r="CY532" i="3"/>
  <c r="CZ532" i="3"/>
  <c r="DB532" i="3" s="1"/>
  <c r="DA532" i="3"/>
  <c r="DC532" i="3"/>
  <c r="A533" i="3"/>
  <c r="Y533" i="3"/>
  <c r="CY533" i="3"/>
  <c r="CZ533" i="3"/>
  <c r="DA533" i="3"/>
  <c r="DB533" i="3"/>
  <c r="DC533" i="3"/>
  <c r="A534" i="3"/>
  <c r="Y534" i="3"/>
  <c r="CY534" i="3"/>
  <c r="CZ534" i="3"/>
  <c r="DB534" i="3" s="1"/>
  <c r="DA534" i="3"/>
  <c r="DC534" i="3"/>
  <c r="A535" i="3"/>
  <c r="Y535" i="3"/>
  <c r="CY535" i="3"/>
  <c r="CZ535" i="3"/>
  <c r="DA535" i="3"/>
  <c r="DB535" i="3"/>
  <c r="DC535" i="3"/>
  <c r="A536" i="3"/>
  <c r="Y536" i="3"/>
  <c r="CY536" i="3"/>
  <c r="CZ536" i="3"/>
  <c r="DA536" i="3"/>
  <c r="DB536" i="3"/>
  <c r="DC536" i="3"/>
  <c r="A537" i="3"/>
  <c r="Y537" i="3"/>
  <c r="CY537" i="3"/>
  <c r="CZ537" i="3"/>
  <c r="DB537" i="3" s="1"/>
  <c r="DA537" i="3"/>
  <c r="DC537" i="3"/>
  <c r="A538" i="3"/>
  <c r="Y538" i="3"/>
  <c r="CY538" i="3"/>
  <c r="CZ538" i="3"/>
  <c r="DB538" i="3" s="1"/>
  <c r="DA538" i="3"/>
  <c r="DC538" i="3"/>
  <c r="A539" i="3"/>
  <c r="Y539" i="3"/>
  <c r="CY539" i="3"/>
  <c r="CZ539" i="3"/>
  <c r="DB539" i="3" s="1"/>
  <c r="DA539" i="3"/>
  <c r="DC539" i="3"/>
  <c r="A540" i="3"/>
  <c r="Y540" i="3"/>
  <c r="CY540" i="3"/>
  <c r="CZ540" i="3"/>
  <c r="DA540" i="3"/>
  <c r="DB540" i="3"/>
  <c r="DC540" i="3"/>
  <c r="A541" i="3"/>
  <c r="Y541" i="3"/>
  <c r="CY541" i="3"/>
  <c r="CZ541" i="3"/>
  <c r="DA541" i="3"/>
  <c r="DB541" i="3"/>
  <c r="DC541" i="3"/>
  <c r="A542" i="3"/>
  <c r="Y542" i="3"/>
  <c r="CY542" i="3"/>
  <c r="CZ542" i="3"/>
  <c r="DA542" i="3"/>
  <c r="DB542" i="3"/>
  <c r="DC542" i="3"/>
  <c r="A543" i="3"/>
  <c r="Y543" i="3"/>
  <c r="CY543" i="3"/>
  <c r="CZ543" i="3"/>
  <c r="DB543" i="3" s="1"/>
  <c r="DA543" i="3"/>
  <c r="DC543" i="3"/>
  <c r="A544" i="3"/>
  <c r="Y544" i="3"/>
  <c r="CY544" i="3"/>
  <c r="CZ544" i="3"/>
  <c r="DB544" i="3" s="1"/>
  <c r="DA544" i="3"/>
  <c r="DC544" i="3"/>
  <c r="A545" i="3"/>
  <c r="Y545" i="3"/>
  <c r="CY545" i="3"/>
  <c r="CZ545" i="3"/>
  <c r="DA545" i="3"/>
  <c r="DB545" i="3"/>
  <c r="DC545" i="3"/>
  <c r="A546" i="3"/>
  <c r="Y546" i="3"/>
  <c r="CY546" i="3"/>
  <c r="CZ546" i="3"/>
  <c r="DA546" i="3"/>
  <c r="DB546" i="3"/>
  <c r="DC546" i="3"/>
  <c r="A547" i="3"/>
  <c r="Y547" i="3"/>
  <c r="CY547" i="3"/>
  <c r="CZ547" i="3"/>
  <c r="DA547" i="3"/>
  <c r="DB547" i="3"/>
  <c r="DC547" i="3"/>
  <c r="A548" i="3"/>
  <c r="Y548" i="3"/>
  <c r="CY548" i="3"/>
  <c r="CZ548" i="3"/>
  <c r="DA548" i="3"/>
  <c r="DB548" i="3"/>
  <c r="DC548" i="3"/>
  <c r="A549" i="3"/>
  <c r="Y549" i="3"/>
  <c r="CY549" i="3"/>
  <c r="CZ549" i="3"/>
  <c r="DB549" i="3" s="1"/>
  <c r="DA549" i="3"/>
  <c r="DC549" i="3"/>
  <c r="A550" i="3"/>
  <c r="Y550" i="3"/>
  <c r="CY550" i="3"/>
  <c r="CZ550" i="3"/>
  <c r="DA550" i="3"/>
  <c r="DB550" i="3"/>
  <c r="DC550" i="3"/>
  <c r="A551" i="3"/>
  <c r="Y551" i="3"/>
  <c r="CY551" i="3"/>
  <c r="CZ551" i="3"/>
  <c r="DB551" i="3" s="1"/>
  <c r="DA551" i="3"/>
  <c r="DC551" i="3"/>
  <c r="A552" i="3"/>
  <c r="Y552" i="3"/>
  <c r="CY552" i="3"/>
  <c r="CZ552" i="3"/>
  <c r="DA552" i="3"/>
  <c r="DB552" i="3"/>
  <c r="DC552" i="3"/>
  <c r="A553" i="3"/>
  <c r="Y553" i="3"/>
  <c r="CY553" i="3"/>
  <c r="CZ553" i="3"/>
  <c r="DA553" i="3"/>
  <c r="DB553" i="3"/>
  <c r="DC553" i="3"/>
  <c r="A554" i="3"/>
  <c r="Y554" i="3"/>
  <c r="CY554" i="3"/>
  <c r="CZ554" i="3"/>
  <c r="DB554" i="3" s="1"/>
  <c r="DA554" i="3"/>
  <c r="DC554" i="3"/>
  <c r="A555" i="3"/>
  <c r="Y555" i="3"/>
  <c r="CY555" i="3"/>
  <c r="CZ555" i="3"/>
  <c r="DB555" i="3" s="1"/>
  <c r="DA555" i="3"/>
  <c r="DC555" i="3"/>
  <c r="A556" i="3"/>
  <c r="Y556" i="3"/>
  <c r="CY556" i="3"/>
  <c r="CZ556" i="3"/>
  <c r="DB556" i="3" s="1"/>
  <c r="DA556" i="3"/>
  <c r="DC556" i="3"/>
  <c r="A557" i="3"/>
  <c r="Y557" i="3"/>
  <c r="CY557" i="3"/>
  <c r="CZ557" i="3"/>
  <c r="DA557" i="3"/>
  <c r="DB557" i="3"/>
  <c r="DC557" i="3"/>
  <c r="A558" i="3"/>
  <c r="Y558" i="3"/>
  <c r="CY558" i="3"/>
  <c r="CZ558" i="3"/>
  <c r="DA558" i="3"/>
  <c r="DB558" i="3"/>
  <c r="DC558" i="3"/>
  <c r="A559" i="3"/>
  <c r="Y559" i="3"/>
  <c r="CY559" i="3"/>
  <c r="CZ559" i="3"/>
  <c r="DA559" i="3"/>
  <c r="DB559" i="3"/>
  <c r="DC559" i="3"/>
  <c r="A560" i="3"/>
  <c r="Y560" i="3"/>
  <c r="CY560" i="3"/>
  <c r="CZ560" i="3"/>
  <c r="DB560" i="3" s="1"/>
  <c r="DA560" i="3"/>
  <c r="DC560" i="3"/>
  <c r="A561" i="3"/>
  <c r="Y561" i="3"/>
  <c r="CY561" i="3"/>
  <c r="CZ561" i="3"/>
  <c r="DB561" i="3" s="1"/>
  <c r="DA561" i="3"/>
  <c r="DC561" i="3"/>
  <c r="A562" i="3"/>
  <c r="Y562" i="3"/>
  <c r="CY562" i="3"/>
  <c r="CZ562" i="3"/>
  <c r="DA562" i="3"/>
  <c r="DB562" i="3"/>
  <c r="DC562" i="3"/>
  <c r="A563" i="3"/>
  <c r="Y563" i="3"/>
  <c r="CY563" i="3"/>
  <c r="CZ563" i="3"/>
  <c r="DA563" i="3"/>
  <c r="DB563" i="3"/>
  <c r="DC563" i="3"/>
  <c r="A564" i="3"/>
  <c r="Y564" i="3"/>
  <c r="CY564" i="3"/>
  <c r="CZ564" i="3"/>
  <c r="DA564" i="3"/>
  <c r="DB564" i="3"/>
  <c r="DC564" i="3"/>
  <c r="A565" i="3"/>
  <c r="Y565" i="3"/>
  <c r="CY565" i="3"/>
  <c r="CZ565" i="3"/>
  <c r="DA565" i="3"/>
  <c r="DB565" i="3"/>
  <c r="DC565" i="3"/>
  <c r="A566" i="3"/>
  <c r="Y566" i="3"/>
  <c r="CY566" i="3"/>
  <c r="CZ566" i="3"/>
  <c r="DB566" i="3" s="1"/>
  <c r="DA566" i="3"/>
  <c r="DC566" i="3"/>
  <c r="A567" i="3"/>
  <c r="Y567" i="3"/>
  <c r="CY567" i="3"/>
  <c r="CZ567" i="3"/>
  <c r="DA567" i="3"/>
  <c r="DB567" i="3"/>
  <c r="DC567" i="3"/>
  <c r="A568" i="3"/>
  <c r="Y568" i="3"/>
  <c r="CY568" i="3"/>
  <c r="CZ568" i="3"/>
  <c r="DB568" i="3" s="1"/>
  <c r="DA568" i="3"/>
  <c r="DC568" i="3"/>
  <c r="A569" i="3"/>
  <c r="Y569" i="3"/>
  <c r="CY569" i="3"/>
  <c r="CZ569" i="3"/>
  <c r="DA569" i="3"/>
  <c r="DB569" i="3"/>
  <c r="DC569" i="3"/>
  <c r="A570" i="3"/>
  <c r="Y570" i="3"/>
  <c r="CY570" i="3"/>
  <c r="CZ570" i="3"/>
  <c r="DA570" i="3"/>
  <c r="DB570" i="3"/>
  <c r="DC570" i="3"/>
  <c r="A571" i="3"/>
  <c r="Y571" i="3"/>
  <c r="CY571" i="3"/>
  <c r="CZ571" i="3"/>
  <c r="DB571" i="3" s="1"/>
  <c r="DA571" i="3"/>
  <c r="DC571" i="3"/>
  <c r="A572" i="3"/>
  <c r="Y572" i="3"/>
  <c r="CY572" i="3"/>
  <c r="CZ572" i="3"/>
  <c r="DB572" i="3" s="1"/>
  <c r="DA572" i="3"/>
  <c r="DC572" i="3"/>
  <c r="A573" i="3"/>
  <c r="Y573" i="3"/>
  <c r="CY573" i="3"/>
  <c r="CZ573" i="3"/>
  <c r="DB573" i="3" s="1"/>
  <c r="DA573" i="3"/>
  <c r="DC573" i="3"/>
  <c r="A574" i="3"/>
  <c r="Y574" i="3"/>
  <c r="CY574" i="3"/>
  <c r="CZ574" i="3"/>
  <c r="DA574" i="3"/>
  <c r="DB574" i="3"/>
  <c r="DC574" i="3"/>
  <c r="A575" i="3"/>
  <c r="Y575" i="3"/>
  <c r="CY575" i="3"/>
  <c r="CZ575" i="3"/>
  <c r="DA575" i="3"/>
  <c r="DB575" i="3"/>
  <c r="DC575" i="3"/>
  <c r="A576" i="3"/>
  <c r="Y576" i="3"/>
  <c r="CY576" i="3"/>
  <c r="CZ576" i="3"/>
  <c r="DA576" i="3"/>
  <c r="DB576" i="3"/>
  <c r="DC576" i="3"/>
  <c r="A577" i="3"/>
  <c r="Y577" i="3"/>
  <c r="CY577" i="3"/>
  <c r="CZ577" i="3"/>
  <c r="DB577" i="3" s="1"/>
  <c r="DA577" i="3"/>
  <c r="DC577" i="3"/>
  <c r="A578" i="3"/>
  <c r="Y578" i="3"/>
  <c r="CY578" i="3"/>
  <c r="CZ578" i="3"/>
  <c r="DB578" i="3" s="1"/>
  <c r="DA578" i="3"/>
  <c r="DC578" i="3"/>
  <c r="A579" i="3"/>
  <c r="Y579" i="3"/>
  <c r="CY579" i="3"/>
  <c r="CZ579" i="3"/>
  <c r="DA579" i="3"/>
  <c r="DB579" i="3"/>
  <c r="DC579" i="3"/>
  <c r="A580" i="3"/>
  <c r="Y580" i="3"/>
  <c r="CY580" i="3"/>
  <c r="CZ580" i="3"/>
  <c r="DA580" i="3"/>
  <c r="DB580" i="3"/>
  <c r="DC580" i="3"/>
  <c r="A581" i="3"/>
  <c r="Y581" i="3"/>
  <c r="CY581" i="3"/>
  <c r="CZ581" i="3"/>
  <c r="DA581" i="3"/>
  <c r="DB581" i="3"/>
  <c r="DC581" i="3"/>
  <c r="A582" i="3"/>
  <c r="Y582" i="3"/>
  <c r="CY582" i="3"/>
  <c r="CZ582" i="3"/>
  <c r="DA582" i="3"/>
  <c r="DB582" i="3"/>
  <c r="DC582" i="3"/>
  <c r="A583" i="3"/>
  <c r="Y583" i="3"/>
  <c r="CY583" i="3"/>
  <c r="CZ583" i="3"/>
  <c r="DB583" i="3" s="1"/>
  <c r="DA583" i="3"/>
  <c r="DC583" i="3"/>
  <c r="A584" i="3"/>
  <c r="Y584" i="3"/>
  <c r="CY584" i="3"/>
  <c r="CZ584" i="3"/>
  <c r="DA584" i="3"/>
  <c r="DB584" i="3"/>
  <c r="DC584" i="3"/>
  <c r="A585" i="3"/>
  <c r="Y585" i="3"/>
  <c r="CY585" i="3"/>
  <c r="CZ585" i="3"/>
  <c r="DA585" i="3"/>
  <c r="DB585" i="3"/>
  <c r="DC585" i="3"/>
  <c r="A586" i="3"/>
  <c r="Y586" i="3"/>
  <c r="CY586" i="3"/>
  <c r="CZ586" i="3"/>
  <c r="DB586" i="3" s="1"/>
  <c r="DA586" i="3"/>
  <c r="DC586" i="3"/>
  <c r="A587" i="3"/>
  <c r="Y587" i="3"/>
  <c r="CY587" i="3"/>
  <c r="CZ587" i="3"/>
  <c r="DA587" i="3"/>
  <c r="DB587" i="3"/>
  <c r="DC587" i="3"/>
  <c r="A588" i="3"/>
  <c r="Y588" i="3"/>
  <c r="CY588" i="3"/>
  <c r="CZ588" i="3"/>
  <c r="DA588" i="3"/>
  <c r="DB588" i="3"/>
  <c r="DC588" i="3"/>
  <c r="A589" i="3"/>
  <c r="Y589" i="3"/>
  <c r="CY589" i="3"/>
  <c r="CZ589" i="3"/>
  <c r="DA589" i="3"/>
  <c r="DB589" i="3"/>
  <c r="DC589" i="3"/>
  <c r="A590" i="3"/>
  <c r="Y590" i="3"/>
  <c r="CY590" i="3"/>
  <c r="CZ590" i="3"/>
  <c r="DA590" i="3"/>
  <c r="DB590" i="3"/>
  <c r="DC590" i="3"/>
  <c r="A591" i="3"/>
  <c r="Y591" i="3"/>
  <c r="CY591" i="3"/>
  <c r="CZ591" i="3"/>
  <c r="DB591" i="3" s="1"/>
  <c r="DA591" i="3"/>
  <c r="DC591" i="3"/>
  <c r="A592" i="3"/>
  <c r="Y592" i="3"/>
  <c r="CY592" i="3"/>
  <c r="CZ592" i="3"/>
  <c r="DA592" i="3"/>
  <c r="DB592" i="3"/>
  <c r="DC592" i="3"/>
  <c r="A593" i="3"/>
  <c r="Y593" i="3"/>
  <c r="CY593" i="3"/>
  <c r="CZ593" i="3"/>
  <c r="DB593" i="3" s="1"/>
  <c r="DA593" i="3"/>
  <c r="DC593" i="3"/>
  <c r="A594" i="3"/>
  <c r="Y594" i="3"/>
  <c r="CY594" i="3"/>
  <c r="CZ594" i="3"/>
  <c r="DB594" i="3" s="1"/>
  <c r="DA594" i="3"/>
  <c r="DC594" i="3"/>
  <c r="A595" i="3"/>
  <c r="Y595" i="3"/>
  <c r="CY595" i="3"/>
  <c r="CZ595" i="3"/>
  <c r="DA595" i="3"/>
  <c r="DB595" i="3"/>
  <c r="DC595" i="3"/>
  <c r="A596" i="3"/>
  <c r="Y596" i="3"/>
  <c r="CY596" i="3"/>
  <c r="CZ596" i="3"/>
  <c r="DA596" i="3"/>
  <c r="DB596" i="3"/>
  <c r="DC596" i="3"/>
  <c r="A597" i="3"/>
  <c r="Y597" i="3"/>
  <c r="CY597" i="3"/>
  <c r="CZ597" i="3"/>
  <c r="DB597" i="3" s="1"/>
  <c r="DA597" i="3"/>
  <c r="DC597" i="3"/>
  <c r="A598" i="3"/>
  <c r="Y598" i="3"/>
  <c r="CY598" i="3"/>
  <c r="CZ598" i="3"/>
  <c r="DB598" i="3" s="1"/>
  <c r="DA598" i="3"/>
  <c r="DC598" i="3"/>
  <c r="A599" i="3"/>
  <c r="Y599" i="3"/>
  <c r="CY599" i="3"/>
  <c r="CZ599" i="3"/>
  <c r="DA599" i="3"/>
  <c r="DB599" i="3"/>
  <c r="DC599" i="3"/>
  <c r="A600" i="3"/>
  <c r="Y600" i="3"/>
  <c r="CY600" i="3"/>
  <c r="CZ600" i="3"/>
  <c r="DB600" i="3" s="1"/>
  <c r="DA600" i="3"/>
  <c r="DC600" i="3"/>
  <c r="A601" i="3"/>
  <c r="Y601" i="3"/>
  <c r="CY601" i="3"/>
  <c r="CZ601" i="3"/>
  <c r="DB601" i="3" s="1"/>
  <c r="DA601" i="3"/>
  <c r="DC601" i="3"/>
  <c r="A602" i="3"/>
  <c r="Y602" i="3"/>
  <c r="CY602" i="3"/>
  <c r="CZ602" i="3"/>
  <c r="DA602" i="3"/>
  <c r="DB602" i="3"/>
  <c r="DC602" i="3"/>
  <c r="A603" i="3"/>
  <c r="Y603" i="3"/>
  <c r="CY603" i="3"/>
  <c r="CZ603" i="3"/>
  <c r="DA603" i="3"/>
  <c r="DB603" i="3"/>
  <c r="DC603" i="3"/>
  <c r="A604" i="3"/>
  <c r="Y604" i="3"/>
  <c r="CY604" i="3"/>
  <c r="CZ604" i="3"/>
  <c r="DA604" i="3"/>
  <c r="DB604" i="3"/>
  <c r="DC604" i="3"/>
  <c r="A605" i="3"/>
  <c r="Y605" i="3"/>
  <c r="CY605" i="3"/>
  <c r="CZ605" i="3"/>
  <c r="DB605" i="3" s="1"/>
  <c r="DA605" i="3"/>
  <c r="DC605" i="3"/>
  <c r="A606" i="3"/>
  <c r="Y606" i="3"/>
  <c r="CY606" i="3"/>
  <c r="CZ606" i="3"/>
  <c r="DA606" i="3"/>
  <c r="DB606" i="3"/>
  <c r="DC606" i="3"/>
  <c r="A607" i="3"/>
  <c r="Y607" i="3"/>
  <c r="CY607" i="3"/>
  <c r="CZ607" i="3"/>
  <c r="DA607" i="3"/>
  <c r="DB607" i="3"/>
  <c r="DC607" i="3"/>
  <c r="A608" i="3"/>
  <c r="Y608" i="3"/>
  <c r="CY608" i="3"/>
  <c r="CZ608" i="3"/>
  <c r="DB608" i="3" s="1"/>
  <c r="DA608" i="3"/>
  <c r="DC608" i="3"/>
  <c r="A609" i="3"/>
  <c r="Y609" i="3"/>
  <c r="CY609" i="3"/>
  <c r="CZ609" i="3"/>
  <c r="DA609" i="3"/>
  <c r="DB609" i="3"/>
  <c r="DC609" i="3"/>
  <c r="A610" i="3"/>
  <c r="Y610" i="3"/>
  <c r="CY610" i="3"/>
  <c r="CZ610" i="3"/>
  <c r="DA610" i="3"/>
  <c r="DB610" i="3"/>
  <c r="DC610" i="3"/>
  <c r="A611" i="3"/>
  <c r="Y611" i="3"/>
  <c r="CY611" i="3"/>
  <c r="CZ611" i="3"/>
  <c r="DA611" i="3"/>
  <c r="DB611" i="3"/>
  <c r="DC611" i="3"/>
  <c r="A612" i="3"/>
  <c r="Y612" i="3"/>
  <c r="CY612" i="3"/>
  <c r="CZ612" i="3"/>
  <c r="DA612" i="3"/>
  <c r="DB612" i="3"/>
  <c r="DC612" i="3"/>
  <c r="A613" i="3"/>
  <c r="Y613" i="3"/>
  <c r="CY613" i="3"/>
  <c r="CZ613" i="3"/>
  <c r="DB613" i="3" s="1"/>
  <c r="DA613" i="3"/>
  <c r="DC613" i="3"/>
  <c r="A614" i="3"/>
  <c r="Y614" i="3"/>
  <c r="CY614" i="3"/>
  <c r="CZ614" i="3"/>
  <c r="DA614" i="3"/>
  <c r="DB614" i="3"/>
  <c r="DC614" i="3"/>
  <c r="A615" i="3"/>
  <c r="Y615" i="3"/>
  <c r="CY615" i="3"/>
  <c r="CZ615" i="3"/>
  <c r="DA615" i="3"/>
  <c r="DB615" i="3"/>
  <c r="DC615" i="3"/>
  <c r="A616" i="3"/>
  <c r="Y616" i="3"/>
  <c r="CY616" i="3"/>
  <c r="CZ616" i="3"/>
  <c r="DB616" i="3" s="1"/>
  <c r="DA616" i="3"/>
  <c r="DC616" i="3"/>
  <c r="A617" i="3"/>
  <c r="Y617" i="3"/>
  <c r="CY617" i="3"/>
  <c r="CZ617" i="3"/>
  <c r="DB617" i="3" s="1"/>
  <c r="DA617" i="3"/>
  <c r="DC617" i="3"/>
  <c r="A618" i="3"/>
  <c r="Y618" i="3"/>
  <c r="CY618" i="3"/>
  <c r="CZ618" i="3"/>
  <c r="DA618" i="3"/>
  <c r="DB618" i="3"/>
  <c r="DC618" i="3"/>
  <c r="A619" i="3"/>
  <c r="Y619" i="3"/>
  <c r="CY619" i="3"/>
  <c r="CZ619" i="3"/>
  <c r="DA619" i="3"/>
  <c r="DB619" i="3"/>
  <c r="DC619" i="3"/>
  <c r="A620" i="3"/>
  <c r="Y620" i="3"/>
  <c r="CY620" i="3"/>
  <c r="CZ620" i="3"/>
  <c r="DA620" i="3"/>
  <c r="DB620" i="3"/>
  <c r="DC620" i="3"/>
  <c r="A621" i="3"/>
  <c r="Y621" i="3"/>
  <c r="CY621" i="3"/>
  <c r="CZ621" i="3"/>
  <c r="DB621" i="3" s="1"/>
  <c r="DA621" i="3"/>
  <c r="DC621" i="3"/>
  <c r="A622" i="3"/>
  <c r="Y622" i="3"/>
  <c r="CY622" i="3"/>
  <c r="CZ622" i="3"/>
  <c r="DA622" i="3"/>
  <c r="DB622" i="3"/>
  <c r="DC622" i="3"/>
  <c r="A623" i="3"/>
  <c r="Y623" i="3"/>
  <c r="CY623" i="3"/>
  <c r="CZ623" i="3"/>
  <c r="DB623" i="3" s="1"/>
  <c r="DA623" i="3"/>
  <c r="DC623" i="3"/>
  <c r="A624" i="3"/>
  <c r="Y624" i="3"/>
  <c r="CY624" i="3"/>
  <c r="CZ624" i="3"/>
  <c r="DB624" i="3" s="1"/>
  <c r="DA624" i="3"/>
  <c r="DC624" i="3"/>
  <c r="A625" i="3"/>
  <c r="Y625" i="3"/>
  <c r="CY625" i="3"/>
  <c r="CZ625" i="3"/>
  <c r="DA625" i="3"/>
  <c r="DB625" i="3"/>
  <c r="DC625" i="3"/>
  <c r="A626" i="3"/>
  <c r="Y626" i="3"/>
  <c r="CY626" i="3"/>
  <c r="CZ626" i="3"/>
  <c r="DA626" i="3"/>
  <c r="DB626" i="3"/>
  <c r="DC626" i="3"/>
  <c r="A627" i="3"/>
  <c r="Y627" i="3"/>
  <c r="CY627" i="3"/>
  <c r="CZ627" i="3"/>
  <c r="DA627" i="3"/>
  <c r="DB627" i="3"/>
  <c r="DC627" i="3"/>
  <c r="A628" i="3"/>
  <c r="Y628" i="3"/>
  <c r="CY628" i="3"/>
  <c r="CZ628" i="3"/>
  <c r="DA628" i="3"/>
  <c r="DB628" i="3"/>
  <c r="DC628" i="3"/>
  <c r="A629" i="3"/>
  <c r="Y629" i="3"/>
  <c r="CY629" i="3"/>
  <c r="CZ629" i="3"/>
  <c r="DA629" i="3"/>
  <c r="DB629" i="3"/>
  <c r="DC629" i="3"/>
  <c r="A630" i="3"/>
  <c r="Y630" i="3"/>
  <c r="CY630" i="3"/>
  <c r="CZ630" i="3"/>
  <c r="DB630" i="3" s="1"/>
  <c r="DA630" i="3"/>
  <c r="DC630" i="3"/>
  <c r="A631" i="3"/>
  <c r="Y631" i="3"/>
  <c r="CY631" i="3"/>
  <c r="CZ631" i="3"/>
  <c r="DA631" i="3"/>
  <c r="DB631" i="3"/>
  <c r="DC631" i="3"/>
  <c r="A632" i="3"/>
  <c r="Y632" i="3"/>
  <c r="CY632" i="3"/>
  <c r="CZ632" i="3"/>
  <c r="DA632" i="3"/>
  <c r="DB632" i="3"/>
  <c r="DC632" i="3"/>
  <c r="A633" i="3"/>
  <c r="Y633" i="3"/>
  <c r="CY633" i="3"/>
  <c r="CZ633" i="3"/>
  <c r="DA633" i="3"/>
  <c r="DB633" i="3"/>
  <c r="DC633" i="3"/>
  <c r="A634" i="3"/>
  <c r="Y634" i="3"/>
  <c r="CY634" i="3"/>
  <c r="CZ634" i="3"/>
  <c r="DA634" i="3"/>
  <c r="DB634" i="3"/>
  <c r="DC634" i="3"/>
  <c r="A635" i="3"/>
  <c r="Y635" i="3"/>
  <c r="CY635" i="3"/>
  <c r="CZ635" i="3"/>
  <c r="DB635" i="3" s="1"/>
  <c r="DA635" i="3"/>
  <c r="DC635" i="3"/>
  <c r="A636" i="3"/>
  <c r="Y636" i="3"/>
  <c r="CY636" i="3"/>
  <c r="CZ636" i="3"/>
  <c r="DA636" i="3"/>
  <c r="DB636" i="3"/>
  <c r="DC636" i="3"/>
  <c r="A637" i="3"/>
  <c r="Y637" i="3"/>
  <c r="CY637" i="3"/>
  <c r="CZ637" i="3"/>
  <c r="DB637" i="3" s="1"/>
  <c r="DA637" i="3"/>
  <c r="DC637" i="3"/>
  <c r="A638" i="3"/>
  <c r="Y638" i="3"/>
  <c r="CY638" i="3"/>
  <c r="CZ638" i="3"/>
  <c r="DB638" i="3" s="1"/>
  <c r="DA638" i="3"/>
  <c r="DC638" i="3"/>
  <c r="A639" i="3"/>
  <c r="Y639" i="3"/>
  <c r="CY639" i="3"/>
  <c r="CZ639" i="3"/>
  <c r="DA639" i="3"/>
  <c r="DB639" i="3"/>
  <c r="DC639" i="3"/>
  <c r="A640" i="3"/>
  <c r="Y640" i="3"/>
  <c r="CY640" i="3"/>
  <c r="CZ640" i="3"/>
  <c r="DA640" i="3"/>
  <c r="DB640" i="3"/>
  <c r="DC640" i="3"/>
  <c r="A641" i="3"/>
  <c r="Y641" i="3"/>
  <c r="CY641" i="3"/>
  <c r="CZ641" i="3"/>
  <c r="DB641" i="3" s="1"/>
  <c r="DA641" i="3"/>
  <c r="DC641" i="3"/>
  <c r="A642" i="3"/>
  <c r="Y642" i="3"/>
  <c r="CY642" i="3"/>
  <c r="CZ642" i="3"/>
  <c r="DA642" i="3"/>
  <c r="DB642" i="3"/>
  <c r="DC642" i="3"/>
  <c r="A643" i="3"/>
  <c r="Y643" i="3"/>
  <c r="CY643" i="3"/>
  <c r="CZ643" i="3"/>
  <c r="DA643" i="3"/>
  <c r="DB643" i="3"/>
  <c r="DC643" i="3"/>
  <c r="A644" i="3"/>
  <c r="Y644" i="3"/>
  <c r="CY644" i="3"/>
  <c r="CZ644" i="3"/>
  <c r="DB644" i="3" s="1"/>
  <c r="DA644" i="3"/>
  <c r="DC644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R28" i="1"/>
  <c r="S28" i="1"/>
  <c r="AB28" i="1"/>
  <c r="AC28" i="1"/>
  <c r="CQ28" i="1" s="1"/>
  <c r="AD28" i="1"/>
  <c r="AE28" i="1"/>
  <c r="Q28" i="1" s="1"/>
  <c r="AF28" i="1"/>
  <c r="CT28" i="1" s="1"/>
  <c r="AG28" i="1"/>
  <c r="CU28" i="1" s="1"/>
  <c r="T28" i="1" s="1"/>
  <c r="AH28" i="1"/>
  <c r="CV28" i="1" s="1"/>
  <c r="U28" i="1" s="1"/>
  <c r="AI28" i="1"/>
  <c r="AJ28" i="1"/>
  <c r="CR28" i="1"/>
  <c r="CS28" i="1"/>
  <c r="CW28" i="1"/>
  <c r="V28" i="1" s="1"/>
  <c r="CX28" i="1"/>
  <c r="W28" i="1" s="1"/>
  <c r="GL28" i="1"/>
  <c r="GN28" i="1"/>
  <c r="GP28" i="1"/>
  <c r="GV28" i="1"/>
  <c r="HC28" i="1" s="1"/>
  <c r="GX28" i="1" s="1"/>
  <c r="C29" i="1"/>
  <c r="D29" i="1"/>
  <c r="S29" i="1"/>
  <c r="CY29" i="1" s="1"/>
  <c r="U29" i="1"/>
  <c r="AC29" i="1"/>
  <c r="P29" i="1" s="1"/>
  <c r="AE29" i="1"/>
  <c r="AD29" i="1" s="1"/>
  <c r="AB29" i="1" s="1"/>
  <c r="AF29" i="1"/>
  <c r="AG29" i="1"/>
  <c r="CU29" i="1" s="1"/>
  <c r="T29" i="1" s="1"/>
  <c r="AH29" i="1"/>
  <c r="AI29" i="1"/>
  <c r="CW29" i="1" s="1"/>
  <c r="V29" i="1" s="1"/>
  <c r="AJ29" i="1"/>
  <c r="CS29" i="1"/>
  <c r="CT29" i="1"/>
  <c r="CV29" i="1"/>
  <c r="CX29" i="1"/>
  <c r="W29" i="1" s="1"/>
  <c r="CZ29" i="1"/>
  <c r="GL29" i="1"/>
  <c r="GN29" i="1"/>
  <c r="GP29" i="1"/>
  <c r="GV29" i="1"/>
  <c r="HC29" i="1" s="1"/>
  <c r="GX29" i="1" s="1"/>
  <c r="C30" i="1"/>
  <c r="D30" i="1"/>
  <c r="I30" i="1"/>
  <c r="K30" i="1"/>
  <c r="S30" i="1"/>
  <c r="V30" i="1"/>
  <c r="AC30" i="1"/>
  <c r="P30" i="1" s="1"/>
  <c r="AE30" i="1"/>
  <c r="CR30" i="1" s="1"/>
  <c r="AF30" i="1"/>
  <c r="AG30" i="1"/>
  <c r="CU30" i="1" s="1"/>
  <c r="T30" i="1" s="1"/>
  <c r="AH30" i="1"/>
  <c r="CV30" i="1" s="1"/>
  <c r="U30" i="1" s="1"/>
  <c r="AI30" i="1"/>
  <c r="AJ30" i="1"/>
  <c r="CQ30" i="1"/>
  <c r="CS30" i="1"/>
  <c r="CT30" i="1"/>
  <c r="CW30" i="1"/>
  <c r="CX30" i="1"/>
  <c r="W30" i="1" s="1"/>
  <c r="GL30" i="1"/>
  <c r="GN30" i="1"/>
  <c r="GP30" i="1"/>
  <c r="GV30" i="1"/>
  <c r="HC30" i="1" s="1"/>
  <c r="GX30" i="1" s="1"/>
  <c r="C31" i="1"/>
  <c r="D31" i="1"/>
  <c r="I31" i="1"/>
  <c r="Q31" i="1" s="1"/>
  <c r="K31" i="1"/>
  <c r="S31" i="1"/>
  <c r="Y31" i="1" s="1"/>
  <c r="X31" i="1"/>
  <c r="AC31" i="1"/>
  <c r="AE31" i="1"/>
  <c r="CS31" i="1" s="1"/>
  <c r="AF31" i="1"/>
  <c r="AG31" i="1"/>
  <c r="CU31" i="1" s="1"/>
  <c r="T31" i="1" s="1"/>
  <c r="AH31" i="1"/>
  <c r="AI31" i="1"/>
  <c r="AJ31" i="1"/>
  <c r="CQ31" i="1"/>
  <c r="CR31" i="1"/>
  <c r="CT31" i="1"/>
  <c r="CV31" i="1"/>
  <c r="U31" i="1" s="1"/>
  <c r="CW31" i="1"/>
  <c r="CX31" i="1"/>
  <c r="W31" i="1" s="1"/>
  <c r="GL31" i="1"/>
  <c r="GN31" i="1"/>
  <c r="GP31" i="1"/>
  <c r="GV31" i="1"/>
  <c r="HC31" i="1" s="1"/>
  <c r="GX31" i="1" s="1"/>
  <c r="C32" i="1"/>
  <c r="D32" i="1"/>
  <c r="S32" i="1"/>
  <c r="V32" i="1"/>
  <c r="AC32" i="1"/>
  <c r="P32" i="1" s="1"/>
  <c r="AE32" i="1"/>
  <c r="CR32" i="1" s="1"/>
  <c r="AF32" i="1"/>
  <c r="AG32" i="1"/>
  <c r="CU32" i="1" s="1"/>
  <c r="T32" i="1" s="1"/>
  <c r="AH32" i="1"/>
  <c r="CV32" i="1" s="1"/>
  <c r="U32" i="1" s="1"/>
  <c r="AI32" i="1"/>
  <c r="AJ32" i="1"/>
  <c r="CQ32" i="1"/>
  <c r="CS32" i="1"/>
  <c r="CT32" i="1"/>
  <c r="CW32" i="1"/>
  <c r="CX32" i="1"/>
  <c r="W32" i="1" s="1"/>
  <c r="GL32" i="1"/>
  <c r="GN32" i="1"/>
  <c r="GP32" i="1"/>
  <c r="GV32" i="1"/>
  <c r="HC32" i="1" s="1"/>
  <c r="GX32" i="1" s="1"/>
  <c r="C33" i="1"/>
  <c r="D33" i="1"/>
  <c r="S33" i="1"/>
  <c r="CY33" i="1" s="1"/>
  <c r="U33" i="1"/>
  <c r="AC33" i="1"/>
  <c r="P33" i="1" s="1"/>
  <c r="AE33" i="1"/>
  <c r="AD33" i="1" s="1"/>
  <c r="AB33" i="1" s="1"/>
  <c r="AF33" i="1"/>
  <c r="AG33" i="1"/>
  <c r="CU33" i="1" s="1"/>
  <c r="T33" i="1" s="1"/>
  <c r="AH33" i="1"/>
  <c r="AI33" i="1"/>
  <c r="CW33" i="1" s="1"/>
  <c r="V33" i="1" s="1"/>
  <c r="AJ33" i="1"/>
  <c r="CS33" i="1"/>
  <c r="CT33" i="1"/>
  <c r="CV33" i="1"/>
  <c r="CX33" i="1"/>
  <c r="W33" i="1" s="1"/>
  <c r="CZ33" i="1"/>
  <c r="GL33" i="1"/>
  <c r="GN33" i="1"/>
  <c r="GP33" i="1"/>
  <c r="GV33" i="1"/>
  <c r="HC33" i="1" s="1"/>
  <c r="GX33" i="1" s="1"/>
  <c r="C34" i="1"/>
  <c r="D34" i="1"/>
  <c r="P34" i="1"/>
  <c r="S34" i="1"/>
  <c r="Y34" i="1" s="1"/>
  <c r="U34" i="1"/>
  <c r="X34" i="1"/>
  <c r="AC34" i="1"/>
  <c r="AD34" i="1"/>
  <c r="AB34" i="1" s="1"/>
  <c r="AE34" i="1"/>
  <c r="CR34" i="1" s="1"/>
  <c r="AF34" i="1"/>
  <c r="AG34" i="1"/>
  <c r="AH34" i="1"/>
  <c r="AI34" i="1"/>
  <c r="CW34" i="1" s="1"/>
  <c r="V34" i="1" s="1"/>
  <c r="AJ34" i="1"/>
  <c r="CX34" i="1" s="1"/>
  <c r="W34" i="1" s="1"/>
  <c r="CQ34" i="1"/>
  <c r="CS34" i="1"/>
  <c r="CT34" i="1"/>
  <c r="CU34" i="1"/>
  <c r="T34" i="1" s="1"/>
  <c r="CV34" i="1"/>
  <c r="CZ34" i="1"/>
  <c r="GL34" i="1"/>
  <c r="GO34" i="1"/>
  <c r="GP34" i="1"/>
  <c r="GV34" i="1"/>
  <c r="GX34" i="1"/>
  <c r="HC34" i="1"/>
  <c r="C35" i="1"/>
  <c r="D35" i="1"/>
  <c r="P35" i="1"/>
  <c r="S35" i="1"/>
  <c r="CY35" i="1" s="1"/>
  <c r="W35" i="1"/>
  <c r="AC35" i="1"/>
  <c r="AD35" i="1"/>
  <c r="AB35" i="1" s="1"/>
  <c r="AE35" i="1"/>
  <c r="Q35" i="1" s="1"/>
  <c r="AF35" i="1"/>
  <c r="AG35" i="1"/>
  <c r="AH35" i="1"/>
  <c r="AI35" i="1"/>
  <c r="CW35" i="1" s="1"/>
  <c r="V35" i="1" s="1"/>
  <c r="AJ35" i="1"/>
  <c r="CQ35" i="1"/>
  <c r="CT35" i="1"/>
  <c r="CU35" i="1"/>
  <c r="T35" i="1" s="1"/>
  <c r="CV35" i="1"/>
  <c r="U35" i="1" s="1"/>
  <c r="CX35" i="1"/>
  <c r="GL35" i="1"/>
  <c r="GO35" i="1"/>
  <c r="GP35" i="1"/>
  <c r="GV35" i="1"/>
  <c r="GX35" i="1"/>
  <c r="HC35" i="1"/>
  <c r="C36" i="1"/>
  <c r="D36" i="1"/>
  <c r="P36" i="1"/>
  <c r="R36" i="1"/>
  <c r="U36" i="1"/>
  <c r="W36" i="1"/>
  <c r="AC36" i="1"/>
  <c r="AD36" i="1"/>
  <c r="AE36" i="1"/>
  <c r="CR36" i="1" s="1"/>
  <c r="AF36" i="1"/>
  <c r="AG36" i="1"/>
  <c r="AH36" i="1"/>
  <c r="AI36" i="1"/>
  <c r="AJ36" i="1"/>
  <c r="CQ36" i="1"/>
  <c r="CS36" i="1"/>
  <c r="CU36" i="1"/>
  <c r="T36" i="1" s="1"/>
  <c r="CV36" i="1"/>
  <c r="CW36" i="1"/>
  <c r="V36" i="1" s="1"/>
  <c r="CX36" i="1"/>
  <c r="GL36" i="1"/>
  <c r="GN36" i="1"/>
  <c r="GP36" i="1"/>
  <c r="GV36" i="1"/>
  <c r="GX36" i="1"/>
  <c r="HC36" i="1"/>
  <c r="C37" i="1"/>
  <c r="D37" i="1"/>
  <c r="P37" i="1"/>
  <c r="R37" i="1"/>
  <c r="S37" i="1"/>
  <c r="Y37" i="1" s="1"/>
  <c r="U37" i="1"/>
  <c r="AC37" i="1"/>
  <c r="AD37" i="1"/>
  <c r="AE37" i="1"/>
  <c r="Q37" i="1" s="1"/>
  <c r="AF37" i="1"/>
  <c r="AG37" i="1"/>
  <c r="CU37" i="1" s="1"/>
  <c r="T37" i="1" s="1"/>
  <c r="AH37" i="1"/>
  <c r="AI37" i="1"/>
  <c r="CW37" i="1" s="1"/>
  <c r="V37" i="1" s="1"/>
  <c r="AJ37" i="1"/>
  <c r="CQ37" i="1"/>
  <c r="CR37" i="1"/>
  <c r="CS37" i="1"/>
  <c r="CV37" i="1"/>
  <c r="CX37" i="1"/>
  <c r="W37" i="1" s="1"/>
  <c r="GL37" i="1"/>
  <c r="GN37" i="1"/>
  <c r="GP37" i="1"/>
  <c r="GV37" i="1"/>
  <c r="GX37" i="1"/>
  <c r="HC37" i="1"/>
  <c r="C38" i="1"/>
  <c r="D38" i="1"/>
  <c r="I38" i="1"/>
  <c r="K38" i="1"/>
  <c r="P38" i="1"/>
  <c r="R38" i="1"/>
  <c r="U38" i="1"/>
  <c r="W38" i="1"/>
  <c r="AB38" i="1"/>
  <c r="AC38" i="1"/>
  <c r="AD38" i="1"/>
  <c r="AE38" i="1"/>
  <c r="CR38" i="1" s="1"/>
  <c r="AF38" i="1"/>
  <c r="AG38" i="1"/>
  <c r="AH38" i="1"/>
  <c r="AI38" i="1"/>
  <c r="AJ38" i="1"/>
  <c r="CQ38" i="1"/>
  <c r="CS38" i="1"/>
  <c r="CU38" i="1"/>
  <c r="T38" i="1" s="1"/>
  <c r="CV38" i="1"/>
  <c r="CW38" i="1"/>
  <c r="V38" i="1" s="1"/>
  <c r="CX38" i="1"/>
  <c r="GL38" i="1"/>
  <c r="GN38" i="1"/>
  <c r="GP38" i="1"/>
  <c r="GV38" i="1"/>
  <c r="GX38" i="1"/>
  <c r="HC38" i="1"/>
  <c r="C39" i="1"/>
  <c r="D39" i="1"/>
  <c r="I39" i="1"/>
  <c r="K39" i="1"/>
  <c r="P39" i="1"/>
  <c r="S39" i="1"/>
  <c r="U39" i="1"/>
  <c r="W39" i="1"/>
  <c r="AC39" i="1"/>
  <c r="AE39" i="1"/>
  <c r="AF39" i="1"/>
  <c r="AG39" i="1"/>
  <c r="AH39" i="1"/>
  <c r="AI39" i="1"/>
  <c r="CW39" i="1" s="1"/>
  <c r="V39" i="1" s="1"/>
  <c r="AJ39" i="1"/>
  <c r="CQ39" i="1"/>
  <c r="CT39" i="1"/>
  <c r="CU39" i="1"/>
  <c r="T39" i="1" s="1"/>
  <c r="CV39" i="1"/>
  <c r="CX39" i="1"/>
  <c r="CZ39" i="1"/>
  <c r="GL39" i="1"/>
  <c r="GN39" i="1"/>
  <c r="GP39" i="1"/>
  <c r="GV39" i="1"/>
  <c r="HC39" i="1"/>
  <c r="GX39" i="1" s="1"/>
  <c r="C40" i="1"/>
  <c r="D40" i="1"/>
  <c r="I40" i="1"/>
  <c r="K40" i="1"/>
  <c r="P40" i="1"/>
  <c r="S40" i="1"/>
  <c r="U40" i="1"/>
  <c r="AC40" i="1"/>
  <c r="AE40" i="1"/>
  <c r="CR40" i="1" s="1"/>
  <c r="AF40" i="1"/>
  <c r="AG40" i="1"/>
  <c r="AH40" i="1"/>
  <c r="AI40" i="1"/>
  <c r="CW40" i="1" s="1"/>
  <c r="V40" i="1" s="1"/>
  <c r="AJ40" i="1"/>
  <c r="CX40" i="1" s="1"/>
  <c r="W40" i="1" s="1"/>
  <c r="CQ40" i="1"/>
  <c r="CT40" i="1"/>
  <c r="CU40" i="1"/>
  <c r="T40" i="1" s="1"/>
  <c r="CV40" i="1"/>
  <c r="GL40" i="1"/>
  <c r="GN40" i="1"/>
  <c r="GP40" i="1"/>
  <c r="GV40" i="1"/>
  <c r="GX40" i="1"/>
  <c r="HC40" i="1"/>
  <c r="C41" i="1"/>
  <c r="D41" i="1"/>
  <c r="I41" i="1"/>
  <c r="K41" i="1"/>
  <c r="Q41" i="1"/>
  <c r="S41" i="1"/>
  <c r="V41" i="1"/>
  <c r="AC41" i="1"/>
  <c r="AE41" i="1"/>
  <c r="AF41" i="1"/>
  <c r="AG41" i="1"/>
  <c r="CU41" i="1" s="1"/>
  <c r="T41" i="1" s="1"/>
  <c r="AH41" i="1"/>
  <c r="AI41" i="1"/>
  <c r="CW41" i="1" s="1"/>
  <c r="AJ41" i="1"/>
  <c r="CX41" i="1" s="1"/>
  <c r="W41" i="1" s="1"/>
  <c r="CS41" i="1"/>
  <c r="CT41" i="1"/>
  <c r="CV41" i="1"/>
  <c r="U41" i="1" s="1"/>
  <c r="GL41" i="1"/>
  <c r="GN41" i="1"/>
  <c r="GP41" i="1"/>
  <c r="GV41" i="1"/>
  <c r="HC41" i="1" s="1"/>
  <c r="GX41" i="1" s="1"/>
  <c r="C42" i="1"/>
  <c r="D42" i="1"/>
  <c r="I42" i="1"/>
  <c r="R42" i="1" s="1"/>
  <c r="K42" i="1"/>
  <c r="S42" i="1"/>
  <c r="T42" i="1"/>
  <c r="V42" i="1"/>
  <c r="AC42" i="1"/>
  <c r="P42" i="1" s="1"/>
  <c r="AE42" i="1"/>
  <c r="CR42" i="1" s="1"/>
  <c r="AF42" i="1"/>
  <c r="AG42" i="1"/>
  <c r="CU42" i="1" s="1"/>
  <c r="AH42" i="1"/>
  <c r="CV42" i="1" s="1"/>
  <c r="U42" i="1" s="1"/>
  <c r="AI42" i="1"/>
  <c r="AJ42" i="1"/>
  <c r="CQ42" i="1"/>
  <c r="CS42" i="1"/>
  <c r="CT42" i="1"/>
  <c r="CW42" i="1"/>
  <c r="CX42" i="1"/>
  <c r="W42" i="1" s="1"/>
  <c r="GL42" i="1"/>
  <c r="GN42" i="1"/>
  <c r="GP42" i="1"/>
  <c r="GV42" i="1"/>
  <c r="HC42" i="1" s="1"/>
  <c r="GX42" i="1" s="1"/>
  <c r="C43" i="1"/>
  <c r="D43" i="1"/>
  <c r="I43" i="1"/>
  <c r="K43" i="1"/>
  <c r="S43" i="1"/>
  <c r="Y43" i="1"/>
  <c r="AC43" i="1"/>
  <c r="AE43" i="1"/>
  <c r="AF43" i="1"/>
  <c r="AG43" i="1"/>
  <c r="CU43" i="1" s="1"/>
  <c r="T43" i="1" s="1"/>
  <c r="AH43" i="1"/>
  <c r="CV43" i="1" s="1"/>
  <c r="U43" i="1" s="1"/>
  <c r="AI43" i="1"/>
  <c r="AJ43" i="1"/>
  <c r="CQ43" i="1"/>
  <c r="CT43" i="1"/>
  <c r="CW43" i="1"/>
  <c r="CX43" i="1"/>
  <c r="W43" i="1" s="1"/>
  <c r="CY43" i="1"/>
  <c r="GL43" i="1"/>
  <c r="GN43" i="1"/>
  <c r="GP43" i="1"/>
  <c r="GV43" i="1"/>
  <c r="HC43" i="1"/>
  <c r="GX43" i="1" s="1"/>
  <c r="C44" i="1"/>
  <c r="D44" i="1"/>
  <c r="I44" i="1"/>
  <c r="K44" i="1"/>
  <c r="Q44" i="1"/>
  <c r="R44" i="1"/>
  <c r="T44" i="1"/>
  <c r="X44" i="1"/>
  <c r="AC44" i="1"/>
  <c r="AE44" i="1"/>
  <c r="AF44" i="1"/>
  <c r="S44" i="1" s="1"/>
  <c r="CZ44" i="1" s="1"/>
  <c r="AG44" i="1"/>
  <c r="AH44" i="1"/>
  <c r="CV44" i="1" s="1"/>
  <c r="U44" i="1" s="1"/>
  <c r="AI44" i="1"/>
  <c r="AJ44" i="1"/>
  <c r="CX44" i="1" s="1"/>
  <c r="W44" i="1" s="1"/>
  <c r="CR44" i="1"/>
  <c r="CT44" i="1"/>
  <c r="CU44" i="1"/>
  <c r="CW44" i="1"/>
  <c r="V44" i="1" s="1"/>
  <c r="GL44" i="1"/>
  <c r="GO44" i="1"/>
  <c r="GP44" i="1"/>
  <c r="GV44" i="1"/>
  <c r="HC44" i="1" s="1"/>
  <c r="GX44" i="1" s="1"/>
  <c r="C45" i="1"/>
  <c r="D45" i="1"/>
  <c r="I45" i="1"/>
  <c r="K45" i="1"/>
  <c r="T45" i="1"/>
  <c r="AC45" i="1"/>
  <c r="AD45" i="1"/>
  <c r="AE45" i="1"/>
  <c r="AF45" i="1"/>
  <c r="AG45" i="1"/>
  <c r="AH45" i="1"/>
  <c r="AI45" i="1"/>
  <c r="AJ45" i="1"/>
  <c r="CX45" i="1" s="1"/>
  <c r="CT45" i="1"/>
  <c r="CU45" i="1"/>
  <c r="CV45" i="1"/>
  <c r="CW45" i="1"/>
  <c r="GL45" i="1"/>
  <c r="GO45" i="1"/>
  <c r="GP45" i="1"/>
  <c r="GV45" i="1"/>
  <c r="GX45" i="1"/>
  <c r="HC45" i="1"/>
  <c r="Q46" i="1"/>
  <c r="S46" i="1"/>
  <c r="CZ46" i="1" s="1"/>
  <c r="T46" i="1"/>
  <c r="V46" i="1"/>
  <c r="Y46" i="1"/>
  <c r="AC46" i="1"/>
  <c r="P46" i="1" s="1"/>
  <c r="AE46" i="1"/>
  <c r="AF46" i="1"/>
  <c r="AG46" i="1"/>
  <c r="CU46" i="1" s="1"/>
  <c r="AH46" i="1"/>
  <c r="CV46" i="1" s="1"/>
  <c r="U46" i="1" s="1"/>
  <c r="AI46" i="1"/>
  <c r="AJ46" i="1"/>
  <c r="CX46" i="1" s="1"/>
  <c r="W46" i="1" s="1"/>
  <c r="CQ46" i="1"/>
  <c r="CR46" i="1"/>
  <c r="CS46" i="1"/>
  <c r="CT46" i="1"/>
  <c r="CW46" i="1"/>
  <c r="CY46" i="1"/>
  <c r="FR46" i="1"/>
  <c r="GL46" i="1"/>
  <c r="GN46" i="1"/>
  <c r="GO46" i="1"/>
  <c r="GP46" i="1"/>
  <c r="GV46" i="1"/>
  <c r="GX46" i="1"/>
  <c r="HC46" i="1"/>
  <c r="R47" i="1"/>
  <c r="U47" i="1"/>
  <c r="Y47" i="1"/>
  <c r="AC47" i="1"/>
  <c r="AD47" i="1"/>
  <c r="AE47" i="1"/>
  <c r="Q47" i="1" s="1"/>
  <c r="AF47" i="1"/>
  <c r="S47" i="1" s="1"/>
  <c r="X47" i="1" s="1"/>
  <c r="AG47" i="1"/>
  <c r="AH47" i="1"/>
  <c r="CV47" i="1" s="1"/>
  <c r="AI47" i="1"/>
  <c r="CW47" i="1" s="1"/>
  <c r="V47" i="1" s="1"/>
  <c r="AJ47" i="1"/>
  <c r="CX47" i="1" s="1"/>
  <c r="W47" i="1" s="1"/>
  <c r="CR47" i="1"/>
  <c r="CS47" i="1"/>
  <c r="CT47" i="1"/>
  <c r="CU47" i="1"/>
  <c r="T47" i="1" s="1"/>
  <c r="CY47" i="1"/>
  <c r="CZ47" i="1"/>
  <c r="GL47" i="1"/>
  <c r="GN47" i="1"/>
  <c r="GO47" i="1"/>
  <c r="GP47" i="1"/>
  <c r="GV47" i="1"/>
  <c r="HC47" i="1" s="1"/>
  <c r="GX47" i="1" s="1"/>
  <c r="C48" i="1"/>
  <c r="D48" i="1"/>
  <c r="P48" i="1"/>
  <c r="S48" i="1"/>
  <c r="U48" i="1"/>
  <c r="V48" i="1"/>
  <c r="X48" i="1"/>
  <c r="AC48" i="1"/>
  <c r="AD48" i="1"/>
  <c r="AB48" i="1" s="1"/>
  <c r="AE48" i="1"/>
  <c r="AF48" i="1"/>
  <c r="AG48" i="1"/>
  <c r="CU48" i="1" s="1"/>
  <c r="T48" i="1" s="1"/>
  <c r="AH48" i="1"/>
  <c r="AI48" i="1"/>
  <c r="CW48" i="1" s="1"/>
  <c r="AJ48" i="1"/>
  <c r="CQ48" i="1"/>
  <c r="CT48" i="1"/>
  <c r="CV48" i="1"/>
  <c r="CX48" i="1"/>
  <c r="W48" i="1" s="1"/>
  <c r="GL48" i="1"/>
  <c r="GN48" i="1"/>
  <c r="GP48" i="1"/>
  <c r="GV48" i="1"/>
  <c r="GX48" i="1"/>
  <c r="HC48" i="1"/>
  <c r="C49" i="1"/>
  <c r="D49" i="1"/>
  <c r="P49" i="1"/>
  <c r="CP49" i="1" s="1"/>
  <c r="O49" i="1" s="1"/>
  <c r="Q49" i="1"/>
  <c r="S49" i="1"/>
  <c r="X49" i="1" s="1"/>
  <c r="AB49" i="1"/>
  <c r="AC49" i="1"/>
  <c r="CQ49" i="1" s="1"/>
  <c r="AD49" i="1"/>
  <c r="AE49" i="1"/>
  <c r="CZ49" i="1" s="1"/>
  <c r="AF49" i="1"/>
  <c r="AG49" i="1"/>
  <c r="CU49" i="1" s="1"/>
  <c r="T49" i="1" s="1"/>
  <c r="AH49" i="1"/>
  <c r="AI49" i="1"/>
  <c r="CW49" i="1" s="1"/>
  <c r="V49" i="1" s="1"/>
  <c r="AJ49" i="1"/>
  <c r="CX49" i="1" s="1"/>
  <c r="W49" i="1" s="1"/>
  <c r="CT49" i="1"/>
  <c r="CV49" i="1"/>
  <c r="U49" i="1" s="1"/>
  <c r="GL49" i="1"/>
  <c r="GN49" i="1"/>
  <c r="GP49" i="1"/>
  <c r="GV49" i="1"/>
  <c r="HC49" i="1" s="1"/>
  <c r="GX49" i="1" s="1"/>
  <c r="I50" i="1"/>
  <c r="Q50" i="1"/>
  <c r="R50" i="1"/>
  <c r="T50" i="1"/>
  <c r="V50" i="1"/>
  <c r="AC50" i="1"/>
  <c r="AE50" i="1"/>
  <c r="AF50" i="1"/>
  <c r="S50" i="1" s="1"/>
  <c r="AG50" i="1"/>
  <c r="CU50" i="1" s="1"/>
  <c r="AH50" i="1"/>
  <c r="CV50" i="1" s="1"/>
  <c r="U50" i="1" s="1"/>
  <c r="AI50" i="1"/>
  <c r="AJ50" i="1"/>
  <c r="CX50" i="1" s="1"/>
  <c r="W50" i="1" s="1"/>
  <c r="CQ50" i="1"/>
  <c r="CR50" i="1"/>
  <c r="CW50" i="1"/>
  <c r="GL50" i="1"/>
  <c r="GN50" i="1"/>
  <c r="GO50" i="1"/>
  <c r="GP50" i="1"/>
  <c r="GV50" i="1"/>
  <c r="GX50" i="1"/>
  <c r="HC50" i="1"/>
  <c r="I51" i="1"/>
  <c r="Q51" i="1"/>
  <c r="R51" i="1"/>
  <c r="S51" i="1"/>
  <c r="T51" i="1"/>
  <c r="X51" i="1"/>
  <c r="Y51" i="1"/>
  <c r="AC51" i="1"/>
  <c r="AE51" i="1"/>
  <c r="AD51" i="1" s="1"/>
  <c r="AF51" i="1"/>
  <c r="AG51" i="1"/>
  <c r="CU51" i="1" s="1"/>
  <c r="AH51" i="1"/>
  <c r="CV51" i="1" s="1"/>
  <c r="U51" i="1" s="1"/>
  <c r="AI51" i="1"/>
  <c r="AJ51" i="1"/>
  <c r="CX51" i="1" s="1"/>
  <c r="W51" i="1" s="1"/>
  <c r="CR51" i="1"/>
  <c r="CS51" i="1"/>
  <c r="CT51" i="1"/>
  <c r="CW51" i="1"/>
  <c r="V51" i="1" s="1"/>
  <c r="GL51" i="1"/>
  <c r="GN51" i="1"/>
  <c r="GO51" i="1"/>
  <c r="GP51" i="1"/>
  <c r="GV51" i="1"/>
  <c r="GX51" i="1"/>
  <c r="HC51" i="1"/>
  <c r="C52" i="1"/>
  <c r="D52" i="1"/>
  <c r="I52" i="1"/>
  <c r="K52" i="1"/>
  <c r="P52" i="1"/>
  <c r="Q52" i="1"/>
  <c r="R52" i="1"/>
  <c r="U52" i="1"/>
  <c r="V52" i="1"/>
  <c r="W52" i="1"/>
  <c r="AB52" i="1"/>
  <c r="AC52" i="1"/>
  <c r="AD52" i="1"/>
  <c r="AE52" i="1"/>
  <c r="CR52" i="1" s="1"/>
  <c r="AF52" i="1"/>
  <c r="AG52" i="1"/>
  <c r="AH52" i="1"/>
  <c r="AI52" i="1"/>
  <c r="CW52" i="1" s="1"/>
  <c r="AJ52" i="1"/>
  <c r="CX52" i="1" s="1"/>
  <c r="CQ52" i="1"/>
  <c r="CS52" i="1"/>
  <c r="CU52" i="1"/>
  <c r="T52" i="1" s="1"/>
  <c r="CV52" i="1"/>
  <c r="GL52" i="1"/>
  <c r="GN52" i="1"/>
  <c r="GP52" i="1"/>
  <c r="GV52" i="1"/>
  <c r="GX52" i="1"/>
  <c r="HC52" i="1"/>
  <c r="C53" i="1"/>
  <c r="D53" i="1"/>
  <c r="I53" i="1"/>
  <c r="K53" i="1"/>
  <c r="P53" i="1"/>
  <c r="Q53" i="1"/>
  <c r="V53" i="1"/>
  <c r="W53" i="1"/>
  <c r="AB53" i="1"/>
  <c r="AC53" i="1"/>
  <c r="AD53" i="1"/>
  <c r="AE53" i="1"/>
  <c r="AF53" i="1"/>
  <c r="S53" i="1" s="1"/>
  <c r="CP53" i="1" s="1"/>
  <c r="O53" i="1" s="1"/>
  <c r="AG53" i="1"/>
  <c r="CU53" i="1" s="1"/>
  <c r="T53" i="1" s="1"/>
  <c r="AH53" i="1"/>
  <c r="AI53" i="1"/>
  <c r="CW53" i="1" s="1"/>
  <c r="AJ53" i="1"/>
  <c r="CQ53" i="1"/>
  <c r="CS53" i="1"/>
  <c r="CT53" i="1"/>
  <c r="CV53" i="1"/>
  <c r="U53" i="1" s="1"/>
  <c r="CX53" i="1"/>
  <c r="GL53" i="1"/>
  <c r="GN53" i="1"/>
  <c r="GP53" i="1"/>
  <c r="GV53" i="1"/>
  <c r="HC53" i="1" s="1"/>
  <c r="GX53" i="1" s="1"/>
  <c r="I54" i="1"/>
  <c r="Q54" i="1" s="1"/>
  <c r="R54" i="1"/>
  <c r="S54" i="1"/>
  <c r="CY54" i="1" s="1"/>
  <c r="T54" i="1"/>
  <c r="V54" i="1"/>
  <c r="X54" i="1"/>
  <c r="Y54" i="1"/>
  <c r="AC54" i="1"/>
  <c r="AE54" i="1"/>
  <c r="AD54" i="1" s="1"/>
  <c r="AF54" i="1"/>
  <c r="CT54" i="1" s="1"/>
  <c r="AG54" i="1"/>
  <c r="CU54" i="1" s="1"/>
  <c r="AH54" i="1"/>
  <c r="AI54" i="1"/>
  <c r="AJ54" i="1"/>
  <c r="CX54" i="1" s="1"/>
  <c r="W54" i="1" s="1"/>
  <c r="CR54" i="1"/>
  <c r="CS54" i="1"/>
  <c r="CV54" i="1"/>
  <c r="U54" i="1" s="1"/>
  <c r="CW54" i="1"/>
  <c r="CZ54" i="1"/>
  <c r="GL54" i="1"/>
  <c r="GN54" i="1"/>
  <c r="GP54" i="1"/>
  <c r="GV54" i="1"/>
  <c r="HC54" i="1" s="1"/>
  <c r="GX54" i="1" s="1"/>
  <c r="I55" i="1"/>
  <c r="Q55" i="1"/>
  <c r="S55" i="1"/>
  <c r="Y55" i="1" s="1"/>
  <c r="V55" i="1"/>
  <c r="AC55" i="1"/>
  <c r="CQ55" i="1" s="1"/>
  <c r="AE55" i="1"/>
  <c r="CR55" i="1" s="1"/>
  <c r="AF55" i="1"/>
  <c r="CT55" i="1" s="1"/>
  <c r="AG55" i="1"/>
  <c r="CU55" i="1" s="1"/>
  <c r="T55" i="1" s="1"/>
  <c r="AH55" i="1"/>
  <c r="AI55" i="1"/>
  <c r="AJ55" i="1"/>
  <c r="CX55" i="1" s="1"/>
  <c r="W55" i="1" s="1"/>
  <c r="CV55" i="1"/>
  <c r="U55" i="1" s="1"/>
  <c r="CW55" i="1"/>
  <c r="GL55" i="1"/>
  <c r="GN55" i="1"/>
  <c r="GP55" i="1"/>
  <c r="GV55" i="1"/>
  <c r="HC55" i="1"/>
  <c r="GX55" i="1" s="1"/>
  <c r="C56" i="1"/>
  <c r="D56" i="1"/>
  <c r="I56" i="1"/>
  <c r="K56" i="1"/>
  <c r="P56" i="1"/>
  <c r="R56" i="1"/>
  <c r="V56" i="1"/>
  <c r="X56" i="1"/>
  <c r="AC56" i="1"/>
  <c r="AD56" i="1"/>
  <c r="AE56" i="1"/>
  <c r="AF56" i="1"/>
  <c r="S56" i="1" s="1"/>
  <c r="AG56" i="1"/>
  <c r="AH56" i="1"/>
  <c r="CV56" i="1" s="1"/>
  <c r="U56" i="1" s="1"/>
  <c r="AI56" i="1"/>
  <c r="AJ56" i="1"/>
  <c r="CX56" i="1" s="1"/>
  <c r="W56" i="1" s="1"/>
  <c r="CQ56" i="1"/>
  <c r="CR56" i="1"/>
  <c r="CS56" i="1"/>
  <c r="CT56" i="1"/>
  <c r="CU56" i="1"/>
  <c r="T56" i="1" s="1"/>
  <c r="CW56" i="1"/>
  <c r="GL56" i="1"/>
  <c r="GN56" i="1"/>
  <c r="GP56" i="1"/>
  <c r="GV56" i="1"/>
  <c r="HC56" i="1" s="1"/>
  <c r="GX56" i="1" s="1"/>
  <c r="C57" i="1"/>
  <c r="D57" i="1"/>
  <c r="I57" i="1"/>
  <c r="K57" i="1"/>
  <c r="T57" i="1"/>
  <c r="W57" i="1"/>
  <c r="AC57" i="1"/>
  <c r="AE57" i="1"/>
  <c r="AF57" i="1"/>
  <c r="S57" i="1" s="1"/>
  <c r="AG57" i="1"/>
  <c r="AH57" i="1"/>
  <c r="CV57" i="1" s="1"/>
  <c r="U57" i="1" s="1"/>
  <c r="AI57" i="1"/>
  <c r="CW57" i="1" s="1"/>
  <c r="V57" i="1" s="1"/>
  <c r="AJ57" i="1"/>
  <c r="CT57" i="1"/>
  <c r="CU57" i="1"/>
  <c r="CX57" i="1"/>
  <c r="CZ57" i="1"/>
  <c r="GL57" i="1"/>
  <c r="GN57" i="1"/>
  <c r="GP57" i="1"/>
  <c r="GV57" i="1"/>
  <c r="HC57" i="1"/>
  <c r="GX57" i="1" s="1"/>
  <c r="I58" i="1"/>
  <c r="P58" i="1"/>
  <c r="S58" i="1"/>
  <c r="AC58" i="1"/>
  <c r="AE58" i="1"/>
  <c r="AF58" i="1"/>
  <c r="AG58" i="1"/>
  <c r="AH58" i="1"/>
  <c r="AI58" i="1"/>
  <c r="AJ58" i="1"/>
  <c r="CQ58" i="1"/>
  <c r="CT58" i="1"/>
  <c r="CU58" i="1"/>
  <c r="T58" i="1" s="1"/>
  <c r="CV58" i="1"/>
  <c r="U58" i="1" s="1"/>
  <c r="CW58" i="1"/>
  <c r="V58" i="1" s="1"/>
  <c r="CX58" i="1"/>
  <c r="W58" i="1" s="1"/>
  <c r="GL58" i="1"/>
  <c r="GN58" i="1"/>
  <c r="GP58" i="1"/>
  <c r="GV58" i="1"/>
  <c r="HC58" i="1"/>
  <c r="GX58" i="1" s="1"/>
  <c r="I59" i="1"/>
  <c r="Q59" i="1" s="1"/>
  <c r="S59" i="1"/>
  <c r="U59" i="1"/>
  <c r="AC59" i="1"/>
  <c r="CQ59" i="1" s="1"/>
  <c r="AE59" i="1"/>
  <c r="AD59" i="1" s="1"/>
  <c r="AF59" i="1"/>
  <c r="AG59" i="1"/>
  <c r="CU59" i="1" s="1"/>
  <c r="T59" i="1" s="1"/>
  <c r="AH59" i="1"/>
  <c r="CV59" i="1" s="1"/>
  <c r="AI59" i="1"/>
  <c r="CW59" i="1" s="1"/>
  <c r="V59" i="1" s="1"/>
  <c r="AJ59" i="1"/>
  <c r="CR59" i="1"/>
  <c r="CS59" i="1"/>
  <c r="CT59" i="1"/>
  <c r="CX59" i="1"/>
  <c r="W59" i="1" s="1"/>
  <c r="GL59" i="1"/>
  <c r="GN59" i="1"/>
  <c r="GP59" i="1"/>
  <c r="GV59" i="1"/>
  <c r="HC59" i="1" s="1"/>
  <c r="GX59" i="1" s="1"/>
  <c r="AC60" i="1"/>
  <c r="AE60" i="1"/>
  <c r="AF60" i="1"/>
  <c r="AG60" i="1"/>
  <c r="AH60" i="1"/>
  <c r="CV60" i="1" s="1"/>
  <c r="AI60" i="1"/>
  <c r="CW60" i="1" s="1"/>
  <c r="AJ60" i="1"/>
  <c r="CT60" i="1"/>
  <c r="CU60" i="1"/>
  <c r="CX60" i="1"/>
  <c r="GL60" i="1"/>
  <c r="GN60" i="1"/>
  <c r="GP60" i="1"/>
  <c r="GV60" i="1"/>
  <c r="HC60" i="1" s="1"/>
  <c r="I61" i="1"/>
  <c r="P61" i="1"/>
  <c r="S61" i="1"/>
  <c r="AC61" i="1"/>
  <c r="AE61" i="1"/>
  <c r="AF61" i="1"/>
  <c r="CT61" i="1" s="1"/>
  <c r="AG61" i="1"/>
  <c r="AH61" i="1"/>
  <c r="AI61" i="1"/>
  <c r="AJ61" i="1"/>
  <c r="CQ61" i="1"/>
  <c r="CU61" i="1"/>
  <c r="T61" i="1" s="1"/>
  <c r="CV61" i="1"/>
  <c r="U61" i="1" s="1"/>
  <c r="CW61" i="1"/>
  <c r="V61" i="1" s="1"/>
  <c r="CX61" i="1"/>
  <c r="W61" i="1" s="1"/>
  <c r="GL61" i="1"/>
  <c r="GN61" i="1"/>
  <c r="GP61" i="1"/>
  <c r="GV61" i="1"/>
  <c r="GX61" i="1"/>
  <c r="HC61" i="1"/>
  <c r="C62" i="1"/>
  <c r="D62" i="1"/>
  <c r="P62" i="1"/>
  <c r="R62" i="1"/>
  <c r="W62" i="1"/>
  <c r="AC62" i="1"/>
  <c r="AD62" i="1"/>
  <c r="AE62" i="1"/>
  <c r="Q62" i="1" s="1"/>
  <c r="AF62" i="1"/>
  <c r="CT62" i="1" s="1"/>
  <c r="AG62" i="1"/>
  <c r="CU62" i="1" s="1"/>
  <c r="T62" i="1" s="1"/>
  <c r="AH62" i="1"/>
  <c r="CV62" i="1" s="1"/>
  <c r="U62" i="1" s="1"/>
  <c r="AI62" i="1"/>
  <c r="AJ62" i="1"/>
  <c r="CQ62" i="1"/>
  <c r="CR62" i="1"/>
  <c r="CS62" i="1"/>
  <c r="CW62" i="1"/>
  <c r="V62" i="1" s="1"/>
  <c r="CX62" i="1"/>
  <c r="GL62" i="1"/>
  <c r="GN62" i="1"/>
  <c r="GP62" i="1"/>
  <c r="GV62" i="1"/>
  <c r="HC62" i="1" s="1"/>
  <c r="GX62" i="1" s="1"/>
  <c r="C63" i="1"/>
  <c r="D63" i="1"/>
  <c r="R63" i="1"/>
  <c r="AB63" i="1"/>
  <c r="AC63" i="1"/>
  <c r="AD63" i="1"/>
  <c r="AE63" i="1"/>
  <c r="Q63" i="1" s="1"/>
  <c r="AF63" i="1"/>
  <c r="S63" i="1" s="1"/>
  <c r="AG63" i="1"/>
  <c r="CU63" i="1" s="1"/>
  <c r="T63" i="1" s="1"/>
  <c r="AH63" i="1"/>
  <c r="CV63" i="1" s="1"/>
  <c r="U63" i="1" s="1"/>
  <c r="AI63" i="1"/>
  <c r="AJ63" i="1"/>
  <c r="CR63" i="1"/>
  <c r="CS63" i="1"/>
  <c r="CW63" i="1"/>
  <c r="V63" i="1" s="1"/>
  <c r="CX63" i="1"/>
  <c r="W63" i="1" s="1"/>
  <c r="GL63" i="1"/>
  <c r="GN63" i="1"/>
  <c r="GP63" i="1"/>
  <c r="GV63" i="1"/>
  <c r="HC63" i="1" s="1"/>
  <c r="GX63" i="1" s="1"/>
  <c r="I64" i="1"/>
  <c r="Q64" i="1"/>
  <c r="U64" i="1"/>
  <c r="V64" i="1"/>
  <c r="W64" i="1"/>
  <c r="AC64" i="1"/>
  <c r="AE64" i="1"/>
  <c r="CS64" i="1" s="1"/>
  <c r="AF64" i="1"/>
  <c r="AG64" i="1"/>
  <c r="AH64" i="1"/>
  <c r="AI64" i="1"/>
  <c r="CW64" i="1" s="1"/>
  <c r="AJ64" i="1"/>
  <c r="CX64" i="1" s="1"/>
  <c r="CT64" i="1"/>
  <c r="CU64" i="1"/>
  <c r="T64" i="1" s="1"/>
  <c r="CV64" i="1"/>
  <c r="GL64" i="1"/>
  <c r="GN64" i="1"/>
  <c r="GP64" i="1"/>
  <c r="GV64" i="1"/>
  <c r="HC64" i="1"/>
  <c r="GX64" i="1" s="1"/>
  <c r="I65" i="1"/>
  <c r="R65" i="1"/>
  <c r="S65" i="1"/>
  <c r="AC65" i="1"/>
  <c r="AE65" i="1"/>
  <c r="Q65" i="1" s="1"/>
  <c r="AF65" i="1"/>
  <c r="CT65" i="1" s="1"/>
  <c r="AG65" i="1"/>
  <c r="CU65" i="1" s="1"/>
  <c r="T65" i="1" s="1"/>
  <c r="AH65" i="1"/>
  <c r="AI65" i="1"/>
  <c r="AJ65" i="1"/>
  <c r="CX65" i="1" s="1"/>
  <c r="W65" i="1" s="1"/>
  <c r="CQ65" i="1"/>
  <c r="CV65" i="1"/>
  <c r="U65" i="1" s="1"/>
  <c r="CW65" i="1"/>
  <c r="V65" i="1" s="1"/>
  <c r="GL65" i="1"/>
  <c r="GN65" i="1"/>
  <c r="GP65" i="1"/>
  <c r="GV65" i="1"/>
  <c r="HC65" i="1"/>
  <c r="GX65" i="1" s="1"/>
  <c r="C66" i="1"/>
  <c r="D66" i="1"/>
  <c r="I66" i="1"/>
  <c r="K66" i="1"/>
  <c r="P66" i="1"/>
  <c r="R66" i="1"/>
  <c r="X66" i="1"/>
  <c r="AC66" i="1"/>
  <c r="AD66" i="1"/>
  <c r="AE66" i="1"/>
  <c r="CS66" i="1" s="1"/>
  <c r="AF66" i="1"/>
  <c r="S66" i="1" s="1"/>
  <c r="AG66" i="1"/>
  <c r="AH66" i="1"/>
  <c r="AI66" i="1"/>
  <c r="AJ66" i="1"/>
  <c r="CX66" i="1" s="1"/>
  <c r="W66" i="1" s="1"/>
  <c r="CR66" i="1"/>
  <c r="CT66" i="1"/>
  <c r="CU66" i="1"/>
  <c r="T66" i="1" s="1"/>
  <c r="CV66" i="1"/>
  <c r="U66" i="1" s="1"/>
  <c r="CW66" i="1"/>
  <c r="V66" i="1" s="1"/>
  <c r="GL66" i="1"/>
  <c r="GN66" i="1"/>
  <c r="GP66" i="1"/>
  <c r="GV66" i="1"/>
  <c r="HC66" i="1" s="1"/>
  <c r="GX66" i="1" s="1"/>
  <c r="C67" i="1"/>
  <c r="D67" i="1"/>
  <c r="I67" i="1"/>
  <c r="K67" i="1"/>
  <c r="Q67" i="1"/>
  <c r="T67" i="1"/>
  <c r="AC67" i="1"/>
  <c r="P67" i="1" s="1"/>
  <c r="CP67" i="1" s="1"/>
  <c r="O67" i="1" s="1"/>
  <c r="AD67" i="1"/>
  <c r="AE67" i="1"/>
  <c r="AF67" i="1"/>
  <c r="S67" i="1" s="1"/>
  <c r="AG67" i="1"/>
  <c r="AH67" i="1"/>
  <c r="CV67" i="1" s="1"/>
  <c r="U67" i="1" s="1"/>
  <c r="AI67" i="1"/>
  <c r="CW67" i="1" s="1"/>
  <c r="V67" i="1" s="1"/>
  <c r="AJ67" i="1"/>
  <c r="CX67" i="1" s="1"/>
  <c r="W67" i="1" s="1"/>
  <c r="CT67" i="1"/>
  <c r="CU67" i="1"/>
  <c r="CY67" i="1"/>
  <c r="CZ67" i="1"/>
  <c r="GL67" i="1"/>
  <c r="GN67" i="1"/>
  <c r="GP67" i="1"/>
  <c r="GV67" i="1"/>
  <c r="HC67" i="1" s="1"/>
  <c r="GX67" i="1" s="1"/>
  <c r="I68" i="1"/>
  <c r="R68" i="1" s="1"/>
  <c r="P68" i="1"/>
  <c r="S68" i="1"/>
  <c r="AC68" i="1"/>
  <c r="AE68" i="1"/>
  <c r="AF68" i="1"/>
  <c r="CT68" i="1" s="1"/>
  <c r="AG68" i="1"/>
  <c r="AH68" i="1"/>
  <c r="AI68" i="1"/>
  <c r="AJ68" i="1"/>
  <c r="CQ68" i="1"/>
  <c r="CU68" i="1"/>
  <c r="T68" i="1" s="1"/>
  <c r="CV68" i="1"/>
  <c r="U68" i="1" s="1"/>
  <c r="CW68" i="1"/>
  <c r="V68" i="1" s="1"/>
  <c r="CX68" i="1"/>
  <c r="W68" i="1" s="1"/>
  <c r="GL68" i="1"/>
  <c r="GN68" i="1"/>
  <c r="GP68" i="1"/>
  <c r="GV68" i="1"/>
  <c r="GX68" i="1"/>
  <c r="HC68" i="1"/>
  <c r="I69" i="1"/>
  <c r="Q69" i="1" s="1"/>
  <c r="S69" i="1"/>
  <c r="CY69" i="1" s="1"/>
  <c r="T69" i="1"/>
  <c r="U69" i="1"/>
  <c r="X69" i="1"/>
  <c r="Y69" i="1"/>
  <c r="AC69" i="1"/>
  <c r="AE69" i="1"/>
  <c r="AD69" i="1" s="1"/>
  <c r="AF69" i="1"/>
  <c r="AG69" i="1"/>
  <c r="CU69" i="1" s="1"/>
  <c r="AH69" i="1"/>
  <c r="CV69" i="1" s="1"/>
  <c r="AI69" i="1"/>
  <c r="CW69" i="1" s="1"/>
  <c r="V69" i="1" s="1"/>
  <c r="AJ69" i="1"/>
  <c r="CQ69" i="1"/>
  <c r="CR69" i="1"/>
  <c r="CS69" i="1"/>
  <c r="CT69" i="1"/>
  <c r="CX69" i="1"/>
  <c r="W69" i="1" s="1"/>
  <c r="CZ69" i="1"/>
  <c r="GL69" i="1"/>
  <c r="GN69" i="1"/>
  <c r="GP69" i="1"/>
  <c r="GV69" i="1"/>
  <c r="HC69" i="1" s="1"/>
  <c r="GX69" i="1" s="1"/>
  <c r="AC70" i="1"/>
  <c r="AE70" i="1"/>
  <c r="AF70" i="1"/>
  <c r="AG70" i="1"/>
  <c r="AH70" i="1"/>
  <c r="AI70" i="1"/>
  <c r="CW70" i="1" s="1"/>
  <c r="AJ70" i="1"/>
  <c r="CX70" i="1" s="1"/>
  <c r="CU70" i="1"/>
  <c r="CV70" i="1"/>
  <c r="GL70" i="1"/>
  <c r="GN70" i="1"/>
  <c r="GP70" i="1"/>
  <c r="GV70" i="1"/>
  <c r="HC70" i="1" s="1"/>
  <c r="I71" i="1"/>
  <c r="AC71" i="1"/>
  <c r="AD71" i="1"/>
  <c r="AE71" i="1"/>
  <c r="AF71" i="1"/>
  <c r="AG71" i="1"/>
  <c r="AH71" i="1"/>
  <c r="AI71" i="1"/>
  <c r="AJ71" i="1"/>
  <c r="CQ71" i="1"/>
  <c r="CR71" i="1"/>
  <c r="CS71" i="1"/>
  <c r="CU71" i="1"/>
  <c r="CV71" i="1"/>
  <c r="CW71" i="1"/>
  <c r="CX71" i="1"/>
  <c r="W71" i="1" s="1"/>
  <c r="GL71" i="1"/>
  <c r="GN71" i="1"/>
  <c r="GP71" i="1"/>
  <c r="GV71" i="1"/>
  <c r="HC71" i="1"/>
  <c r="C72" i="1"/>
  <c r="D72" i="1"/>
  <c r="I72" i="1"/>
  <c r="K72" i="1"/>
  <c r="P72" i="1"/>
  <c r="R72" i="1"/>
  <c r="U72" i="1"/>
  <c r="AC72" i="1"/>
  <c r="AD72" i="1"/>
  <c r="AE72" i="1"/>
  <c r="Q72" i="1" s="1"/>
  <c r="AF72" i="1"/>
  <c r="AG72" i="1"/>
  <c r="CU72" i="1" s="1"/>
  <c r="T72" i="1" s="1"/>
  <c r="AH72" i="1"/>
  <c r="AI72" i="1"/>
  <c r="AJ72" i="1"/>
  <c r="CX72" i="1" s="1"/>
  <c r="W72" i="1" s="1"/>
  <c r="CQ72" i="1"/>
  <c r="CV72" i="1"/>
  <c r="CW72" i="1"/>
  <c r="V72" i="1" s="1"/>
  <c r="GL72" i="1"/>
  <c r="GN72" i="1"/>
  <c r="GP72" i="1"/>
  <c r="GV72" i="1"/>
  <c r="HC72" i="1"/>
  <c r="GX72" i="1" s="1"/>
  <c r="C73" i="1"/>
  <c r="D73" i="1"/>
  <c r="I73" i="1"/>
  <c r="K73" i="1"/>
  <c r="P73" i="1"/>
  <c r="S73" i="1"/>
  <c r="V73" i="1"/>
  <c r="W73" i="1"/>
  <c r="X73" i="1"/>
  <c r="AC73" i="1"/>
  <c r="AD73" i="1"/>
  <c r="AB73" i="1" s="1"/>
  <c r="AE73" i="1"/>
  <c r="CR73" i="1" s="1"/>
  <c r="AF73" i="1"/>
  <c r="AG73" i="1"/>
  <c r="AH73" i="1"/>
  <c r="AI73" i="1"/>
  <c r="CW73" i="1" s="1"/>
  <c r="AJ73" i="1"/>
  <c r="CX73" i="1" s="1"/>
  <c r="CQ73" i="1"/>
  <c r="CS73" i="1"/>
  <c r="CT73" i="1"/>
  <c r="CU73" i="1"/>
  <c r="T73" i="1" s="1"/>
  <c r="CV73" i="1"/>
  <c r="U73" i="1" s="1"/>
  <c r="CZ73" i="1"/>
  <c r="GL73" i="1"/>
  <c r="GN73" i="1"/>
  <c r="GP73" i="1"/>
  <c r="GV73" i="1"/>
  <c r="GX73" i="1"/>
  <c r="HC73" i="1"/>
  <c r="I74" i="1"/>
  <c r="S74" i="1"/>
  <c r="W74" i="1"/>
  <c r="AC74" i="1"/>
  <c r="AE74" i="1"/>
  <c r="Q74" i="1" s="1"/>
  <c r="AF74" i="1"/>
  <c r="AG74" i="1"/>
  <c r="CU74" i="1" s="1"/>
  <c r="T74" i="1" s="1"/>
  <c r="AH74" i="1"/>
  <c r="CV74" i="1" s="1"/>
  <c r="U74" i="1" s="1"/>
  <c r="AI74" i="1"/>
  <c r="AJ74" i="1"/>
  <c r="CX74" i="1" s="1"/>
  <c r="CQ74" i="1"/>
  <c r="CR74" i="1"/>
  <c r="CT74" i="1"/>
  <c r="CW74" i="1"/>
  <c r="V74" i="1" s="1"/>
  <c r="GL74" i="1"/>
  <c r="GN74" i="1"/>
  <c r="GP74" i="1"/>
  <c r="GV74" i="1"/>
  <c r="HC74" i="1"/>
  <c r="GX74" i="1" s="1"/>
  <c r="I75" i="1"/>
  <c r="Q75" i="1" s="1"/>
  <c r="R75" i="1"/>
  <c r="T75" i="1"/>
  <c r="AC75" i="1"/>
  <c r="CQ75" i="1" s="1"/>
  <c r="AD75" i="1"/>
  <c r="AB75" i="1" s="1"/>
  <c r="AE75" i="1"/>
  <c r="AF75" i="1"/>
  <c r="AG75" i="1"/>
  <c r="CU75" i="1" s="1"/>
  <c r="AH75" i="1"/>
  <c r="AI75" i="1"/>
  <c r="AJ75" i="1"/>
  <c r="CR75" i="1"/>
  <c r="CS75" i="1"/>
  <c r="CT75" i="1"/>
  <c r="CV75" i="1"/>
  <c r="U75" i="1" s="1"/>
  <c r="CW75" i="1"/>
  <c r="V75" i="1" s="1"/>
  <c r="CX75" i="1"/>
  <c r="GL75" i="1"/>
  <c r="GN75" i="1"/>
  <c r="GP75" i="1"/>
  <c r="GV75" i="1"/>
  <c r="HC75" i="1"/>
  <c r="GX75" i="1" s="1"/>
  <c r="I76" i="1"/>
  <c r="R76" i="1" s="1"/>
  <c r="Q76" i="1"/>
  <c r="U76" i="1"/>
  <c r="AC76" i="1"/>
  <c r="AD76" i="1"/>
  <c r="AE76" i="1"/>
  <c r="AF76" i="1"/>
  <c r="AG76" i="1"/>
  <c r="CU76" i="1" s="1"/>
  <c r="T76" i="1" s="1"/>
  <c r="AH76" i="1"/>
  <c r="AI76" i="1"/>
  <c r="CW76" i="1" s="1"/>
  <c r="V76" i="1" s="1"/>
  <c r="AJ76" i="1"/>
  <c r="CX76" i="1" s="1"/>
  <c r="W76" i="1" s="1"/>
  <c r="CR76" i="1"/>
  <c r="CS76" i="1"/>
  <c r="CT76" i="1"/>
  <c r="CV76" i="1"/>
  <c r="GL76" i="1"/>
  <c r="GN76" i="1"/>
  <c r="GP76" i="1"/>
  <c r="GV76" i="1"/>
  <c r="HC76" i="1"/>
  <c r="GX76" i="1" s="1"/>
  <c r="AC77" i="1"/>
  <c r="AE77" i="1"/>
  <c r="AF77" i="1"/>
  <c r="AG77" i="1"/>
  <c r="CU77" i="1" s="1"/>
  <c r="AH77" i="1"/>
  <c r="AI77" i="1"/>
  <c r="CW77" i="1" s="1"/>
  <c r="AJ77" i="1"/>
  <c r="CQ77" i="1"/>
  <c r="CT77" i="1"/>
  <c r="CV77" i="1"/>
  <c r="CX77" i="1"/>
  <c r="GL77" i="1"/>
  <c r="GN77" i="1"/>
  <c r="GP77" i="1"/>
  <c r="GV77" i="1"/>
  <c r="HC77" i="1"/>
  <c r="C78" i="1"/>
  <c r="D78" i="1"/>
  <c r="I78" i="1"/>
  <c r="K78" i="1"/>
  <c r="AC78" i="1"/>
  <c r="AD78" i="1"/>
  <c r="AE78" i="1"/>
  <c r="AF78" i="1"/>
  <c r="AG78" i="1"/>
  <c r="AH78" i="1"/>
  <c r="CV78" i="1" s="1"/>
  <c r="AI78" i="1"/>
  <c r="AJ78" i="1"/>
  <c r="CX78" i="1" s="1"/>
  <c r="CQ78" i="1"/>
  <c r="CR78" i="1"/>
  <c r="CS78" i="1"/>
  <c r="CT78" i="1"/>
  <c r="CU78" i="1"/>
  <c r="CW78" i="1"/>
  <c r="GL78" i="1"/>
  <c r="GN78" i="1"/>
  <c r="GP78" i="1"/>
  <c r="GV78" i="1"/>
  <c r="HC78" i="1"/>
  <c r="C79" i="1"/>
  <c r="D79" i="1"/>
  <c r="I79" i="1"/>
  <c r="R79" i="1" s="1"/>
  <c r="K79" i="1"/>
  <c r="P79" i="1"/>
  <c r="Q79" i="1"/>
  <c r="T79" i="1"/>
  <c r="AC79" i="1"/>
  <c r="AD79" i="1"/>
  <c r="AE79" i="1"/>
  <c r="CS79" i="1" s="1"/>
  <c r="AF79" i="1"/>
  <c r="CT79" i="1" s="1"/>
  <c r="AG79" i="1"/>
  <c r="AH79" i="1"/>
  <c r="AI79" i="1"/>
  <c r="AJ79" i="1"/>
  <c r="CX79" i="1" s="1"/>
  <c r="W79" i="1" s="1"/>
  <c r="CQ79" i="1"/>
  <c r="CR79" i="1"/>
  <c r="CU79" i="1"/>
  <c r="CV79" i="1"/>
  <c r="U79" i="1" s="1"/>
  <c r="CW79" i="1"/>
  <c r="V79" i="1" s="1"/>
  <c r="GL79" i="1"/>
  <c r="GN79" i="1"/>
  <c r="GP79" i="1"/>
  <c r="GV79" i="1"/>
  <c r="GX79" i="1"/>
  <c r="HC79" i="1"/>
  <c r="AC80" i="1"/>
  <c r="AE80" i="1"/>
  <c r="AF80" i="1"/>
  <c r="AG80" i="1"/>
  <c r="CU80" i="1" s="1"/>
  <c r="AH80" i="1"/>
  <c r="AI80" i="1"/>
  <c r="AJ80" i="1"/>
  <c r="CQ80" i="1"/>
  <c r="CV80" i="1"/>
  <c r="CW80" i="1"/>
  <c r="CX80" i="1"/>
  <c r="GL80" i="1"/>
  <c r="GN80" i="1"/>
  <c r="GP80" i="1"/>
  <c r="GV80" i="1"/>
  <c r="HC80" i="1"/>
  <c r="I81" i="1"/>
  <c r="P81" i="1" s="1"/>
  <c r="T81" i="1"/>
  <c r="V81" i="1"/>
  <c r="AC81" i="1"/>
  <c r="CQ81" i="1" s="1"/>
  <c r="AD81" i="1"/>
  <c r="AB81" i="1" s="1"/>
  <c r="AE81" i="1"/>
  <c r="AF81" i="1"/>
  <c r="AG81" i="1"/>
  <c r="AH81" i="1"/>
  <c r="CV81" i="1" s="1"/>
  <c r="AI81" i="1"/>
  <c r="CW81" i="1" s="1"/>
  <c r="AJ81" i="1"/>
  <c r="CX81" i="1" s="1"/>
  <c r="CR81" i="1"/>
  <c r="CS81" i="1"/>
  <c r="CT81" i="1"/>
  <c r="CU81" i="1"/>
  <c r="GL81" i="1"/>
  <c r="GN81" i="1"/>
  <c r="GP81" i="1"/>
  <c r="GV81" i="1"/>
  <c r="GX81" i="1"/>
  <c r="HC81" i="1"/>
  <c r="C82" i="1"/>
  <c r="D82" i="1"/>
  <c r="I82" i="1"/>
  <c r="K82" i="1"/>
  <c r="R82" i="1"/>
  <c r="S82" i="1"/>
  <c r="Y82" i="1" s="1"/>
  <c r="AC82" i="1"/>
  <c r="AD82" i="1"/>
  <c r="AE82" i="1"/>
  <c r="AF82" i="1"/>
  <c r="CT82" i="1" s="1"/>
  <c r="AG82" i="1"/>
  <c r="CU82" i="1" s="1"/>
  <c r="T82" i="1" s="1"/>
  <c r="AH82" i="1"/>
  <c r="CV82" i="1" s="1"/>
  <c r="U82" i="1" s="1"/>
  <c r="AI82" i="1"/>
  <c r="AJ82" i="1"/>
  <c r="CR82" i="1"/>
  <c r="CS82" i="1"/>
  <c r="CW82" i="1"/>
  <c r="CX82" i="1"/>
  <c r="GL82" i="1"/>
  <c r="GN82" i="1"/>
  <c r="GP82" i="1"/>
  <c r="GV82" i="1"/>
  <c r="HC82" i="1" s="1"/>
  <c r="C83" i="1"/>
  <c r="D83" i="1"/>
  <c r="I83" i="1"/>
  <c r="I85" i="1" s="1"/>
  <c r="R85" i="1" s="1"/>
  <c r="K83" i="1"/>
  <c r="R83" i="1"/>
  <c r="W83" i="1"/>
  <c r="AC83" i="1"/>
  <c r="P83" i="1" s="1"/>
  <c r="AE83" i="1"/>
  <c r="CR83" i="1" s="1"/>
  <c r="AF83" i="1"/>
  <c r="AG83" i="1"/>
  <c r="CU83" i="1" s="1"/>
  <c r="T83" i="1" s="1"/>
  <c r="AH83" i="1"/>
  <c r="CV83" i="1" s="1"/>
  <c r="U83" i="1" s="1"/>
  <c r="AI83" i="1"/>
  <c r="AJ83" i="1"/>
  <c r="CQ83" i="1"/>
  <c r="CS83" i="1"/>
  <c r="CW83" i="1"/>
  <c r="V83" i="1" s="1"/>
  <c r="CX83" i="1"/>
  <c r="GL83" i="1"/>
  <c r="GN83" i="1"/>
  <c r="GP83" i="1"/>
  <c r="GV83" i="1"/>
  <c r="HC83" i="1" s="1"/>
  <c r="GX83" i="1" s="1"/>
  <c r="AB84" i="1"/>
  <c r="AC84" i="1"/>
  <c r="CQ84" i="1" s="1"/>
  <c r="AD84" i="1"/>
  <c r="AE84" i="1"/>
  <c r="CR84" i="1" s="1"/>
  <c r="AF84" i="1"/>
  <c r="AG84" i="1"/>
  <c r="CU84" i="1" s="1"/>
  <c r="AH84" i="1"/>
  <c r="CV84" i="1" s="1"/>
  <c r="AI84" i="1"/>
  <c r="CW84" i="1" s="1"/>
  <c r="AJ84" i="1"/>
  <c r="CS84" i="1"/>
  <c r="CT84" i="1"/>
  <c r="CX84" i="1"/>
  <c r="GL84" i="1"/>
  <c r="GN84" i="1"/>
  <c r="GP84" i="1"/>
  <c r="GV84" i="1"/>
  <c r="HC84" i="1" s="1"/>
  <c r="AC85" i="1"/>
  <c r="AB85" i="1" s="1"/>
  <c r="AD85" i="1"/>
  <c r="AE85" i="1"/>
  <c r="CS85" i="1" s="1"/>
  <c r="AF85" i="1"/>
  <c r="AG85" i="1"/>
  <c r="AH85" i="1"/>
  <c r="AI85" i="1"/>
  <c r="AJ85" i="1"/>
  <c r="CX85" i="1" s="1"/>
  <c r="CR85" i="1"/>
  <c r="CT85" i="1"/>
  <c r="CU85" i="1"/>
  <c r="CV85" i="1"/>
  <c r="CW85" i="1"/>
  <c r="V85" i="1" s="1"/>
  <c r="GL85" i="1"/>
  <c r="GN85" i="1"/>
  <c r="GP85" i="1"/>
  <c r="GV85" i="1"/>
  <c r="HC85" i="1" s="1"/>
  <c r="GX85" i="1" s="1"/>
  <c r="AC86" i="1"/>
  <c r="AE86" i="1"/>
  <c r="CR86" i="1" s="1"/>
  <c r="AF86" i="1"/>
  <c r="AG86" i="1"/>
  <c r="CU86" i="1" s="1"/>
  <c r="AH86" i="1"/>
  <c r="CV86" i="1" s="1"/>
  <c r="AI86" i="1"/>
  <c r="AJ86" i="1"/>
  <c r="CQ86" i="1"/>
  <c r="CS86" i="1"/>
  <c r="CW86" i="1"/>
  <c r="CX86" i="1"/>
  <c r="GL86" i="1"/>
  <c r="GN86" i="1"/>
  <c r="GP86" i="1"/>
  <c r="GV86" i="1"/>
  <c r="HC86" i="1" s="1"/>
  <c r="I87" i="1"/>
  <c r="P87" i="1"/>
  <c r="S87" i="1"/>
  <c r="AB87" i="1"/>
  <c r="AC87" i="1"/>
  <c r="CQ87" i="1" s="1"/>
  <c r="AD87" i="1"/>
  <c r="AE87" i="1"/>
  <c r="CR87" i="1" s="1"/>
  <c r="AF87" i="1"/>
  <c r="AG87" i="1"/>
  <c r="CU87" i="1" s="1"/>
  <c r="T87" i="1" s="1"/>
  <c r="AH87" i="1"/>
  <c r="CV87" i="1" s="1"/>
  <c r="U87" i="1" s="1"/>
  <c r="AI87" i="1"/>
  <c r="CW87" i="1" s="1"/>
  <c r="V87" i="1" s="1"/>
  <c r="AJ87" i="1"/>
  <c r="CS87" i="1"/>
  <c r="CT87" i="1"/>
  <c r="CX87" i="1"/>
  <c r="W87" i="1" s="1"/>
  <c r="CY87" i="1"/>
  <c r="GL87" i="1"/>
  <c r="GN87" i="1"/>
  <c r="GP87" i="1"/>
  <c r="GV87" i="1"/>
  <c r="HC87" i="1" s="1"/>
  <c r="GX87" i="1" s="1"/>
  <c r="C88" i="1"/>
  <c r="D88" i="1"/>
  <c r="I88" i="1"/>
  <c r="K88" i="1"/>
  <c r="S88" i="1"/>
  <c r="CY88" i="1" s="1"/>
  <c r="U88" i="1"/>
  <c r="AC88" i="1"/>
  <c r="AD88" i="1"/>
  <c r="AE88" i="1"/>
  <c r="AF88" i="1"/>
  <c r="AG88" i="1"/>
  <c r="CU88" i="1" s="1"/>
  <c r="T88" i="1" s="1"/>
  <c r="AH88" i="1"/>
  <c r="CV88" i="1" s="1"/>
  <c r="AI88" i="1"/>
  <c r="CW88" i="1" s="1"/>
  <c r="V88" i="1" s="1"/>
  <c r="AJ88" i="1"/>
  <c r="CQ88" i="1"/>
  <c r="CR88" i="1"/>
  <c r="CS88" i="1"/>
  <c r="CT88" i="1"/>
  <c r="CX88" i="1"/>
  <c r="W88" i="1" s="1"/>
  <c r="CZ88" i="1"/>
  <c r="GL88" i="1"/>
  <c r="GN88" i="1"/>
  <c r="GP88" i="1"/>
  <c r="GV88" i="1"/>
  <c r="HC88" i="1" s="1"/>
  <c r="GX88" i="1" s="1"/>
  <c r="C89" i="1"/>
  <c r="D89" i="1"/>
  <c r="I89" i="1"/>
  <c r="K89" i="1"/>
  <c r="Q89" i="1"/>
  <c r="R89" i="1"/>
  <c r="T89" i="1"/>
  <c r="AC89" i="1"/>
  <c r="P89" i="1" s="1"/>
  <c r="AE89" i="1"/>
  <c r="AF89" i="1"/>
  <c r="AG89" i="1"/>
  <c r="CU89" i="1" s="1"/>
  <c r="AH89" i="1"/>
  <c r="AI89" i="1"/>
  <c r="AJ89" i="1"/>
  <c r="CQ89" i="1"/>
  <c r="CS89" i="1"/>
  <c r="CV89" i="1"/>
  <c r="U89" i="1" s="1"/>
  <c r="CW89" i="1"/>
  <c r="V89" i="1" s="1"/>
  <c r="CX89" i="1"/>
  <c r="W89" i="1" s="1"/>
  <c r="GL89" i="1"/>
  <c r="GN89" i="1"/>
  <c r="GP89" i="1"/>
  <c r="GV89" i="1"/>
  <c r="HC89" i="1"/>
  <c r="GX89" i="1" s="1"/>
  <c r="I90" i="1"/>
  <c r="P90" i="1" s="1"/>
  <c r="V90" i="1"/>
  <c r="AC90" i="1"/>
  <c r="CQ90" i="1" s="1"/>
  <c r="AD90" i="1"/>
  <c r="AB90" i="1" s="1"/>
  <c r="AE90" i="1"/>
  <c r="AF90" i="1"/>
  <c r="AG90" i="1"/>
  <c r="AH90" i="1"/>
  <c r="CV90" i="1" s="1"/>
  <c r="U90" i="1" s="1"/>
  <c r="AI90" i="1"/>
  <c r="CW90" i="1" s="1"/>
  <c r="AJ90" i="1"/>
  <c r="CX90" i="1" s="1"/>
  <c r="CR90" i="1"/>
  <c r="CS90" i="1"/>
  <c r="CT90" i="1"/>
  <c r="CU90" i="1"/>
  <c r="GL90" i="1"/>
  <c r="GN90" i="1"/>
  <c r="GP90" i="1"/>
  <c r="GV90" i="1"/>
  <c r="GX90" i="1"/>
  <c r="HC90" i="1"/>
  <c r="AC91" i="1"/>
  <c r="AD91" i="1"/>
  <c r="AE91" i="1"/>
  <c r="CR91" i="1" s="1"/>
  <c r="AF91" i="1"/>
  <c r="AG91" i="1"/>
  <c r="AH91" i="1"/>
  <c r="AI91" i="1"/>
  <c r="AJ91" i="1"/>
  <c r="CX91" i="1" s="1"/>
  <c r="CQ91" i="1"/>
  <c r="CU91" i="1"/>
  <c r="CV91" i="1"/>
  <c r="CW91" i="1"/>
  <c r="GL91" i="1"/>
  <c r="GN91" i="1"/>
  <c r="GP91" i="1"/>
  <c r="GV91" i="1"/>
  <c r="HC91" i="1"/>
  <c r="C92" i="1"/>
  <c r="D92" i="1"/>
  <c r="I92" i="1"/>
  <c r="K92" i="1"/>
  <c r="AC92" i="1"/>
  <c r="AE92" i="1"/>
  <c r="AF92" i="1"/>
  <c r="S92" i="1" s="1"/>
  <c r="AG92" i="1"/>
  <c r="AH92" i="1"/>
  <c r="AI92" i="1"/>
  <c r="CW92" i="1" s="1"/>
  <c r="V92" i="1" s="1"/>
  <c r="AJ92" i="1"/>
  <c r="CX92" i="1" s="1"/>
  <c r="W92" i="1" s="1"/>
  <c r="CT92" i="1"/>
  <c r="CU92" i="1"/>
  <c r="T92" i="1" s="1"/>
  <c r="CV92" i="1"/>
  <c r="U92" i="1" s="1"/>
  <c r="CZ92" i="1"/>
  <c r="GL92" i="1"/>
  <c r="GN92" i="1"/>
  <c r="GP92" i="1"/>
  <c r="GV92" i="1"/>
  <c r="HC92" i="1" s="1"/>
  <c r="GX92" i="1" s="1"/>
  <c r="C93" i="1"/>
  <c r="D93" i="1"/>
  <c r="I93" i="1"/>
  <c r="R93" i="1" s="1"/>
  <c r="K93" i="1"/>
  <c r="S93" i="1"/>
  <c r="AB93" i="1"/>
  <c r="AC93" i="1"/>
  <c r="CQ93" i="1" s="1"/>
  <c r="AD93" i="1"/>
  <c r="AE93" i="1"/>
  <c r="CR93" i="1" s="1"/>
  <c r="AF93" i="1"/>
  <c r="AG93" i="1"/>
  <c r="AH93" i="1"/>
  <c r="CV93" i="1" s="1"/>
  <c r="U93" i="1" s="1"/>
  <c r="AI93" i="1"/>
  <c r="CW93" i="1" s="1"/>
  <c r="V93" i="1" s="1"/>
  <c r="AJ93" i="1"/>
  <c r="CS93" i="1"/>
  <c r="CT93" i="1"/>
  <c r="CU93" i="1"/>
  <c r="T93" i="1" s="1"/>
  <c r="CX93" i="1"/>
  <c r="W93" i="1" s="1"/>
  <c r="GL93" i="1"/>
  <c r="GN93" i="1"/>
  <c r="GP93" i="1"/>
  <c r="GV93" i="1"/>
  <c r="HC93" i="1" s="1"/>
  <c r="GX93" i="1" s="1"/>
  <c r="I94" i="1"/>
  <c r="R94" i="1"/>
  <c r="S94" i="1"/>
  <c r="X94" i="1" s="1"/>
  <c r="AC94" i="1"/>
  <c r="P94" i="1" s="1"/>
  <c r="CP94" i="1" s="1"/>
  <c r="O94" i="1" s="1"/>
  <c r="AD94" i="1"/>
  <c r="AE94" i="1"/>
  <c r="Q94" i="1" s="1"/>
  <c r="AF94" i="1"/>
  <c r="CT94" i="1" s="1"/>
  <c r="AG94" i="1"/>
  <c r="CU94" i="1" s="1"/>
  <c r="T94" i="1" s="1"/>
  <c r="AH94" i="1"/>
  <c r="AI94" i="1"/>
  <c r="AJ94" i="1"/>
  <c r="CX94" i="1" s="1"/>
  <c r="W94" i="1" s="1"/>
  <c r="CR94" i="1"/>
  <c r="CV94" i="1"/>
  <c r="U94" i="1" s="1"/>
  <c r="CW94" i="1"/>
  <c r="V94" i="1" s="1"/>
  <c r="GL94" i="1"/>
  <c r="GN94" i="1"/>
  <c r="GP94" i="1"/>
  <c r="GV94" i="1"/>
  <c r="HC94" i="1" s="1"/>
  <c r="GX94" i="1"/>
  <c r="I95" i="1"/>
  <c r="Q95" i="1" s="1"/>
  <c r="S95" i="1"/>
  <c r="Y95" i="1" s="1"/>
  <c r="T95" i="1"/>
  <c r="U95" i="1"/>
  <c r="AC95" i="1"/>
  <c r="P95" i="1" s="1"/>
  <c r="CP95" i="1" s="1"/>
  <c r="O95" i="1" s="1"/>
  <c r="AE95" i="1"/>
  <c r="CR95" i="1" s="1"/>
  <c r="AF95" i="1"/>
  <c r="AG95" i="1"/>
  <c r="CU95" i="1" s="1"/>
  <c r="AH95" i="1"/>
  <c r="CV95" i="1" s="1"/>
  <c r="AI95" i="1"/>
  <c r="AJ95" i="1"/>
  <c r="CS95" i="1"/>
  <c r="CT95" i="1"/>
  <c r="CW95" i="1"/>
  <c r="V95" i="1" s="1"/>
  <c r="CX95" i="1"/>
  <c r="W95" i="1" s="1"/>
  <c r="GL95" i="1"/>
  <c r="GN95" i="1"/>
  <c r="GP95" i="1"/>
  <c r="GV95" i="1"/>
  <c r="HC95" i="1" s="1"/>
  <c r="GX95" i="1" s="1"/>
  <c r="I96" i="1"/>
  <c r="P96" i="1" s="1"/>
  <c r="CP96" i="1" s="1"/>
  <c r="O96" i="1" s="1"/>
  <c r="Q96" i="1"/>
  <c r="S96" i="1"/>
  <c r="CY96" i="1" s="1"/>
  <c r="AC96" i="1"/>
  <c r="CQ96" i="1" s="1"/>
  <c r="AD96" i="1"/>
  <c r="AB96" i="1" s="1"/>
  <c r="AE96" i="1"/>
  <c r="CR96" i="1" s="1"/>
  <c r="AF96" i="1"/>
  <c r="AG96" i="1"/>
  <c r="AH96" i="1"/>
  <c r="CV96" i="1" s="1"/>
  <c r="U96" i="1" s="1"/>
  <c r="AI96" i="1"/>
  <c r="CW96" i="1" s="1"/>
  <c r="V96" i="1" s="1"/>
  <c r="AJ96" i="1"/>
  <c r="CT96" i="1"/>
  <c r="CU96" i="1"/>
  <c r="T96" i="1" s="1"/>
  <c r="CX96" i="1"/>
  <c r="W96" i="1" s="1"/>
  <c r="GL96" i="1"/>
  <c r="GN96" i="1"/>
  <c r="GP96" i="1"/>
  <c r="GV96" i="1"/>
  <c r="HC96" i="1" s="1"/>
  <c r="GX96" i="1" s="1"/>
  <c r="AC97" i="1"/>
  <c r="AB97" i="1" s="1"/>
  <c r="AD97" i="1"/>
  <c r="AE97" i="1"/>
  <c r="CS97" i="1" s="1"/>
  <c r="AF97" i="1"/>
  <c r="AG97" i="1"/>
  <c r="AH97" i="1"/>
  <c r="AI97" i="1"/>
  <c r="AJ97" i="1"/>
  <c r="CX97" i="1" s="1"/>
  <c r="CR97" i="1"/>
  <c r="CT97" i="1"/>
  <c r="CU97" i="1"/>
  <c r="CV97" i="1"/>
  <c r="CW97" i="1"/>
  <c r="GL97" i="1"/>
  <c r="GN97" i="1"/>
  <c r="GP97" i="1"/>
  <c r="GV97" i="1"/>
  <c r="HC97" i="1" s="1"/>
  <c r="C98" i="1"/>
  <c r="D98" i="1"/>
  <c r="I98" i="1"/>
  <c r="K98" i="1"/>
  <c r="T98" i="1"/>
  <c r="U98" i="1"/>
  <c r="W98" i="1"/>
  <c r="AC98" i="1"/>
  <c r="AD98" i="1"/>
  <c r="AE98" i="1"/>
  <c r="CZ98" i="1" s="1"/>
  <c r="AF98" i="1"/>
  <c r="S98" i="1" s="1"/>
  <c r="AG98" i="1"/>
  <c r="AH98" i="1"/>
  <c r="AI98" i="1"/>
  <c r="AJ98" i="1"/>
  <c r="CX98" i="1" s="1"/>
  <c r="CQ98" i="1"/>
  <c r="CT98" i="1"/>
  <c r="CU98" i="1"/>
  <c r="CV98" i="1"/>
  <c r="CW98" i="1"/>
  <c r="V98" i="1" s="1"/>
  <c r="CY98" i="1"/>
  <c r="GL98" i="1"/>
  <c r="GN98" i="1"/>
  <c r="GP98" i="1"/>
  <c r="GV98" i="1"/>
  <c r="HC98" i="1" s="1"/>
  <c r="GX98" i="1" s="1"/>
  <c r="C99" i="1"/>
  <c r="D99" i="1"/>
  <c r="I99" i="1"/>
  <c r="K99" i="1"/>
  <c r="AC99" i="1"/>
  <c r="CQ99" i="1" s="1"/>
  <c r="AD99" i="1"/>
  <c r="AE99" i="1"/>
  <c r="AF99" i="1"/>
  <c r="AG99" i="1"/>
  <c r="AH99" i="1"/>
  <c r="AI99" i="1"/>
  <c r="CW99" i="1" s="1"/>
  <c r="AJ99" i="1"/>
  <c r="CX99" i="1" s="1"/>
  <c r="W99" i="1" s="1"/>
  <c r="CR99" i="1"/>
  <c r="CS99" i="1"/>
  <c r="CT99" i="1"/>
  <c r="CU99" i="1"/>
  <c r="T99" i="1" s="1"/>
  <c r="CV99" i="1"/>
  <c r="U99" i="1" s="1"/>
  <c r="GL99" i="1"/>
  <c r="GN99" i="1"/>
  <c r="GP99" i="1"/>
  <c r="GV99" i="1"/>
  <c r="HC99" i="1"/>
  <c r="GX99" i="1" s="1"/>
  <c r="I100" i="1"/>
  <c r="Q100" i="1"/>
  <c r="R100" i="1"/>
  <c r="V100" i="1"/>
  <c r="AC100" i="1"/>
  <c r="AB100" i="1" s="1"/>
  <c r="AD100" i="1"/>
  <c r="AE100" i="1"/>
  <c r="CS100" i="1" s="1"/>
  <c r="AF100" i="1"/>
  <c r="S100" i="1" s="1"/>
  <c r="AG100" i="1"/>
  <c r="AH100" i="1"/>
  <c r="AI100" i="1"/>
  <c r="AJ100" i="1"/>
  <c r="CX100" i="1" s="1"/>
  <c r="W100" i="1" s="1"/>
  <c r="CR100" i="1"/>
  <c r="CT100" i="1"/>
  <c r="CU100" i="1"/>
  <c r="T100" i="1" s="1"/>
  <c r="CV100" i="1"/>
  <c r="U100" i="1" s="1"/>
  <c r="CW100" i="1"/>
  <c r="GL100" i="1"/>
  <c r="GN100" i="1"/>
  <c r="GP100" i="1"/>
  <c r="GV100" i="1"/>
  <c r="HC100" i="1"/>
  <c r="GX100" i="1" s="1"/>
  <c r="AC101" i="1"/>
  <c r="AE101" i="1"/>
  <c r="AD101" i="1" s="1"/>
  <c r="AF101" i="1"/>
  <c r="AG101" i="1"/>
  <c r="CU101" i="1" s="1"/>
  <c r="AH101" i="1"/>
  <c r="AI101" i="1"/>
  <c r="AJ101" i="1"/>
  <c r="CT101" i="1"/>
  <c r="CV101" i="1"/>
  <c r="CW101" i="1"/>
  <c r="CX101" i="1"/>
  <c r="GL101" i="1"/>
  <c r="GN101" i="1"/>
  <c r="GP101" i="1"/>
  <c r="GV101" i="1"/>
  <c r="HC101" i="1"/>
  <c r="C102" i="1"/>
  <c r="D102" i="1"/>
  <c r="I102" i="1"/>
  <c r="P102" i="1" s="1"/>
  <c r="CP102" i="1" s="1"/>
  <c r="O102" i="1" s="1"/>
  <c r="K102" i="1"/>
  <c r="Q102" i="1"/>
  <c r="S102" i="1"/>
  <c r="CZ102" i="1" s="1"/>
  <c r="T102" i="1"/>
  <c r="V102" i="1"/>
  <c r="Y102" i="1"/>
  <c r="AB102" i="1"/>
  <c r="AC102" i="1"/>
  <c r="AD102" i="1"/>
  <c r="AE102" i="1"/>
  <c r="AF102" i="1"/>
  <c r="CT102" i="1" s="1"/>
  <c r="AG102" i="1"/>
  <c r="AH102" i="1"/>
  <c r="CV102" i="1" s="1"/>
  <c r="U102" i="1" s="1"/>
  <c r="AI102" i="1"/>
  <c r="AJ102" i="1"/>
  <c r="CX102" i="1" s="1"/>
  <c r="W102" i="1" s="1"/>
  <c r="CQ102" i="1"/>
  <c r="CR102" i="1"/>
  <c r="CS102" i="1"/>
  <c r="CU102" i="1"/>
  <c r="CW102" i="1"/>
  <c r="GL102" i="1"/>
  <c r="GN102" i="1"/>
  <c r="GP102" i="1"/>
  <c r="GV102" i="1"/>
  <c r="GX102" i="1"/>
  <c r="HC102" i="1"/>
  <c r="C103" i="1"/>
  <c r="D103" i="1"/>
  <c r="I103" i="1"/>
  <c r="R103" i="1" s="1"/>
  <c r="K103" i="1"/>
  <c r="P103" i="1"/>
  <c r="U103" i="1"/>
  <c r="AC103" i="1"/>
  <c r="AE103" i="1"/>
  <c r="CS103" i="1" s="1"/>
  <c r="AF103" i="1"/>
  <c r="CT103" i="1" s="1"/>
  <c r="AG103" i="1"/>
  <c r="CU103" i="1" s="1"/>
  <c r="T103" i="1" s="1"/>
  <c r="AH103" i="1"/>
  <c r="AI103" i="1"/>
  <c r="AJ103" i="1"/>
  <c r="CX103" i="1" s="1"/>
  <c r="W103" i="1" s="1"/>
  <c r="CV103" i="1"/>
  <c r="CW103" i="1"/>
  <c r="V103" i="1" s="1"/>
  <c r="GL103" i="1"/>
  <c r="GN103" i="1"/>
  <c r="GP103" i="1"/>
  <c r="GV103" i="1"/>
  <c r="HC103" i="1"/>
  <c r="GX103" i="1" s="1"/>
  <c r="AC104" i="1"/>
  <c r="AE104" i="1"/>
  <c r="AD104" i="1" s="1"/>
  <c r="AF104" i="1"/>
  <c r="CT104" i="1" s="1"/>
  <c r="AG104" i="1"/>
  <c r="CU104" i="1" s="1"/>
  <c r="AH104" i="1"/>
  <c r="CV104" i="1" s="1"/>
  <c r="AI104" i="1"/>
  <c r="AJ104" i="1"/>
  <c r="CQ104" i="1"/>
  <c r="CR104" i="1"/>
  <c r="CS104" i="1"/>
  <c r="CW104" i="1"/>
  <c r="CX104" i="1"/>
  <c r="GL104" i="1"/>
  <c r="GN104" i="1"/>
  <c r="GP104" i="1"/>
  <c r="GV104" i="1"/>
  <c r="HC104" i="1" s="1"/>
  <c r="I105" i="1"/>
  <c r="Q105" i="1" s="1"/>
  <c r="S105" i="1"/>
  <c r="AB105" i="1"/>
  <c r="AC105" i="1"/>
  <c r="CQ105" i="1" s="1"/>
  <c r="AD105" i="1"/>
  <c r="AE105" i="1"/>
  <c r="CR105" i="1" s="1"/>
  <c r="AF105" i="1"/>
  <c r="AG105" i="1"/>
  <c r="CU105" i="1" s="1"/>
  <c r="T105" i="1" s="1"/>
  <c r="AH105" i="1"/>
  <c r="CV105" i="1" s="1"/>
  <c r="U105" i="1" s="1"/>
  <c r="AI105" i="1"/>
  <c r="AJ105" i="1"/>
  <c r="CS105" i="1"/>
  <c r="CT105" i="1"/>
  <c r="CW105" i="1"/>
  <c r="V105" i="1" s="1"/>
  <c r="CX105" i="1"/>
  <c r="W105" i="1" s="1"/>
  <c r="GL105" i="1"/>
  <c r="GN105" i="1"/>
  <c r="GP105" i="1"/>
  <c r="GV105" i="1"/>
  <c r="HC105" i="1" s="1"/>
  <c r="GX105" i="1" s="1"/>
  <c r="I106" i="1"/>
  <c r="Q106" i="1" s="1"/>
  <c r="V106" i="1"/>
  <c r="AC106" i="1"/>
  <c r="AD106" i="1"/>
  <c r="AE106" i="1"/>
  <c r="AF106" i="1"/>
  <c r="S106" i="1" s="1"/>
  <c r="AG106" i="1"/>
  <c r="AH106" i="1"/>
  <c r="CV106" i="1" s="1"/>
  <c r="U106" i="1" s="1"/>
  <c r="AI106" i="1"/>
  <c r="AJ106" i="1"/>
  <c r="CX106" i="1" s="1"/>
  <c r="W106" i="1" s="1"/>
  <c r="CR106" i="1"/>
  <c r="CS106" i="1"/>
  <c r="CT106" i="1"/>
  <c r="CU106" i="1"/>
  <c r="T106" i="1" s="1"/>
  <c r="CW106" i="1"/>
  <c r="GL106" i="1"/>
  <c r="GN106" i="1"/>
  <c r="GP106" i="1"/>
  <c r="GV106" i="1"/>
  <c r="HC106" i="1" s="1"/>
  <c r="GX106" i="1" s="1"/>
  <c r="AC107" i="1"/>
  <c r="AD107" i="1"/>
  <c r="AB107" i="1" s="1"/>
  <c r="AE107" i="1"/>
  <c r="AF107" i="1"/>
  <c r="CT107" i="1" s="1"/>
  <c r="AG107" i="1"/>
  <c r="CU107" i="1" s="1"/>
  <c r="AH107" i="1"/>
  <c r="CV107" i="1" s="1"/>
  <c r="AI107" i="1"/>
  <c r="AJ107" i="1"/>
  <c r="CQ107" i="1"/>
  <c r="CR107" i="1"/>
  <c r="CS107" i="1"/>
  <c r="CW107" i="1"/>
  <c r="CX107" i="1"/>
  <c r="GL107" i="1"/>
  <c r="GN107" i="1"/>
  <c r="GP107" i="1"/>
  <c r="GV107" i="1"/>
  <c r="HC107" i="1" s="1"/>
  <c r="C108" i="1"/>
  <c r="D108" i="1"/>
  <c r="I108" i="1"/>
  <c r="K108" i="1"/>
  <c r="P108" i="1"/>
  <c r="W108" i="1"/>
  <c r="AC108" i="1"/>
  <c r="AD108" i="1"/>
  <c r="AE108" i="1"/>
  <c r="Q108" i="1" s="1"/>
  <c r="AF108" i="1"/>
  <c r="AG108" i="1"/>
  <c r="AH108" i="1"/>
  <c r="AI108" i="1"/>
  <c r="CW108" i="1" s="1"/>
  <c r="V108" i="1" s="1"/>
  <c r="AJ108" i="1"/>
  <c r="CQ108" i="1"/>
  <c r="CT108" i="1"/>
  <c r="CU108" i="1"/>
  <c r="T108" i="1" s="1"/>
  <c r="CV108" i="1"/>
  <c r="U108" i="1" s="1"/>
  <c r="CX108" i="1"/>
  <c r="GL108" i="1"/>
  <c r="GN108" i="1"/>
  <c r="GP108" i="1"/>
  <c r="GV108" i="1"/>
  <c r="GX108" i="1"/>
  <c r="HC108" i="1"/>
  <c r="C109" i="1"/>
  <c r="D109" i="1"/>
  <c r="I109" i="1"/>
  <c r="K109" i="1"/>
  <c r="P109" i="1"/>
  <c r="U109" i="1"/>
  <c r="AC109" i="1"/>
  <c r="AD109" i="1"/>
  <c r="AB109" i="1" s="1"/>
  <c r="AE109" i="1"/>
  <c r="CR109" i="1" s="1"/>
  <c r="AF109" i="1"/>
  <c r="CT109" i="1" s="1"/>
  <c r="AG109" i="1"/>
  <c r="AH109" i="1"/>
  <c r="AI109" i="1"/>
  <c r="CW109" i="1" s="1"/>
  <c r="V109" i="1" s="1"/>
  <c r="AJ109" i="1"/>
  <c r="CX109" i="1" s="1"/>
  <c r="W109" i="1" s="1"/>
  <c r="CQ109" i="1"/>
  <c r="CU109" i="1"/>
  <c r="T109" i="1" s="1"/>
  <c r="CV109" i="1"/>
  <c r="GL109" i="1"/>
  <c r="GN109" i="1"/>
  <c r="GP109" i="1"/>
  <c r="GV109" i="1"/>
  <c r="GX109" i="1"/>
  <c r="HC109" i="1"/>
  <c r="I110" i="1"/>
  <c r="P110" i="1" s="1"/>
  <c r="AC110" i="1"/>
  <c r="AE110" i="1"/>
  <c r="AF110" i="1"/>
  <c r="S110" i="1" s="1"/>
  <c r="AG110" i="1"/>
  <c r="AH110" i="1"/>
  <c r="AI110" i="1"/>
  <c r="AJ110" i="1"/>
  <c r="CX110" i="1" s="1"/>
  <c r="W110" i="1" s="1"/>
  <c r="CQ110" i="1"/>
  <c r="CU110" i="1"/>
  <c r="T110" i="1" s="1"/>
  <c r="CV110" i="1"/>
  <c r="U110" i="1" s="1"/>
  <c r="CW110" i="1"/>
  <c r="V110" i="1" s="1"/>
  <c r="GL110" i="1"/>
  <c r="GN110" i="1"/>
  <c r="GP110" i="1"/>
  <c r="GV110" i="1"/>
  <c r="HC110" i="1"/>
  <c r="GX110" i="1" s="1"/>
  <c r="I111" i="1"/>
  <c r="P111" i="1" s="1"/>
  <c r="T111" i="1"/>
  <c r="AB111" i="1"/>
  <c r="AC111" i="1"/>
  <c r="AD111" i="1"/>
  <c r="AE111" i="1"/>
  <c r="AF111" i="1"/>
  <c r="CT111" i="1" s="1"/>
  <c r="AG111" i="1"/>
  <c r="AH111" i="1"/>
  <c r="CV111" i="1" s="1"/>
  <c r="U111" i="1" s="1"/>
  <c r="AI111" i="1"/>
  <c r="CW111" i="1" s="1"/>
  <c r="V111" i="1" s="1"/>
  <c r="AJ111" i="1"/>
  <c r="CX111" i="1" s="1"/>
  <c r="W111" i="1" s="1"/>
  <c r="CQ111" i="1"/>
  <c r="CR111" i="1"/>
  <c r="CS111" i="1"/>
  <c r="CU111" i="1"/>
  <c r="GL111" i="1"/>
  <c r="GN111" i="1"/>
  <c r="GP111" i="1"/>
  <c r="GV111" i="1"/>
  <c r="HC111" i="1" s="1"/>
  <c r="GX111" i="1" s="1"/>
  <c r="AC112" i="1"/>
  <c r="AD112" i="1"/>
  <c r="AB112" i="1" s="1"/>
  <c r="AE112" i="1"/>
  <c r="CR112" i="1" s="1"/>
  <c r="AF112" i="1"/>
  <c r="CT112" i="1" s="1"/>
  <c r="AG112" i="1"/>
  <c r="AH112" i="1"/>
  <c r="AI112" i="1"/>
  <c r="CW112" i="1" s="1"/>
  <c r="AJ112" i="1"/>
  <c r="CX112" i="1" s="1"/>
  <c r="CQ112" i="1"/>
  <c r="CU112" i="1"/>
  <c r="CV112" i="1"/>
  <c r="GL112" i="1"/>
  <c r="GN112" i="1"/>
  <c r="GP112" i="1"/>
  <c r="GV112" i="1"/>
  <c r="HC112" i="1"/>
  <c r="I113" i="1"/>
  <c r="P113" i="1" s="1"/>
  <c r="AC113" i="1"/>
  <c r="AE113" i="1"/>
  <c r="AF113" i="1"/>
  <c r="S113" i="1" s="1"/>
  <c r="AG113" i="1"/>
  <c r="AH113" i="1"/>
  <c r="AI113" i="1"/>
  <c r="AJ113" i="1"/>
  <c r="CX113" i="1" s="1"/>
  <c r="W113" i="1" s="1"/>
  <c r="CQ113" i="1"/>
  <c r="CU113" i="1"/>
  <c r="T113" i="1" s="1"/>
  <c r="CV113" i="1"/>
  <c r="U113" i="1" s="1"/>
  <c r="CW113" i="1"/>
  <c r="V113" i="1" s="1"/>
  <c r="GL113" i="1"/>
  <c r="GN113" i="1"/>
  <c r="GP113" i="1"/>
  <c r="GV113" i="1"/>
  <c r="HC113" i="1"/>
  <c r="GX113" i="1" s="1"/>
  <c r="S114" i="1"/>
  <c r="CY114" i="1" s="1"/>
  <c r="U114" i="1"/>
  <c r="AB114" i="1"/>
  <c r="AC114" i="1"/>
  <c r="P114" i="1" s="1"/>
  <c r="AE114" i="1"/>
  <c r="AD114" i="1" s="1"/>
  <c r="AF114" i="1"/>
  <c r="AG114" i="1"/>
  <c r="CU114" i="1" s="1"/>
  <c r="T114" i="1" s="1"/>
  <c r="AH114" i="1"/>
  <c r="AI114" i="1"/>
  <c r="CW114" i="1" s="1"/>
  <c r="V114" i="1" s="1"/>
  <c r="AJ114" i="1"/>
  <c r="CX114" i="1" s="1"/>
  <c r="W114" i="1" s="1"/>
  <c r="CR114" i="1"/>
  <c r="CS114" i="1"/>
  <c r="CT114" i="1"/>
  <c r="CV114" i="1"/>
  <c r="CZ114" i="1"/>
  <c r="GL114" i="1"/>
  <c r="GO114" i="1"/>
  <c r="GP114" i="1"/>
  <c r="GV114" i="1"/>
  <c r="HC114" i="1" s="1"/>
  <c r="GX114" i="1" s="1"/>
  <c r="P115" i="1"/>
  <c r="R115" i="1"/>
  <c r="W115" i="1"/>
  <c r="AC115" i="1"/>
  <c r="AD115" i="1"/>
  <c r="AB115" i="1" s="1"/>
  <c r="AE115" i="1"/>
  <c r="Q115" i="1" s="1"/>
  <c r="AF115" i="1"/>
  <c r="CT115" i="1" s="1"/>
  <c r="AG115" i="1"/>
  <c r="CU115" i="1" s="1"/>
  <c r="T115" i="1" s="1"/>
  <c r="AH115" i="1"/>
  <c r="CV115" i="1" s="1"/>
  <c r="U115" i="1" s="1"/>
  <c r="AI115" i="1"/>
  <c r="AJ115" i="1"/>
  <c r="CQ115" i="1"/>
  <c r="CR115" i="1"/>
  <c r="CS115" i="1"/>
  <c r="CW115" i="1"/>
  <c r="V115" i="1" s="1"/>
  <c r="CX115" i="1"/>
  <c r="GL115" i="1"/>
  <c r="GO115" i="1"/>
  <c r="GP115" i="1"/>
  <c r="GV115" i="1"/>
  <c r="HC115" i="1" s="1"/>
  <c r="GX115" i="1" s="1"/>
  <c r="S116" i="1"/>
  <c r="X116" i="1" s="1"/>
  <c r="T116" i="1"/>
  <c r="AC116" i="1"/>
  <c r="CQ116" i="1" s="1"/>
  <c r="AD116" i="1"/>
  <c r="AE116" i="1"/>
  <c r="Y116" i="1" s="1"/>
  <c r="AF116" i="1"/>
  <c r="AG116" i="1"/>
  <c r="AH116" i="1"/>
  <c r="CV116" i="1" s="1"/>
  <c r="U116" i="1" s="1"/>
  <c r="AI116" i="1"/>
  <c r="CW116" i="1" s="1"/>
  <c r="V116" i="1" s="1"/>
  <c r="AJ116" i="1"/>
  <c r="CT116" i="1"/>
  <c r="CU116" i="1"/>
  <c r="CX116" i="1"/>
  <c r="W116" i="1" s="1"/>
  <c r="CY116" i="1"/>
  <c r="CZ116" i="1"/>
  <c r="GL116" i="1"/>
  <c r="GO116" i="1"/>
  <c r="GP116" i="1"/>
  <c r="GV116" i="1"/>
  <c r="HC116" i="1" s="1"/>
  <c r="GX116" i="1" s="1"/>
  <c r="P117" i="1"/>
  <c r="AC117" i="1"/>
  <c r="AE117" i="1"/>
  <c r="AF117" i="1"/>
  <c r="S117" i="1" s="1"/>
  <c r="AG117" i="1"/>
  <c r="AH117" i="1"/>
  <c r="AI117" i="1"/>
  <c r="AJ117" i="1"/>
  <c r="CX117" i="1" s="1"/>
  <c r="W117" i="1" s="1"/>
  <c r="CQ117" i="1"/>
  <c r="CU117" i="1"/>
  <c r="T117" i="1" s="1"/>
  <c r="CV117" i="1"/>
  <c r="U117" i="1" s="1"/>
  <c r="CW117" i="1"/>
  <c r="V117" i="1" s="1"/>
  <c r="GL117" i="1"/>
  <c r="GO117" i="1"/>
  <c r="GP117" i="1"/>
  <c r="GV117" i="1"/>
  <c r="HC117" i="1"/>
  <c r="GX117" i="1" s="1"/>
  <c r="S118" i="1"/>
  <c r="CY118" i="1" s="1"/>
  <c r="U118" i="1"/>
  <c r="AC118" i="1"/>
  <c r="P118" i="1" s="1"/>
  <c r="AE118" i="1"/>
  <c r="AD118" i="1" s="1"/>
  <c r="AB118" i="1" s="1"/>
  <c r="AF118" i="1"/>
  <c r="AG118" i="1"/>
  <c r="CU118" i="1" s="1"/>
  <c r="T118" i="1" s="1"/>
  <c r="AH118" i="1"/>
  <c r="AI118" i="1"/>
  <c r="CW118" i="1" s="1"/>
  <c r="V118" i="1" s="1"/>
  <c r="AJ118" i="1"/>
  <c r="CX118" i="1" s="1"/>
  <c r="W118" i="1" s="1"/>
  <c r="CR118" i="1"/>
  <c r="CS118" i="1"/>
  <c r="CT118" i="1"/>
  <c r="CV118" i="1"/>
  <c r="CZ118" i="1"/>
  <c r="GL118" i="1"/>
  <c r="GO118" i="1"/>
  <c r="GP118" i="1"/>
  <c r="GV118" i="1"/>
  <c r="HC118" i="1" s="1"/>
  <c r="GX118" i="1" s="1"/>
  <c r="P119" i="1"/>
  <c r="R119" i="1"/>
  <c r="W119" i="1"/>
  <c r="AC119" i="1"/>
  <c r="AD119" i="1"/>
  <c r="AB119" i="1" s="1"/>
  <c r="AE119" i="1"/>
  <c r="Q119" i="1" s="1"/>
  <c r="AF119" i="1"/>
  <c r="CT119" i="1" s="1"/>
  <c r="AG119" i="1"/>
  <c r="CU119" i="1" s="1"/>
  <c r="T119" i="1" s="1"/>
  <c r="AH119" i="1"/>
  <c r="CV119" i="1" s="1"/>
  <c r="U119" i="1" s="1"/>
  <c r="AI119" i="1"/>
  <c r="AJ119" i="1"/>
  <c r="CQ119" i="1"/>
  <c r="CR119" i="1"/>
  <c r="CS119" i="1"/>
  <c r="CW119" i="1"/>
  <c r="V119" i="1" s="1"/>
  <c r="CX119" i="1"/>
  <c r="GL119" i="1"/>
  <c r="GO119" i="1"/>
  <c r="GP119" i="1"/>
  <c r="GV119" i="1"/>
  <c r="HC119" i="1" s="1"/>
  <c r="GX119" i="1" s="1"/>
  <c r="S120" i="1"/>
  <c r="X120" i="1" s="1"/>
  <c r="T120" i="1"/>
  <c r="AC120" i="1"/>
  <c r="CQ120" i="1" s="1"/>
  <c r="AD120" i="1"/>
  <c r="AE120" i="1"/>
  <c r="CR120" i="1" s="1"/>
  <c r="AF120" i="1"/>
  <c r="AG120" i="1"/>
  <c r="AH120" i="1"/>
  <c r="CV120" i="1" s="1"/>
  <c r="U120" i="1" s="1"/>
  <c r="AI120" i="1"/>
  <c r="CW120" i="1" s="1"/>
  <c r="V120" i="1" s="1"/>
  <c r="AJ120" i="1"/>
  <c r="CT120" i="1"/>
  <c r="CU120" i="1"/>
  <c r="CX120" i="1"/>
  <c r="W120" i="1" s="1"/>
  <c r="CY120" i="1"/>
  <c r="CZ120" i="1"/>
  <c r="GL120" i="1"/>
  <c r="GO120" i="1"/>
  <c r="GP120" i="1"/>
  <c r="GV120" i="1"/>
  <c r="HC120" i="1" s="1"/>
  <c r="GX120" i="1" s="1"/>
  <c r="P121" i="1"/>
  <c r="AC121" i="1"/>
  <c r="AE121" i="1"/>
  <c r="AF121" i="1"/>
  <c r="S121" i="1" s="1"/>
  <c r="AG121" i="1"/>
  <c r="AH121" i="1"/>
  <c r="AI121" i="1"/>
  <c r="AJ121" i="1"/>
  <c r="CX121" i="1" s="1"/>
  <c r="W121" i="1" s="1"/>
  <c r="CQ121" i="1"/>
  <c r="CU121" i="1"/>
  <c r="T121" i="1" s="1"/>
  <c r="CV121" i="1"/>
  <c r="U121" i="1" s="1"/>
  <c r="CW121" i="1"/>
  <c r="V121" i="1" s="1"/>
  <c r="GL121" i="1"/>
  <c r="GO121" i="1"/>
  <c r="GP121" i="1"/>
  <c r="GV121" i="1"/>
  <c r="HC121" i="1"/>
  <c r="GX121" i="1" s="1"/>
  <c r="C122" i="1"/>
  <c r="D122" i="1"/>
  <c r="I122" i="1"/>
  <c r="K122" i="1"/>
  <c r="V122" i="1"/>
  <c r="AC122" i="1"/>
  <c r="CQ122" i="1" s="1"/>
  <c r="AE122" i="1"/>
  <c r="CR122" i="1" s="1"/>
  <c r="AF122" i="1"/>
  <c r="CT122" i="1" s="1"/>
  <c r="AG122" i="1"/>
  <c r="CU122" i="1" s="1"/>
  <c r="T122" i="1" s="1"/>
  <c r="AH122" i="1"/>
  <c r="AI122" i="1"/>
  <c r="AJ122" i="1"/>
  <c r="CX122" i="1" s="1"/>
  <c r="W122" i="1" s="1"/>
  <c r="CV122" i="1"/>
  <c r="U122" i="1" s="1"/>
  <c r="CW122" i="1"/>
  <c r="GL122" i="1"/>
  <c r="BZ139" i="1" s="1"/>
  <c r="BZ26" i="1" s="1"/>
  <c r="GO122" i="1"/>
  <c r="GP122" i="1"/>
  <c r="GV122" i="1"/>
  <c r="HC122" i="1"/>
  <c r="GX122" i="1" s="1"/>
  <c r="C123" i="1"/>
  <c r="D123" i="1"/>
  <c r="I123" i="1"/>
  <c r="K123" i="1"/>
  <c r="R123" i="1"/>
  <c r="V123" i="1"/>
  <c r="AC123" i="1"/>
  <c r="AD123" i="1"/>
  <c r="AE123" i="1"/>
  <c r="AF123" i="1"/>
  <c r="S123" i="1" s="1"/>
  <c r="AG123" i="1"/>
  <c r="AH123" i="1"/>
  <c r="CV123" i="1" s="1"/>
  <c r="U123" i="1" s="1"/>
  <c r="AI123" i="1"/>
  <c r="AJ123" i="1"/>
  <c r="CX123" i="1" s="1"/>
  <c r="W123" i="1" s="1"/>
  <c r="CR123" i="1"/>
  <c r="CS123" i="1"/>
  <c r="CT123" i="1"/>
  <c r="CU123" i="1"/>
  <c r="T123" i="1" s="1"/>
  <c r="CW123" i="1"/>
  <c r="GL123" i="1"/>
  <c r="GO123" i="1"/>
  <c r="GP123" i="1"/>
  <c r="GV123" i="1"/>
  <c r="HC123" i="1" s="1"/>
  <c r="GX123" i="1" s="1"/>
  <c r="I124" i="1"/>
  <c r="Q124" i="1" s="1"/>
  <c r="P124" i="1"/>
  <c r="R124" i="1"/>
  <c r="W124" i="1"/>
  <c r="AC124" i="1"/>
  <c r="AD124" i="1"/>
  <c r="AB124" i="1" s="1"/>
  <c r="AE124" i="1"/>
  <c r="AF124" i="1"/>
  <c r="CT124" i="1" s="1"/>
  <c r="AG124" i="1"/>
  <c r="CU124" i="1" s="1"/>
  <c r="T124" i="1" s="1"/>
  <c r="AH124" i="1"/>
  <c r="CV124" i="1" s="1"/>
  <c r="U124" i="1" s="1"/>
  <c r="AI124" i="1"/>
  <c r="AJ124" i="1"/>
  <c r="CQ124" i="1"/>
  <c r="CR124" i="1"/>
  <c r="CS124" i="1"/>
  <c r="CW124" i="1"/>
  <c r="V124" i="1" s="1"/>
  <c r="CX124" i="1"/>
  <c r="GL124" i="1"/>
  <c r="GO124" i="1"/>
  <c r="GP124" i="1"/>
  <c r="GV124" i="1"/>
  <c r="HC124" i="1" s="1"/>
  <c r="GX124" i="1" s="1"/>
  <c r="I125" i="1"/>
  <c r="Q125" i="1" s="1"/>
  <c r="S125" i="1"/>
  <c r="AB125" i="1"/>
  <c r="AC125" i="1"/>
  <c r="CQ125" i="1" s="1"/>
  <c r="AD125" i="1"/>
  <c r="AE125" i="1"/>
  <c r="CR125" i="1" s="1"/>
  <c r="AF125" i="1"/>
  <c r="AG125" i="1"/>
  <c r="CU125" i="1" s="1"/>
  <c r="T125" i="1" s="1"/>
  <c r="AH125" i="1"/>
  <c r="CV125" i="1" s="1"/>
  <c r="U125" i="1" s="1"/>
  <c r="AI125" i="1"/>
  <c r="AJ125" i="1"/>
  <c r="CS125" i="1"/>
  <c r="CT125" i="1"/>
  <c r="CW125" i="1"/>
  <c r="V125" i="1" s="1"/>
  <c r="CX125" i="1"/>
  <c r="W125" i="1" s="1"/>
  <c r="GL125" i="1"/>
  <c r="GO125" i="1"/>
  <c r="GP125" i="1"/>
  <c r="GV125" i="1"/>
  <c r="HC125" i="1" s="1"/>
  <c r="GX125" i="1" s="1"/>
  <c r="I126" i="1"/>
  <c r="Q126" i="1" s="1"/>
  <c r="V126" i="1"/>
  <c r="AC126" i="1"/>
  <c r="AD126" i="1"/>
  <c r="AE126" i="1"/>
  <c r="AF126" i="1"/>
  <c r="S126" i="1" s="1"/>
  <c r="AG126" i="1"/>
  <c r="AH126" i="1"/>
  <c r="CV126" i="1" s="1"/>
  <c r="U126" i="1" s="1"/>
  <c r="AI126" i="1"/>
  <c r="AJ126" i="1"/>
  <c r="CX126" i="1" s="1"/>
  <c r="W126" i="1" s="1"/>
  <c r="CR126" i="1"/>
  <c r="CS126" i="1"/>
  <c r="CT126" i="1"/>
  <c r="CU126" i="1"/>
  <c r="T126" i="1" s="1"/>
  <c r="CW126" i="1"/>
  <c r="GL126" i="1"/>
  <c r="GO126" i="1"/>
  <c r="GP126" i="1"/>
  <c r="GV126" i="1"/>
  <c r="HC126" i="1" s="1"/>
  <c r="GX126" i="1" s="1"/>
  <c r="I127" i="1"/>
  <c r="Q127" i="1" s="1"/>
  <c r="P127" i="1"/>
  <c r="R127" i="1"/>
  <c r="W127" i="1"/>
  <c r="AC127" i="1"/>
  <c r="AD127" i="1"/>
  <c r="AB127" i="1" s="1"/>
  <c r="AE127" i="1"/>
  <c r="AF127" i="1"/>
  <c r="CT127" i="1" s="1"/>
  <c r="AG127" i="1"/>
  <c r="CU127" i="1" s="1"/>
  <c r="T127" i="1" s="1"/>
  <c r="AH127" i="1"/>
  <c r="CV127" i="1" s="1"/>
  <c r="U127" i="1" s="1"/>
  <c r="AI127" i="1"/>
  <c r="AJ127" i="1"/>
  <c r="CQ127" i="1"/>
  <c r="CR127" i="1"/>
  <c r="CS127" i="1"/>
  <c r="CW127" i="1"/>
  <c r="V127" i="1" s="1"/>
  <c r="CX127" i="1"/>
  <c r="GL127" i="1"/>
  <c r="GO127" i="1"/>
  <c r="GP127" i="1"/>
  <c r="GV127" i="1"/>
  <c r="HC127" i="1" s="1"/>
  <c r="GX127" i="1" s="1"/>
  <c r="C128" i="1"/>
  <c r="D128" i="1"/>
  <c r="I128" i="1"/>
  <c r="K128" i="1"/>
  <c r="P128" i="1"/>
  <c r="W128" i="1"/>
  <c r="AC128" i="1"/>
  <c r="AD128" i="1"/>
  <c r="AE128" i="1"/>
  <c r="Q128" i="1" s="1"/>
  <c r="AF128" i="1"/>
  <c r="AG128" i="1"/>
  <c r="AH128" i="1"/>
  <c r="AI128" i="1"/>
  <c r="CW128" i="1" s="1"/>
  <c r="V128" i="1" s="1"/>
  <c r="AJ128" i="1"/>
  <c r="CQ128" i="1"/>
  <c r="CT128" i="1"/>
  <c r="CU128" i="1"/>
  <c r="T128" i="1" s="1"/>
  <c r="CV128" i="1"/>
  <c r="U128" i="1" s="1"/>
  <c r="CX128" i="1"/>
  <c r="GL128" i="1"/>
  <c r="GO128" i="1"/>
  <c r="GP128" i="1"/>
  <c r="GV128" i="1"/>
  <c r="GX128" i="1"/>
  <c r="HC128" i="1"/>
  <c r="C129" i="1"/>
  <c r="D129" i="1"/>
  <c r="I129" i="1"/>
  <c r="K129" i="1"/>
  <c r="P129" i="1"/>
  <c r="U129" i="1"/>
  <c r="AC129" i="1"/>
  <c r="AD129" i="1"/>
  <c r="AB129" i="1" s="1"/>
  <c r="AE129" i="1"/>
  <c r="CR129" i="1" s="1"/>
  <c r="AF129" i="1"/>
  <c r="CT129" i="1" s="1"/>
  <c r="AG129" i="1"/>
  <c r="AH129" i="1"/>
  <c r="AI129" i="1"/>
  <c r="CW129" i="1" s="1"/>
  <c r="V129" i="1" s="1"/>
  <c r="AJ129" i="1"/>
  <c r="CX129" i="1" s="1"/>
  <c r="W129" i="1" s="1"/>
  <c r="CQ129" i="1"/>
  <c r="CU129" i="1"/>
  <c r="T129" i="1" s="1"/>
  <c r="CV129" i="1"/>
  <c r="GL129" i="1"/>
  <c r="GO129" i="1"/>
  <c r="GP129" i="1"/>
  <c r="GV129" i="1"/>
  <c r="GX129" i="1"/>
  <c r="HC129" i="1"/>
  <c r="I130" i="1"/>
  <c r="P130" i="1"/>
  <c r="AC130" i="1"/>
  <c r="AE130" i="1"/>
  <c r="Q130" i="1" s="1"/>
  <c r="AF130" i="1"/>
  <c r="S130" i="1" s="1"/>
  <c r="AG130" i="1"/>
  <c r="AH130" i="1"/>
  <c r="AI130" i="1"/>
  <c r="AJ130" i="1"/>
  <c r="CX130" i="1" s="1"/>
  <c r="W130" i="1" s="1"/>
  <c r="CQ130" i="1"/>
  <c r="CU130" i="1"/>
  <c r="T130" i="1" s="1"/>
  <c r="CV130" i="1"/>
  <c r="U130" i="1" s="1"/>
  <c r="CW130" i="1"/>
  <c r="V130" i="1" s="1"/>
  <c r="GL130" i="1"/>
  <c r="GO130" i="1"/>
  <c r="GP130" i="1"/>
  <c r="GV130" i="1"/>
  <c r="HC130" i="1"/>
  <c r="GX130" i="1" s="1"/>
  <c r="I131" i="1"/>
  <c r="P131" i="1" s="1"/>
  <c r="T131" i="1"/>
  <c r="AB131" i="1"/>
  <c r="AC131" i="1"/>
  <c r="AD131" i="1"/>
  <c r="AE131" i="1"/>
  <c r="AF131" i="1"/>
  <c r="CT131" i="1" s="1"/>
  <c r="AG131" i="1"/>
  <c r="AH131" i="1"/>
  <c r="CV131" i="1" s="1"/>
  <c r="U131" i="1" s="1"/>
  <c r="AI131" i="1"/>
  <c r="CW131" i="1" s="1"/>
  <c r="V131" i="1" s="1"/>
  <c r="AJ131" i="1"/>
  <c r="CX131" i="1" s="1"/>
  <c r="W131" i="1" s="1"/>
  <c r="CQ131" i="1"/>
  <c r="CR131" i="1"/>
  <c r="CS131" i="1"/>
  <c r="CU131" i="1"/>
  <c r="GL131" i="1"/>
  <c r="GO131" i="1"/>
  <c r="GP131" i="1"/>
  <c r="GV131" i="1"/>
  <c r="HC131" i="1" s="1"/>
  <c r="GX131" i="1" s="1"/>
  <c r="C132" i="1"/>
  <c r="D132" i="1"/>
  <c r="I132" i="1"/>
  <c r="Q132" i="1" s="1"/>
  <c r="K132" i="1"/>
  <c r="R132" i="1"/>
  <c r="AC132" i="1"/>
  <c r="CQ132" i="1" s="1"/>
  <c r="AE132" i="1"/>
  <c r="AD132" i="1" s="1"/>
  <c r="AF132" i="1"/>
  <c r="AG132" i="1"/>
  <c r="CU132" i="1" s="1"/>
  <c r="T132" i="1" s="1"/>
  <c r="AH132" i="1"/>
  <c r="AI132" i="1"/>
  <c r="AJ132" i="1"/>
  <c r="CR132" i="1"/>
  <c r="CS132" i="1"/>
  <c r="CV132" i="1"/>
  <c r="U132" i="1" s="1"/>
  <c r="CW132" i="1"/>
  <c r="V132" i="1" s="1"/>
  <c r="CX132" i="1"/>
  <c r="W132" i="1" s="1"/>
  <c r="GL132" i="1"/>
  <c r="GO132" i="1"/>
  <c r="GP132" i="1"/>
  <c r="GV132" i="1"/>
  <c r="HC132" i="1"/>
  <c r="GX132" i="1" s="1"/>
  <c r="C133" i="1"/>
  <c r="D133" i="1"/>
  <c r="I133" i="1"/>
  <c r="Q133" i="1" s="1"/>
  <c r="K133" i="1"/>
  <c r="P133" i="1"/>
  <c r="R133" i="1"/>
  <c r="W133" i="1"/>
  <c r="AC133" i="1"/>
  <c r="AD133" i="1"/>
  <c r="AB133" i="1" s="1"/>
  <c r="AE133" i="1"/>
  <c r="AF133" i="1"/>
  <c r="CT133" i="1" s="1"/>
  <c r="AG133" i="1"/>
  <c r="CU133" i="1" s="1"/>
  <c r="T133" i="1" s="1"/>
  <c r="AH133" i="1"/>
  <c r="CV133" i="1" s="1"/>
  <c r="U133" i="1" s="1"/>
  <c r="AI133" i="1"/>
  <c r="AJ133" i="1"/>
  <c r="CQ133" i="1"/>
  <c r="CR133" i="1"/>
  <c r="CS133" i="1"/>
  <c r="CW133" i="1"/>
  <c r="V133" i="1" s="1"/>
  <c r="CX133" i="1"/>
  <c r="GL133" i="1"/>
  <c r="GO133" i="1"/>
  <c r="GP133" i="1"/>
  <c r="GV133" i="1"/>
  <c r="GX133" i="1"/>
  <c r="HC133" i="1"/>
  <c r="C134" i="1"/>
  <c r="D134" i="1"/>
  <c r="I134" i="1"/>
  <c r="K134" i="1"/>
  <c r="P134" i="1"/>
  <c r="CP134" i="1" s="1"/>
  <c r="O134" i="1" s="1"/>
  <c r="S134" i="1"/>
  <c r="CY134" i="1" s="1"/>
  <c r="W134" i="1"/>
  <c r="AC134" i="1"/>
  <c r="AB134" i="1" s="1"/>
  <c r="AD134" i="1"/>
  <c r="AE134" i="1"/>
  <c r="Q134" i="1" s="1"/>
  <c r="AF134" i="1"/>
  <c r="AG134" i="1"/>
  <c r="AH134" i="1"/>
  <c r="AI134" i="1"/>
  <c r="CW134" i="1" s="1"/>
  <c r="V134" i="1" s="1"/>
  <c r="AJ134" i="1"/>
  <c r="CQ134" i="1"/>
  <c r="CT134" i="1"/>
  <c r="CU134" i="1"/>
  <c r="T134" i="1" s="1"/>
  <c r="CV134" i="1"/>
  <c r="U134" i="1" s="1"/>
  <c r="CX134" i="1"/>
  <c r="GL134" i="1"/>
  <c r="GN134" i="1"/>
  <c r="GP134" i="1"/>
  <c r="GV134" i="1"/>
  <c r="GX134" i="1"/>
  <c r="HC134" i="1"/>
  <c r="C135" i="1"/>
  <c r="D135" i="1"/>
  <c r="I135" i="1"/>
  <c r="K135" i="1"/>
  <c r="P135" i="1"/>
  <c r="U135" i="1"/>
  <c r="AC135" i="1"/>
  <c r="AD135" i="1"/>
  <c r="AB135" i="1" s="1"/>
  <c r="AE135" i="1"/>
  <c r="CR135" i="1" s="1"/>
  <c r="AF135" i="1"/>
  <c r="CT135" i="1" s="1"/>
  <c r="AG135" i="1"/>
  <c r="AH135" i="1"/>
  <c r="AI135" i="1"/>
  <c r="CW135" i="1" s="1"/>
  <c r="V135" i="1" s="1"/>
  <c r="AJ135" i="1"/>
  <c r="CX135" i="1" s="1"/>
  <c r="W135" i="1" s="1"/>
  <c r="CQ135" i="1"/>
  <c r="CU135" i="1"/>
  <c r="T135" i="1" s="1"/>
  <c r="CV135" i="1"/>
  <c r="GL135" i="1"/>
  <c r="GN135" i="1"/>
  <c r="GP135" i="1"/>
  <c r="GV135" i="1"/>
  <c r="GX135" i="1"/>
  <c r="HC135" i="1"/>
  <c r="I136" i="1"/>
  <c r="P136" i="1"/>
  <c r="Q136" i="1"/>
  <c r="AC136" i="1"/>
  <c r="AE136" i="1"/>
  <c r="AF136" i="1"/>
  <c r="S136" i="1" s="1"/>
  <c r="AG136" i="1"/>
  <c r="AH136" i="1"/>
  <c r="AI136" i="1"/>
  <c r="AJ136" i="1"/>
  <c r="CX136" i="1" s="1"/>
  <c r="W136" i="1" s="1"/>
  <c r="CQ136" i="1"/>
  <c r="CU136" i="1"/>
  <c r="T136" i="1" s="1"/>
  <c r="CV136" i="1"/>
  <c r="U136" i="1" s="1"/>
  <c r="CW136" i="1"/>
  <c r="V136" i="1" s="1"/>
  <c r="GL136" i="1"/>
  <c r="GN136" i="1"/>
  <c r="GP136" i="1"/>
  <c r="GV136" i="1"/>
  <c r="HC136" i="1"/>
  <c r="GX136" i="1" s="1"/>
  <c r="I137" i="1"/>
  <c r="P137" i="1" s="1"/>
  <c r="T137" i="1"/>
  <c r="AB137" i="1"/>
  <c r="AC137" i="1"/>
  <c r="AD137" i="1"/>
  <c r="AE137" i="1"/>
  <c r="AF137" i="1"/>
  <c r="CT137" i="1" s="1"/>
  <c r="AG137" i="1"/>
  <c r="AH137" i="1"/>
  <c r="CV137" i="1" s="1"/>
  <c r="U137" i="1" s="1"/>
  <c r="AI137" i="1"/>
  <c r="CW137" i="1" s="1"/>
  <c r="V137" i="1" s="1"/>
  <c r="AJ137" i="1"/>
  <c r="CX137" i="1" s="1"/>
  <c r="W137" i="1" s="1"/>
  <c r="CQ137" i="1"/>
  <c r="CR137" i="1"/>
  <c r="CS137" i="1"/>
  <c r="CU137" i="1"/>
  <c r="GL137" i="1"/>
  <c r="GN137" i="1"/>
  <c r="GP137" i="1"/>
  <c r="GV137" i="1"/>
  <c r="HC137" i="1" s="1"/>
  <c r="GX137" i="1" s="1"/>
  <c r="B139" i="1"/>
  <c r="B26" i="1" s="1"/>
  <c r="C139" i="1"/>
  <c r="C26" i="1" s="1"/>
  <c r="D139" i="1"/>
  <c r="D26" i="1" s="1"/>
  <c r="F139" i="1"/>
  <c r="F26" i="1" s="1"/>
  <c r="G139" i="1"/>
  <c r="G26" i="1" s="1"/>
  <c r="AQ139" i="1"/>
  <c r="AQ26" i="1" s="1"/>
  <c r="BD139" i="1"/>
  <c r="BD26" i="1" s="1"/>
  <c r="BX139" i="1"/>
  <c r="CD139" i="1"/>
  <c r="CK139" i="1"/>
  <c r="CK26" i="1" s="1"/>
  <c r="CL139" i="1"/>
  <c r="CL26" i="1" s="1"/>
  <c r="CM139" i="1"/>
  <c r="CM26" i="1" s="1"/>
  <c r="EP139" i="1"/>
  <c r="ET139" i="1"/>
  <c r="FP139" i="1"/>
  <c r="FP26" i="1" s="1"/>
  <c r="FR139" i="1"/>
  <c r="FR26" i="1" s="1"/>
  <c r="FV139" i="1"/>
  <c r="FY139" i="1"/>
  <c r="FY26" i="1" s="1"/>
  <c r="GC139" i="1"/>
  <c r="GC26" i="1" s="1"/>
  <c r="GD139" i="1"/>
  <c r="GD26" i="1" s="1"/>
  <c r="GE139" i="1"/>
  <c r="GE26" i="1" s="1"/>
  <c r="D169" i="1"/>
  <c r="E171" i="1"/>
  <c r="Z171" i="1"/>
  <c r="AA171" i="1"/>
  <c r="AM171" i="1"/>
  <c r="AN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CN171" i="1"/>
  <c r="CO171" i="1"/>
  <c r="CP171" i="1"/>
  <c r="CQ171" i="1"/>
  <c r="CR171" i="1"/>
  <c r="CS171" i="1"/>
  <c r="CT171" i="1"/>
  <c r="CU171" i="1"/>
  <c r="CV171" i="1"/>
  <c r="CW171" i="1"/>
  <c r="CX171" i="1"/>
  <c r="CY171" i="1"/>
  <c r="CZ171" i="1"/>
  <c r="DA171" i="1"/>
  <c r="DB171" i="1"/>
  <c r="DC171" i="1"/>
  <c r="DD171" i="1"/>
  <c r="DE171" i="1"/>
  <c r="DF171" i="1"/>
  <c r="DR171" i="1"/>
  <c r="DS171" i="1"/>
  <c r="EE171" i="1"/>
  <c r="EF171" i="1"/>
  <c r="EW171" i="1"/>
  <c r="EX171" i="1"/>
  <c r="EY171" i="1"/>
  <c r="EZ171" i="1"/>
  <c r="FA171" i="1"/>
  <c r="FB171" i="1"/>
  <c r="FC171" i="1"/>
  <c r="FD171" i="1"/>
  <c r="FE171" i="1"/>
  <c r="FF171" i="1"/>
  <c r="FG171" i="1"/>
  <c r="FH171" i="1"/>
  <c r="FI171" i="1"/>
  <c r="FJ171" i="1"/>
  <c r="FK171" i="1"/>
  <c r="FL171" i="1"/>
  <c r="FM171" i="1"/>
  <c r="FN171" i="1"/>
  <c r="FO171" i="1"/>
  <c r="GF171" i="1"/>
  <c r="GG171" i="1"/>
  <c r="GH171" i="1"/>
  <c r="GI171" i="1"/>
  <c r="GJ171" i="1"/>
  <c r="GK171" i="1"/>
  <c r="GL171" i="1"/>
  <c r="GM171" i="1"/>
  <c r="GN171" i="1"/>
  <c r="GO171" i="1"/>
  <c r="GP171" i="1"/>
  <c r="GQ171" i="1"/>
  <c r="GR171" i="1"/>
  <c r="GS171" i="1"/>
  <c r="GT171" i="1"/>
  <c r="GU171" i="1"/>
  <c r="GV171" i="1"/>
  <c r="GW171" i="1"/>
  <c r="GX171" i="1"/>
  <c r="C173" i="1"/>
  <c r="D173" i="1"/>
  <c r="I173" i="1"/>
  <c r="K173" i="1"/>
  <c r="R173" i="1"/>
  <c r="V173" i="1"/>
  <c r="AB173" i="1"/>
  <c r="AC173" i="1"/>
  <c r="P173" i="1" s="1"/>
  <c r="AD173" i="1"/>
  <c r="AE173" i="1"/>
  <c r="AF173" i="1"/>
  <c r="S173" i="1" s="1"/>
  <c r="AG173" i="1"/>
  <c r="CU173" i="1" s="1"/>
  <c r="T173" i="1" s="1"/>
  <c r="AH173" i="1"/>
  <c r="CV173" i="1" s="1"/>
  <c r="U173" i="1" s="1"/>
  <c r="AI173" i="1"/>
  <c r="AJ173" i="1"/>
  <c r="CQ173" i="1"/>
  <c r="CR173" i="1"/>
  <c r="CS173" i="1"/>
  <c r="CW173" i="1"/>
  <c r="CX173" i="1"/>
  <c r="W173" i="1" s="1"/>
  <c r="GL173" i="1"/>
  <c r="GN173" i="1"/>
  <c r="GP173" i="1"/>
  <c r="GV173" i="1"/>
  <c r="HC173" i="1" s="1"/>
  <c r="GX173" i="1" s="1"/>
  <c r="C174" i="1"/>
  <c r="D174" i="1"/>
  <c r="I174" i="1"/>
  <c r="K174" i="1"/>
  <c r="P174" i="1"/>
  <c r="AC174" i="1"/>
  <c r="AE174" i="1"/>
  <c r="AF174" i="1"/>
  <c r="S174" i="1" s="1"/>
  <c r="AG174" i="1"/>
  <c r="CU174" i="1" s="1"/>
  <c r="T174" i="1" s="1"/>
  <c r="AH174" i="1"/>
  <c r="AI174" i="1"/>
  <c r="AJ174" i="1"/>
  <c r="CQ174" i="1"/>
  <c r="CV174" i="1"/>
  <c r="U174" i="1" s="1"/>
  <c r="CW174" i="1"/>
  <c r="V174" i="1" s="1"/>
  <c r="CX174" i="1"/>
  <c r="W174" i="1" s="1"/>
  <c r="GL174" i="1"/>
  <c r="GN174" i="1"/>
  <c r="GP174" i="1"/>
  <c r="GV174" i="1"/>
  <c r="HC174" i="1" s="1"/>
  <c r="GX174" i="1" s="1"/>
  <c r="I175" i="1"/>
  <c r="AC175" i="1"/>
  <c r="AD175" i="1"/>
  <c r="AB175" i="1" s="1"/>
  <c r="AE175" i="1"/>
  <c r="AF175" i="1"/>
  <c r="AG175" i="1"/>
  <c r="AH175" i="1"/>
  <c r="CV175" i="1" s="1"/>
  <c r="AI175" i="1"/>
  <c r="CW175" i="1" s="1"/>
  <c r="AJ175" i="1"/>
  <c r="CQ175" i="1"/>
  <c r="CR175" i="1"/>
  <c r="CS175" i="1"/>
  <c r="CT175" i="1"/>
  <c r="CU175" i="1"/>
  <c r="T175" i="1" s="1"/>
  <c r="CX175" i="1"/>
  <c r="GL175" i="1"/>
  <c r="GN175" i="1"/>
  <c r="GP175" i="1"/>
  <c r="GV175" i="1"/>
  <c r="HC175" i="1" s="1"/>
  <c r="AC176" i="1"/>
  <c r="AE176" i="1"/>
  <c r="AF176" i="1"/>
  <c r="AG176" i="1"/>
  <c r="CU176" i="1" s="1"/>
  <c r="AH176" i="1"/>
  <c r="CV176" i="1" s="1"/>
  <c r="AI176" i="1"/>
  <c r="AJ176" i="1"/>
  <c r="CQ176" i="1"/>
  <c r="CT176" i="1"/>
  <c r="CW176" i="1"/>
  <c r="CX176" i="1"/>
  <c r="GL176" i="1"/>
  <c r="GN176" i="1"/>
  <c r="GP176" i="1"/>
  <c r="GV176" i="1"/>
  <c r="HC176" i="1" s="1"/>
  <c r="I177" i="1"/>
  <c r="AC177" i="1"/>
  <c r="AD177" i="1"/>
  <c r="AE177" i="1"/>
  <c r="CR177" i="1" s="1"/>
  <c r="AF177" i="1"/>
  <c r="AG177" i="1"/>
  <c r="AH177" i="1"/>
  <c r="AI177" i="1"/>
  <c r="AJ177" i="1"/>
  <c r="CT177" i="1"/>
  <c r="CU177" i="1"/>
  <c r="T177" i="1" s="1"/>
  <c r="CV177" i="1"/>
  <c r="CW177" i="1"/>
  <c r="CX177" i="1"/>
  <c r="GL177" i="1"/>
  <c r="GN177" i="1"/>
  <c r="GP177" i="1"/>
  <c r="GV177" i="1"/>
  <c r="HC177" i="1" s="1"/>
  <c r="I178" i="1"/>
  <c r="R178" i="1" s="1"/>
  <c r="S178" i="1"/>
  <c r="Y178" i="1" s="1"/>
  <c r="U178" i="1"/>
  <c r="X178" i="1"/>
  <c r="AC178" i="1"/>
  <c r="AE178" i="1"/>
  <c r="AD178" i="1" s="1"/>
  <c r="AF178" i="1"/>
  <c r="AG178" i="1"/>
  <c r="CU178" i="1" s="1"/>
  <c r="T178" i="1" s="1"/>
  <c r="AH178" i="1"/>
  <c r="AI178" i="1"/>
  <c r="CW178" i="1" s="1"/>
  <c r="V178" i="1" s="1"/>
  <c r="AJ178" i="1"/>
  <c r="CQ178" i="1"/>
  <c r="CR178" i="1"/>
  <c r="CS178" i="1"/>
  <c r="CT178" i="1"/>
  <c r="CV178" i="1"/>
  <c r="CX178" i="1"/>
  <c r="W178" i="1" s="1"/>
  <c r="CY178" i="1"/>
  <c r="GL178" i="1"/>
  <c r="GN178" i="1"/>
  <c r="GP178" i="1"/>
  <c r="GV178" i="1"/>
  <c r="HC178" i="1" s="1"/>
  <c r="GX178" i="1" s="1"/>
  <c r="I179" i="1"/>
  <c r="Q179" i="1" s="1"/>
  <c r="P179" i="1"/>
  <c r="R179" i="1"/>
  <c r="U179" i="1"/>
  <c r="AC179" i="1"/>
  <c r="AD179" i="1"/>
  <c r="AE179" i="1"/>
  <c r="CR179" i="1" s="1"/>
  <c r="AF179" i="1"/>
  <c r="AG179" i="1"/>
  <c r="AH179" i="1"/>
  <c r="AI179" i="1"/>
  <c r="CW179" i="1" s="1"/>
  <c r="V179" i="1" s="1"/>
  <c r="AJ179" i="1"/>
  <c r="CX179" i="1" s="1"/>
  <c r="W179" i="1" s="1"/>
  <c r="CQ179" i="1"/>
  <c r="CS179" i="1"/>
  <c r="CU179" i="1"/>
  <c r="T179" i="1" s="1"/>
  <c r="CV179" i="1"/>
  <c r="GL179" i="1"/>
  <c r="GN179" i="1"/>
  <c r="GP179" i="1"/>
  <c r="GV179" i="1"/>
  <c r="HC179" i="1" s="1"/>
  <c r="GX179" i="1" s="1"/>
  <c r="I180" i="1"/>
  <c r="R180" i="1" s="1"/>
  <c r="AC180" i="1"/>
  <c r="AE180" i="1"/>
  <c r="AF180" i="1"/>
  <c r="AG180" i="1"/>
  <c r="CU180" i="1" s="1"/>
  <c r="AH180" i="1"/>
  <c r="AI180" i="1"/>
  <c r="AJ180" i="1"/>
  <c r="CQ180" i="1"/>
  <c r="CS180" i="1"/>
  <c r="CV180" i="1"/>
  <c r="U180" i="1" s="1"/>
  <c r="CW180" i="1"/>
  <c r="CX180" i="1"/>
  <c r="GL180" i="1"/>
  <c r="GN180" i="1"/>
  <c r="GP180" i="1"/>
  <c r="GV180" i="1"/>
  <c r="HC180" i="1"/>
  <c r="GX180" i="1" s="1"/>
  <c r="I181" i="1"/>
  <c r="Q181" i="1" s="1"/>
  <c r="P181" i="1"/>
  <c r="T181" i="1"/>
  <c r="V181" i="1"/>
  <c r="Y181" i="1"/>
  <c r="AC181" i="1"/>
  <c r="CQ181" i="1" s="1"/>
  <c r="AD181" i="1"/>
  <c r="AB181" i="1" s="1"/>
  <c r="AE181" i="1"/>
  <c r="AF181" i="1"/>
  <c r="S181" i="1" s="1"/>
  <c r="AG181" i="1"/>
  <c r="AH181" i="1"/>
  <c r="CV181" i="1" s="1"/>
  <c r="U181" i="1" s="1"/>
  <c r="AI181" i="1"/>
  <c r="AJ181" i="1"/>
  <c r="CX181" i="1" s="1"/>
  <c r="W181" i="1" s="1"/>
  <c r="CR181" i="1"/>
  <c r="CS181" i="1"/>
  <c r="CT181" i="1"/>
  <c r="CU181" i="1"/>
  <c r="CW181" i="1"/>
  <c r="GL181" i="1"/>
  <c r="GN181" i="1"/>
  <c r="GP181" i="1"/>
  <c r="GV181" i="1"/>
  <c r="HC181" i="1" s="1"/>
  <c r="GX181" i="1" s="1"/>
  <c r="I182" i="1"/>
  <c r="Q182" i="1" s="1"/>
  <c r="P182" i="1"/>
  <c r="R182" i="1"/>
  <c r="U182" i="1"/>
  <c r="AC182" i="1"/>
  <c r="AD182" i="1"/>
  <c r="AB182" i="1" s="1"/>
  <c r="AE182" i="1"/>
  <c r="CR182" i="1" s="1"/>
  <c r="AF182" i="1"/>
  <c r="AG182" i="1"/>
  <c r="AH182" i="1"/>
  <c r="AI182" i="1"/>
  <c r="AJ182" i="1"/>
  <c r="CX182" i="1" s="1"/>
  <c r="W182" i="1" s="1"/>
  <c r="CQ182" i="1"/>
  <c r="CS182" i="1"/>
  <c r="CU182" i="1"/>
  <c r="T182" i="1" s="1"/>
  <c r="CV182" i="1"/>
  <c r="CW182" i="1"/>
  <c r="V182" i="1" s="1"/>
  <c r="GL182" i="1"/>
  <c r="GN182" i="1"/>
  <c r="GP182" i="1"/>
  <c r="GV182" i="1"/>
  <c r="HC182" i="1" s="1"/>
  <c r="GX182" i="1" s="1"/>
  <c r="C183" i="1"/>
  <c r="D183" i="1"/>
  <c r="P183" i="1"/>
  <c r="CP183" i="1" s="1"/>
  <c r="O183" i="1" s="1"/>
  <c r="S183" i="1"/>
  <c r="CY183" i="1" s="1"/>
  <c r="W183" i="1"/>
  <c r="Y183" i="1"/>
  <c r="AC183" i="1"/>
  <c r="AD183" i="1"/>
  <c r="AB183" i="1" s="1"/>
  <c r="AE183" i="1"/>
  <c r="Q183" i="1" s="1"/>
  <c r="AF183" i="1"/>
  <c r="CT183" i="1" s="1"/>
  <c r="AG183" i="1"/>
  <c r="AH183" i="1"/>
  <c r="AI183" i="1"/>
  <c r="AJ183" i="1"/>
  <c r="CQ183" i="1"/>
  <c r="CR183" i="1"/>
  <c r="CU183" i="1"/>
  <c r="T183" i="1" s="1"/>
  <c r="CV183" i="1"/>
  <c r="U183" i="1" s="1"/>
  <c r="CW183" i="1"/>
  <c r="V183" i="1" s="1"/>
  <c r="CX183" i="1"/>
  <c r="GL183" i="1"/>
  <c r="GN183" i="1"/>
  <c r="GP183" i="1"/>
  <c r="GV183" i="1"/>
  <c r="GX183" i="1"/>
  <c r="HC183" i="1"/>
  <c r="C184" i="1"/>
  <c r="D184" i="1"/>
  <c r="P184" i="1"/>
  <c r="R184" i="1"/>
  <c r="T184" i="1"/>
  <c r="W184" i="1"/>
  <c r="AC184" i="1"/>
  <c r="AD184" i="1"/>
  <c r="AE184" i="1"/>
  <c r="Q184" i="1" s="1"/>
  <c r="AF184" i="1"/>
  <c r="AB184" i="1" s="1"/>
  <c r="AG184" i="1"/>
  <c r="AH184" i="1"/>
  <c r="CV184" i="1" s="1"/>
  <c r="U184" i="1" s="1"/>
  <c r="AI184" i="1"/>
  <c r="AJ184" i="1"/>
  <c r="CQ184" i="1"/>
  <c r="CR184" i="1"/>
  <c r="CS184" i="1"/>
  <c r="CU184" i="1"/>
  <c r="CW184" i="1"/>
  <c r="V184" i="1" s="1"/>
  <c r="CX184" i="1"/>
  <c r="GL184" i="1"/>
  <c r="GN184" i="1"/>
  <c r="GP184" i="1"/>
  <c r="GV184" i="1"/>
  <c r="GX184" i="1"/>
  <c r="HC184" i="1"/>
  <c r="I185" i="1"/>
  <c r="Q185" i="1" s="1"/>
  <c r="P185" i="1"/>
  <c r="CP185" i="1" s="1"/>
  <c r="O185" i="1" s="1"/>
  <c r="S185" i="1"/>
  <c r="AC185" i="1"/>
  <c r="AD185" i="1"/>
  <c r="AB185" i="1" s="1"/>
  <c r="AE185" i="1"/>
  <c r="AF185" i="1"/>
  <c r="AG185" i="1"/>
  <c r="CU185" i="1" s="1"/>
  <c r="T185" i="1" s="1"/>
  <c r="AH185" i="1"/>
  <c r="CV185" i="1" s="1"/>
  <c r="U185" i="1" s="1"/>
  <c r="AI185" i="1"/>
  <c r="CW185" i="1" s="1"/>
  <c r="V185" i="1" s="1"/>
  <c r="AJ185" i="1"/>
  <c r="CQ185" i="1"/>
  <c r="CR185" i="1"/>
  <c r="CS185" i="1"/>
  <c r="CT185" i="1"/>
  <c r="CX185" i="1"/>
  <c r="W185" i="1" s="1"/>
  <c r="GL185" i="1"/>
  <c r="GN185" i="1"/>
  <c r="GP185" i="1"/>
  <c r="GV185" i="1"/>
  <c r="HC185" i="1" s="1"/>
  <c r="GX185" i="1" s="1"/>
  <c r="I186" i="1"/>
  <c r="R186" i="1"/>
  <c r="V186" i="1"/>
  <c r="AC186" i="1"/>
  <c r="AD186" i="1"/>
  <c r="AE186" i="1"/>
  <c r="Q186" i="1" s="1"/>
  <c r="AF186" i="1"/>
  <c r="S186" i="1" s="1"/>
  <c r="AG186" i="1"/>
  <c r="AH186" i="1"/>
  <c r="AI186" i="1"/>
  <c r="AJ186" i="1"/>
  <c r="CX186" i="1" s="1"/>
  <c r="W186" i="1" s="1"/>
  <c r="CQ186" i="1"/>
  <c r="CT186" i="1"/>
  <c r="CU186" i="1"/>
  <c r="T186" i="1" s="1"/>
  <c r="CV186" i="1"/>
  <c r="U186" i="1" s="1"/>
  <c r="CW186" i="1"/>
  <c r="GL186" i="1"/>
  <c r="GN186" i="1"/>
  <c r="GP186" i="1"/>
  <c r="GV186" i="1"/>
  <c r="HC186" i="1" s="1"/>
  <c r="GX186" i="1" s="1"/>
  <c r="I187" i="1"/>
  <c r="P187" i="1" s="1"/>
  <c r="R187" i="1"/>
  <c r="T187" i="1"/>
  <c r="W187" i="1"/>
  <c r="AC187" i="1"/>
  <c r="AD187" i="1"/>
  <c r="AE187" i="1"/>
  <c r="AF187" i="1"/>
  <c r="AB187" i="1" s="1"/>
  <c r="AG187" i="1"/>
  <c r="AH187" i="1"/>
  <c r="CV187" i="1" s="1"/>
  <c r="U187" i="1" s="1"/>
  <c r="AI187" i="1"/>
  <c r="AJ187" i="1"/>
  <c r="CQ187" i="1"/>
  <c r="CR187" i="1"/>
  <c r="CS187" i="1"/>
  <c r="CU187" i="1"/>
  <c r="CW187" i="1"/>
  <c r="V187" i="1" s="1"/>
  <c r="CX187" i="1"/>
  <c r="GL187" i="1"/>
  <c r="GN187" i="1"/>
  <c r="GP187" i="1"/>
  <c r="GV187" i="1"/>
  <c r="HC187" i="1"/>
  <c r="I188" i="1"/>
  <c r="Q188" i="1" s="1"/>
  <c r="P188" i="1"/>
  <c r="S188" i="1"/>
  <c r="AC188" i="1"/>
  <c r="AD188" i="1"/>
  <c r="AB188" i="1" s="1"/>
  <c r="AE188" i="1"/>
  <c r="AF188" i="1"/>
  <c r="AG188" i="1"/>
  <c r="CU188" i="1" s="1"/>
  <c r="T188" i="1" s="1"/>
  <c r="AH188" i="1"/>
  <c r="CV188" i="1" s="1"/>
  <c r="U188" i="1" s="1"/>
  <c r="AI188" i="1"/>
  <c r="CW188" i="1" s="1"/>
  <c r="V188" i="1" s="1"/>
  <c r="AJ188" i="1"/>
  <c r="CQ188" i="1"/>
  <c r="CR188" i="1"/>
  <c r="CS188" i="1"/>
  <c r="CT188" i="1"/>
  <c r="CX188" i="1"/>
  <c r="W188" i="1" s="1"/>
  <c r="GL188" i="1"/>
  <c r="GN188" i="1"/>
  <c r="GP188" i="1"/>
  <c r="GV188" i="1"/>
  <c r="HC188" i="1" s="1"/>
  <c r="GX188" i="1"/>
  <c r="C189" i="1"/>
  <c r="D189" i="1"/>
  <c r="I189" i="1"/>
  <c r="Q189" i="1" s="1"/>
  <c r="K189" i="1"/>
  <c r="S189" i="1"/>
  <c r="Y189" i="1" s="1"/>
  <c r="U189" i="1"/>
  <c r="X189" i="1"/>
  <c r="AC189" i="1"/>
  <c r="AE189" i="1"/>
  <c r="CS189" i="1" s="1"/>
  <c r="AF189" i="1"/>
  <c r="AG189" i="1"/>
  <c r="CU189" i="1" s="1"/>
  <c r="T189" i="1" s="1"/>
  <c r="AH189" i="1"/>
  <c r="AI189" i="1"/>
  <c r="CW189" i="1" s="1"/>
  <c r="V189" i="1" s="1"/>
  <c r="AJ189" i="1"/>
  <c r="CQ189" i="1"/>
  <c r="CR189" i="1"/>
  <c r="CT189" i="1"/>
  <c r="CV189" i="1"/>
  <c r="CX189" i="1"/>
  <c r="W189" i="1" s="1"/>
  <c r="CZ189" i="1"/>
  <c r="GL189" i="1"/>
  <c r="GN189" i="1"/>
  <c r="GP189" i="1"/>
  <c r="GV189" i="1"/>
  <c r="HC189" i="1" s="1"/>
  <c r="GX189" i="1" s="1"/>
  <c r="C190" i="1"/>
  <c r="D190" i="1"/>
  <c r="I190" i="1"/>
  <c r="K190" i="1"/>
  <c r="AC190" i="1"/>
  <c r="P190" i="1" s="1"/>
  <c r="AE190" i="1"/>
  <c r="AF190" i="1"/>
  <c r="S190" i="1" s="1"/>
  <c r="AG190" i="1"/>
  <c r="CU190" i="1" s="1"/>
  <c r="T190" i="1" s="1"/>
  <c r="AH190" i="1"/>
  <c r="AI190" i="1"/>
  <c r="AJ190" i="1"/>
  <c r="CX190" i="1" s="1"/>
  <c r="W190" i="1" s="1"/>
  <c r="CQ190" i="1"/>
  <c r="CS190" i="1"/>
  <c r="CV190" i="1"/>
  <c r="U190" i="1" s="1"/>
  <c r="CW190" i="1"/>
  <c r="V190" i="1" s="1"/>
  <c r="GL190" i="1"/>
  <c r="GN190" i="1"/>
  <c r="GP190" i="1"/>
  <c r="GV190" i="1"/>
  <c r="HC190" i="1"/>
  <c r="GX190" i="1" s="1"/>
  <c r="I191" i="1"/>
  <c r="Q191" i="1" s="1"/>
  <c r="P191" i="1"/>
  <c r="T191" i="1"/>
  <c r="V191" i="1"/>
  <c r="AC191" i="1"/>
  <c r="CQ191" i="1" s="1"/>
  <c r="AD191" i="1"/>
  <c r="AB191" i="1" s="1"/>
  <c r="AE191" i="1"/>
  <c r="AF191" i="1"/>
  <c r="CT191" i="1" s="1"/>
  <c r="AG191" i="1"/>
  <c r="AH191" i="1"/>
  <c r="CV191" i="1" s="1"/>
  <c r="U191" i="1" s="1"/>
  <c r="AI191" i="1"/>
  <c r="AJ191" i="1"/>
  <c r="CX191" i="1" s="1"/>
  <c r="W191" i="1" s="1"/>
  <c r="CR191" i="1"/>
  <c r="CS191" i="1"/>
  <c r="CU191" i="1"/>
  <c r="CW191" i="1"/>
  <c r="GL191" i="1"/>
  <c r="GN191" i="1"/>
  <c r="GP191" i="1"/>
  <c r="GV191" i="1"/>
  <c r="HC191" i="1" s="1"/>
  <c r="GX191" i="1" s="1"/>
  <c r="I192" i="1"/>
  <c r="Q192" i="1" s="1"/>
  <c r="P192" i="1"/>
  <c r="R192" i="1"/>
  <c r="U192" i="1"/>
  <c r="AC192" i="1"/>
  <c r="AD192" i="1"/>
  <c r="AB192" i="1" s="1"/>
  <c r="AE192" i="1"/>
  <c r="CR192" i="1" s="1"/>
  <c r="AF192" i="1"/>
  <c r="AG192" i="1"/>
  <c r="AH192" i="1"/>
  <c r="AI192" i="1"/>
  <c r="CW192" i="1" s="1"/>
  <c r="V192" i="1" s="1"/>
  <c r="AJ192" i="1"/>
  <c r="CX192" i="1" s="1"/>
  <c r="W192" i="1" s="1"/>
  <c r="CQ192" i="1"/>
  <c r="CS192" i="1"/>
  <c r="CU192" i="1"/>
  <c r="T192" i="1" s="1"/>
  <c r="CV192" i="1"/>
  <c r="GL192" i="1"/>
  <c r="GN192" i="1"/>
  <c r="GP192" i="1"/>
  <c r="GV192" i="1"/>
  <c r="HC192" i="1" s="1"/>
  <c r="GX192" i="1" s="1"/>
  <c r="C193" i="1"/>
  <c r="D193" i="1"/>
  <c r="I193" i="1"/>
  <c r="K193" i="1"/>
  <c r="S193" i="1"/>
  <c r="CY193" i="1" s="1"/>
  <c r="U193" i="1"/>
  <c r="W193" i="1"/>
  <c r="AB193" i="1"/>
  <c r="AC193" i="1"/>
  <c r="P193" i="1" s="1"/>
  <c r="AE193" i="1"/>
  <c r="AD193" i="1" s="1"/>
  <c r="AF193" i="1"/>
  <c r="AG193" i="1"/>
  <c r="CU193" i="1" s="1"/>
  <c r="T193" i="1" s="1"/>
  <c r="AH193" i="1"/>
  <c r="AI193" i="1"/>
  <c r="CW193" i="1" s="1"/>
  <c r="V193" i="1" s="1"/>
  <c r="AJ193" i="1"/>
  <c r="CS193" i="1"/>
  <c r="CT193" i="1"/>
  <c r="CV193" i="1"/>
  <c r="CX193" i="1"/>
  <c r="CZ193" i="1"/>
  <c r="GL193" i="1"/>
  <c r="GO193" i="1"/>
  <c r="GP193" i="1"/>
  <c r="GV193" i="1"/>
  <c r="HC193" i="1"/>
  <c r="GX193" i="1" s="1"/>
  <c r="C194" i="1"/>
  <c r="D194" i="1"/>
  <c r="I194" i="1"/>
  <c r="Q194" i="1" s="1"/>
  <c r="K194" i="1"/>
  <c r="P194" i="1"/>
  <c r="CP194" i="1" s="1"/>
  <c r="O194" i="1" s="1"/>
  <c r="S194" i="1"/>
  <c r="AC194" i="1"/>
  <c r="AD194" i="1"/>
  <c r="AB194" i="1" s="1"/>
  <c r="AE194" i="1"/>
  <c r="AF194" i="1"/>
  <c r="AG194" i="1"/>
  <c r="CU194" i="1" s="1"/>
  <c r="T194" i="1" s="1"/>
  <c r="AH194" i="1"/>
  <c r="CV194" i="1" s="1"/>
  <c r="U194" i="1" s="1"/>
  <c r="AI194" i="1"/>
  <c r="CW194" i="1" s="1"/>
  <c r="V194" i="1" s="1"/>
  <c r="AJ194" i="1"/>
  <c r="CQ194" i="1"/>
  <c r="CR194" i="1"/>
  <c r="CS194" i="1"/>
  <c r="CT194" i="1"/>
  <c r="CX194" i="1"/>
  <c r="W194" i="1" s="1"/>
  <c r="GL194" i="1"/>
  <c r="GO194" i="1"/>
  <c r="GP194" i="1"/>
  <c r="GV194" i="1"/>
  <c r="HC194" i="1" s="1"/>
  <c r="GX194" i="1" s="1"/>
  <c r="I195" i="1"/>
  <c r="R195" i="1"/>
  <c r="V195" i="1"/>
  <c r="AC195" i="1"/>
  <c r="AD195" i="1"/>
  <c r="AE195" i="1"/>
  <c r="Q195" i="1" s="1"/>
  <c r="AF195" i="1"/>
  <c r="S195" i="1" s="1"/>
  <c r="AG195" i="1"/>
  <c r="AH195" i="1"/>
  <c r="CV195" i="1" s="1"/>
  <c r="U195" i="1" s="1"/>
  <c r="AI195" i="1"/>
  <c r="AJ195" i="1"/>
  <c r="CX195" i="1" s="1"/>
  <c r="W195" i="1" s="1"/>
  <c r="CQ195" i="1"/>
  <c r="CT195" i="1"/>
  <c r="CU195" i="1"/>
  <c r="T195" i="1" s="1"/>
  <c r="CW195" i="1"/>
  <c r="GL195" i="1"/>
  <c r="GO195" i="1"/>
  <c r="GP195" i="1"/>
  <c r="GV195" i="1"/>
  <c r="HC195" i="1" s="1"/>
  <c r="GX195" i="1" s="1"/>
  <c r="I196" i="1"/>
  <c r="P196" i="1" s="1"/>
  <c r="R196" i="1"/>
  <c r="T196" i="1"/>
  <c r="W196" i="1"/>
  <c r="AC196" i="1"/>
  <c r="AD196" i="1"/>
  <c r="AE196" i="1"/>
  <c r="AF196" i="1"/>
  <c r="AG196" i="1"/>
  <c r="AH196" i="1"/>
  <c r="CV196" i="1" s="1"/>
  <c r="U196" i="1" s="1"/>
  <c r="AI196" i="1"/>
  <c r="AJ196" i="1"/>
  <c r="CQ196" i="1"/>
  <c r="CR196" i="1"/>
  <c r="CS196" i="1"/>
  <c r="CU196" i="1"/>
  <c r="CW196" i="1"/>
  <c r="V196" i="1" s="1"/>
  <c r="CX196" i="1"/>
  <c r="GL196" i="1"/>
  <c r="GO196" i="1"/>
  <c r="GP196" i="1"/>
  <c r="GV196" i="1"/>
  <c r="HC196" i="1"/>
  <c r="C197" i="1"/>
  <c r="D197" i="1"/>
  <c r="I197" i="1"/>
  <c r="GX197" i="1" s="1"/>
  <c r="K197" i="1"/>
  <c r="AC197" i="1"/>
  <c r="AD197" i="1"/>
  <c r="AB197" i="1" s="1"/>
  <c r="AE197" i="1"/>
  <c r="CS197" i="1" s="1"/>
  <c r="AF197" i="1"/>
  <c r="CT197" i="1" s="1"/>
  <c r="AG197" i="1"/>
  <c r="AH197" i="1"/>
  <c r="AI197" i="1"/>
  <c r="CW197" i="1" s="1"/>
  <c r="V197" i="1" s="1"/>
  <c r="AJ197" i="1"/>
  <c r="CQ197" i="1"/>
  <c r="CR197" i="1"/>
  <c r="CU197" i="1"/>
  <c r="CV197" i="1"/>
  <c r="CX197" i="1"/>
  <c r="W197" i="1" s="1"/>
  <c r="GL197" i="1"/>
  <c r="GO197" i="1"/>
  <c r="GP197" i="1"/>
  <c r="GV197" i="1"/>
  <c r="HC197" i="1"/>
  <c r="C198" i="1"/>
  <c r="D198" i="1"/>
  <c r="I198" i="1"/>
  <c r="K198" i="1"/>
  <c r="P198" i="1"/>
  <c r="R198" i="1"/>
  <c r="U198" i="1"/>
  <c r="AC198" i="1"/>
  <c r="AD198" i="1"/>
  <c r="AB198" i="1" s="1"/>
  <c r="AE198" i="1"/>
  <c r="CR198" i="1" s="1"/>
  <c r="AF198" i="1"/>
  <c r="AG198" i="1"/>
  <c r="AH198" i="1"/>
  <c r="AI198" i="1"/>
  <c r="AJ198" i="1"/>
  <c r="CX198" i="1" s="1"/>
  <c r="W198" i="1" s="1"/>
  <c r="CQ198" i="1"/>
  <c r="CS198" i="1"/>
  <c r="CU198" i="1"/>
  <c r="T198" i="1" s="1"/>
  <c r="CV198" i="1"/>
  <c r="CW198" i="1"/>
  <c r="V198" i="1" s="1"/>
  <c r="GL198" i="1"/>
  <c r="GO198" i="1"/>
  <c r="GP198" i="1"/>
  <c r="GV198" i="1"/>
  <c r="GX198" i="1"/>
  <c r="HC198" i="1"/>
  <c r="I199" i="1"/>
  <c r="R199" i="1" s="1"/>
  <c r="AC199" i="1"/>
  <c r="AE199" i="1"/>
  <c r="AF199" i="1"/>
  <c r="AG199" i="1"/>
  <c r="CU199" i="1" s="1"/>
  <c r="T199" i="1" s="1"/>
  <c r="AH199" i="1"/>
  <c r="CV199" i="1" s="1"/>
  <c r="U199" i="1" s="1"/>
  <c r="AI199" i="1"/>
  <c r="AJ199" i="1"/>
  <c r="CX199" i="1" s="1"/>
  <c r="CQ199" i="1"/>
  <c r="CS199" i="1"/>
  <c r="CW199" i="1"/>
  <c r="V199" i="1" s="1"/>
  <c r="GL199" i="1"/>
  <c r="GO199" i="1"/>
  <c r="GP199" i="1"/>
  <c r="GV199" i="1"/>
  <c r="HC199" i="1"/>
  <c r="I200" i="1"/>
  <c r="Q200" i="1" s="1"/>
  <c r="P200" i="1"/>
  <c r="T200" i="1"/>
  <c r="V200" i="1"/>
  <c r="AC200" i="1"/>
  <c r="CQ200" i="1" s="1"/>
  <c r="AD200" i="1"/>
  <c r="AB200" i="1" s="1"/>
  <c r="AE200" i="1"/>
  <c r="AF200" i="1"/>
  <c r="CT200" i="1" s="1"/>
  <c r="AG200" i="1"/>
  <c r="AH200" i="1"/>
  <c r="CV200" i="1" s="1"/>
  <c r="U200" i="1" s="1"/>
  <c r="AI200" i="1"/>
  <c r="AJ200" i="1"/>
  <c r="CX200" i="1" s="1"/>
  <c r="W200" i="1" s="1"/>
  <c r="CR200" i="1"/>
  <c r="CS200" i="1"/>
  <c r="CU200" i="1"/>
  <c r="CW200" i="1"/>
  <c r="GL200" i="1"/>
  <c r="GO200" i="1"/>
  <c r="GP200" i="1"/>
  <c r="GV200" i="1"/>
  <c r="HC200" i="1" s="1"/>
  <c r="GX200" i="1"/>
  <c r="C201" i="1"/>
  <c r="D201" i="1"/>
  <c r="I201" i="1"/>
  <c r="R201" i="1" s="1"/>
  <c r="K201" i="1"/>
  <c r="AC201" i="1"/>
  <c r="AD201" i="1"/>
  <c r="AE201" i="1"/>
  <c r="AF201" i="1"/>
  <c r="AG201" i="1"/>
  <c r="CU201" i="1" s="1"/>
  <c r="AH201" i="1"/>
  <c r="CV201" i="1" s="1"/>
  <c r="U201" i="1" s="1"/>
  <c r="AI201" i="1"/>
  <c r="CW201" i="1" s="1"/>
  <c r="V201" i="1" s="1"/>
  <c r="AJ201" i="1"/>
  <c r="CR201" i="1"/>
  <c r="CS201" i="1"/>
  <c r="CT201" i="1"/>
  <c r="CX201" i="1"/>
  <c r="GL201" i="1"/>
  <c r="GN201" i="1"/>
  <c r="GP201" i="1"/>
  <c r="GV201" i="1"/>
  <c r="HC201" i="1" s="1"/>
  <c r="GX201" i="1" s="1"/>
  <c r="C202" i="1"/>
  <c r="D202" i="1"/>
  <c r="I202" i="1"/>
  <c r="Q202" i="1" s="1"/>
  <c r="K202" i="1"/>
  <c r="P202" i="1"/>
  <c r="R202" i="1"/>
  <c r="T202" i="1"/>
  <c r="W202" i="1"/>
  <c r="AB202" i="1"/>
  <c r="AC202" i="1"/>
  <c r="AD202" i="1"/>
  <c r="AE202" i="1"/>
  <c r="AF202" i="1"/>
  <c r="AG202" i="1"/>
  <c r="AH202" i="1"/>
  <c r="CV202" i="1" s="1"/>
  <c r="U202" i="1" s="1"/>
  <c r="AI202" i="1"/>
  <c r="AJ202" i="1"/>
  <c r="CQ202" i="1"/>
  <c r="CR202" i="1"/>
  <c r="CS202" i="1"/>
  <c r="CU202" i="1"/>
  <c r="CW202" i="1"/>
  <c r="V202" i="1" s="1"/>
  <c r="CX202" i="1"/>
  <c r="GL202" i="1"/>
  <c r="GN202" i="1"/>
  <c r="GP202" i="1"/>
  <c r="GV202" i="1"/>
  <c r="GX202" i="1"/>
  <c r="HC202" i="1"/>
  <c r="AB203" i="1"/>
  <c r="AC203" i="1"/>
  <c r="AD203" i="1"/>
  <c r="AE203" i="1"/>
  <c r="AF203" i="1"/>
  <c r="AG203" i="1"/>
  <c r="AH203" i="1"/>
  <c r="CV203" i="1" s="1"/>
  <c r="AI203" i="1"/>
  <c r="CW203" i="1" s="1"/>
  <c r="AJ203" i="1"/>
  <c r="CX203" i="1" s="1"/>
  <c r="CQ203" i="1"/>
  <c r="CR203" i="1"/>
  <c r="CS203" i="1"/>
  <c r="CT203" i="1"/>
  <c r="CU203" i="1"/>
  <c r="GL203" i="1"/>
  <c r="GN203" i="1"/>
  <c r="GP203" i="1"/>
  <c r="GV203" i="1"/>
  <c r="HC203" i="1" s="1"/>
  <c r="AC204" i="1"/>
  <c r="AB204" i="1" s="1"/>
  <c r="AD204" i="1"/>
  <c r="AE204" i="1"/>
  <c r="CR204" i="1" s="1"/>
  <c r="AF204" i="1"/>
  <c r="CT204" i="1" s="1"/>
  <c r="AG204" i="1"/>
  <c r="AH204" i="1"/>
  <c r="CV204" i="1" s="1"/>
  <c r="AI204" i="1"/>
  <c r="AJ204" i="1"/>
  <c r="CX204" i="1" s="1"/>
  <c r="CQ204" i="1"/>
  <c r="CU204" i="1"/>
  <c r="CW204" i="1"/>
  <c r="GL204" i="1"/>
  <c r="GN204" i="1"/>
  <c r="GP204" i="1"/>
  <c r="GV204" i="1"/>
  <c r="HC204" i="1" s="1"/>
  <c r="C205" i="1"/>
  <c r="D205" i="1"/>
  <c r="I205" i="1"/>
  <c r="R205" i="1" s="1"/>
  <c r="K205" i="1"/>
  <c r="Q205" i="1"/>
  <c r="T205" i="1"/>
  <c r="AC205" i="1"/>
  <c r="AE205" i="1"/>
  <c r="AF205" i="1"/>
  <c r="S205" i="1" s="1"/>
  <c r="AG205" i="1"/>
  <c r="AH205" i="1"/>
  <c r="CV205" i="1" s="1"/>
  <c r="U205" i="1" s="1"/>
  <c r="AI205" i="1"/>
  <c r="CW205" i="1" s="1"/>
  <c r="V205" i="1" s="1"/>
  <c r="AJ205" i="1"/>
  <c r="CX205" i="1" s="1"/>
  <c r="W205" i="1" s="1"/>
  <c r="CT205" i="1"/>
  <c r="CU205" i="1"/>
  <c r="GL205" i="1"/>
  <c r="GN205" i="1"/>
  <c r="GP205" i="1"/>
  <c r="GV205" i="1"/>
  <c r="HC205" i="1" s="1"/>
  <c r="GX205" i="1" s="1"/>
  <c r="C206" i="1"/>
  <c r="D206" i="1"/>
  <c r="I206" i="1"/>
  <c r="P206" i="1" s="1"/>
  <c r="K206" i="1"/>
  <c r="AC206" i="1"/>
  <c r="CQ206" i="1" s="1"/>
  <c r="AD206" i="1"/>
  <c r="AB206" i="1" s="1"/>
  <c r="AE206" i="1"/>
  <c r="AF206" i="1"/>
  <c r="CT206" i="1" s="1"/>
  <c r="AG206" i="1"/>
  <c r="AH206" i="1"/>
  <c r="CV206" i="1" s="1"/>
  <c r="U206" i="1" s="1"/>
  <c r="AI206" i="1"/>
  <c r="AJ206" i="1"/>
  <c r="CX206" i="1" s="1"/>
  <c r="CR206" i="1"/>
  <c r="CS206" i="1"/>
  <c r="CU206" i="1"/>
  <c r="T206" i="1" s="1"/>
  <c r="CW206" i="1"/>
  <c r="GL206" i="1"/>
  <c r="GN206" i="1"/>
  <c r="GP206" i="1"/>
  <c r="GV206" i="1"/>
  <c r="HC206" i="1" s="1"/>
  <c r="GX206" i="1" s="1"/>
  <c r="I207" i="1"/>
  <c r="Q207" i="1" s="1"/>
  <c r="P207" i="1"/>
  <c r="R207" i="1"/>
  <c r="U207" i="1"/>
  <c r="AC207" i="1"/>
  <c r="AD207" i="1"/>
  <c r="AE207" i="1"/>
  <c r="CR207" i="1" s="1"/>
  <c r="AF207" i="1"/>
  <c r="AG207" i="1"/>
  <c r="AH207" i="1"/>
  <c r="AI207" i="1"/>
  <c r="AJ207" i="1"/>
  <c r="CX207" i="1" s="1"/>
  <c r="W207" i="1" s="1"/>
  <c r="CQ207" i="1"/>
  <c r="CS207" i="1"/>
  <c r="CU207" i="1"/>
  <c r="T207" i="1" s="1"/>
  <c r="CV207" i="1"/>
  <c r="CW207" i="1"/>
  <c r="V207" i="1" s="1"/>
  <c r="GL207" i="1"/>
  <c r="GN207" i="1"/>
  <c r="GP207" i="1"/>
  <c r="GV207" i="1"/>
  <c r="GX207" i="1"/>
  <c r="HC207" i="1"/>
  <c r="AC208" i="1"/>
  <c r="AE208" i="1"/>
  <c r="AF208" i="1"/>
  <c r="AG208" i="1"/>
  <c r="CU208" i="1" s="1"/>
  <c r="AH208" i="1"/>
  <c r="AI208" i="1"/>
  <c r="AJ208" i="1"/>
  <c r="CX208" i="1" s="1"/>
  <c r="CQ208" i="1"/>
  <c r="CV208" i="1"/>
  <c r="CW208" i="1"/>
  <c r="GL208" i="1"/>
  <c r="GN208" i="1"/>
  <c r="GP208" i="1"/>
  <c r="GV208" i="1"/>
  <c r="HC208" i="1"/>
  <c r="C209" i="1"/>
  <c r="D209" i="1"/>
  <c r="I209" i="1"/>
  <c r="I211" i="1" s="1"/>
  <c r="K209" i="1"/>
  <c r="Q209" i="1"/>
  <c r="S209" i="1"/>
  <c r="Y209" i="1" s="1"/>
  <c r="V209" i="1"/>
  <c r="AC209" i="1"/>
  <c r="CQ209" i="1" s="1"/>
  <c r="AE209" i="1"/>
  <c r="AF209" i="1"/>
  <c r="AG209" i="1"/>
  <c r="CU209" i="1" s="1"/>
  <c r="AH209" i="1"/>
  <c r="AI209" i="1"/>
  <c r="AJ209" i="1"/>
  <c r="CR209" i="1"/>
  <c r="CT209" i="1"/>
  <c r="CV209" i="1"/>
  <c r="CW209" i="1"/>
  <c r="CX209" i="1"/>
  <c r="W209" i="1" s="1"/>
  <c r="GL209" i="1"/>
  <c r="GN209" i="1"/>
  <c r="GP209" i="1"/>
  <c r="GV209" i="1"/>
  <c r="HC209" i="1"/>
  <c r="GX209" i="1" s="1"/>
  <c r="C210" i="1"/>
  <c r="D210" i="1"/>
  <c r="I210" i="1"/>
  <c r="K210" i="1"/>
  <c r="P210" i="1"/>
  <c r="R210" i="1"/>
  <c r="AC210" i="1"/>
  <c r="AD210" i="1"/>
  <c r="AE210" i="1"/>
  <c r="Q210" i="1" s="1"/>
  <c r="AF210" i="1"/>
  <c r="S210" i="1" s="1"/>
  <c r="AG210" i="1"/>
  <c r="AH210" i="1"/>
  <c r="CV210" i="1" s="1"/>
  <c r="U210" i="1" s="1"/>
  <c r="AI210" i="1"/>
  <c r="AJ210" i="1"/>
  <c r="CX210" i="1" s="1"/>
  <c r="W210" i="1" s="1"/>
  <c r="CQ210" i="1"/>
  <c r="CU210" i="1"/>
  <c r="T210" i="1" s="1"/>
  <c r="CW210" i="1"/>
  <c r="V210" i="1" s="1"/>
  <c r="GL210" i="1"/>
  <c r="GN210" i="1"/>
  <c r="GP210" i="1"/>
  <c r="GV210" i="1"/>
  <c r="HC210" i="1" s="1"/>
  <c r="GX210" i="1" s="1"/>
  <c r="AC211" i="1"/>
  <c r="AD211" i="1"/>
  <c r="AE211" i="1"/>
  <c r="AF211" i="1"/>
  <c r="AG211" i="1"/>
  <c r="AH211" i="1"/>
  <c r="CV211" i="1" s="1"/>
  <c r="AI211" i="1"/>
  <c r="AJ211" i="1"/>
  <c r="CQ211" i="1"/>
  <c r="CR211" i="1"/>
  <c r="CS211" i="1"/>
  <c r="CU211" i="1"/>
  <c r="CW211" i="1"/>
  <c r="CX211" i="1"/>
  <c r="GL211" i="1"/>
  <c r="GN211" i="1"/>
  <c r="GP211" i="1"/>
  <c r="GV211" i="1"/>
  <c r="HC211" i="1"/>
  <c r="I212" i="1"/>
  <c r="P212" i="1" s="1"/>
  <c r="S212" i="1"/>
  <c r="CY212" i="1" s="1"/>
  <c r="V212" i="1"/>
  <c r="AB212" i="1"/>
  <c r="AC212" i="1"/>
  <c r="AD212" i="1"/>
  <c r="AE212" i="1"/>
  <c r="AF212" i="1"/>
  <c r="AG212" i="1"/>
  <c r="AH212" i="1"/>
  <c r="CV212" i="1" s="1"/>
  <c r="U212" i="1" s="1"/>
  <c r="AI212" i="1"/>
  <c r="CW212" i="1" s="1"/>
  <c r="AJ212" i="1"/>
  <c r="CQ212" i="1"/>
  <c r="CR212" i="1"/>
  <c r="CS212" i="1"/>
  <c r="CT212" i="1"/>
  <c r="CU212" i="1"/>
  <c r="T212" i="1" s="1"/>
  <c r="CX212" i="1"/>
  <c r="W212" i="1" s="1"/>
  <c r="GL212" i="1"/>
  <c r="GN212" i="1"/>
  <c r="GP212" i="1"/>
  <c r="GV212" i="1"/>
  <c r="HC212" i="1" s="1"/>
  <c r="GX212" i="1" s="1"/>
  <c r="AC213" i="1"/>
  <c r="AB213" i="1" s="1"/>
  <c r="AD213" i="1"/>
  <c r="AE213" i="1"/>
  <c r="CR213" i="1" s="1"/>
  <c r="AF213" i="1"/>
  <c r="CT213" i="1" s="1"/>
  <c r="AG213" i="1"/>
  <c r="AH213" i="1"/>
  <c r="CV213" i="1" s="1"/>
  <c r="AI213" i="1"/>
  <c r="AJ213" i="1"/>
  <c r="CX213" i="1" s="1"/>
  <c r="CU213" i="1"/>
  <c r="CW213" i="1"/>
  <c r="GL213" i="1"/>
  <c r="GN213" i="1"/>
  <c r="GP213" i="1"/>
  <c r="GV213" i="1"/>
  <c r="HC213" i="1" s="1"/>
  <c r="I214" i="1"/>
  <c r="R214" i="1" s="1"/>
  <c r="T214" i="1"/>
  <c r="AC214" i="1"/>
  <c r="AD214" i="1"/>
  <c r="AE214" i="1"/>
  <c r="AF214" i="1"/>
  <c r="AG214" i="1"/>
  <c r="AH214" i="1"/>
  <c r="CV214" i="1" s="1"/>
  <c r="U214" i="1" s="1"/>
  <c r="AI214" i="1"/>
  <c r="AJ214" i="1"/>
  <c r="CQ214" i="1"/>
  <c r="CR214" i="1"/>
  <c r="CS214" i="1"/>
  <c r="CU214" i="1"/>
  <c r="CW214" i="1"/>
  <c r="V214" i="1" s="1"/>
  <c r="CX214" i="1"/>
  <c r="GL214" i="1"/>
  <c r="GN214" i="1"/>
  <c r="GP214" i="1"/>
  <c r="GV214" i="1"/>
  <c r="HC214" i="1"/>
  <c r="C215" i="1"/>
  <c r="D215" i="1"/>
  <c r="I215" i="1"/>
  <c r="P215" i="1" s="1"/>
  <c r="K215" i="1"/>
  <c r="AC215" i="1"/>
  <c r="AD215" i="1"/>
  <c r="AE215" i="1"/>
  <c r="CS215" i="1" s="1"/>
  <c r="AF215" i="1"/>
  <c r="CT215" i="1" s="1"/>
  <c r="AG215" i="1"/>
  <c r="CU215" i="1" s="1"/>
  <c r="T215" i="1" s="1"/>
  <c r="AH215" i="1"/>
  <c r="AI215" i="1"/>
  <c r="CW215" i="1" s="1"/>
  <c r="AJ215" i="1"/>
  <c r="CQ215" i="1"/>
  <c r="CR215" i="1"/>
  <c r="CV215" i="1"/>
  <c r="CX215" i="1"/>
  <c r="GL215" i="1"/>
  <c r="GN215" i="1"/>
  <c r="GP215" i="1"/>
  <c r="GV215" i="1"/>
  <c r="HC215" i="1"/>
  <c r="C216" i="1"/>
  <c r="D216" i="1"/>
  <c r="I216" i="1"/>
  <c r="K216" i="1"/>
  <c r="P216" i="1"/>
  <c r="R216" i="1"/>
  <c r="U216" i="1"/>
  <c r="AC216" i="1"/>
  <c r="AD216" i="1"/>
  <c r="AB216" i="1" s="1"/>
  <c r="AE216" i="1"/>
  <c r="CR216" i="1" s="1"/>
  <c r="AF216" i="1"/>
  <c r="AG216" i="1"/>
  <c r="AH216" i="1"/>
  <c r="AI216" i="1"/>
  <c r="CW216" i="1" s="1"/>
  <c r="V216" i="1" s="1"/>
  <c r="AJ216" i="1"/>
  <c r="CX216" i="1" s="1"/>
  <c r="W216" i="1" s="1"/>
  <c r="CQ216" i="1"/>
  <c r="CS216" i="1"/>
  <c r="CU216" i="1"/>
  <c r="T216" i="1" s="1"/>
  <c r="CV216" i="1"/>
  <c r="GL216" i="1"/>
  <c r="GN216" i="1"/>
  <c r="GP216" i="1"/>
  <c r="GV216" i="1"/>
  <c r="GX216" i="1"/>
  <c r="HC216" i="1"/>
  <c r="AC217" i="1"/>
  <c r="AE217" i="1"/>
  <c r="AF217" i="1"/>
  <c r="AG217" i="1"/>
  <c r="CU217" i="1" s="1"/>
  <c r="AH217" i="1"/>
  <c r="AI217" i="1"/>
  <c r="AJ217" i="1"/>
  <c r="CX217" i="1" s="1"/>
  <c r="CQ217" i="1"/>
  <c r="CS217" i="1"/>
  <c r="CV217" i="1"/>
  <c r="CW217" i="1"/>
  <c r="GL217" i="1"/>
  <c r="GN217" i="1"/>
  <c r="GP217" i="1"/>
  <c r="GV217" i="1"/>
  <c r="HC217" i="1"/>
  <c r="I218" i="1"/>
  <c r="P218" i="1"/>
  <c r="T218" i="1"/>
  <c r="V218" i="1"/>
  <c r="AC218" i="1"/>
  <c r="CQ218" i="1" s="1"/>
  <c r="AD218" i="1"/>
  <c r="AB218" i="1" s="1"/>
  <c r="AE218" i="1"/>
  <c r="AF218" i="1"/>
  <c r="CT218" i="1" s="1"/>
  <c r="AG218" i="1"/>
  <c r="AH218" i="1"/>
  <c r="CV218" i="1" s="1"/>
  <c r="U218" i="1" s="1"/>
  <c r="AI218" i="1"/>
  <c r="AJ218" i="1"/>
  <c r="CX218" i="1" s="1"/>
  <c r="W218" i="1" s="1"/>
  <c r="CR218" i="1"/>
  <c r="CS218" i="1"/>
  <c r="CU218" i="1"/>
  <c r="CW218" i="1"/>
  <c r="GL218" i="1"/>
  <c r="GN218" i="1"/>
  <c r="GP218" i="1"/>
  <c r="GV218" i="1"/>
  <c r="HC218" i="1" s="1"/>
  <c r="GX218" i="1" s="1"/>
  <c r="AC219" i="1"/>
  <c r="AD219" i="1"/>
  <c r="AB219" i="1" s="1"/>
  <c r="AE219" i="1"/>
  <c r="CR219" i="1" s="1"/>
  <c r="AF219" i="1"/>
  <c r="AG219" i="1"/>
  <c r="AH219" i="1"/>
  <c r="AI219" i="1"/>
  <c r="AJ219" i="1"/>
  <c r="CX219" i="1" s="1"/>
  <c r="CQ219" i="1"/>
  <c r="CS219" i="1"/>
  <c r="CU219" i="1"/>
  <c r="CV219" i="1"/>
  <c r="CW219" i="1"/>
  <c r="GL219" i="1"/>
  <c r="GN219" i="1"/>
  <c r="GP219" i="1"/>
  <c r="GV219" i="1"/>
  <c r="HC219" i="1"/>
  <c r="I220" i="1"/>
  <c r="R220" i="1" s="1"/>
  <c r="Q220" i="1"/>
  <c r="AC220" i="1"/>
  <c r="AE220" i="1"/>
  <c r="AF220" i="1"/>
  <c r="AG220" i="1"/>
  <c r="CU220" i="1" s="1"/>
  <c r="T220" i="1" s="1"/>
  <c r="AH220" i="1"/>
  <c r="CV220" i="1" s="1"/>
  <c r="U220" i="1" s="1"/>
  <c r="AI220" i="1"/>
  <c r="AJ220" i="1"/>
  <c r="CX220" i="1" s="1"/>
  <c r="W220" i="1" s="1"/>
  <c r="CQ220" i="1"/>
  <c r="CS220" i="1"/>
  <c r="CW220" i="1"/>
  <c r="V220" i="1" s="1"/>
  <c r="GL220" i="1"/>
  <c r="GN220" i="1"/>
  <c r="GP220" i="1"/>
  <c r="GV220" i="1"/>
  <c r="HC220" i="1"/>
  <c r="AB221" i="1"/>
  <c r="AC221" i="1"/>
  <c r="CQ221" i="1" s="1"/>
  <c r="AD221" i="1"/>
  <c r="AE221" i="1"/>
  <c r="AF221" i="1"/>
  <c r="CT221" i="1" s="1"/>
  <c r="AG221" i="1"/>
  <c r="AH221" i="1"/>
  <c r="CV221" i="1" s="1"/>
  <c r="AI221" i="1"/>
  <c r="AJ221" i="1"/>
  <c r="CX221" i="1" s="1"/>
  <c r="CR221" i="1"/>
  <c r="CS221" i="1"/>
  <c r="CU221" i="1"/>
  <c r="CW221" i="1"/>
  <c r="GL221" i="1"/>
  <c r="GN221" i="1"/>
  <c r="GP221" i="1"/>
  <c r="GV221" i="1"/>
  <c r="HC221" i="1" s="1"/>
  <c r="I222" i="1"/>
  <c r="Q222" i="1" s="1"/>
  <c r="P222" i="1"/>
  <c r="R222" i="1"/>
  <c r="U222" i="1"/>
  <c r="AB222" i="1"/>
  <c r="AC222" i="1"/>
  <c r="AD222" i="1"/>
  <c r="AE222" i="1"/>
  <c r="CR222" i="1" s="1"/>
  <c r="AF222" i="1"/>
  <c r="AG222" i="1"/>
  <c r="AH222" i="1"/>
  <c r="AI222" i="1"/>
  <c r="CW222" i="1" s="1"/>
  <c r="V222" i="1" s="1"/>
  <c r="AJ222" i="1"/>
  <c r="CX222" i="1" s="1"/>
  <c r="W222" i="1" s="1"/>
  <c r="CQ222" i="1"/>
  <c r="CS222" i="1"/>
  <c r="CU222" i="1"/>
  <c r="T222" i="1" s="1"/>
  <c r="CV222" i="1"/>
  <c r="GL222" i="1"/>
  <c r="GN222" i="1"/>
  <c r="GP222" i="1"/>
  <c r="GV222" i="1"/>
  <c r="GX222" i="1"/>
  <c r="HC222" i="1"/>
  <c r="C223" i="1"/>
  <c r="D223" i="1"/>
  <c r="I223" i="1"/>
  <c r="K223" i="1"/>
  <c r="S223" i="1"/>
  <c r="AC223" i="1"/>
  <c r="AE223" i="1"/>
  <c r="AF223" i="1"/>
  <c r="AG223" i="1"/>
  <c r="CU223" i="1" s="1"/>
  <c r="T223" i="1" s="1"/>
  <c r="AH223" i="1"/>
  <c r="AI223" i="1"/>
  <c r="CW223" i="1" s="1"/>
  <c r="V223" i="1" s="1"/>
  <c r="AJ223" i="1"/>
  <c r="CT223" i="1"/>
  <c r="CV223" i="1"/>
  <c r="U223" i="1" s="1"/>
  <c r="CX223" i="1"/>
  <c r="W223" i="1" s="1"/>
  <c r="CZ223" i="1"/>
  <c r="GL223" i="1"/>
  <c r="GN223" i="1"/>
  <c r="GP223" i="1"/>
  <c r="GV223" i="1"/>
  <c r="HC223" i="1" s="1"/>
  <c r="GX223" i="1" s="1"/>
  <c r="C224" i="1"/>
  <c r="D224" i="1"/>
  <c r="I224" i="1"/>
  <c r="Q224" i="1" s="1"/>
  <c r="K224" i="1"/>
  <c r="P224" i="1"/>
  <c r="S224" i="1"/>
  <c r="X224" i="1" s="1"/>
  <c r="T224" i="1"/>
  <c r="AB224" i="1"/>
  <c r="AC224" i="1"/>
  <c r="AD224" i="1"/>
  <c r="AE224" i="1"/>
  <c r="AF224" i="1"/>
  <c r="AG224" i="1"/>
  <c r="AH224" i="1"/>
  <c r="CV224" i="1" s="1"/>
  <c r="U224" i="1" s="1"/>
  <c r="AI224" i="1"/>
  <c r="CW224" i="1" s="1"/>
  <c r="V224" i="1" s="1"/>
  <c r="AJ224" i="1"/>
  <c r="CX224" i="1" s="1"/>
  <c r="W224" i="1" s="1"/>
  <c r="CQ224" i="1"/>
  <c r="CR224" i="1"/>
  <c r="CS224" i="1"/>
  <c r="CT224" i="1"/>
  <c r="CU224" i="1"/>
  <c r="GL224" i="1"/>
  <c r="GN224" i="1"/>
  <c r="GP224" i="1"/>
  <c r="GV224" i="1"/>
  <c r="HC224" i="1" s="1"/>
  <c r="GX224" i="1"/>
  <c r="I225" i="1"/>
  <c r="P225" i="1"/>
  <c r="CP225" i="1" s="1"/>
  <c r="O225" i="1" s="1"/>
  <c r="R225" i="1"/>
  <c r="T225" i="1"/>
  <c r="V225" i="1"/>
  <c r="AC225" i="1"/>
  <c r="AD225" i="1"/>
  <c r="AE225" i="1"/>
  <c r="Q225" i="1" s="1"/>
  <c r="AF225" i="1"/>
  <c r="S225" i="1" s="1"/>
  <c r="AG225" i="1"/>
  <c r="AH225" i="1"/>
  <c r="CV225" i="1" s="1"/>
  <c r="U225" i="1" s="1"/>
  <c r="AI225" i="1"/>
  <c r="AJ225" i="1"/>
  <c r="CX225" i="1" s="1"/>
  <c r="W225" i="1" s="1"/>
  <c r="CQ225" i="1"/>
  <c r="CU225" i="1"/>
  <c r="CW225" i="1"/>
  <c r="GL225" i="1"/>
  <c r="GN225" i="1"/>
  <c r="GP225" i="1"/>
  <c r="GV225" i="1"/>
  <c r="HC225" i="1" s="1"/>
  <c r="GX225" i="1" s="1"/>
  <c r="I226" i="1"/>
  <c r="Q226" i="1" s="1"/>
  <c r="P226" i="1"/>
  <c r="R226" i="1"/>
  <c r="T226" i="1"/>
  <c r="W226" i="1"/>
  <c r="AC226" i="1"/>
  <c r="AD226" i="1"/>
  <c r="AB226" i="1" s="1"/>
  <c r="AE226" i="1"/>
  <c r="AF226" i="1"/>
  <c r="AG226" i="1"/>
  <c r="AH226" i="1"/>
  <c r="CV226" i="1" s="1"/>
  <c r="U226" i="1" s="1"/>
  <c r="AI226" i="1"/>
  <c r="AJ226" i="1"/>
  <c r="CQ226" i="1"/>
  <c r="CR226" i="1"/>
  <c r="CS226" i="1"/>
  <c r="CU226" i="1"/>
  <c r="CW226" i="1"/>
  <c r="V226" i="1" s="1"/>
  <c r="CX226" i="1"/>
  <c r="GL226" i="1"/>
  <c r="GN226" i="1"/>
  <c r="GP226" i="1"/>
  <c r="GV226" i="1"/>
  <c r="GX226" i="1"/>
  <c r="HC226" i="1"/>
  <c r="I227" i="1"/>
  <c r="S227" i="1"/>
  <c r="V227" i="1"/>
  <c r="X227" i="1"/>
  <c r="AC227" i="1"/>
  <c r="P227" i="1" s="1"/>
  <c r="AD227" i="1"/>
  <c r="AE227" i="1"/>
  <c r="AF227" i="1"/>
  <c r="AG227" i="1"/>
  <c r="AH227" i="1"/>
  <c r="CV227" i="1" s="1"/>
  <c r="U227" i="1" s="1"/>
  <c r="AI227" i="1"/>
  <c r="CW227" i="1" s="1"/>
  <c r="AJ227" i="1"/>
  <c r="CR227" i="1"/>
  <c r="CS227" i="1"/>
  <c r="CT227" i="1"/>
  <c r="CU227" i="1"/>
  <c r="T227" i="1" s="1"/>
  <c r="CX227" i="1"/>
  <c r="W227" i="1" s="1"/>
  <c r="CY227" i="1"/>
  <c r="GL227" i="1"/>
  <c r="GN227" i="1"/>
  <c r="GP227" i="1"/>
  <c r="GV227" i="1"/>
  <c r="HC227" i="1" s="1"/>
  <c r="GX227" i="1"/>
  <c r="I228" i="1"/>
  <c r="O228" i="1"/>
  <c r="P228" i="1"/>
  <c r="R228" i="1"/>
  <c r="T228" i="1"/>
  <c r="V228" i="1"/>
  <c r="W228" i="1"/>
  <c r="AC228" i="1"/>
  <c r="AD228" i="1"/>
  <c r="AE228" i="1"/>
  <c r="Q228" i="1" s="1"/>
  <c r="AF228" i="1"/>
  <c r="S228" i="1" s="1"/>
  <c r="AG228" i="1"/>
  <c r="AH228" i="1"/>
  <c r="CV228" i="1" s="1"/>
  <c r="U228" i="1" s="1"/>
  <c r="AI228" i="1"/>
  <c r="AJ228" i="1"/>
  <c r="CX228" i="1" s="1"/>
  <c r="CP228" i="1"/>
  <c r="CQ228" i="1"/>
  <c r="CT228" i="1"/>
  <c r="CU228" i="1"/>
  <c r="CW228" i="1"/>
  <c r="GL228" i="1"/>
  <c r="GN228" i="1"/>
  <c r="GP228" i="1"/>
  <c r="GV228" i="1"/>
  <c r="HC228" i="1" s="1"/>
  <c r="GX228" i="1" s="1"/>
  <c r="I229" i="1"/>
  <c r="Q229" i="1" s="1"/>
  <c r="AC229" i="1"/>
  <c r="AD229" i="1"/>
  <c r="AB229" i="1" s="1"/>
  <c r="AE229" i="1"/>
  <c r="AF229" i="1"/>
  <c r="CT229" i="1" s="1"/>
  <c r="AG229" i="1"/>
  <c r="CU229" i="1" s="1"/>
  <c r="T229" i="1" s="1"/>
  <c r="AH229" i="1"/>
  <c r="CV229" i="1" s="1"/>
  <c r="AI229" i="1"/>
  <c r="AJ229" i="1"/>
  <c r="CQ229" i="1"/>
  <c r="CR229" i="1"/>
  <c r="CS229" i="1"/>
  <c r="CW229" i="1"/>
  <c r="V229" i="1" s="1"/>
  <c r="CX229" i="1"/>
  <c r="W229" i="1" s="1"/>
  <c r="GL229" i="1"/>
  <c r="GN229" i="1"/>
  <c r="GP229" i="1"/>
  <c r="GV229" i="1"/>
  <c r="HC229" i="1"/>
  <c r="I230" i="1"/>
  <c r="P230" i="1"/>
  <c r="S230" i="1"/>
  <c r="AB230" i="1"/>
  <c r="AC230" i="1"/>
  <c r="CQ230" i="1" s="1"/>
  <c r="AD230" i="1"/>
  <c r="AE230" i="1"/>
  <c r="AF230" i="1"/>
  <c r="AG230" i="1"/>
  <c r="CU230" i="1" s="1"/>
  <c r="T230" i="1" s="1"/>
  <c r="AH230" i="1"/>
  <c r="CV230" i="1" s="1"/>
  <c r="U230" i="1" s="1"/>
  <c r="AI230" i="1"/>
  <c r="CW230" i="1" s="1"/>
  <c r="V230" i="1" s="1"/>
  <c r="AJ230" i="1"/>
  <c r="CX230" i="1" s="1"/>
  <c r="W230" i="1" s="1"/>
  <c r="CR230" i="1"/>
  <c r="CS230" i="1"/>
  <c r="CT230" i="1"/>
  <c r="GL230" i="1"/>
  <c r="GN230" i="1"/>
  <c r="GP230" i="1"/>
  <c r="GV230" i="1"/>
  <c r="HC230" i="1" s="1"/>
  <c r="GX230" i="1" s="1"/>
  <c r="C231" i="1"/>
  <c r="D231" i="1"/>
  <c r="I231" i="1"/>
  <c r="Q231" i="1" s="1"/>
  <c r="K231" i="1"/>
  <c r="AC231" i="1"/>
  <c r="AE231" i="1"/>
  <c r="AF231" i="1"/>
  <c r="AG231" i="1"/>
  <c r="CU231" i="1" s="1"/>
  <c r="T231" i="1" s="1"/>
  <c r="AH231" i="1"/>
  <c r="AI231" i="1"/>
  <c r="CW231" i="1" s="1"/>
  <c r="AJ231" i="1"/>
  <c r="CR231" i="1"/>
  <c r="CT231" i="1"/>
  <c r="CV231" i="1"/>
  <c r="U231" i="1" s="1"/>
  <c r="CX231" i="1"/>
  <c r="W231" i="1" s="1"/>
  <c r="GL231" i="1"/>
  <c r="GO231" i="1"/>
  <c r="GP231" i="1"/>
  <c r="GV231" i="1"/>
  <c r="HC231" i="1"/>
  <c r="C232" i="1"/>
  <c r="D232" i="1"/>
  <c r="I232" i="1"/>
  <c r="Q232" i="1" s="1"/>
  <c r="K232" i="1"/>
  <c r="S232" i="1"/>
  <c r="CZ232" i="1" s="1"/>
  <c r="AC232" i="1"/>
  <c r="AE232" i="1"/>
  <c r="AD232" i="1" s="1"/>
  <c r="AB232" i="1" s="1"/>
  <c r="AF232" i="1"/>
  <c r="CT232" i="1" s="1"/>
  <c r="AG232" i="1"/>
  <c r="CU232" i="1" s="1"/>
  <c r="T232" i="1" s="1"/>
  <c r="AH232" i="1"/>
  <c r="CV232" i="1" s="1"/>
  <c r="U232" i="1" s="1"/>
  <c r="AI232" i="1"/>
  <c r="AJ232" i="1"/>
  <c r="CX232" i="1" s="1"/>
  <c r="W232" i="1" s="1"/>
  <c r="CQ232" i="1"/>
  <c r="CR232" i="1"/>
  <c r="CW232" i="1"/>
  <c r="GL232" i="1"/>
  <c r="FR256" i="1" s="1"/>
  <c r="GO232" i="1"/>
  <c r="GP232" i="1"/>
  <c r="GV232" i="1"/>
  <c r="HC232" i="1"/>
  <c r="C233" i="1"/>
  <c r="D233" i="1"/>
  <c r="I233" i="1"/>
  <c r="K233" i="1"/>
  <c r="Q233" i="1"/>
  <c r="R233" i="1"/>
  <c r="S233" i="1"/>
  <c r="X233" i="1" s="1"/>
  <c r="V233" i="1"/>
  <c r="AC233" i="1"/>
  <c r="AE233" i="1"/>
  <c r="CR233" i="1" s="1"/>
  <c r="AF233" i="1"/>
  <c r="AG233" i="1"/>
  <c r="CU233" i="1" s="1"/>
  <c r="T233" i="1" s="1"/>
  <c r="AH233" i="1"/>
  <c r="AI233" i="1"/>
  <c r="AJ233" i="1"/>
  <c r="CX233" i="1" s="1"/>
  <c r="W233" i="1" s="1"/>
  <c r="CQ233" i="1"/>
  <c r="CT233" i="1"/>
  <c r="CV233" i="1"/>
  <c r="U233" i="1" s="1"/>
  <c r="CW233" i="1"/>
  <c r="GL233" i="1"/>
  <c r="GN233" i="1"/>
  <c r="GP233" i="1"/>
  <c r="GV233" i="1"/>
  <c r="HC233" i="1" s="1"/>
  <c r="GX233" i="1" s="1"/>
  <c r="C234" i="1"/>
  <c r="D234" i="1"/>
  <c r="I234" i="1"/>
  <c r="K234" i="1"/>
  <c r="W234" i="1"/>
  <c r="X234" i="1"/>
  <c r="AC234" i="1"/>
  <c r="AD234" i="1"/>
  <c r="AE234" i="1"/>
  <c r="Q234" i="1" s="1"/>
  <c r="AF234" i="1"/>
  <c r="S234" i="1" s="1"/>
  <c r="AG234" i="1"/>
  <c r="AH234" i="1"/>
  <c r="AI234" i="1"/>
  <c r="AJ234" i="1"/>
  <c r="CX234" i="1" s="1"/>
  <c r="CQ234" i="1"/>
  <c r="CT234" i="1"/>
  <c r="CU234" i="1"/>
  <c r="T234" i="1" s="1"/>
  <c r="CV234" i="1"/>
  <c r="U234" i="1" s="1"/>
  <c r="CW234" i="1"/>
  <c r="V234" i="1" s="1"/>
  <c r="CY234" i="1"/>
  <c r="GL234" i="1"/>
  <c r="GN234" i="1"/>
  <c r="GP234" i="1"/>
  <c r="GV234" i="1"/>
  <c r="HC234" i="1"/>
  <c r="GX234" i="1" s="1"/>
  <c r="I235" i="1"/>
  <c r="Q235" i="1" s="1"/>
  <c r="AC235" i="1"/>
  <c r="AD235" i="1"/>
  <c r="AB235" i="1" s="1"/>
  <c r="AE235" i="1"/>
  <c r="AF235" i="1"/>
  <c r="CT235" i="1" s="1"/>
  <c r="AG235" i="1"/>
  <c r="CU235" i="1" s="1"/>
  <c r="T235" i="1" s="1"/>
  <c r="AH235" i="1"/>
  <c r="CV235" i="1" s="1"/>
  <c r="AI235" i="1"/>
  <c r="AJ235" i="1"/>
  <c r="CQ235" i="1"/>
  <c r="CR235" i="1"/>
  <c r="CS235" i="1"/>
  <c r="CW235" i="1"/>
  <c r="CX235" i="1"/>
  <c r="W235" i="1" s="1"/>
  <c r="GL235" i="1"/>
  <c r="GN235" i="1"/>
  <c r="GP235" i="1"/>
  <c r="GV235" i="1"/>
  <c r="HC235" i="1"/>
  <c r="I236" i="1"/>
  <c r="P236" i="1"/>
  <c r="S236" i="1"/>
  <c r="X236" i="1" s="1"/>
  <c r="V236" i="1"/>
  <c r="AC236" i="1"/>
  <c r="AD236" i="1"/>
  <c r="AB236" i="1" s="1"/>
  <c r="AE236" i="1"/>
  <c r="AF236" i="1"/>
  <c r="AG236" i="1"/>
  <c r="CU236" i="1" s="1"/>
  <c r="T236" i="1" s="1"/>
  <c r="AH236" i="1"/>
  <c r="CV236" i="1" s="1"/>
  <c r="U236" i="1" s="1"/>
  <c r="AI236" i="1"/>
  <c r="CW236" i="1" s="1"/>
  <c r="AJ236" i="1"/>
  <c r="CQ236" i="1"/>
  <c r="CR236" i="1"/>
  <c r="CS236" i="1"/>
  <c r="CT236" i="1"/>
  <c r="CX236" i="1"/>
  <c r="W236" i="1" s="1"/>
  <c r="GL236" i="1"/>
  <c r="GN236" i="1"/>
  <c r="GP236" i="1"/>
  <c r="GV236" i="1"/>
  <c r="HC236" i="1" s="1"/>
  <c r="GX236" i="1" s="1"/>
  <c r="C237" i="1"/>
  <c r="D237" i="1"/>
  <c r="I237" i="1"/>
  <c r="K237" i="1"/>
  <c r="Q237" i="1"/>
  <c r="R237" i="1"/>
  <c r="S237" i="1"/>
  <c r="X237" i="1" s="1"/>
  <c r="T237" i="1"/>
  <c r="AC237" i="1"/>
  <c r="P237" i="1" s="1"/>
  <c r="CP237" i="1" s="1"/>
  <c r="O237" i="1" s="1"/>
  <c r="AE237" i="1"/>
  <c r="AD237" i="1" s="1"/>
  <c r="AB237" i="1" s="1"/>
  <c r="AF237" i="1"/>
  <c r="CT237" i="1" s="1"/>
  <c r="AG237" i="1"/>
  <c r="CU237" i="1" s="1"/>
  <c r="AH237" i="1"/>
  <c r="CV237" i="1" s="1"/>
  <c r="U237" i="1" s="1"/>
  <c r="AI237" i="1"/>
  <c r="CW237" i="1" s="1"/>
  <c r="V237" i="1" s="1"/>
  <c r="AJ237" i="1"/>
  <c r="CX237" i="1" s="1"/>
  <c r="W237" i="1" s="1"/>
  <c r="CQ237" i="1"/>
  <c r="CR237" i="1"/>
  <c r="CS237" i="1"/>
  <c r="GL237" i="1"/>
  <c r="BZ256" i="1" s="1"/>
  <c r="GN237" i="1"/>
  <c r="GP237" i="1"/>
  <c r="GV237" i="1"/>
  <c r="HC237" i="1" s="1"/>
  <c r="GX237" i="1" s="1"/>
  <c r="C238" i="1"/>
  <c r="D238" i="1"/>
  <c r="I238" i="1"/>
  <c r="Q238" i="1" s="1"/>
  <c r="K238" i="1"/>
  <c r="R238" i="1"/>
  <c r="AC238" i="1"/>
  <c r="CQ238" i="1" s="1"/>
  <c r="AD238" i="1"/>
  <c r="AE238" i="1"/>
  <c r="AF238" i="1"/>
  <c r="S238" i="1" s="1"/>
  <c r="AG238" i="1"/>
  <c r="AH238" i="1"/>
  <c r="CV238" i="1" s="1"/>
  <c r="U238" i="1" s="1"/>
  <c r="AI238" i="1"/>
  <c r="AJ238" i="1"/>
  <c r="CR238" i="1"/>
  <c r="CS238" i="1"/>
  <c r="CT238" i="1"/>
  <c r="CU238" i="1"/>
  <c r="T238" i="1" s="1"/>
  <c r="CW238" i="1"/>
  <c r="V238" i="1" s="1"/>
  <c r="CX238" i="1"/>
  <c r="W238" i="1" s="1"/>
  <c r="GL238" i="1"/>
  <c r="GN238" i="1"/>
  <c r="GP238" i="1"/>
  <c r="FV256" i="1" s="1"/>
  <c r="GV238" i="1"/>
  <c r="HC238" i="1" s="1"/>
  <c r="GX238" i="1" s="1"/>
  <c r="I239" i="1"/>
  <c r="Q239" i="1" s="1"/>
  <c r="AB239" i="1"/>
  <c r="AC239" i="1"/>
  <c r="P239" i="1" s="1"/>
  <c r="AD239" i="1"/>
  <c r="AE239" i="1"/>
  <c r="CR239" i="1" s="1"/>
  <c r="AF239" i="1"/>
  <c r="AG239" i="1"/>
  <c r="AH239" i="1"/>
  <c r="CV239" i="1" s="1"/>
  <c r="U239" i="1" s="1"/>
  <c r="AI239" i="1"/>
  <c r="CW239" i="1" s="1"/>
  <c r="V239" i="1" s="1"/>
  <c r="AJ239" i="1"/>
  <c r="CX239" i="1" s="1"/>
  <c r="W239" i="1" s="1"/>
  <c r="CQ239" i="1"/>
  <c r="CS239" i="1"/>
  <c r="CT239" i="1"/>
  <c r="CU239" i="1"/>
  <c r="T239" i="1" s="1"/>
  <c r="GL239" i="1"/>
  <c r="GN239" i="1"/>
  <c r="GP239" i="1"/>
  <c r="GV239" i="1"/>
  <c r="HC239" i="1" s="1"/>
  <c r="GX239" i="1" s="1"/>
  <c r="AC240" i="1"/>
  <c r="AE240" i="1"/>
  <c r="CR240" i="1" s="1"/>
  <c r="AF240" i="1"/>
  <c r="CT240" i="1" s="1"/>
  <c r="AG240" i="1"/>
  <c r="CU240" i="1" s="1"/>
  <c r="AH240" i="1"/>
  <c r="CV240" i="1" s="1"/>
  <c r="AI240" i="1"/>
  <c r="AJ240" i="1"/>
  <c r="CQ240" i="1"/>
  <c r="CW240" i="1"/>
  <c r="CX240" i="1"/>
  <c r="GL240" i="1"/>
  <c r="GN240" i="1"/>
  <c r="GP240" i="1"/>
  <c r="GV240" i="1"/>
  <c r="HC240" i="1"/>
  <c r="C241" i="1"/>
  <c r="D241" i="1"/>
  <c r="I241" i="1"/>
  <c r="K241" i="1"/>
  <c r="AC241" i="1"/>
  <c r="P241" i="1" s="1"/>
  <c r="AD241" i="1"/>
  <c r="AE241" i="1"/>
  <c r="CS241" i="1" s="1"/>
  <c r="AF241" i="1"/>
  <c r="S241" i="1" s="1"/>
  <c r="AG241" i="1"/>
  <c r="AH241" i="1"/>
  <c r="AI241" i="1"/>
  <c r="CW241" i="1" s="1"/>
  <c r="V241" i="1" s="1"/>
  <c r="AJ241" i="1"/>
  <c r="CX241" i="1" s="1"/>
  <c r="W241" i="1" s="1"/>
  <c r="CQ241" i="1"/>
  <c r="CR241" i="1"/>
  <c r="CT241" i="1"/>
  <c r="CU241" i="1"/>
  <c r="T241" i="1" s="1"/>
  <c r="CV241" i="1"/>
  <c r="U241" i="1" s="1"/>
  <c r="GL241" i="1"/>
  <c r="GN241" i="1"/>
  <c r="GP241" i="1"/>
  <c r="GV241" i="1"/>
  <c r="HC241" i="1" s="1"/>
  <c r="GX241" i="1" s="1"/>
  <c r="C242" i="1"/>
  <c r="D242" i="1"/>
  <c r="I242" i="1"/>
  <c r="K242" i="1"/>
  <c r="P242" i="1"/>
  <c r="T242" i="1"/>
  <c r="AC242" i="1"/>
  <c r="CQ242" i="1" s="1"/>
  <c r="AE242" i="1"/>
  <c r="CR242" i="1" s="1"/>
  <c r="AF242" i="1"/>
  <c r="CT242" i="1" s="1"/>
  <c r="AG242" i="1"/>
  <c r="AH242" i="1"/>
  <c r="AI242" i="1"/>
  <c r="AJ242" i="1"/>
  <c r="CX242" i="1" s="1"/>
  <c r="W242" i="1" s="1"/>
  <c r="CU242" i="1"/>
  <c r="CV242" i="1"/>
  <c r="U242" i="1" s="1"/>
  <c r="CW242" i="1"/>
  <c r="V242" i="1" s="1"/>
  <c r="GL242" i="1"/>
  <c r="GN242" i="1"/>
  <c r="GP242" i="1"/>
  <c r="GV242" i="1"/>
  <c r="HC242" i="1"/>
  <c r="GX242" i="1" s="1"/>
  <c r="I243" i="1"/>
  <c r="Q243" i="1" s="1"/>
  <c r="P243" i="1"/>
  <c r="FR243" i="1" s="1"/>
  <c r="BY256" i="1" s="1"/>
  <c r="AC243" i="1"/>
  <c r="AD243" i="1"/>
  <c r="AB243" i="1" s="1"/>
  <c r="AE243" i="1"/>
  <c r="AF243" i="1"/>
  <c r="S243" i="1" s="1"/>
  <c r="AG243" i="1"/>
  <c r="AH243" i="1"/>
  <c r="AI243" i="1"/>
  <c r="AJ243" i="1"/>
  <c r="CX243" i="1" s="1"/>
  <c r="W243" i="1" s="1"/>
  <c r="CQ243" i="1"/>
  <c r="CR243" i="1"/>
  <c r="CS243" i="1"/>
  <c r="CU243" i="1"/>
  <c r="T243" i="1" s="1"/>
  <c r="CV243" i="1"/>
  <c r="U243" i="1" s="1"/>
  <c r="CW243" i="1"/>
  <c r="V243" i="1" s="1"/>
  <c r="GL243" i="1"/>
  <c r="GN243" i="1"/>
  <c r="GO243" i="1"/>
  <c r="GP243" i="1"/>
  <c r="GV243" i="1"/>
  <c r="HC243" i="1" s="1"/>
  <c r="GX243" i="1" s="1"/>
  <c r="AC244" i="1"/>
  <c r="AD244" i="1"/>
  <c r="AB244" i="1" s="1"/>
  <c r="AE244" i="1"/>
  <c r="CS244" i="1" s="1"/>
  <c r="AF244" i="1"/>
  <c r="CT244" i="1" s="1"/>
  <c r="AG244" i="1"/>
  <c r="CU244" i="1" s="1"/>
  <c r="AH244" i="1"/>
  <c r="CV244" i="1" s="1"/>
  <c r="AI244" i="1"/>
  <c r="CW244" i="1" s="1"/>
  <c r="AJ244" i="1"/>
  <c r="CQ244" i="1"/>
  <c r="CR244" i="1"/>
  <c r="CX244" i="1"/>
  <c r="GL244" i="1"/>
  <c r="GN244" i="1"/>
  <c r="GO244" i="1"/>
  <c r="GP244" i="1"/>
  <c r="GV244" i="1"/>
  <c r="HC244" i="1"/>
  <c r="P245" i="1"/>
  <c r="S245" i="1"/>
  <c r="CY245" i="1" s="1"/>
  <c r="AC245" i="1"/>
  <c r="CQ245" i="1" s="1"/>
  <c r="AD245" i="1"/>
  <c r="AE245" i="1"/>
  <c r="CR245" i="1" s="1"/>
  <c r="AF245" i="1"/>
  <c r="AG245" i="1"/>
  <c r="AH245" i="1"/>
  <c r="AI245" i="1"/>
  <c r="CW245" i="1" s="1"/>
  <c r="V245" i="1" s="1"/>
  <c r="AJ245" i="1"/>
  <c r="CT245" i="1"/>
  <c r="CU245" i="1"/>
  <c r="T245" i="1" s="1"/>
  <c r="CV245" i="1"/>
  <c r="U245" i="1" s="1"/>
  <c r="CX245" i="1"/>
  <c r="W245" i="1" s="1"/>
  <c r="GL245" i="1"/>
  <c r="GO245" i="1"/>
  <c r="GP245" i="1"/>
  <c r="GV245" i="1"/>
  <c r="HC245" i="1" s="1"/>
  <c r="GX245" i="1" s="1"/>
  <c r="P246" i="1"/>
  <c r="CP246" i="1" s="1"/>
  <c r="O246" i="1" s="1"/>
  <c r="AC246" i="1"/>
  <c r="AD246" i="1"/>
  <c r="AB246" i="1" s="1"/>
  <c r="AE246" i="1"/>
  <c r="Q246" i="1" s="1"/>
  <c r="AF246" i="1"/>
  <c r="S246" i="1" s="1"/>
  <c r="AG246" i="1"/>
  <c r="AH246" i="1"/>
  <c r="AI246" i="1"/>
  <c r="AJ246" i="1"/>
  <c r="CX246" i="1" s="1"/>
  <c r="W246" i="1" s="1"/>
  <c r="CQ246" i="1"/>
  <c r="CR246" i="1"/>
  <c r="CS246" i="1"/>
  <c r="CU246" i="1"/>
  <c r="T246" i="1" s="1"/>
  <c r="CV246" i="1"/>
  <c r="U246" i="1" s="1"/>
  <c r="CW246" i="1"/>
  <c r="V246" i="1" s="1"/>
  <c r="GL246" i="1"/>
  <c r="GO246" i="1"/>
  <c r="GP246" i="1"/>
  <c r="GV246" i="1"/>
  <c r="GX246" i="1"/>
  <c r="HC246" i="1"/>
  <c r="R247" i="1"/>
  <c r="AB247" i="1"/>
  <c r="AC247" i="1"/>
  <c r="P247" i="1" s="1"/>
  <c r="AD247" i="1"/>
  <c r="AE247" i="1"/>
  <c r="Q247" i="1" s="1"/>
  <c r="AF247" i="1"/>
  <c r="S247" i="1" s="1"/>
  <c r="AG247" i="1"/>
  <c r="CU247" i="1" s="1"/>
  <c r="T247" i="1" s="1"/>
  <c r="AH247" i="1"/>
  <c r="CV247" i="1" s="1"/>
  <c r="U247" i="1" s="1"/>
  <c r="AI247" i="1"/>
  <c r="CW247" i="1" s="1"/>
  <c r="V247" i="1" s="1"/>
  <c r="AJ247" i="1"/>
  <c r="CX247" i="1" s="1"/>
  <c r="W247" i="1" s="1"/>
  <c r="CR247" i="1"/>
  <c r="CS247" i="1"/>
  <c r="CT247" i="1"/>
  <c r="GL247" i="1"/>
  <c r="GO247" i="1"/>
  <c r="GP247" i="1"/>
  <c r="GV247" i="1"/>
  <c r="HC247" i="1" s="1"/>
  <c r="GX247" i="1" s="1"/>
  <c r="R248" i="1"/>
  <c r="S248" i="1"/>
  <c r="X248" i="1" s="1"/>
  <c r="V248" i="1"/>
  <c r="AC248" i="1"/>
  <c r="AE248" i="1"/>
  <c r="CR248" i="1" s="1"/>
  <c r="AF248" i="1"/>
  <c r="CT248" i="1" s="1"/>
  <c r="AG248" i="1"/>
  <c r="CU248" i="1" s="1"/>
  <c r="T248" i="1" s="1"/>
  <c r="AH248" i="1"/>
  <c r="CV248" i="1" s="1"/>
  <c r="U248" i="1" s="1"/>
  <c r="AI248" i="1"/>
  <c r="AJ248" i="1"/>
  <c r="CQ248" i="1"/>
  <c r="CW248" i="1"/>
  <c r="CX248" i="1"/>
  <c r="W248" i="1" s="1"/>
  <c r="GL248" i="1"/>
  <c r="GO248" i="1"/>
  <c r="GP248" i="1"/>
  <c r="GV248" i="1"/>
  <c r="HC248" i="1"/>
  <c r="GX248" i="1" s="1"/>
  <c r="C249" i="1"/>
  <c r="D249" i="1"/>
  <c r="I249" i="1"/>
  <c r="K249" i="1"/>
  <c r="AC249" i="1"/>
  <c r="P249" i="1" s="1"/>
  <c r="AD249" i="1"/>
  <c r="AE249" i="1"/>
  <c r="CS249" i="1" s="1"/>
  <c r="AF249" i="1"/>
  <c r="S249" i="1" s="1"/>
  <c r="AG249" i="1"/>
  <c r="AH249" i="1"/>
  <c r="AI249" i="1"/>
  <c r="CW249" i="1" s="1"/>
  <c r="V249" i="1" s="1"/>
  <c r="AJ249" i="1"/>
  <c r="CX249" i="1" s="1"/>
  <c r="W249" i="1" s="1"/>
  <c r="CQ249" i="1"/>
  <c r="CR249" i="1"/>
  <c r="CT249" i="1"/>
  <c r="CU249" i="1"/>
  <c r="T249" i="1" s="1"/>
  <c r="CV249" i="1"/>
  <c r="U249" i="1" s="1"/>
  <c r="GL249" i="1"/>
  <c r="GO249" i="1"/>
  <c r="GP249" i="1"/>
  <c r="GV249" i="1"/>
  <c r="HC249" i="1" s="1"/>
  <c r="GX249" i="1" s="1"/>
  <c r="C250" i="1"/>
  <c r="D250" i="1"/>
  <c r="I250" i="1"/>
  <c r="K250" i="1"/>
  <c r="P250" i="1"/>
  <c r="T250" i="1"/>
  <c r="AC250" i="1"/>
  <c r="CQ250" i="1" s="1"/>
  <c r="AE250" i="1"/>
  <c r="CR250" i="1" s="1"/>
  <c r="AF250" i="1"/>
  <c r="CT250" i="1" s="1"/>
  <c r="AG250" i="1"/>
  <c r="AH250" i="1"/>
  <c r="AI250" i="1"/>
  <c r="AJ250" i="1"/>
  <c r="CX250" i="1" s="1"/>
  <c r="W250" i="1" s="1"/>
  <c r="CU250" i="1"/>
  <c r="CV250" i="1"/>
  <c r="U250" i="1" s="1"/>
  <c r="CW250" i="1"/>
  <c r="V250" i="1" s="1"/>
  <c r="GL250" i="1"/>
  <c r="GO250" i="1"/>
  <c r="GP250" i="1"/>
  <c r="GV250" i="1"/>
  <c r="HC250" i="1"/>
  <c r="GX250" i="1" s="1"/>
  <c r="I251" i="1"/>
  <c r="Q251" i="1" s="1"/>
  <c r="P251" i="1"/>
  <c r="AC251" i="1"/>
  <c r="AD251" i="1"/>
  <c r="AB251" i="1" s="1"/>
  <c r="AE251" i="1"/>
  <c r="AF251" i="1"/>
  <c r="S251" i="1" s="1"/>
  <c r="AG251" i="1"/>
  <c r="AH251" i="1"/>
  <c r="AI251" i="1"/>
  <c r="AJ251" i="1"/>
  <c r="CX251" i="1" s="1"/>
  <c r="W251" i="1" s="1"/>
  <c r="CQ251" i="1"/>
  <c r="CR251" i="1"/>
  <c r="CS251" i="1"/>
  <c r="CU251" i="1"/>
  <c r="T251" i="1" s="1"/>
  <c r="CV251" i="1"/>
  <c r="U251" i="1" s="1"/>
  <c r="CW251" i="1"/>
  <c r="V251" i="1" s="1"/>
  <c r="GL251" i="1"/>
  <c r="GO251" i="1"/>
  <c r="GP251" i="1"/>
  <c r="GV251" i="1"/>
  <c r="GX251" i="1"/>
  <c r="HC251" i="1"/>
  <c r="I252" i="1"/>
  <c r="Q252" i="1" s="1"/>
  <c r="AC252" i="1"/>
  <c r="P252" i="1" s="1"/>
  <c r="AE252" i="1"/>
  <c r="AD252" i="1" s="1"/>
  <c r="AB252" i="1" s="1"/>
  <c r="AF252" i="1"/>
  <c r="CT252" i="1" s="1"/>
  <c r="AG252" i="1"/>
  <c r="CU252" i="1" s="1"/>
  <c r="T252" i="1" s="1"/>
  <c r="AH252" i="1"/>
  <c r="CV252" i="1" s="1"/>
  <c r="U252" i="1" s="1"/>
  <c r="AI252" i="1"/>
  <c r="CW252" i="1" s="1"/>
  <c r="V252" i="1" s="1"/>
  <c r="AJ252" i="1"/>
  <c r="CX252" i="1" s="1"/>
  <c r="W252" i="1" s="1"/>
  <c r="CQ252" i="1"/>
  <c r="CR252" i="1"/>
  <c r="CS252" i="1"/>
  <c r="GL252" i="1"/>
  <c r="GO252" i="1"/>
  <c r="GP252" i="1"/>
  <c r="GV252" i="1"/>
  <c r="HC252" i="1"/>
  <c r="GX252" i="1" s="1"/>
  <c r="C253" i="1"/>
  <c r="D253" i="1"/>
  <c r="I253" i="1"/>
  <c r="K253" i="1"/>
  <c r="AC253" i="1"/>
  <c r="CQ253" i="1" s="1"/>
  <c r="AE253" i="1"/>
  <c r="CR253" i="1" s="1"/>
  <c r="AF253" i="1"/>
  <c r="S253" i="1" s="1"/>
  <c r="AG253" i="1"/>
  <c r="CU253" i="1" s="1"/>
  <c r="T253" i="1" s="1"/>
  <c r="AH253" i="1"/>
  <c r="AI253" i="1"/>
  <c r="AJ253" i="1"/>
  <c r="CS253" i="1"/>
  <c r="CT253" i="1"/>
  <c r="CV253" i="1"/>
  <c r="U253" i="1" s="1"/>
  <c r="CW253" i="1"/>
  <c r="V253" i="1" s="1"/>
  <c r="CX253" i="1"/>
  <c r="W253" i="1" s="1"/>
  <c r="GL253" i="1"/>
  <c r="GO253" i="1"/>
  <c r="GP253" i="1"/>
  <c r="GV253" i="1"/>
  <c r="HC253" i="1"/>
  <c r="GX253" i="1" s="1"/>
  <c r="C254" i="1"/>
  <c r="D254" i="1"/>
  <c r="I254" i="1"/>
  <c r="K254" i="1"/>
  <c r="R254" i="1"/>
  <c r="S254" i="1"/>
  <c r="X254" i="1" s="1"/>
  <c r="V254" i="1"/>
  <c r="AC254" i="1"/>
  <c r="AE254" i="1"/>
  <c r="CR254" i="1" s="1"/>
  <c r="AF254" i="1"/>
  <c r="CT254" i="1" s="1"/>
  <c r="AG254" i="1"/>
  <c r="CU254" i="1" s="1"/>
  <c r="T254" i="1" s="1"/>
  <c r="AH254" i="1"/>
  <c r="CV254" i="1" s="1"/>
  <c r="U254" i="1" s="1"/>
  <c r="AI254" i="1"/>
  <c r="AJ254" i="1"/>
  <c r="CQ254" i="1"/>
  <c r="CW254" i="1"/>
  <c r="CX254" i="1"/>
  <c r="W254" i="1" s="1"/>
  <c r="GL254" i="1"/>
  <c r="GO254" i="1"/>
  <c r="GP254" i="1"/>
  <c r="GV254" i="1"/>
  <c r="HC254" i="1"/>
  <c r="GX254" i="1" s="1"/>
  <c r="B256" i="1"/>
  <c r="B171" i="1" s="1"/>
  <c r="C256" i="1"/>
  <c r="C171" i="1" s="1"/>
  <c r="D256" i="1"/>
  <c r="D171" i="1" s="1"/>
  <c r="F256" i="1"/>
  <c r="F171" i="1" s="1"/>
  <c r="G256" i="1"/>
  <c r="G171" i="1" s="1"/>
  <c r="BB256" i="1"/>
  <c r="BB171" i="1" s="1"/>
  <c r="BD256" i="1"/>
  <c r="BD171" i="1" s="1"/>
  <c r="BX256" i="1"/>
  <c r="BX171" i="1" s="1"/>
  <c r="CD256" i="1"/>
  <c r="AU256" i="1" s="1"/>
  <c r="CK256" i="1"/>
  <c r="CK171" i="1" s="1"/>
  <c r="CL256" i="1"/>
  <c r="CL171" i="1" s="1"/>
  <c r="CM256" i="1"/>
  <c r="CM171" i="1" s="1"/>
  <c r="EU256" i="1"/>
  <c r="EU171" i="1" s="1"/>
  <c r="FP256" i="1"/>
  <c r="FP171" i="1" s="1"/>
  <c r="GC256" i="1"/>
  <c r="GC171" i="1" s="1"/>
  <c r="GD256" i="1"/>
  <c r="GD171" i="1" s="1"/>
  <c r="GE256" i="1"/>
  <c r="GE171" i="1" s="1"/>
  <c r="B286" i="1"/>
  <c r="B22" i="1" s="1"/>
  <c r="C286" i="1"/>
  <c r="C22" i="1" s="1"/>
  <c r="D286" i="1"/>
  <c r="D22" i="1" s="1"/>
  <c r="F286" i="1"/>
  <c r="F22" i="1" s="1"/>
  <c r="G286" i="1"/>
  <c r="G22" i="1" s="1"/>
  <c r="BD286" i="1"/>
  <c r="BD22" i="1" s="1"/>
  <c r="B319" i="1"/>
  <c r="B18" i="1" s="1"/>
  <c r="C319" i="1"/>
  <c r="C18" i="1" s="1"/>
  <c r="D319" i="1"/>
  <c r="D18" i="1" s="1"/>
  <c r="F319" i="1"/>
  <c r="F18" i="1" s="1"/>
  <c r="G319" i="1"/>
  <c r="G18" i="1" s="1"/>
  <c r="BD319" i="1"/>
  <c r="BD18" i="1" s="1"/>
  <c r="F12" i="6"/>
  <c r="G12" i="6"/>
  <c r="O348" i="7" l="1"/>
  <c r="O89" i="7"/>
  <c r="J123" i="7"/>
  <c r="H123" i="7"/>
  <c r="J531" i="7"/>
  <c r="J547" i="7"/>
  <c r="K261" i="7"/>
  <c r="K290" i="7"/>
  <c r="P295" i="7" s="1"/>
  <c r="J307" i="7"/>
  <c r="K331" i="7"/>
  <c r="P335" i="7" s="1"/>
  <c r="K446" i="7"/>
  <c r="P451" i="7" s="1"/>
  <c r="K219" i="7"/>
  <c r="P223" i="7" s="1"/>
  <c r="I232" i="7"/>
  <c r="K262" i="7"/>
  <c r="K291" i="7"/>
  <c r="J346" i="7"/>
  <c r="J465" i="7"/>
  <c r="K516" i="7"/>
  <c r="I528" i="7"/>
  <c r="O533" i="7" s="1"/>
  <c r="I205" i="7"/>
  <c r="I233" i="7"/>
  <c r="I460" i="7"/>
  <c r="H463" i="7" s="1"/>
  <c r="H139" i="7"/>
  <c r="I206" i="7"/>
  <c r="H210" i="7" s="1"/>
  <c r="H251" i="7"/>
  <c r="J298" i="7"/>
  <c r="I379" i="7"/>
  <c r="H384" i="7" s="1"/>
  <c r="I392" i="7"/>
  <c r="P411" i="7"/>
  <c r="K420" i="7"/>
  <c r="P496" i="7"/>
  <c r="K232" i="7"/>
  <c r="I275" i="7"/>
  <c r="P321" i="7"/>
  <c r="I393" i="7"/>
  <c r="H397" i="7" s="1"/>
  <c r="I406" i="7"/>
  <c r="P465" i="7"/>
  <c r="I491" i="7"/>
  <c r="H496" i="7" s="1"/>
  <c r="I14" i="7"/>
  <c r="P533" i="7"/>
  <c r="K175" i="7"/>
  <c r="P195" i="7"/>
  <c r="K205" i="7"/>
  <c r="K233" i="7"/>
  <c r="P237" i="7" s="1"/>
  <c r="I276" i="7"/>
  <c r="I316" i="7"/>
  <c r="O321" i="7" s="1"/>
  <c r="I356" i="7"/>
  <c r="H359" i="7" s="1"/>
  <c r="I407" i="7"/>
  <c r="I432" i="7"/>
  <c r="K515" i="7"/>
  <c r="K539" i="7"/>
  <c r="P544" i="7" s="1"/>
  <c r="O550" i="7"/>
  <c r="K148" i="7"/>
  <c r="J152" i="7" s="1"/>
  <c r="K176" i="7"/>
  <c r="I357" i="7"/>
  <c r="I433" i="7"/>
  <c r="O76" i="7"/>
  <c r="I162" i="7"/>
  <c r="O167" i="7" s="1"/>
  <c r="I191" i="7"/>
  <c r="O195" i="7" s="1"/>
  <c r="O424" i="7"/>
  <c r="I539" i="7"/>
  <c r="H544" i="7" s="1"/>
  <c r="P577" i="7"/>
  <c r="K316" i="7"/>
  <c r="P564" i="7"/>
  <c r="P76" i="7"/>
  <c r="I218" i="7"/>
  <c r="O223" i="7" s="1"/>
  <c r="I261" i="7"/>
  <c r="O266" i="7" s="1"/>
  <c r="J422" i="7"/>
  <c r="K433" i="7"/>
  <c r="J435" i="7" s="1"/>
  <c r="O451" i="7"/>
  <c r="H478" i="7"/>
  <c r="I515" i="7"/>
  <c r="H520" i="7" s="1"/>
  <c r="H562" i="7"/>
  <c r="J505" i="7"/>
  <c r="P112" i="7"/>
  <c r="O123" i="7"/>
  <c r="P139" i="7"/>
  <c r="J264" i="7"/>
  <c r="P361" i="7"/>
  <c r="J478" i="7"/>
  <c r="O564" i="7"/>
  <c r="O152" i="7"/>
  <c r="O180" i="7"/>
  <c r="O40" i="7"/>
  <c r="H249" i="7"/>
  <c r="H382" i="7"/>
  <c r="H505" i="7"/>
  <c r="P89" i="7"/>
  <c r="J121" i="7"/>
  <c r="P210" i="7"/>
  <c r="P397" i="7"/>
  <c r="O496" i="7"/>
  <c r="O577" i="7"/>
  <c r="P40" i="7"/>
  <c r="O52" i="7"/>
  <c r="O101" i="7"/>
  <c r="H150" i="7"/>
  <c r="P251" i="7"/>
  <c r="H346" i="7"/>
  <c r="P384" i="7"/>
  <c r="J424" i="7"/>
  <c r="J507" i="7"/>
  <c r="P280" i="7"/>
  <c r="J361" i="7"/>
  <c r="O507" i="7"/>
  <c r="H507" i="7"/>
  <c r="J577" i="7"/>
  <c r="P52" i="7"/>
  <c r="O64" i="7"/>
  <c r="P101" i="7"/>
  <c r="O335" i="7"/>
  <c r="P64" i="7"/>
  <c r="H110" i="7"/>
  <c r="H137" i="7"/>
  <c r="P167" i="7"/>
  <c r="H293" i="7"/>
  <c r="P348" i="7"/>
  <c r="H451" i="7"/>
  <c r="O480" i="7"/>
  <c r="P507" i="7"/>
  <c r="H564" i="7"/>
  <c r="J575" i="7"/>
  <c r="H112" i="7"/>
  <c r="P123" i="7"/>
  <c r="O139" i="7"/>
  <c r="J165" i="7"/>
  <c r="J208" i="7"/>
  <c r="O251" i="7"/>
  <c r="J266" i="7"/>
  <c r="H295" i="7"/>
  <c r="H301" i="7"/>
  <c r="H307" i="7"/>
  <c r="J348" i="7"/>
  <c r="J359" i="7"/>
  <c r="O384" i="7"/>
  <c r="P424" i="7"/>
  <c r="J480" i="7"/>
  <c r="H575" i="7"/>
  <c r="O112" i="7"/>
  <c r="H121" i="7"/>
  <c r="H152" i="7"/>
  <c r="J278" i="7"/>
  <c r="O295" i="7"/>
  <c r="H333" i="7"/>
  <c r="H422" i="7"/>
  <c r="P480" i="7"/>
  <c r="P520" i="7"/>
  <c r="J38" i="7"/>
  <c r="J50" i="7"/>
  <c r="J62" i="7"/>
  <c r="J74" i="7"/>
  <c r="J167" i="7"/>
  <c r="J178" i="7"/>
  <c r="J210" i="7"/>
  <c r="H577" i="7"/>
  <c r="J87" i="7"/>
  <c r="J99" i="7"/>
  <c r="J280" i="7"/>
  <c r="H335" i="7"/>
  <c r="H424" i="7"/>
  <c r="J40" i="7"/>
  <c r="J52" i="7"/>
  <c r="J64" i="7"/>
  <c r="J76" i="7"/>
  <c r="J180" i="7"/>
  <c r="H266" i="7"/>
  <c r="J304" i="7"/>
  <c r="H348" i="7"/>
  <c r="J395" i="7"/>
  <c r="H480" i="7"/>
  <c r="H531" i="7"/>
  <c r="J542" i="7"/>
  <c r="H547" i="7"/>
  <c r="J89" i="7"/>
  <c r="J101" i="7"/>
  <c r="J137" i="7"/>
  <c r="J249" i="7"/>
  <c r="H278" i="7"/>
  <c r="J382" i="7"/>
  <c r="J463" i="7"/>
  <c r="J494" i="7"/>
  <c r="H38" i="7"/>
  <c r="H50" i="7"/>
  <c r="H62" i="7"/>
  <c r="H74" i="7"/>
  <c r="J110" i="7"/>
  <c r="H178" i="7"/>
  <c r="H221" i="7"/>
  <c r="H298" i="7"/>
  <c r="H304" i="7"/>
  <c r="J319" i="7"/>
  <c r="J397" i="7"/>
  <c r="H449" i="7"/>
  <c r="H533" i="7"/>
  <c r="J544" i="7"/>
  <c r="H87" i="7"/>
  <c r="H99" i="7"/>
  <c r="J126" i="7"/>
  <c r="J139" i="7"/>
  <c r="J150" i="7"/>
  <c r="J193" i="7"/>
  <c r="J251" i="7"/>
  <c r="H280" i="7"/>
  <c r="J384" i="7"/>
  <c r="J409" i="7"/>
  <c r="J496" i="7"/>
  <c r="J562" i="7"/>
  <c r="H40" i="7"/>
  <c r="H52" i="7"/>
  <c r="H64" i="7"/>
  <c r="H76" i="7"/>
  <c r="J112" i="7"/>
  <c r="H180" i="7"/>
  <c r="H223" i="7"/>
  <c r="J321" i="7"/>
  <c r="H89" i="7"/>
  <c r="H101" i="7"/>
  <c r="H126" i="7"/>
  <c r="J195" i="7"/>
  <c r="J411" i="7"/>
  <c r="J564" i="7"/>
  <c r="CY251" i="1"/>
  <c r="CZ251" i="1"/>
  <c r="X251" i="1"/>
  <c r="Y251" i="1"/>
  <c r="BY171" i="1"/>
  <c r="CI256" i="1"/>
  <c r="AP256" i="1"/>
  <c r="CY241" i="1"/>
  <c r="CZ241" i="1"/>
  <c r="X241" i="1"/>
  <c r="Y241" i="1"/>
  <c r="Y246" i="1"/>
  <c r="CY246" i="1"/>
  <c r="CZ246" i="1"/>
  <c r="X246" i="1"/>
  <c r="CP251" i="1"/>
  <c r="O251" i="1" s="1"/>
  <c r="GM251" i="1" s="1"/>
  <c r="GN251" i="1" s="1"/>
  <c r="CY249" i="1"/>
  <c r="CZ249" i="1"/>
  <c r="X249" i="1"/>
  <c r="Y249" i="1"/>
  <c r="CZ247" i="1"/>
  <c r="CY247" i="1"/>
  <c r="X247" i="1"/>
  <c r="Y247" i="1"/>
  <c r="P211" i="1"/>
  <c r="GX211" i="1"/>
  <c r="Q211" i="1"/>
  <c r="T211" i="1"/>
  <c r="W211" i="1"/>
  <c r="R211" i="1"/>
  <c r="GM246" i="1"/>
  <c r="GN246" i="1" s="1"/>
  <c r="CP247" i="1"/>
  <c r="O247" i="1" s="1"/>
  <c r="GM247" i="1" s="1"/>
  <c r="GN247" i="1" s="1"/>
  <c r="CP242" i="1"/>
  <c r="O242" i="1" s="1"/>
  <c r="FV171" i="1"/>
  <c r="EM256" i="1"/>
  <c r="BZ171" i="1"/>
  <c r="AQ256" i="1"/>
  <c r="CG256" i="1"/>
  <c r="CY253" i="1"/>
  <c r="Y253" i="1"/>
  <c r="CZ253" i="1"/>
  <c r="X253" i="1"/>
  <c r="CY238" i="1"/>
  <c r="CZ238" i="1"/>
  <c r="X238" i="1"/>
  <c r="Y238" i="1"/>
  <c r="CY243" i="1"/>
  <c r="Y243" i="1"/>
  <c r="CZ243" i="1"/>
  <c r="X243" i="1"/>
  <c r="GX240" i="1"/>
  <c r="AU171" i="1"/>
  <c r="F275" i="1"/>
  <c r="FR171" i="1"/>
  <c r="EI256" i="1"/>
  <c r="CP226" i="1"/>
  <c r="O226" i="1" s="1"/>
  <c r="AB254" i="1"/>
  <c r="Q253" i="1"/>
  <c r="S235" i="1"/>
  <c r="GX215" i="1"/>
  <c r="Q215" i="1"/>
  <c r="CT214" i="1"/>
  <c r="S214" i="1"/>
  <c r="CR208" i="1"/>
  <c r="AD208" i="1"/>
  <c r="AB208" i="1" s="1"/>
  <c r="CT207" i="1"/>
  <c r="S207" i="1"/>
  <c r="F281" i="1"/>
  <c r="F269" i="1"/>
  <c r="AO256" i="1"/>
  <c r="CZ254" i="1"/>
  <c r="AD253" i="1"/>
  <c r="AB253" i="1" s="1"/>
  <c r="P253" i="1"/>
  <c r="CP253" i="1" s="1"/>
  <c r="O253" i="1" s="1"/>
  <c r="GM253" i="1" s="1"/>
  <c r="GN253" i="1" s="1"/>
  <c r="CT251" i="1"/>
  <c r="S250" i="1"/>
  <c r="AB249" i="1"/>
  <c r="CZ248" i="1"/>
  <c r="CQ247" i="1"/>
  <c r="CT246" i="1"/>
  <c r="R245" i="1"/>
  <c r="CT243" i="1"/>
  <c r="S242" i="1"/>
  <c r="AB241" i="1"/>
  <c r="U235" i="1"/>
  <c r="R235" i="1"/>
  <c r="AB234" i="1"/>
  <c r="R232" i="1"/>
  <c r="CS231" i="1"/>
  <c r="AD231" i="1"/>
  <c r="AB227" i="1"/>
  <c r="U209" i="1"/>
  <c r="CT202" i="1"/>
  <c r="S202" i="1"/>
  <c r="CY254" i="1"/>
  <c r="R250" i="1"/>
  <c r="CX626" i="3"/>
  <c r="CU621" i="3"/>
  <c r="CV621" i="3"/>
  <c r="CX621" i="3"/>
  <c r="CW625" i="3"/>
  <c r="CW624" i="3"/>
  <c r="CX624" i="3"/>
  <c r="CY248" i="1"/>
  <c r="Q245" i="1"/>
  <c r="CP245" i="1" s="1"/>
  <c r="O245" i="1" s="1"/>
  <c r="GM245" i="1" s="1"/>
  <c r="GN245" i="1" s="1"/>
  <c r="R242" i="1"/>
  <c r="CU613" i="3"/>
  <c r="CV613" i="3"/>
  <c r="CX615" i="3"/>
  <c r="CX614" i="3"/>
  <c r="CX613" i="3"/>
  <c r="P238" i="1"/>
  <c r="CP238" i="1" s="1"/>
  <c r="O238" i="1" s="1"/>
  <c r="GM238" i="1" s="1"/>
  <c r="GO238" i="1" s="1"/>
  <c r="P235" i="1"/>
  <c r="CP235" i="1" s="1"/>
  <c r="O235" i="1" s="1"/>
  <c r="AB231" i="1"/>
  <c r="P231" i="1"/>
  <c r="CZ230" i="1"/>
  <c r="Y230" i="1"/>
  <c r="AD223" i="1"/>
  <c r="AB223" i="1" s="1"/>
  <c r="CR223" i="1"/>
  <c r="U217" i="1"/>
  <c r="V215" i="1"/>
  <c r="U211" i="1"/>
  <c r="AB207" i="1"/>
  <c r="Q199" i="1"/>
  <c r="CP181" i="1"/>
  <c r="O181" i="1" s="1"/>
  <c r="CT179" i="1"/>
  <c r="S179" i="1"/>
  <c r="P177" i="1"/>
  <c r="AB177" i="1"/>
  <c r="CY233" i="1"/>
  <c r="CZ233" i="1"/>
  <c r="CT226" i="1"/>
  <c r="S226" i="1"/>
  <c r="CZ224" i="1"/>
  <c r="Y224" i="1"/>
  <c r="P223" i="1"/>
  <c r="CQ223" i="1"/>
  <c r="CX518" i="3"/>
  <c r="CX528" i="3"/>
  <c r="CU515" i="3"/>
  <c r="CX520" i="3"/>
  <c r="CX523" i="3"/>
  <c r="CX525" i="3"/>
  <c r="CX531" i="3"/>
  <c r="CX521" i="3"/>
  <c r="CX524" i="3"/>
  <c r="CW517" i="3"/>
  <c r="CX516" i="3"/>
  <c r="CW520" i="3"/>
  <c r="CV515" i="3"/>
  <c r="R215" i="1"/>
  <c r="I219" i="1"/>
  <c r="CY210" i="1"/>
  <c r="CZ210" i="1"/>
  <c r="Y210" i="1"/>
  <c r="X209" i="1"/>
  <c r="CY209" i="1"/>
  <c r="CZ209" i="1"/>
  <c r="CV465" i="3"/>
  <c r="CW466" i="3"/>
  <c r="CX466" i="3"/>
  <c r="CW467" i="3"/>
  <c r="CX467" i="3"/>
  <c r="CX468" i="3"/>
  <c r="CX470" i="3"/>
  <c r="CU465" i="3"/>
  <c r="Q201" i="1"/>
  <c r="CZ173" i="1"/>
  <c r="CY173" i="1"/>
  <c r="X173" i="1"/>
  <c r="Y173" i="1"/>
  <c r="CD26" i="1"/>
  <c r="AU139" i="1"/>
  <c r="AD250" i="1"/>
  <c r="AD242" i="1"/>
  <c r="AB242" i="1" s="1"/>
  <c r="AB238" i="1"/>
  <c r="CZ237" i="1"/>
  <c r="CU587" i="3"/>
  <c r="CX588" i="3"/>
  <c r="CV587" i="3"/>
  <c r="CX587" i="3"/>
  <c r="CQ227" i="1"/>
  <c r="CZ225" i="1"/>
  <c r="Y225" i="1"/>
  <c r="CP224" i="1"/>
  <c r="O224" i="1" s="1"/>
  <c r="GM224" i="1" s="1"/>
  <c r="GO224" i="1" s="1"/>
  <c r="AB214" i="1"/>
  <c r="CT211" i="1"/>
  <c r="S211" i="1"/>
  <c r="U208" i="1"/>
  <c r="W199" i="1"/>
  <c r="CP198" i="1"/>
  <c r="O198" i="1" s="1"/>
  <c r="CY186" i="1"/>
  <c r="CZ186" i="1"/>
  <c r="Y186" i="1"/>
  <c r="AB178" i="1"/>
  <c r="Q177" i="1"/>
  <c r="R177" i="1"/>
  <c r="U177" i="1"/>
  <c r="W177" i="1"/>
  <c r="Q175" i="1"/>
  <c r="R175" i="1"/>
  <c r="P175" i="1"/>
  <c r="S175" i="1"/>
  <c r="U175" i="1"/>
  <c r="W175" i="1"/>
  <c r="EV256" i="1"/>
  <c r="Q254" i="1"/>
  <c r="S252" i="1"/>
  <c r="Q248" i="1"/>
  <c r="CS245" i="1"/>
  <c r="AB245" i="1"/>
  <c r="CP243" i="1"/>
  <c r="O243" i="1" s="1"/>
  <c r="GM243" i="1" s="1"/>
  <c r="CU606" i="3"/>
  <c r="CX609" i="3"/>
  <c r="CX608" i="3"/>
  <c r="CV606" i="3"/>
  <c r="CX606" i="3"/>
  <c r="CY237" i="1"/>
  <c r="CZ236" i="1"/>
  <c r="V235" i="1"/>
  <c r="CY232" i="1"/>
  <c r="Q230" i="1"/>
  <c r="CP230" i="1" s="1"/>
  <c r="O230" i="1" s="1"/>
  <c r="GM230" i="1" s="1"/>
  <c r="GO230" i="1" s="1"/>
  <c r="R230" i="1"/>
  <c r="CZ228" i="1"/>
  <c r="Y228" i="1"/>
  <c r="CZ227" i="1"/>
  <c r="Y227" i="1"/>
  <c r="I221" i="1"/>
  <c r="W221" i="1" s="1"/>
  <c r="I217" i="1"/>
  <c r="CS208" i="1"/>
  <c r="I203" i="1"/>
  <c r="T201" i="1"/>
  <c r="GX199" i="1"/>
  <c r="U197" i="1"/>
  <c r="CY195" i="1"/>
  <c r="CZ195" i="1"/>
  <c r="Y195" i="1"/>
  <c r="T180" i="1"/>
  <c r="AB179" i="1"/>
  <c r="CZ174" i="1"/>
  <c r="CY174" i="1"/>
  <c r="X174" i="1"/>
  <c r="Y174" i="1"/>
  <c r="Q242" i="1"/>
  <c r="CU635" i="3"/>
  <c r="CV635" i="3"/>
  <c r="CX635" i="3"/>
  <c r="CX638" i="3"/>
  <c r="P272" i="1"/>
  <c r="FY256" i="1"/>
  <c r="ET256" i="1"/>
  <c r="AD254" i="1"/>
  <c r="P254" i="1"/>
  <c r="CP254" i="1" s="1"/>
  <c r="O254" i="1" s="1"/>
  <c r="R252" i="1"/>
  <c r="CS250" i="1"/>
  <c r="AB250" i="1"/>
  <c r="AD248" i="1"/>
  <c r="AB248" i="1" s="1"/>
  <c r="P248" i="1"/>
  <c r="Y245" i="1"/>
  <c r="CS242" i="1"/>
  <c r="AD240" i="1"/>
  <c r="AB240" i="1" s="1"/>
  <c r="P240" i="1"/>
  <c r="CY236" i="1"/>
  <c r="Q236" i="1"/>
  <c r="CP236" i="1" s="1"/>
  <c r="O236" i="1" s="1"/>
  <c r="GM236" i="1" s="1"/>
  <c r="GO236" i="1" s="1"/>
  <c r="R236" i="1"/>
  <c r="R234" i="1"/>
  <c r="P232" i="1"/>
  <c r="CP232" i="1" s="1"/>
  <c r="O232" i="1" s="1"/>
  <c r="CT222" i="1"/>
  <c r="S222" i="1"/>
  <c r="CP222" i="1" s="1"/>
  <c r="O222" i="1" s="1"/>
  <c r="U221" i="1"/>
  <c r="GX220" i="1"/>
  <c r="Q218" i="1"/>
  <c r="R218" i="1"/>
  <c r="W214" i="1"/>
  <c r="CQ213" i="1"/>
  <c r="P213" i="1"/>
  <c r="V211" i="1"/>
  <c r="AB210" i="1"/>
  <c r="CX502" i="3"/>
  <c r="CX504" i="3"/>
  <c r="CX505" i="3"/>
  <c r="CU499" i="3"/>
  <c r="CX506" i="3"/>
  <c r="CX500" i="3"/>
  <c r="R209" i="1"/>
  <c r="I213" i="1"/>
  <c r="X205" i="1"/>
  <c r="Y205" i="1"/>
  <c r="S201" i="1"/>
  <c r="T197" i="1"/>
  <c r="CY190" i="1"/>
  <c r="CZ190" i="1"/>
  <c r="X190" i="1"/>
  <c r="Y190" i="1"/>
  <c r="S180" i="1"/>
  <c r="CQ177" i="1"/>
  <c r="CS176" i="1"/>
  <c r="CR176" i="1"/>
  <c r="AD176" i="1"/>
  <c r="AB176" i="1" s="1"/>
  <c r="Q174" i="1"/>
  <c r="R174" i="1"/>
  <c r="CR174" i="1"/>
  <c r="CS174" i="1"/>
  <c r="AD174" i="1"/>
  <c r="AB174" i="1" s="1"/>
  <c r="CD171" i="1"/>
  <c r="Q250" i="1"/>
  <c r="CP250" i="1" s="1"/>
  <c r="O250" i="1" s="1"/>
  <c r="EG256" i="1"/>
  <c r="CU628" i="3"/>
  <c r="CX631" i="3"/>
  <c r="CV628" i="3"/>
  <c r="CX628" i="3"/>
  <c r="CX634" i="3"/>
  <c r="CW631" i="3"/>
  <c r="CX630" i="3"/>
  <c r="X245" i="1"/>
  <c r="CU617" i="3"/>
  <c r="CV617" i="3"/>
  <c r="CX617" i="3"/>
  <c r="S239" i="1"/>
  <c r="GX231" i="1"/>
  <c r="CQ231" i="1"/>
  <c r="S231" i="1"/>
  <c r="CY230" i="1"/>
  <c r="GX229" i="1"/>
  <c r="CY228" i="1"/>
  <c r="Q227" i="1"/>
  <c r="CP227" i="1" s="1"/>
  <c r="O227" i="1" s="1"/>
  <c r="GM227" i="1" s="1"/>
  <c r="GO227" i="1" s="1"/>
  <c r="R227" i="1"/>
  <c r="CY225" i="1"/>
  <c r="AB225" i="1"/>
  <c r="CS223" i="1"/>
  <c r="CY223" i="1"/>
  <c r="X223" i="1"/>
  <c r="Y223" i="1"/>
  <c r="GX217" i="1"/>
  <c r="CZ212" i="1"/>
  <c r="X212" i="1"/>
  <c r="Y212" i="1"/>
  <c r="X210" i="1"/>
  <c r="I208" i="1"/>
  <c r="V206" i="1"/>
  <c r="CR205" i="1"/>
  <c r="CS205" i="1"/>
  <c r="AD205" i="1"/>
  <c r="AB205" i="1" s="1"/>
  <c r="R190" i="1"/>
  <c r="CR190" i="1"/>
  <c r="AD190" i="1"/>
  <c r="AB190" i="1" s="1"/>
  <c r="P186" i="1"/>
  <c r="CP186" i="1" s="1"/>
  <c r="O186" i="1" s="1"/>
  <c r="GM186" i="1" s="1"/>
  <c r="GO186" i="1" s="1"/>
  <c r="AB186" i="1"/>
  <c r="CY181" i="1"/>
  <c r="CZ181" i="1"/>
  <c r="X181" i="1"/>
  <c r="CR180" i="1"/>
  <c r="AD180" i="1"/>
  <c r="AB180" i="1" s="1"/>
  <c r="F311" i="1"/>
  <c r="CS254" i="1"/>
  <c r="CS248" i="1"/>
  <c r="CS240" i="1"/>
  <c r="I240" i="1"/>
  <c r="W240" i="1" s="1"/>
  <c r="R239" i="1"/>
  <c r="CX599" i="3"/>
  <c r="CU599" i="3"/>
  <c r="CV599" i="3"/>
  <c r="CX602" i="3"/>
  <c r="CW601" i="3"/>
  <c r="CX601" i="3"/>
  <c r="GX235" i="1"/>
  <c r="P234" i="1"/>
  <c r="CP234" i="1" s="1"/>
  <c r="O234" i="1" s="1"/>
  <c r="CU591" i="3"/>
  <c r="CV591" i="3"/>
  <c r="CW592" i="3"/>
  <c r="CX591" i="3"/>
  <c r="Y232" i="1"/>
  <c r="AB228" i="1"/>
  <c r="X225" i="1"/>
  <c r="GM225" i="1" s="1"/>
  <c r="GO225" i="1" s="1"/>
  <c r="CY224" i="1"/>
  <c r="Q223" i="1"/>
  <c r="S220" i="1"/>
  <c r="CT220" i="1"/>
  <c r="U215" i="1"/>
  <c r="AB215" i="1"/>
  <c r="AB211" i="1"/>
  <c r="T209" i="1"/>
  <c r="CZ205" i="1"/>
  <c r="CQ205" i="1"/>
  <c r="P205" i="1"/>
  <c r="CP205" i="1" s="1"/>
  <c r="O205" i="1" s="1"/>
  <c r="S199" i="1"/>
  <c r="S197" i="1"/>
  <c r="AB196" i="1"/>
  <c r="CT196" i="1"/>
  <c r="S196" i="1"/>
  <c r="P195" i="1"/>
  <c r="CP195" i="1" s="1"/>
  <c r="O195" i="1" s="1"/>
  <c r="GM195" i="1" s="1"/>
  <c r="GN195" i="1" s="1"/>
  <c r="AB195" i="1"/>
  <c r="X186" i="1"/>
  <c r="CY185" i="1"/>
  <c r="CZ185" i="1"/>
  <c r="X185" i="1"/>
  <c r="GM185" i="1" s="1"/>
  <c r="GO185" i="1" s="1"/>
  <c r="Y185" i="1"/>
  <c r="P180" i="1"/>
  <c r="CP180" i="1" s="1"/>
  <c r="O180" i="1" s="1"/>
  <c r="CP179" i="1"/>
  <c r="O179" i="1" s="1"/>
  <c r="CP174" i="1"/>
  <c r="O174" i="1" s="1"/>
  <c r="R110" i="1"/>
  <c r="CR110" i="1"/>
  <c r="CS110" i="1"/>
  <c r="AD110" i="1"/>
  <c r="AB110" i="1" s="1"/>
  <c r="Q110" i="1"/>
  <c r="F344" i="1"/>
  <c r="Y254" i="1"/>
  <c r="CU640" i="3"/>
  <c r="CW641" i="3"/>
  <c r="CX641" i="3"/>
  <c r="CW642" i="3"/>
  <c r="CX642" i="3"/>
  <c r="R249" i="1"/>
  <c r="Y248" i="1"/>
  <c r="I244" i="1"/>
  <c r="R241" i="1"/>
  <c r="CS233" i="1"/>
  <c r="AD233" i="1"/>
  <c r="CS232" i="1"/>
  <c r="X232" i="1"/>
  <c r="V231" i="1"/>
  <c r="S229" i="1"/>
  <c r="X228" i="1"/>
  <c r="GM228" i="1" s="1"/>
  <c r="GO228" i="1" s="1"/>
  <c r="CR220" i="1"/>
  <c r="AD220" i="1"/>
  <c r="AB220" i="1" s="1"/>
  <c r="CT219" i="1"/>
  <c r="S219" i="1"/>
  <c r="S217" i="1"/>
  <c r="CT217" i="1"/>
  <c r="P214" i="1"/>
  <c r="GX214" i="1"/>
  <c r="Q214" i="1"/>
  <c r="U213" i="1"/>
  <c r="Q212" i="1"/>
  <c r="CP212" i="1" s="1"/>
  <c r="O212" i="1" s="1"/>
  <c r="GM212" i="1" s="1"/>
  <c r="GO212" i="1" s="1"/>
  <c r="R212" i="1"/>
  <c r="CT210" i="1"/>
  <c r="GX208" i="1"/>
  <c r="W206" i="1"/>
  <c r="CY205" i="1"/>
  <c r="W201" i="1"/>
  <c r="CQ201" i="1"/>
  <c r="AB201" i="1"/>
  <c r="P201" i="1"/>
  <c r="CP201" i="1" s="1"/>
  <c r="O201" i="1" s="1"/>
  <c r="CR199" i="1"/>
  <c r="AD199" i="1"/>
  <c r="AB199" i="1" s="1"/>
  <c r="CT198" i="1"/>
  <c r="S198" i="1"/>
  <c r="P197" i="1"/>
  <c r="X195" i="1"/>
  <c r="CT182" i="1"/>
  <c r="S182" i="1"/>
  <c r="CP182" i="1" s="1"/>
  <c r="O182" i="1" s="1"/>
  <c r="W180" i="1"/>
  <c r="GX177" i="1"/>
  <c r="V175" i="1"/>
  <c r="ET26" i="1"/>
  <c r="P152" i="1"/>
  <c r="R251" i="1"/>
  <c r="Q249" i="1"/>
  <c r="CP249" i="1" s="1"/>
  <c r="O249" i="1" s="1"/>
  <c r="GM249" i="1" s="1"/>
  <c r="GN249" i="1" s="1"/>
  <c r="R246" i="1"/>
  <c r="CZ245" i="1"/>
  <c r="R243" i="1"/>
  <c r="Q241" i="1"/>
  <c r="CP241" i="1" s="1"/>
  <c r="O241" i="1" s="1"/>
  <c r="GM241" i="1" s="1"/>
  <c r="GO241" i="1" s="1"/>
  <c r="Y237" i="1"/>
  <c r="GM237" i="1" s="1"/>
  <c r="GO237" i="1" s="1"/>
  <c r="Y236" i="1"/>
  <c r="CZ234" i="1"/>
  <c r="Y234" i="1"/>
  <c r="AB233" i="1"/>
  <c r="P233" i="1"/>
  <c r="CP233" i="1" s="1"/>
  <c r="O233" i="1" s="1"/>
  <c r="GM233" i="1" s="1"/>
  <c r="GO233" i="1" s="1"/>
  <c r="V232" i="1"/>
  <c r="R229" i="1"/>
  <c r="CT225" i="1"/>
  <c r="P220" i="1"/>
  <c r="CR217" i="1"/>
  <c r="AD217" i="1"/>
  <c r="AB217" i="1" s="1"/>
  <c r="CT216" i="1"/>
  <c r="S216" i="1"/>
  <c r="W215" i="1"/>
  <c r="CP210" i="1"/>
  <c r="O210" i="1" s="1"/>
  <c r="GM210" i="1" s="1"/>
  <c r="GO210" i="1" s="1"/>
  <c r="CS209" i="1"/>
  <c r="AD209" i="1"/>
  <c r="P199" i="1"/>
  <c r="CP199" i="1" s="1"/>
  <c r="O199" i="1" s="1"/>
  <c r="CY194" i="1"/>
  <c r="CZ194" i="1"/>
  <c r="X194" i="1"/>
  <c r="GM194" i="1" s="1"/>
  <c r="GN194" i="1" s="1"/>
  <c r="Y194" i="1"/>
  <c r="CT192" i="1"/>
  <c r="S192" i="1"/>
  <c r="Q190" i="1"/>
  <c r="CP190" i="1" s="1"/>
  <c r="O190" i="1" s="1"/>
  <c r="GM190" i="1" s="1"/>
  <c r="GO190" i="1" s="1"/>
  <c r="CY188" i="1"/>
  <c r="CZ188" i="1"/>
  <c r="X188" i="1"/>
  <c r="Y188" i="1"/>
  <c r="V180" i="1"/>
  <c r="Q180" i="1"/>
  <c r="GX175" i="1"/>
  <c r="BC256" i="1"/>
  <c r="R253" i="1"/>
  <c r="CR234" i="1"/>
  <c r="CS234" i="1"/>
  <c r="Y233" i="1"/>
  <c r="GX232" i="1"/>
  <c r="CU583" i="3"/>
  <c r="CV583" i="3"/>
  <c r="CX584" i="3"/>
  <c r="CX583" i="3"/>
  <c r="R231" i="1"/>
  <c r="X230" i="1"/>
  <c r="U229" i="1"/>
  <c r="P229" i="1"/>
  <c r="P217" i="1"/>
  <c r="S215" i="1"/>
  <c r="CP215" i="1" s="1"/>
  <c r="O215" i="1" s="1"/>
  <c r="S213" i="1"/>
  <c r="S208" i="1"/>
  <c r="CT208" i="1"/>
  <c r="CW495" i="3"/>
  <c r="CU490" i="3"/>
  <c r="CX497" i="3"/>
  <c r="CX491" i="3"/>
  <c r="CW492" i="3"/>
  <c r="CX493" i="3"/>
  <c r="CX498" i="3"/>
  <c r="CW491" i="3"/>
  <c r="Q206" i="1"/>
  <c r="CP206" i="1" s="1"/>
  <c r="O206" i="1" s="1"/>
  <c r="R206" i="1"/>
  <c r="CU451" i="3"/>
  <c r="CV451" i="3"/>
  <c r="CW452" i="3"/>
  <c r="CX452" i="3"/>
  <c r="CW453" i="3"/>
  <c r="CX453" i="3"/>
  <c r="CX454" i="3"/>
  <c r="CX457" i="3"/>
  <c r="Q197" i="1"/>
  <c r="R197" i="1"/>
  <c r="CP188" i="1"/>
  <c r="O188" i="1" s="1"/>
  <c r="S177" i="1"/>
  <c r="CS228" i="1"/>
  <c r="CS225" i="1"/>
  <c r="R224" i="1"/>
  <c r="CX552" i="3"/>
  <c r="CW554" i="3"/>
  <c r="CX565" i="3"/>
  <c r="CU549" i="3"/>
  <c r="CX554" i="3"/>
  <c r="CV549" i="3"/>
  <c r="CW552" i="3"/>
  <c r="CX556" i="3"/>
  <c r="CX563" i="3"/>
  <c r="CX561" i="3"/>
  <c r="CW553" i="3"/>
  <c r="CX549" i="3"/>
  <c r="CS213" i="1"/>
  <c r="CS210" i="1"/>
  <c r="CS204" i="1"/>
  <c r="I204" i="1"/>
  <c r="W204" i="1" s="1"/>
  <c r="CS195" i="1"/>
  <c r="R194" i="1"/>
  <c r="CR193" i="1"/>
  <c r="Y193" i="1"/>
  <c r="CX442" i="3"/>
  <c r="CU435" i="3"/>
  <c r="CX438" i="3"/>
  <c r="CX437" i="3"/>
  <c r="CW436" i="3"/>
  <c r="CX436" i="3"/>
  <c r="CV435" i="3"/>
  <c r="R188" i="1"/>
  <c r="CS186" i="1"/>
  <c r="R185" i="1"/>
  <c r="CS177" i="1"/>
  <c r="CX380" i="3"/>
  <c r="CU377" i="3"/>
  <c r="CX384" i="3"/>
  <c r="CX387" i="3"/>
  <c r="CX382" i="3"/>
  <c r="CX388" i="3"/>
  <c r="Q173" i="1"/>
  <c r="CX597" i="3"/>
  <c r="CX598" i="3"/>
  <c r="CX595" i="3"/>
  <c r="CU595" i="3"/>
  <c r="CV595" i="3"/>
  <c r="CR228" i="1"/>
  <c r="CR225" i="1"/>
  <c r="CR210" i="1"/>
  <c r="CX513" i="3"/>
  <c r="CU507" i="3"/>
  <c r="CX514" i="3"/>
  <c r="CW509" i="3"/>
  <c r="CX508" i="3"/>
  <c r="CT199" i="1"/>
  <c r="CR195" i="1"/>
  <c r="CQ193" i="1"/>
  <c r="X193" i="1"/>
  <c r="CT190" i="1"/>
  <c r="CR186" i="1"/>
  <c r="CS183" i="1"/>
  <c r="CT180" i="1"/>
  <c r="CT174" i="1"/>
  <c r="CU391" i="3"/>
  <c r="CV391" i="3"/>
  <c r="CX400" i="3"/>
  <c r="CX391" i="3"/>
  <c r="CX392" i="3"/>
  <c r="CW393" i="3"/>
  <c r="CX393" i="3"/>
  <c r="CX404" i="3"/>
  <c r="CW392" i="3"/>
  <c r="CX396" i="3"/>
  <c r="CX395" i="3"/>
  <c r="CX402" i="3"/>
  <c r="I176" i="1"/>
  <c r="U176" i="1" s="1"/>
  <c r="CT173" i="1"/>
  <c r="F149" i="1"/>
  <c r="BX26" i="1"/>
  <c r="AO139" i="1"/>
  <c r="CG139" i="1"/>
  <c r="CP130" i="1"/>
  <c r="O130" i="1" s="1"/>
  <c r="GM130" i="1" s="1"/>
  <c r="GN130" i="1" s="1"/>
  <c r="CY121" i="1"/>
  <c r="CZ121" i="1"/>
  <c r="X121" i="1"/>
  <c r="Y121" i="1"/>
  <c r="CY113" i="1"/>
  <c r="CZ113" i="1"/>
  <c r="X113" i="1"/>
  <c r="Y113" i="1"/>
  <c r="CY106" i="1"/>
  <c r="CZ106" i="1"/>
  <c r="X106" i="1"/>
  <c r="Y106" i="1"/>
  <c r="CY105" i="1"/>
  <c r="CZ105" i="1"/>
  <c r="X105" i="1"/>
  <c r="Y105" i="1"/>
  <c r="EP26" i="1"/>
  <c r="P146" i="1"/>
  <c r="CY136" i="1"/>
  <c r="CZ136" i="1"/>
  <c r="X136" i="1"/>
  <c r="Y136" i="1"/>
  <c r="R121" i="1"/>
  <c r="CR121" i="1"/>
  <c r="CS121" i="1"/>
  <c r="AD121" i="1"/>
  <c r="AB121" i="1" s="1"/>
  <c r="R113" i="1"/>
  <c r="CR113" i="1"/>
  <c r="CS113" i="1"/>
  <c r="AD113" i="1"/>
  <c r="AB113" i="1" s="1"/>
  <c r="CP110" i="1"/>
  <c r="O110" i="1" s="1"/>
  <c r="Q216" i="1"/>
  <c r="CP216" i="1" s="1"/>
  <c r="O216" i="1" s="1"/>
  <c r="Q198" i="1"/>
  <c r="CX434" i="3"/>
  <c r="CU427" i="3"/>
  <c r="CV427" i="3"/>
  <c r="CX430" i="3"/>
  <c r="CX429" i="3"/>
  <c r="CW428" i="3"/>
  <c r="CX428" i="3"/>
  <c r="CY189" i="1"/>
  <c r="S187" i="1"/>
  <c r="S184" i="1"/>
  <c r="X183" i="1"/>
  <c r="GM183" i="1" s="1"/>
  <c r="GO183" i="1" s="1"/>
  <c r="CZ178" i="1"/>
  <c r="BC139" i="1"/>
  <c r="R136" i="1"/>
  <c r="CR136" i="1"/>
  <c r="CS136" i="1"/>
  <c r="AD136" i="1"/>
  <c r="AB136" i="1" s="1"/>
  <c r="GX104" i="1"/>
  <c r="S132" i="1"/>
  <c r="CT132" i="1"/>
  <c r="CY126" i="1"/>
  <c r="CZ126" i="1"/>
  <c r="X126" i="1"/>
  <c r="Y126" i="1"/>
  <c r="CY125" i="1"/>
  <c r="CZ125" i="1"/>
  <c r="X125" i="1"/>
  <c r="Y125" i="1"/>
  <c r="Q121" i="1"/>
  <c r="Q113" i="1"/>
  <c r="CP113" i="1" s="1"/>
  <c r="O113" i="1" s="1"/>
  <c r="GM113" i="1" s="1"/>
  <c r="GO113" i="1" s="1"/>
  <c r="P106" i="1"/>
  <c r="CP106" i="1" s="1"/>
  <c r="O106" i="1" s="1"/>
  <c r="GM106" i="1" s="1"/>
  <c r="GO106" i="1" s="1"/>
  <c r="CQ106" i="1"/>
  <c r="AB106" i="1"/>
  <c r="CW571" i="3"/>
  <c r="CX582" i="3"/>
  <c r="CU566" i="3"/>
  <c r="CX571" i="3"/>
  <c r="CV566" i="3"/>
  <c r="CX573" i="3"/>
  <c r="CX580" i="3"/>
  <c r="CX579" i="3"/>
  <c r="CX566" i="3"/>
  <c r="CX578" i="3"/>
  <c r="CW570" i="3"/>
  <c r="CW569" i="3"/>
  <c r="CX569" i="3"/>
  <c r="S221" i="1"/>
  <c r="S218" i="1"/>
  <c r="CP218" i="1" s="1"/>
  <c r="O218" i="1" s="1"/>
  <c r="P209" i="1"/>
  <c r="CP209" i="1" s="1"/>
  <c r="O209" i="1" s="1"/>
  <c r="GM209" i="1" s="1"/>
  <c r="GO209" i="1" s="1"/>
  <c r="S206" i="1"/>
  <c r="S200" i="1"/>
  <c r="Q196" i="1"/>
  <c r="CP196" i="1" s="1"/>
  <c r="O196" i="1" s="1"/>
  <c r="CU443" i="3"/>
  <c r="CX450" i="3"/>
  <c r="CX446" i="3"/>
  <c r="CW444" i="3"/>
  <c r="CX444" i="3"/>
  <c r="S191" i="1"/>
  <c r="CP191" i="1" s="1"/>
  <c r="O191" i="1" s="1"/>
  <c r="R189" i="1"/>
  <c r="Q187" i="1"/>
  <c r="Q178" i="1"/>
  <c r="AB132" i="1"/>
  <c r="CP121" i="1"/>
  <c r="O121" i="1" s="1"/>
  <c r="GM121" i="1" s="1"/>
  <c r="GN121" i="1" s="1"/>
  <c r="T104" i="1"/>
  <c r="CY100" i="1"/>
  <c r="CZ100" i="1"/>
  <c r="X100" i="1"/>
  <c r="Y100" i="1"/>
  <c r="CV481" i="3"/>
  <c r="CW482" i="3"/>
  <c r="CX489" i="3"/>
  <c r="CW483" i="3"/>
  <c r="CW484" i="3"/>
  <c r="CX484" i="3"/>
  <c r="CW485" i="3"/>
  <c r="CX487" i="3"/>
  <c r="CU481" i="3"/>
  <c r="CX486" i="3"/>
  <c r="R200" i="1"/>
  <c r="GX196" i="1"/>
  <c r="R191" i="1"/>
  <c r="GX187" i="1"/>
  <c r="CZ183" i="1"/>
  <c r="R181" i="1"/>
  <c r="P178" i="1"/>
  <c r="CP178" i="1" s="1"/>
  <c r="O178" i="1" s="1"/>
  <c r="GM178" i="1" s="1"/>
  <c r="GO178" i="1" s="1"/>
  <c r="FV26" i="1"/>
  <c r="EM139" i="1"/>
  <c r="EG139" i="1"/>
  <c r="CP136" i="1"/>
  <c r="O136" i="1" s="1"/>
  <c r="CY123" i="1"/>
  <c r="CZ123" i="1"/>
  <c r="X123" i="1"/>
  <c r="Y123" i="1"/>
  <c r="CP90" i="1"/>
  <c r="O90" i="1" s="1"/>
  <c r="R223" i="1"/>
  <c r="CX535" i="3"/>
  <c r="CW537" i="3"/>
  <c r="CX548" i="3"/>
  <c r="CU532" i="3"/>
  <c r="CX537" i="3"/>
  <c r="CX544" i="3"/>
  <c r="CX540" i="3"/>
  <c r="CW536" i="3"/>
  <c r="CX539" i="3"/>
  <c r="CX546" i="3"/>
  <c r="CW535" i="3"/>
  <c r="CX532" i="3"/>
  <c r="AB209" i="1"/>
  <c r="CU458" i="3"/>
  <c r="CX459" i="3"/>
  <c r="CX460" i="3"/>
  <c r="CX462" i="3"/>
  <c r="R193" i="1"/>
  <c r="AD189" i="1"/>
  <c r="AB189" i="1" s="1"/>
  <c r="P189" i="1"/>
  <c r="CP189" i="1" s="1"/>
  <c r="O189" i="1" s="1"/>
  <c r="GM189" i="1" s="1"/>
  <c r="GO189" i="1" s="1"/>
  <c r="CT187" i="1"/>
  <c r="CT184" i="1"/>
  <c r="P126" i="1"/>
  <c r="CP126" i="1" s="1"/>
  <c r="O126" i="1" s="1"/>
  <c r="GM126" i="1" s="1"/>
  <c r="GN126" i="1" s="1"/>
  <c r="CQ126" i="1"/>
  <c r="AB126" i="1"/>
  <c r="CY117" i="1"/>
  <c r="CZ117" i="1"/>
  <c r="X117" i="1"/>
  <c r="Y117" i="1"/>
  <c r="Q193" i="1"/>
  <c r="CP193" i="1" s="1"/>
  <c r="O193" i="1" s="1"/>
  <c r="GM193" i="1" s="1"/>
  <c r="GN193" i="1" s="1"/>
  <c r="V177" i="1"/>
  <c r="F164" i="1"/>
  <c r="R117" i="1"/>
  <c r="CR117" i="1"/>
  <c r="CS117" i="1"/>
  <c r="AD117" i="1"/>
  <c r="AB117" i="1" s="1"/>
  <c r="CV473" i="3"/>
  <c r="CW474" i="3"/>
  <c r="CX474" i="3"/>
  <c r="CW475" i="3"/>
  <c r="CX475" i="3"/>
  <c r="CX476" i="3"/>
  <c r="CX478" i="3"/>
  <c r="CU473" i="3"/>
  <c r="R183" i="1"/>
  <c r="CY130" i="1"/>
  <c r="CZ130" i="1"/>
  <c r="X130" i="1"/>
  <c r="Y130" i="1"/>
  <c r="AB128" i="1"/>
  <c r="P123" i="1"/>
  <c r="CQ123" i="1"/>
  <c r="AB123" i="1"/>
  <c r="AB108" i="1"/>
  <c r="GM94" i="1"/>
  <c r="GO94" i="1" s="1"/>
  <c r="CX426" i="3"/>
  <c r="CU419" i="3"/>
  <c r="CW420" i="3"/>
  <c r="CX420" i="3"/>
  <c r="CV419" i="3"/>
  <c r="CX422" i="3"/>
  <c r="R130" i="1"/>
  <c r="CR130" i="1"/>
  <c r="CS130" i="1"/>
  <c r="AD130" i="1"/>
  <c r="AB130" i="1" s="1"/>
  <c r="Q117" i="1"/>
  <c r="CP117" i="1" s="1"/>
  <c r="O117" i="1" s="1"/>
  <c r="GM117" i="1" s="1"/>
  <c r="GN117" i="1" s="1"/>
  <c r="CY110" i="1"/>
  <c r="CZ110" i="1"/>
  <c r="X110" i="1"/>
  <c r="Y110" i="1"/>
  <c r="CW255" i="3"/>
  <c r="CU252" i="3"/>
  <c r="CX256" i="3"/>
  <c r="CX255" i="3"/>
  <c r="CW253" i="3"/>
  <c r="CX260" i="3"/>
  <c r="CX253" i="3"/>
  <c r="CV252" i="3"/>
  <c r="CX263" i="3"/>
  <c r="CX258" i="3"/>
  <c r="R99" i="1"/>
  <c r="CR80" i="1"/>
  <c r="AD80" i="1"/>
  <c r="AB80" i="1" s="1"/>
  <c r="CX170" i="3"/>
  <c r="CX171" i="3"/>
  <c r="CU169" i="3"/>
  <c r="CW170" i="3"/>
  <c r="CW171" i="3"/>
  <c r="Q78" i="1"/>
  <c r="R78" i="1"/>
  <c r="V78" i="1"/>
  <c r="CT72" i="1"/>
  <c r="S72" i="1"/>
  <c r="R125" i="1"/>
  <c r="Y118" i="1"/>
  <c r="Y114" i="1"/>
  <c r="R105" i="1"/>
  <c r="S103" i="1"/>
  <c r="X102" i="1"/>
  <c r="GM102" i="1" s="1"/>
  <c r="GO102" i="1" s="1"/>
  <c r="AB101" i="1"/>
  <c r="AB99" i="1"/>
  <c r="AB98" i="1"/>
  <c r="X95" i="1"/>
  <c r="GM95" i="1" s="1"/>
  <c r="GO95" i="1" s="1"/>
  <c r="T90" i="1"/>
  <c r="AB88" i="1"/>
  <c r="P88" i="1"/>
  <c r="GX78" i="1"/>
  <c r="W78" i="1"/>
  <c r="CS61" i="1"/>
  <c r="Q61" i="1"/>
  <c r="X61" i="1"/>
  <c r="CR61" i="1"/>
  <c r="Y61" i="1"/>
  <c r="AD61" i="1"/>
  <c r="AB61" i="1" s="1"/>
  <c r="X59" i="1"/>
  <c r="Y59" i="1"/>
  <c r="CY59" i="1"/>
  <c r="CZ59" i="1"/>
  <c r="CT136" i="1"/>
  <c r="S135" i="1"/>
  <c r="CS134" i="1"/>
  <c r="P132" i="1"/>
  <c r="CP132" i="1" s="1"/>
  <c r="O132" i="1" s="1"/>
  <c r="CT130" i="1"/>
  <c r="S129" i="1"/>
  <c r="CS128" i="1"/>
  <c r="CV335" i="3"/>
  <c r="CX337" i="3"/>
  <c r="CU335" i="3"/>
  <c r="CX335" i="3"/>
  <c r="CX338" i="3"/>
  <c r="CT121" i="1"/>
  <c r="R120" i="1"/>
  <c r="CQ118" i="1"/>
  <c r="X118" i="1"/>
  <c r="CT117" i="1"/>
  <c r="R116" i="1"/>
  <c r="CQ114" i="1"/>
  <c r="X114" i="1"/>
  <c r="CT113" i="1"/>
  <c r="CT110" i="1"/>
  <c r="S109" i="1"/>
  <c r="CS108" i="1"/>
  <c r="CS101" i="1"/>
  <c r="X98" i="1"/>
  <c r="CY92" i="1"/>
  <c r="X92" i="1"/>
  <c r="Y92" i="1"/>
  <c r="W90" i="1"/>
  <c r="Y88" i="1"/>
  <c r="CT86" i="1"/>
  <c r="S85" i="1"/>
  <c r="CT83" i="1"/>
  <c r="S83" i="1"/>
  <c r="GX82" i="1"/>
  <c r="BB139" i="1"/>
  <c r="R135" i="1"/>
  <c r="CR134" i="1"/>
  <c r="Y134" i="1"/>
  <c r="CU363" i="3"/>
  <c r="CX363" i="3"/>
  <c r="CW364" i="3"/>
  <c r="CW365" i="3"/>
  <c r="CX364" i="3"/>
  <c r="CX365" i="3"/>
  <c r="CX366" i="3"/>
  <c r="CX368" i="3"/>
  <c r="R129" i="1"/>
  <c r="CR128" i="1"/>
  <c r="CW340" i="3"/>
  <c r="CX340" i="3"/>
  <c r="CW342" i="3"/>
  <c r="CX342" i="3"/>
  <c r="CW341" i="3"/>
  <c r="CU339" i="3"/>
  <c r="CX345" i="3"/>
  <c r="P125" i="1"/>
  <c r="CP125" i="1" s="1"/>
  <c r="O125" i="1" s="1"/>
  <c r="GM125" i="1" s="1"/>
  <c r="GN125" i="1" s="1"/>
  <c r="S122" i="1"/>
  <c r="Q120" i="1"/>
  <c r="Q116" i="1"/>
  <c r="R109" i="1"/>
  <c r="CR108" i="1"/>
  <c r="CW300" i="3"/>
  <c r="CX307" i="3"/>
  <c r="CX300" i="3"/>
  <c r="CX308" i="3"/>
  <c r="CX302" i="3"/>
  <c r="CW302" i="3"/>
  <c r="CX311" i="3"/>
  <c r="CX314" i="3"/>
  <c r="CW301" i="3"/>
  <c r="CW304" i="3"/>
  <c r="CU299" i="3"/>
  <c r="CX304" i="3"/>
  <c r="CX309" i="3"/>
  <c r="CX303" i="3"/>
  <c r="P105" i="1"/>
  <c r="CP105" i="1" s="1"/>
  <c r="O105" i="1" s="1"/>
  <c r="GM105" i="1" s="1"/>
  <c r="GO105" i="1" s="1"/>
  <c r="Q103" i="1"/>
  <c r="CP103" i="1" s="1"/>
  <c r="O103" i="1" s="1"/>
  <c r="CR101" i="1"/>
  <c r="CQ100" i="1"/>
  <c r="CQ97" i="1"/>
  <c r="R96" i="1"/>
  <c r="CQ95" i="1"/>
  <c r="CZ93" i="1"/>
  <c r="X93" i="1"/>
  <c r="Y93" i="1"/>
  <c r="AD92" i="1"/>
  <c r="AB92" i="1" s="1"/>
  <c r="R92" i="1"/>
  <c r="CR92" i="1"/>
  <c r="Q90" i="1"/>
  <c r="R90" i="1"/>
  <c r="S90" i="1"/>
  <c r="X88" i="1"/>
  <c r="CX189" i="3"/>
  <c r="CX190" i="3"/>
  <c r="CU183" i="3"/>
  <c r="CX185" i="3"/>
  <c r="Q82" i="1"/>
  <c r="V80" i="1"/>
  <c r="U78" i="1"/>
  <c r="GX77" i="1"/>
  <c r="CY63" i="1"/>
  <c r="X63" i="1"/>
  <c r="Y63" i="1"/>
  <c r="CZ63" i="1"/>
  <c r="Q135" i="1"/>
  <c r="CP135" i="1" s="1"/>
  <c r="O135" i="1" s="1"/>
  <c r="X134" i="1"/>
  <c r="GM134" i="1" s="1"/>
  <c r="GO134" i="1" s="1"/>
  <c r="S133" i="1"/>
  <c r="Q129" i="1"/>
  <c r="CP129" i="1" s="1"/>
  <c r="O129" i="1" s="1"/>
  <c r="S127" i="1"/>
  <c r="S124" i="1"/>
  <c r="R122" i="1"/>
  <c r="P120" i="1"/>
  <c r="CP120" i="1" s="1"/>
  <c r="O120" i="1" s="1"/>
  <c r="S119" i="1"/>
  <c r="P116" i="1"/>
  <c r="S115" i="1"/>
  <c r="CP115" i="1" s="1"/>
  <c r="O115" i="1" s="1"/>
  <c r="Q109" i="1"/>
  <c r="CP109" i="1" s="1"/>
  <c r="O109" i="1" s="1"/>
  <c r="CQ101" i="1"/>
  <c r="V99" i="1"/>
  <c r="P93" i="1"/>
  <c r="CP93" i="1" s="1"/>
  <c r="O93" i="1" s="1"/>
  <c r="GM93" i="1" s="1"/>
  <c r="GO93" i="1" s="1"/>
  <c r="P92" i="1"/>
  <c r="CQ92" i="1"/>
  <c r="U80" i="1"/>
  <c r="CZ74" i="1"/>
  <c r="X74" i="1"/>
  <c r="Y74" i="1"/>
  <c r="CY74" i="1"/>
  <c r="CT71" i="1"/>
  <c r="S71" i="1"/>
  <c r="CP61" i="1"/>
  <c r="O61" i="1" s="1"/>
  <c r="GM61" i="1" s="1"/>
  <c r="GO61" i="1" s="1"/>
  <c r="CU353" i="3"/>
  <c r="CV353" i="3"/>
  <c r="CX353" i="3"/>
  <c r="CW355" i="3"/>
  <c r="CX355" i="3"/>
  <c r="CW354" i="3"/>
  <c r="CX357" i="3"/>
  <c r="Q122" i="1"/>
  <c r="V104" i="1"/>
  <c r="CT91" i="1"/>
  <c r="W84" i="1"/>
  <c r="CS80" i="1"/>
  <c r="AB76" i="1"/>
  <c r="P76" i="1"/>
  <c r="S137" i="1"/>
  <c r="S131" i="1"/>
  <c r="AD122" i="1"/>
  <c r="AB122" i="1" s="1"/>
  <c r="P122" i="1"/>
  <c r="CP122" i="1" s="1"/>
  <c r="O122" i="1" s="1"/>
  <c r="CS120" i="1"/>
  <c r="AB120" i="1"/>
  <c r="CS116" i="1"/>
  <c r="AB116" i="1"/>
  <c r="S111" i="1"/>
  <c r="I104" i="1"/>
  <c r="S104" i="1" s="1"/>
  <c r="AD103" i="1"/>
  <c r="CY102" i="1"/>
  <c r="R102" i="1"/>
  <c r="R98" i="1"/>
  <c r="R95" i="1"/>
  <c r="T85" i="1"/>
  <c r="W81" i="1"/>
  <c r="S79" i="1"/>
  <c r="AB71" i="1"/>
  <c r="EV139" i="1"/>
  <c r="R137" i="1"/>
  <c r="CS135" i="1"/>
  <c r="CZ134" i="1"/>
  <c r="R131" i="1"/>
  <c r="CS129" i="1"/>
  <c r="Y120" i="1"/>
  <c r="CR116" i="1"/>
  <c r="CS112" i="1"/>
  <c r="I112" i="1"/>
  <c r="W112" i="1" s="1"/>
  <c r="R111" i="1"/>
  <c r="CS109" i="1"/>
  <c r="P104" i="1"/>
  <c r="AB103" i="1"/>
  <c r="CU283" i="3"/>
  <c r="CX289" i="3"/>
  <c r="CW284" i="3"/>
  <c r="CX291" i="3"/>
  <c r="CX297" i="3"/>
  <c r="CX284" i="3"/>
  <c r="CW287" i="3"/>
  <c r="CX287" i="3"/>
  <c r="CX292" i="3"/>
  <c r="CX285" i="3"/>
  <c r="CX294" i="3"/>
  <c r="S99" i="1"/>
  <c r="Q98" i="1"/>
  <c r="P97" i="1"/>
  <c r="AB94" i="1"/>
  <c r="S89" i="1"/>
  <c r="CT89" i="1"/>
  <c r="CZ82" i="1"/>
  <c r="Q81" i="1"/>
  <c r="CP81" i="1" s="1"/>
  <c r="O81" i="1" s="1"/>
  <c r="R81" i="1"/>
  <c r="S81" i="1"/>
  <c r="I80" i="1"/>
  <c r="CS77" i="1"/>
  <c r="AD77" i="1"/>
  <c r="CR77" i="1"/>
  <c r="CP72" i="1"/>
  <c r="O72" i="1" s="1"/>
  <c r="CS68" i="1"/>
  <c r="Q68" i="1"/>
  <c r="CP68" i="1" s="1"/>
  <c r="O68" i="1" s="1"/>
  <c r="CR68" i="1"/>
  <c r="AD68" i="1"/>
  <c r="AB68" i="1" s="1"/>
  <c r="CS58" i="1"/>
  <c r="Q58" i="1"/>
  <c r="CP58" i="1" s="1"/>
  <c r="O58" i="1" s="1"/>
  <c r="CR58" i="1"/>
  <c r="Y58" i="1"/>
  <c r="AD58" i="1"/>
  <c r="AB58" i="1" s="1"/>
  <c r="CP52" i="1"/>
  <c r="O52" i="1" s="1"/>
  <c r="CY41" i="1"/>
  <c r="X41" i="1"/>
  <c r="Y41" i="1"/>
  <c r="CZ41" i="1"/>
  <c r="EU139" i="1"/>
  <c r="EI139" i="1"/>
  <c r="Q137" i="1"/>
  <c r="CP137" i="1" s="1"/>
  <c r="O137" i="1" s="1"/>
  <c r="CX370" i="3"/>
  <c r="CX372" i="3"/>
  <c r="CX374" i="3"/>
  <c r="CU370" i="3"/>
  <c r="CV370" i="3"/>
  <c r="CX376" i="3"/>
  <c r="Q131" i="1"/>
  <c r="CP131" i="1" s="1"/>
  <c r="O131" i="1" s="1"/>
  <c r="CU346" i="3"/>
  <c r="CX350" i="3"/>
  <c r="CX347" i="3"/>
  <c r="CX351" i="3"/>
  <c r="CW350" i="3"/>
  <c r="CS122" i="1"/>
  <c r="R118" i="1"/>
  <c r="R114" i="1"/>
  <c r="Q111" i="1"/>
  <c r="CP111" i="1" s="1"/>
  <c r="O111" i="1" s="1"/>
  <c r="CW316" i="3"/>
  <c r="CX323" i="3"/>
  <c r="CX316" i="3"/>
  <c r="CX325" i="3"/>
  <c r="CV315" i="3"/>
  <c r="CX320" i="3"/>
  <c r="CX328" i="3"/>
  <c r="CX318" i="3"/>
  <c r="CX317" i="3"/>
  <c r="CX326" i="3"/>
  <c r="CW320" i="3"/>
  <c r="CU315" i="3"/>
  <c r="AB104" i="1"/>
  <c r="Q99" i="1"/>
  <c r="P98" i="1"/>
  <c r="CP98" i="1" s="1"/>
  <c r="O98" i="1" s="1"/>
  <c r="CS92" i="1"/>
  <c r="Q92" i="1"/>
  <c r="AB91" i="1"/>
  <c r="CR89" i="1"/>
  <c r="AD89" i="1"/>
  <c r="AB89" i="1" s="1"/>
  <c r="CX202" i="3"/>
  <c r="CW204" i="3"/>
  <c r="CU199" i="3"/>
  <c r="CX204" i="3"/>
  <c r="CV199" i="3"/>
  <c r="CX199" i="3"/>
  <c r="CX206" i="3"/>
  <c r="CW201" i="3"/>
  <c r="CW202" i="3"/>
  <c r="Q88" i="1"/>
  <c r="R88" i="1"/>
  <c r="CZ87" i="1"/>
  <c r="X87" i="1"/>
  <c r="Y87" i="1"/>
  <c r="W82" i="1"/>
  <c r="CQ82" i="1"/>
  <c r="AB82" i="1"/>
  <c r="P82" i="1"/>
  <c r="CP82" i="1" s="1"/>
  <c r="O82" i="1" s="1"/>
  <c r="U81" i="1"/>
  <c r="GX80" i="1"/>
  <c r="CP79" i="1"/>
  <c r="O79" i="1" s="1"/>
  <c r="AB78" i="1"/>
  <c r="P78" i="1"/>
  <c r="T71" i="1"/>
  <c r="S128" i="1"/>
  <c r="CP128" i="1" s="1"/>
  <c r="O128" i="1" s="1"/>
  <c r="R126" i="1"/>
  <c r="CU331" i="3"/>
  <c r="CV331" i="3"/>
  <c r="CX331" i="3"/>
  <c r="Q118" i="1"/>
  <c r="CP118" i="1" s="1"/>
  <c r="O118" i="1" s="1"/>
  <c r="GM118" i="1" s="1"/>
  <c r="GN118" i="1" s="1"/>
  <c r="Q114" i="1"/>
  <c r="CP114" i="1" s="1"/>
  <c r="O114" i="1" s="1"/>
  <c r="GM114" i="1" s="1"/>
  <c r="GN114" i="1" s="1"/>
  <c r="S108" i="1"/>
  <c r="I107" i="1"/>
  <c r="T107" i="1" s="1"/>
  <c r="R106" i="1"/>
  <c r="CR103" i="1"/>
  <c r="P100" i="1"/>
  <c r="CP100" i="1" s="1"/>
  <c r="O100" i="1" s="1"/>
  <c r="GM100" i="1" s="1"/>
  <c r="GO100" i="1" s="1"/>
  <c r="P99" i="1"/>
  <c r="CS96" i="1"/>
  <c r="CZ95" i="1"/>
  <c r="CP89" i="1"/>
  <c r="O89" i="1" s="1"/>
  <c r="CQ85" i="1"/>
  <c r="P85" i="1"/>
  <c r="CP85" i="1" s="1"/>
  <c r="O85" i="1" s="1"/>
  <c r="V82" i="1"/>
  <c r="W77" i="1"/>
  <c r="CQ76" i="1"/>
  <c r="P71" i="1"/>
  <c r="Q71" i="1"/>
  <c r="R71" i="1"/>
  <c r="GX71" i="1"/>
  <c r="CY68" i="1"/>
  <c r="CZ68" i="1"/>
  <c r="X68" i="1"/>
  <c r="Y68" i="1"/>
  <c r="P64" i="1"/>
  <c r="CQ64" i="1"/>
  <c r="AB64" i="1"/>
  <c r="P54" i="1"/>
  <c r="CP54" i="1" s="1"/>
  <c r="O54" i="1" s="1"/>
  <c r="GM54" i="1" s="1"/>
  <c r="GO54" i="1" s="1"/>
  <c r="AB54" i="1"/>
  <c r="CQ54" i="1"/>
  <c r="R134" i="1"/>
  <c r="CX359" i="3"/>
  <c r="CX362" i="3"/>
  <c r="CX360" i="3"/>
  <c r="CU358" i="3"/>
  <c r="CV358" i="3"/>
  <c r="R128" i="1"/>
  <c r="Q123" i="1"/>
  <c r="R108" i="1"/>
  <c r="CQ103" i="1"/>
  <c r="CU267" i="3"/>
  <c r="CV267" i="3"/>
  <c r="CX273" i="3"/>
  <c r="CX267" i="3"/>
  <c r="CX274" i="3"/>
  <c r="CW269" i="3"/>
  <c r="CX277" i="3"/>
  <c r="CX269" i="3"/>
  <c r="CX275" i="3"/>
  <c r="CW271" i="3"/>
  <c r="CX280" i="3"/>
  <c r="CW268" i="3"/>
  <c r="CX270" i="3"/>
  <c r="CX282" i="3"/>
  <c r="CX281" i="3"/>
  <c r="Y98" i="1"/>
  <c r="CY95" i="1"/>
  <c r="CQ94" i="1"/>
  <c r="CY93" i="1"/>
  <c r="Q87" i="1"/>
  <c r="CP87" i="1" s="1"/>
  <c r="O87" i="1" s="1"/>
  <c r="GM87" i="1" s="1"/>
  <c r="GO87" i="1" s="1"/>
  <c r="R87" i="1"/>
  <c r="I86" i="1"/>
  <c r="W85" i="1"/>
  <c r="I84" i="1"/>
  <c r="GX84" i="1" s="1"/>
  <c r="T78" i="1"/>
  <c r="V101" i="1"/>
  <c r="I101" i="1"/>
  <c r="U101" i="1" s="1"/>
  <c r="CR98" i="1"/>
  <c r="CS98" i="1"/>
  <c r="CZ96" i="1"/>
  <c r="X96" i="1"/>
  <c r="GM96" i="1" s="1"/>
  <c r="GO96" i="1" s="1"/>
  <c r="Y96" i="1"/>
  <c r="CY94" i="1"/>
  <c r="CZ94" i="1"/>
  <c r="Y94" i="1"/>
  <c r="Q85" i="1"/>
  <c r="U85" i="1"/>
  <c r="CY82" i="1"/>
  <c r="X82" i="1"/>
  <c r="S80" i="1"/>
  <c r="CT80" i="1"/>
  <c r="T60" i="1"/>
  <c r="I97" i="1"/>
  <c r="GX97" i="1" s="1"/>
  <c r="CS94" i="1"/>
  <c r="CW218" i="3"/>
  <c r="CX225" i="3"/>
  <c r="CX218" i="3"/>
  <c r="CX226" i="3"/>
  <c r="CW221" i="3"/>
  <c r="CU217" i="3"/>
  <c r="CW222" i="3"/>
  <c r="CX219" i="3"/>
  <c r="CX222" i="3"/>
  <c r="W75" i="1"/>
  <c r="R74" i="1"/>
  <c r="CY66" i="1"/>
  <c r="CZ66" i="1"/>
  <c r="Y66" i="1"/>
  <c r="CR65" i="1"/>
  <c r="CZ43" i="1"/>
  <c r="X43" i="1"/>
  <c r="Q93" i="1"/>
  <c r="X65" i="1"/>
  <c r="CY65" i="1"/>
  <c r="CZ65" i="1"/>
  <c r="CQ63" i="1"/>
  <c r="P63" i="1"/>
  <c r="CP63" i="1" s="1"/>
  <c r="O63" i="1" s="1"/>
  <c r="GM63" i="1" s="1"/>
  <c r="GO63" i="1" s="1"/>
  <c r="X57" i="1"/>
  <c r="Y57" i="1"/>
  <c r="P51" i="1"/>
  <c r="AB51" i="1"/>
  <c r="CQ51" i="1"/>
  <c r="CR48" i="1"/>
  <c r="R48" i="1"/>
  <c r="Q48" i="1"/>
  <c r="CS48" i="1"/>
  <c r="CP35" i="1"/>
  <c r="O35" i="1" s="1"/>
  <c r="CR57" i="1"/>
  <c r="CS57" i="1"/>
  <c r="AD57" i="1"/>
  <c r="AB57" i="1" s="1"/>
  <c r="R57" i="1"/>
  <c r="CZ50" i="1"/>
  <c r="Y50" i="1"/>
  <c r="CU93" i="3"/>
  <c r="CX94" i="3"/>
  <c r="Q45" i="1"/>
  <c r="R45" i="1"/>
  <c r="CP39" i="1"/>
  <c r="O39" i="1" s="1"/>
  <c r="GM39" i="1" s="1"/>
  <c r="GO39" i="1" s="1"/>
  <c r="CW211" i="3"/>
  <c r="CX211" i="3"/>
  <c r="CU208" i="3"/>
  <c r="CV208" i="3"/>
  <c r="CX214" i="3"/>
  <c r="CX212" i="3"/>
  <c r="CX216" i="3"/>
  <c r="CW209" i="3"/>
  <c r="CX209" i="3"/>
  <c r="S76" i="1"/>
  <c r="S75" i="1"/>
  <c r="S70" i="1"/>
  <c r="AB66" i="1"/>
  <c r="CT63" i="1"/>
  <c r="CY57" i="1"/>
  <c r="CQ57" i="1"/>
  <c r="P57" i="1"/>
  <c r="CP57" i="1" s="1"/>
  <c r="O57" i="1" s="1"/>
  <c r="GM57" i="1" s="1"/>
  <c r="GO57" i="1" s="1"/>
  <c r="X55" i="1"/>
  <c r="CY55" i="1"/>
  <c r="CZ55" i="1"/>
  <c r="CY48" i="1"/>
  <c r="CS74" i="1"/>
  <c r="AD74" i="1"/>
  <c r="CR70" i="1"/>
  <c r="CS70" i="1"/>
  <c r="CR60" i="1"/>
  <c r="CS60" i="1"/>
  <c r="CY58" i="1"/>
  <c r="CZ58" i="1"/>
  <c r="X58" i="1"/>
  <c r="CY56" i="1"/>
  <c r="CZ56" i="1"/>
  <c r="Y56" i="1"/>
  <c r="CY50" i="1"/>
  <c r="CW232" i="3"/>
  <c r="CU227" i="3"/>
  <c r="CX232" i="3"/>
  <c r="CX233" i="3"/>
  <c r="CX228" i="3"/>
  <c r="CV227" i="3"/>
  <c r="CX236" i="3"/>
  <c r="Q83" i="1"/>
  <c r="CP83" i="1" s="1"/>
  <c r="O83" i="1" s="1"/>
  <c r="AB79" i="1"/>
  <c r="CU176" i="3"/>
  <c r="CX177" i="3"/>
  <c r="CX178" i="3"/>
  <c r="CX179" i="3"/>
  <c r="CX180" i="3"/>
  <c r="CX181" i="3"/>
  <c r="CX182" i="3"/>
  <c r="S78" i="1"/>
  <c r="P75" i="1"/>
  <c r="AB74" i="1"/>
  <c r="AD70" i="1"/>
  <c r="X67" i="1"/>
  <c r="GM67" i="1" s="1"/>
  <c r="GO67" i="1" s="1"/>
  <c r="Y67" i="1"/>
  <c r="CY61" i="1"/>
  <c r="CZ61" i="1"/>
  <c r="AD60" i="1"/>
  <c r="CT52" i="1"/>
  <c r="S52" i="1"/>
  <c r="CZ51" i="1"/>
  <c r="CY51" i="1"/>
  <c r="X50" i="1"/>
  <c r="CX247" i="3"/>
  <c r="CX239" i="3"/>
  <c r="CU237" i="3"/>
  <c r="CX240" i="3"/>
  <c r="CX243" i="3"/>
  <c r="CW242" i="3"/>
  <c r="CX250" i="3"/>
  <c r="CX248" i="3"/>
  <c r="AD95" i="1"/>
  <c r="AB95" i="1" s="1"/>
  <c r="CS91" i="1"/>
  <c r="I91" i="1"/>
  <c r="W91" i="1" s="1"/>
  <c r="AD86" i="1"/>
  <c r="AB86" i="1" s="1"/>
  <c r="AD83" i="1"/>
  <c r="AB83" i="1" s="1"/>
  <c r="CY73" i="1"/>
  <c r="CQ70" i="1"/>
  <c r="AB70" i="1"/>
  <c r="CR67" i="1"/>
  <c r="CS67" i="1"/>
  <c r="R67" i="1"/>
  <c r="CQ66" i="1"/>
  <c r="R64" i="1"/>
  <c r="S64" i="1"/>
  <c r="AB62" i="1"/>
  <c r="CQ60" i="1"/>
  <c r="AB60" i="1"/>
  <c r="CT50" i="1"/>
  <c r="CQ47" i="1"/>
  <c r="AB47" i="1"/>
  <c r="P47" i="1"/>
  <c r="Q73" i="1"/>
  <c r="CP73" i="1" s="1"/>
  <c r="O73" i="1" s="1"/>
  <c r="GM73" i="1" s="1"/>
  <c r="GO73" i="1" s="1"/>
  <c r="AB59" i="1"/>
  <c r="P59" i="1"/>
  <c r="CP59" i="1" s="1"/>
  <c r="O59" i="1" s="1"/>
  <c r="R58" i="1"/>
  <c r="Q57" i="1"/>
  <c r="AB56" i="1"/>
  <c r="CS45" i="1"/>
  <c r="CR45" i="1"/>
  <c r="P44" i="1"/>
  <c r="CP44" i="1" s="1"/>
  <c r="O44" i="1" s="1"/>
  <c r="CQ44" i="1"/>
  <c r="CY32" i="1"/>
  <c r="CZ32" i="1"/>
  <c r="X32" i="1"/>
  <c r="Y32" i="1"/>
  <c r="CW632" i="3"/>
  <c r="CX632" i="3"/>
  <c r="CQ67" i="1"/>
  <c r="AB67" i="1"/>
  <c r="CS65" i="1"/>
  <c r="AD65" i="1"/>
  <c r="R61" i="1"/>
  <c r="CP48" i="1"/>
  <c r="O48" i="1" s="1"/>
  <c r="CX198" i="3"/>
  <c r="CU191" i="3"/>
  <c r="CV191" i="3"/>
  <c r="CX192" i="3"/>
  <c r="CX194" i="3"/>
  <c r="AB77" i="1"/>
  <c r="CR72" i="1"/>
  <c r="CS72" i="1"/>
  <c r="V71" i="1"/>
  <c r="CT70" i="1"/>
  <c r="AB69" i="1"/>
  <c r="P69" i="1"/>
  <c r="CP69" i="1" s="1"/>
  <c r="O69" i="1" s="1"/>
  <c r="GM69" i="1" s="1"/>
  <c r="GO69" i="1" s="1"/>
  <c r="AB65" i="1"/>
  <c r="V45" i="1"/>
  <c r="CS43" i="1"/>
  <c r="AD43" i="1"/>
  <c r="CR43" i="1"/>
  <c r="R39" i="1"/>
  <c r="CR39" i="1"/>
  <c r="CS39" i="1"/>
  <c r="Q39" i="1"/>
  <c r="X39" i="1"/>
  <c r="AD39" i="1"/>
  <c r="AB39" i="1" s="1"/>
  <c r="AB72" i="1"/>
  <c r="U71" i="1"/>
  <c r="Y65" i="1"/>
  <c r="AD64" i="1"/>
  <c r="CR64" i="1"/>
  <c r="S62" i="1"/>
  <c r="CP62" i="1" s="1"/>
  <c r="O62" i="1" s="1"/>
  <c r="CS55" i="1"/>
  <c r="AD55" i="1"/>
  <c r="R55" i="1"/>
  <c r="CY53" i="1"/>
  <c r="Y53" i="1"/>
  <c r="X53" i="1"/>
  <c r="GM53" i="1" s="1"/>
  <c r="GO53" i="1" s="1"/>
  <c r="CZ53" i="1"/>
  <c r="W45" i="1"/>
  <c r="Y73" i="1"/>
  <c r="CW162" i="3"/>
  <c r="CX162" i="3"/>
  <c r="CU161" i="3"/>
  <c r="CX164" i="3"/>
  <c r="CV161" i="3"/>
  <c r="CW163" i="3"/>
  <c r="CX163" i="3"/>
  <c r="CX168" i="3"/>
  <c r="CX166" i="3"/>
  <c r="U45" i="1"/>
  <c r="CQ45" i="1"/>
  <c r="AB45" i="1"/>
  <c r="CU87" i="3"/>
  <c r="CX87" i="3"/>
  <c r="R43" i="1"/>
  <c r="CZ42" i="1"/>
  <c r="Y42" i="1"/>
  <c r="CP33" i="1"/>
  <c r="O33" i="1" s="1"/>
  <c r="CX562" i="3"/>
  <c r="CX560" i="3"/>
  <c r="CW138" i="3"/>
  <c r="CX138" i="3"/>
  <c r="CW139" i="3"/>
  <c r="CX144" i="3"/>
  <c r="CX139" i="3"/>
  <c r="CU137" i="3"/>
  <c r="CX141" i="3"/>
  <c r="CU113" i="3"/>
  <c r="CV113" i="3"/>
  <c r="CW114" i="3"/>
  <c r="CX115" i="3"/>
  <c r="CX113" i="3"/>
  <c r="R49" i="1"/>
  <c r="CR49" i="1"/>
  <c r="R40" i="1"/>
  <c r="CY28" i="1"/>
  <c r="CZ28" i="1"/>
  <c r="X28" i="1"/>
  <c r="Y28" i="1"/>
  <c r="CX618" i="3"/>
  <c r="CX616" i="3"/>
  <c r="CX574" i="3"/>
  <c r="CW567" i="3"/>
  <c r="AB37" i="1"/>
  <c r="CT37" i="1"/>
  <c r="CV640" i="3"/>
  <c r="CW600" i="3"/>
  <c r="AB43" i="1"/>
  <c r="P43" i="1"/>
  <c r="CZ40" i="1"/>
  <c r="AD40" i="1"/>
  <c r="AB40" i="1" s="1"/>
  <c r="CZ37" i="1"/>
  <c r="CP37" i="1"/>
  <c r="O37" i="1" s="1"/>
  <c r="GM37" i="1" s="1"/>
  <c r="GO37" i="1" s="1"/>
  <c r="CX633" i="3"/>
  <c r="CP30" i="1"/>
  <c r="O30" i="1" s="1"/>
  <c r="GM30" i="1" s="1"/>
  <c r="GO30" i="1" s="1"/>
  <c r="CX643" i="3"/>
  <c r="CW607" i="3"/>
  <c r="CX577" i="3"/>
  <c r="CX526" i="3"/>
  <c r="P74" i="1"/>
  <c r="CP74" i="1" s="1"/>
  <c r="O74" i="1" s="1"/>
  <c r="GM74" i="1" s="1"/>
  <c r="GO74" i="1" s="1"/>
  <c r="I70" i="1"/>
  <c r="W70" i="1" s="1"/>
  <c r="R69" i="1"/>
  <c r="P65" i="1"/>
  <c r="CP65" i="1" s="1"/>
  <c r="O65" i="1" s="1"/>
  <c r="GM65" i="1" s="1"/>
  <c r="GO65" i="1" s="1"/>
  <c r="I60" i="1"/>
  <c r="U60" i="1" s="1"/>
  <c r="R59" i="1"/>
  <c r="P55" i="1"/>
  <c r="CP55" i="1" s="1"/>
  <c r="O55" i="1" s="1"/>
  <c r="GM55" i="1" s="1"/>
  <c r="GO55" i="1" s="1"/>
  <c r="R53" i="1"/>
  <c r="CR53" i="1"/>
  <c r="CS50" i="1"/>
  <c r="AD50" i="1"/>
  <c r="AB50" i="1" s="1"/>
  <c r="CS49" i="1"/>
  <c r="AD46" i="1"/>
  <c r="R46" i="1"/>
  <c r="CX89" i="3"/>
  <c r="CX92" i="3"/>
  <c r="CX90" i="3"/>
  <c r="CU89" i="3"/>
  <c r="CY39" i="1"/>
  <c r="Y39" i="1"/>
  <c r="CW636" i="3"/>
  <c r="CX538" i="3"/>
  <c r="CW146" i="3"/>
  <c r="CX146" i="3"/>
  <c r="CV145" i="3"/>
  <c r="CX150" i="3"/>
  <c r="CX149" i="3"/>
  <c r="CW147" i="3"/>
  <c r="CX152" i="3"/>
  <c r="CU145" i="3"/>
  <c r="CX147" i="3"/>
  <c r="CX120" i="3"/>
  <c r="CU118" i="3"/>
  <c r="CX118" i="3"/>
  <c r="CX122" i="3"/>
  <c r="P50" i="1"/>
  <c r="Y48" i="1"/>
  <c r="CP46" i="1"/>
  <c r="O46" i="1" s="1"/>
  <c r="V43" i="1"/>
  <c r="X40" i="1"/>
  <c r="CT38" i="1"/>
  <c r="S38" i="1"/>
  <c r="CP34" i="1"/>
  <c r="O34" i="1" s="1"/>
  <c r="GM34" i="1" s="1"/>
  <c r="GN34" i="1" s="1"/>
  <c r="CY30" i="1"/>
  <c r="CZ30" i="1"/>
  <c r="X30" i="1"/>
  <c r="Y30" i="1"/>
  <c r="CX610" i="3"/>
  <c r="I77" i="1"/>
  <c r="P77" i="1" s="1"/>
  <c r="R73" i="1"/>
  <c r="CW154" i="3"/>
  <c r="CX154" i="3"/>
  <c r="CX160" i="3"/>
  <c r="CX159" i="3"/>
  <c r="CU153" i="3"/>
  <c r="CX156" i="3"/>
  <c r="CW155" i="3"/>
  <c r="CX155" i="3"/>
  <c r="AB55" i="1"/>
  <c r="AB46" i="1"/>
  <c r="P45" i="1"/>
  <c r="CY44" i="1"/>
  <c r="CS44" i="1"/>
  <c r="AD44" i="1"/>
  <c r="AB44" i="1" s="1"/>
  <c r="CY42" i="1"/>
  <c r="CS40" i="1"/>
  <c r="AB36" i="1"/>
  <c r="CT36" i="1"/>
  <c r="S36" i="1"/>
  <c r="CW550" i="3"/>
  <c r="CY37" i="1"/>
  <c r="X37" i="1"/>
  <c r="Q66" i="1"/>
  <c r="CP66" i="1" s="1"/>
  <c r="O66" i="1" s="1"/>
  <c r="GM66" i="1" s="1"/>
  <c r="GO66" i="1" s="1"/>
  <c r="Q56" i="1"/>
  <c r="CP56" i="1" s="1"/>
  <c r="O56" i="1" s="1"/>
  <c r="GM56" i="1" s="1"/>
  <c r="GO56" i="1" s="1"/>
  <c r="CY49" i="1"/>
  <c r="Y49" i="1"/>
  <c r="GM49" i="1" s="1"/>
  <c r="GO49" i="1" s="1"/>
  <c r="CZ48" i="1"/>
  <c r="X46" i="1"/>
  <c r="S45" i="1"/>
  <c r="Y44" i="1"/>
  <c r="Q43" i="1"/>
  <c r="X42" i="1"/>
  <c r="AD41" i="1"/>
  <c r="AB41" i="1" s="1"/>
  <c r="CR41" i="1"/>
  <c r="Y40" i="1"/>
  <c r="CX644" i="3"/>
  <c r="CX639" i="3"/>
  <c r="CX629" i="3"/>
  <c r="CW629" i="3"/>
  <c r="CW622" i="3"/>
  <c r="CX622" i="3"/>
  <c r="CX557" i="3"/>
  <c r="P41" i="1"/>
  <c r="CP41" i="1" s="1"/>
  <c r="O41" i="1" s="1"/>
  <c r="GM41" i="1" s="1"/>
  <c r="GO41" i="1" s="1"/>
  <c r="CQ41" i="1"/>
  <c r="Q40" i="1"/>
  <c r="CP40" i="1" s="1"/>
  <c r="O40" i="1" s="1"/>
  <c r="GM40" i="1" s="1"/>
  <c r="GO40" i="1" s="1"/>
  <c r="CW637" i="3"/>
  <c r="CX84" i="3"/>
  <c r="CX83" i="3"/>
  <c r="CU82" i="3"/>
  <c r="CY40" i="1"/>
  <c r="CY34" i="1"/>
  <c r="CR33" i="1"/>
  <c r="Y33" i="1"/>
  <c r="R32" i="1"/>
  <c r="R30" i="1"/>
  <c r="CR29" i="1"/>
  <c r="Y29" i="1"/>
  <c r="CX637" i="3"/>
  <c r="CW630" i="3"/>
  <c r="CX612" i="3"/>
  <c r="CX605" i="3"/>
  <c r="CX545" i="3"/>
  <c r="CV532" i="3"/>
  <c r="CW494" i="3"/>
  <c r="Q42" i="1"/>
  <c r="CP42" i="1" s="1"/>
  <c r="O42" i="1" s="1"/>
  <c r="GM42" i="1" s="1"/>
  <c r="GO42" i="1" s="1"/>
  <c r="CS35" i="1"/>
  <c r="CQ33" i="1"/>
  <c r="X33" i="1"/>
  <c r="Q32" i="1"/>
  <c r="CP32" i="1" s="1"/>
  <c r="O32" i="1" s="1"/>
  <c r="GM32" i="1" s="1"/>
  <c r="GO32" i="1" s="1"/>
  <c r="V31" i="1"/>
  <c r="Q30" i="1"/>
  <c r="CQ29" i="1"/>
  <c r="X29" i="1"/>
  <c r="CW623" i="3"/>
  <c r="CX623" i="3"/>
  <c r="CW596" i="3"/>
  <c r="CX596" i="3"/>
  <c r="CX586" i="3"/>
  <c r="CX553" i="3"/>
  <c r="CX109" i="3"/>
  <c r="CX112" i="3"/>
  <c r="CU109" i="3"/>
  <c r="CX111" i="3"/>
  <c r="CV109" i="3"/>
  <c r="CW110" i="3"/>
  <c r="AD42" i="1"/>
  <c r="AB42" i="1" s="1"/>
  <c r="CX77" i="3"/>
  <c r="CU76" i="3"/>
  <c r="CX78" i="3"/>
  <c r="CR35" i="1"/>
  <c r="Y35" i="1"/>
  <c r="R34" i="1"/>
  <c r="AD32" i="1"/>
  <c r="AB32" i="1" s="1"/>
  <c r="CZ31" i="1"/>
  <c r="AD30" i="1"/>
  <c r="AB30" i="1" s="1"/>
  <c r="P28" i="1"/>
  <c r="CX636" i="3"/>
  <c r="CX570" i="3"/>
  <c r="CX542" i="3"/>
  <c r="CX522" i="3"/>
  <c r="CX461" i="3"/>
  <c r="X35" i="1"/>
  <c r="Q34" i="1"/>
  <c r="CY31" i="1"/>
  <c r="CX592" i="3"/>
  <c r="CW501" i="3"/>
  <c r="CX619" i="3"/>
  <c r="CX607" i="3"/>
  <c r="CX575" i="3"/>
  <c r="CX558" i="3"/>
  <c r="CX550" i="3"/>
  <c r="CX536" i="3"/>
  <c r="CW533" i="3"/>
  <c r="CX533" i="3"/>
  <c r="CU85" i="3"/>
  <c r="CV85" i="3"/>
  <c r="CX85" i="3"/>
  <c r="Q38" i="1"/>
  <c r="CP38" i="1" s="1"/>
  <c r="O38" i="1" s="1"/>
  <c r="Q36" i="1"/>
  <c r="CP36" i="1" s="1"/>
  <c r="O36" i="1" s="1"/>
  <c r="R31" i="1"/>
  <c r="CW25" i="3"/>
  <c r="CU21" i="3"/>
  <c r="CX30" i="3"/>
  <c r="CX23" i="3"/>
  <c r="CX28" i="3"/>
  <c r="CV21" i="3"/>
  <c r="CX27" i="3"/>
  <c r="CX21" i="3"/>
  <c r="CW26" i="3"/>
  <c r="CX25" i="3"/>
  <c r="CX625" i="3"/>
  <c r="CX547" i="3"/>
  <c r="CX543" i="3"/>
  <c r="CX530" i="3"/>
  <c r="CZ35" i="1"/>
  <c r="CX620" i="3"/>
  <c r="CW608" i="3"/>
  <c r="CX593" i="3"/>
  <c r="CX567" i="3"/>
  <c r="R41" i="1"/>
  <c r="CU79" i="3"/>
  <c r="CX79" i="3"/>
  <c r="CX81" i="3"/>
  <c r="CV79" i="3"/>
  <c r="R33" i="1"/>
  <c r="AD31" i="1"/>
  <c r="AB31" i="1" s="1"/>
  <c r="P31" i="1"/>
  <c r="R29" i="1"/>
  <c r="CX640" i="3"/>
  <c r="CX603" i="3"/>
  <c r="CX589" i="3"/>
  <c r="CX572" i="3"/>
  <c r="CX555" i="3"/>
  <c r="CW551" i="3"/>
  <c r="Q33" i="1"/>
  <c r="Q29" i="1"/>
  <c r="CP29" i="1" s="1"/>
  <c r="O29" i="1" s="1"/>
  <c r="CX627" i="3"/>
  <c r="CX576" i="3"/>
  <c r="CX559" i="3"/>
  <c r="CW534" i="3"/>
  <c r="CX105" i="3"/>
  <c r="CU105" i="3"/>
  <c r="CX106" i="3"/>
  <c r="CV105" i="3"/>
  <c r="CX107" i="3"/>
  <c r="CW106" i="3"/>
  <c r="CU73" i="3"/>
  <c r="CX75" i="3"/>
  <c r="CW74" i="3"/>
  <c r="CX73" i="3"/>
  <c r="R35" i="1"/>
  <c r="CX594" i="3"/>
  <c r="CX585" i="3"/>
  <c r="CW568" i="3"/>
  <c r="CX507" i="3"/>
  <c r="CX480" i="3"/>
  <c r="CW36" i="3"/>
  <c r="CU31" i="3"/>
  <c r="CW35" i="3"/>
  <c r="CX34" i="3"/>
  <c r="CW33" i="3"/>
  <c r="CX40" i="3"/>
  <c r="CX33" i="3"/>
  <c r="CV31" i="3"/>
  <c r="CX31" i="3"/>
  <c r="CX37" i="3"/>
  <c r="CX38" i="3"/>
  <c r="CX611" i="3"/>
  <c r="CX604" i="3"/>
  <c r="CX590" i="3"/>
  <c r="CX581" i="3"/>
  <c r="CX564" i="3"/>
  <c r="CX541" i="3"/>
  <c r="CX512" i="3"/>
  <c r="CX600" i="3"/>
  <c r="CX568" i="3"/>
  <c r="CX551" i="3"/>
  <c r="CX534" i="3"/>
  <c r="CW500" i="3"/>
  <c r="CX483" i="3"/>
  <c r="CW459" i="3"/>
  <c r="CX449" i="3"/>
  <c r="DF405" i="3"/>
  <c r="DH405" i="3"/>
  <c r="DG405" i="3"/>
  <c r="DI405" i="3"/>
  <c r="DJ405" i="3" s="1"/>
  <c r="CW508" i="3"/>
  <c r="CX494" i="3"/>
  <c r="CX488" i="3"/>
  <c r="CX473" i="3"/>
  <c r="CX471" i="3"/>
  <c r="DG414" i="3"/>
  <c r="DF414" i="3"/>
  <c r="DJ414" i="3" s="1"/>
  <c r="DH414" i="3"/>
  <c r="DI414" i="3"/>
  <c r="CX367" i="3"/>
  <c r="CW516" i="3"/>
  <c r="CX527" i="3"/>
  <c r="CX501" i="3"/>
  <c r="CW486" i="3"/>
  <c r="CX469" i="3"/>
  <c r="CX464" i="3"/>
  <c r="CX377" i="3"/>
  <c r="CX517" i="3"/>
  <c r="CX509" i="3"/>
  <c r="CX495" i="3"/>
  <c r="CX492" i="3"/>
  <c r="CX455" i="3"/>
  <c r="CX447" i="3"/>
  <c r="CV412" i="3"/>
  <c r="CX412" i="3"/>
  <c r="CX481" i="3"/>
  <c r="CX479" i="3"/>
  <c r="CW460" i="3"/>
  <c r="CX423" i="3"/>
  <c r="CX389" i="3"/>
  <c r="CX510" i="3"/>
  <c r="CX445" i="3"/>
  <c r="CX421" i="3"/>
  <c r="CW518" i="3"/>
  <c r="CX503" i="3"/>
  <c r="CV499" i="3"/>
  <c r="CX499" i="3"/>
  <c r="CX496" i="3"/>
  <c r="CX477" i="3"/>
  <c r="CX472" i="3"/>
  <c r="CV443" i="3"/>
  <c r="DF413" i="3"/>
  <c r="DH413" i="3"/>
  <c r="DG413" i="3"/>
  <c r="DJ413" i="3" s="1"/>
  <c r="DI413" i="3"/>
  <c r="CX529" i="3"/>
  <c r="CX511" i="3"/>
  <c r="CV507" i="3"/>
  <c r="CV490" i="3"/>
  <c r="CV458" i="3"/>
  <c r="CX458" i="3"/>
  <c r="CX431" i="3"/>
  <c r="CW493" i="3"/>
  <c r="CX485" i="3"/>
  <c r="CX482" i="3"/>
  <c r="CX465" i="3"/>
  <c r="CX463" i="3"/>
  <c r="CX397" i="3"/>
  <c r="CW378" i="3"/>
  <c r="CW519" i="3"/>
  <c r="CX515" i="3"/>
  <c r="CX456" i="3"/>
  <c r="CX439" i="3"/>
  <c r="CX435" i="3"/>
  <c r="CX406" i="3"/>
  <c r="CW288" i="3"/>
  <c r="CW421" i="3"/>
  <c r="CX401" i="3"/>
  <c r="CX394" i="3"/>
  <c r="CX385" i="3"/>
  <c r="CX381" i="3"/>
  <c r="CX373" i="3"/>
  <c r="CX343" i="3"/>
  <c r="CX443" i="3"/>
  <c r="DF415" i="3"/>
  <c r="DJ415" i="3" s="1"/>
  <c r="DI415" i="3"/>
  <c r="CX266" i="3"/>
  <c r="CW429" i="3"/>
  <c r="CW445" i="3"/>
  <c r="CX390" i="3"/>
  <c r="CV377" i="3"/>
  <c r="CX348" i="3"/>
  <c r="CX519" i="3"/>
  <c r="CX490" i="3"/>
  <c r="CW437" i="3"/>
  <c r="CX424" i="3"/>
  <c r="CX386" i="3"/>
  <c r="CX298" i="3"/>
  <c r="CX425" i="3"/>
  <c r="DI407" i="3"/>
  <c r="CX403" i="3"/>
  <c r="CX383" i="3"/>
  <c r="CX378" i="3"/>
  <c r="CX448" i="3"/>
  <c r="CX432" i="3"/>
  <c r="DH415" i="3"/>
  <c r="DH411" i="3"/>
  <c r="DI411" i="3"/>
  <c r="DG407" i="3"/>
  <c r="CW371" i="3"/>
  <c r="CX344" i="3"/>
  <c r="CX278" i="3"/>
  <c r="CX433" i="3"/>
  <c r="CX419" i="3"/>
  <c r="DI416" i="3"/>
  <c r="DG415" i="3"/>
  <c r="DI408" i="3"/>
  <c r="DF407" i="3"/>
  <c r="DJ407" i="3" s="1"/>
  <c r="CX375" i="3"/>
  <c r="CW349" i="3"/>
  <c r="CX321" i="3"/>
  <c r="CX451" i="3"/>
  <c r="CX440" i="3"/>
  <c r="DG416" i="3"/>
  <c r="DH408" i="3"/>
  <c r="CX398" i="3"/>
  <c r="CW379" i="3"/>
  <c r="CX379" i="3"/>
  <c r="CX369" i="3"/>
  <c r="CX441" i="3"/>
  <c r="CX427" i="3"/>
  <c r="DF416" i="3"/>
  <c r="DJ416" i="3" s="1"/>
  <c r="CX399" i="3"/>
  <c r="CW372" i="3"/>
  <c r="CX333" i="3"/>
  <c r="CW272" i="3"/>
  <c r="CX329" i="3"/>
  <c r="CX315" i="3"/>
  <c r="CW285" i="3"/>
  <c r="CW257" i="3"/>
  <c r="CX352" i="3"/>
  <c r="CV346" i="3"/>
  <c r="CX346" i="3"/>
  <c r="CV339" i="3"/>
  <c r="CX339" i="3"/>
  <c r="CX334" i="3"/>
  <c r="CX312" i="3"/>
  <c r="CX290" i="3"/>
  <c r="CX229" i="3"/>
  <c r="CW359" i="3"/>
  <c r="CW317" i="3"/>
  <c r="CW303" i="3"/>
  <c r="CX276" i="3"/>
  <c r="CX264" i="3"/>
  <c r="CX196" i="3"/>
  <c r="CX358" i="3"/>
  <c r="CW347" i="3"/>
  <c r="CX295" i="3"/>
  <c r="CW286" i="3"/>
  <c r="CX286" i="3"/>
  <c r="CX279" i="3"/>
  <c r="CX262" i="3"/>
  <c r="CW212" i="3"/>
  <c r="CW360" i="3"/>
  <c r="CX354" i="3"/>
  <c r="CX341" i="3"/>
  <c r="CX330" i="3"/>
  <c r="CV299" i="3"/>
  <c r="CX299" i="3"/>
  <c r="CW270" i="3"/>
  <c r="CW336" i="3"/>
  <c r="CX336" i="3"/>
  <c r="CX327" i="3"/>
  <c r="CX322" i="3"/>
  <c r="CW318" i="3"/>
  <c r="CX313" i="3"/>
  <c r="CX221" i="3"/>
  <c r="CX361" i="3"/>
  <c r="CW348" i="3"/>
  <c r="CX310" i="3"/>
  <c r="CX305" i="3"/>
  <c r="CV283" i="3"/>
  <c r="CX283" i="3"/>
  <c r="CV237" i="3"/>
  <c r="CX173" i="3"/>
  <c r="CX296" i="3"/>
  <c r="CX268" i="3"/>
  <c r="CX265" i="3"/>
  <c r="CW230" i="3"/>
  <c r="CX371" i="3"/>
  <c r="CV363" i="3"/>
  <c r="CW319" i="3"/>
  <c r="CX319" i="3"/>
  <c r="CX306" i="3"/>
  <c r="CX301" i="3"/>
  <c r="CX293" i="3"/>
  <c r="CX271" i="3"/>
  <c r="CX244" i="3"/>
  <c r="CW184" i="3"/>
  <c r="CX356" i="3"/>
  <c r="CX349" i="3"/>
  <c r="CW343" i="3"/>
  <c r="CW332" i="3"/>
  <c r="CX332" i="3"/>
  <c r="CX288" i="3"/>
  <c r="CX261" i="3"/>
  <c r="CW240" i="3"/>
  <c r="CX324" i="3"/>
  <c r="CX252" i="3"/>
  <c r="CX215" i="3"/>
  <c r="CW178" i="3"/>
  <c r="CX259" i="3"/>
  <c r="CW229" i="3"/>
  <c r="CW192" i="3"/>
  <c r="CX237" i="3"/>
  <c r="DI12" i="3"/>
  <c r="DF12" i="3"/>
  <c r="DG12" i="3"/>
  <c r="DJ12" i="3" s="1"/>
  <c r="DH12" i="3"/>
  <c r="CW254" i="3"/>
  <c r="CX254" i="3"/>
  <c r="CX249" i="3"/>
  <c r="CW241" i="3"/>
  <c r="CX241" i="3"/>
  <c r="CX234" i="3"/>
  <c r="CW219" i="3"/>
  <c r="CW213" i="3"/>
  <c r="CX213" i="3"/>
  <c r="CX207" i="3"/>
  <c r="CX197" i="3"/>
  <c r="CX187" i="3"/>
  <c r="CV176" i="3"/>
  <c r="CX245" i="3"/>
  <c r="CX230" i="3"/>
  <c r="CW210" i="3"/>
  <c r="CX210" i="3"/>
  <c r="CX174" i="3"/>
  <c r="CV169" i="3"/>
  <c r="CX167" i="3"/>
  <c r="CW238" i="3"/>
  <c r="CX238" i="3"/>
  <c r="CX227" i="3"/>
  <c r="CX223" i="3"/>
  <c r="CX205" i="3"/>
  <c r="CW200" i="3"/>
  <c r="CX157" i="3"/>
  <c r="CW231" i="3"/>
  <c r="CX195" i="3"/>
  <c r="CV183" i="3"/>
  <c r="CX172" i="3"/>
  <c r="CX165" i="3"/>
  <c r="CX272" i="3"/>
  <c r="CX242" i="3"/>
  <c r="CW239" i="3"/>
  <c r="CW220" i="3"/>
  <c r="CX220" i="3"/>
  <c r="CX193" i="3"/>
  <c r="CX188" i="3"/>
  <c r="CV153" i="3"/>
  <c r="CV137" i="3"/>
  <c r="CX46" i="3"/>
  <c r="CW46" i="3"/>
  <c r="CW256" i="3"/>
  <c r="CX251" i="3"/>
  <c r="CX246" i="3"/>
  <c r="CX235" i="3"/>
  <c r="CX208" i="3"/>
  <c r="CW203" i="3"/>
  <c r="CX191" i="3"/>
  <c r="CX119" i="3"/>
  <c r="CW119" i="3"/>
  <c r="CW228" i="3"/>
  <c r="CX224" i="3"/>
  <c r="CV217" i="3"/>
  <c r="CX217" i="3"/>
  <c r="CX175" i="3"/>
  <c r="CX257" i="3"/>
  <c r="CX201" i="3"/>
  <c r="CX186" i="3"/>
  <c r="CX158" i="3"/>
  <c r="CX142" i="3"/>
  <c r="DG58" i="3"/>
  <c r="DF58" i="3"/>
  <c r="DJ58" i="3" s="1"/>
  <c r="DH58" i="3"/>
  <c r="DI58" i="3"/>
  <c r="CX145" i="3"/>
  <c r="CX86" i="3"/>
  <c r="CX184" i="3"/>
  <c r="CX183" i="3"/>
  <c r="CX140" i="3"/>
  <c r="CX116" i="3"/>
  <c r="CW67" i="3"/>
  <c r="CX67" i="3"/>
  <c r="CW63" i="3"/>
  <c r="CX63" i="3"/>
  <c r="CX200" i="3"/>
  <c r="CX169" i="3"/>
  <c r="CX153" i="3"/>
  <c r="DF135" i="3"/>
  <c r="DJ135" i="3" s="1"/>
  <c r="DH135" i="3"/>
  <c r="DI135" i="3"/>
  <c r="DG100" i="3"/>
  <c r="DF100" i="3"/>
  <c r="DJ100" i="3" s="1"/>
  <c r="DI100" i="3"/>
  <c r="CV73" i="3"/>
  <c r="DG70" i="3"/>
  <c r="DJ70" i="3" s="1"/>
  <c r="DF70" i="3"/>
  <c r="DH70" i="3"/>
  <c r="DI49" i="3"/>
  <c r="DF49" i="3"/>
  <c r="DJ49" i="3" s="1"/>
  <c r="DG49" i="3"/>
  <c r="DH49" i="3"/>
  <c r="CX148" i="3"/>
  <c r="CX95" i="3"/>
  <c r="DG47" i="3"/>
  <c r="DF47" i="3"/>
  <c r="DJ47" i="3" s="1"/>
  <c r="DH47" i="3"/>
  <c r="DI47" i="3"/>
  <c r="CW132" i="3"/>
  <c r="CX132" i="3"/>
  <c r="DG101" i="3"/>
  <c r="DF101" i="3"/>
  <c r="DH101" i="3"/>
  <c r="DF71" i="3"/>
  <c r="DJ71" i="3" s="1"/>
  <c r="DI71" i="3"/>
  <c r="DG71" i="3"/>
  <c r="DH71" i="3"/>
  <c r="DI20" i="3"/>
  <c r="DF20" i="3"/>
  <c r="DJ20" i="3" s="1"/>
  <c r="DH20" i="3"/>
  <c r="DG136" i="3"/>
  <c r="DH136" i="3"/>
  <c r="DF123" i="3"/>
  <c r="DG123" i="3"/>
  <c r="DH123" i="3"/>
  <c r="DI123" i="3"/>
  <c r="DJ123" i="3" s="1"/>
  <c r="CX117" i="3"/>
  <c r="CV87" i="3"/>
  <c r="DG68" i="3"/>
  <c r="DJ68" i="3" s="1"/>
  <c r="DF68" i="3"/>
  <c r="DH68" i="3"/>
  <c r="DI56" i="3"/>
  <c r="DF56" i="3"/>
  <c r="DJ56" i="3" s="1"/>
  <c r="DH56" i="3"/>
  <c r="CW23" i="3"/>
  <c r="DF133" i="3"/>
  <c r="DJ133" i="3" s="1"/>
  <c r="DG133" i="3"/>
  <c r="DH133" i="3"/>
  <c r="DH131" i="3"/>
  <c r="DG126" i="3"/>
  <c r="DH126" i="3"/>
  <c r="DI126" i="3"/>
  <c r="CV93" i="3"/>
  <c r="CX231" i="3"/>
  <c r="CW177" i="3"/>
  <c r="CX176" i="3"/>
  <c r="DG131" i="3"/>
  <c r="DJ131" i="3" s="1"/>
  <c r="CW80" i="3"/>
  <c r="DI70" i="3"/>
  <c r="CX39" i="3"/>
  <c r="CX203" i="3"/>
  <c r="CX161" i="3"/>
  <c r="CX143" i="3"/>
  <c r="DF131" i="3"/>
  <c r="DH100" i="3"/>
  <c r="CX88" i="3"/>
  <c r="CX137" i="3"/>
  <c r="DH124" i="3"/>
  <c r="DG124" i="3"/>
  <c r="DJ124" i="3" s="1"/>
  <c r="DI124" i="3"/>
  <c r="CV118" i="3"/>
  <c r="CX102" i="3"/>
  <c r="CW102" i="3"/>
  <c r="DH72" i="3"/>
  <c r="DI72" i="3"/>
  <c r="DF72" i="3"/>
  <c r="DJ72" i="3" s="1"/>
  <c r="DG72" i="3"/>
  <c r="DF48" i="3"/>
  <c r="DJ48" i="3" s="1"/>
  <c r="DG48" i="3"/>
  <c r="DH48" i="3"/>
  <c r="DI48" i="3"/>
  <c r="CX24" i="3"/>
  <c r="CW24" i="3"/>
  <c r="CX151" i="3"/>
  <c r="DF134" i="3"/>
  <c r="DJ134" i="3" s="1"/>
  <c r="DG134" i="3"/>
  <c r="DI134" i="3"/>
  <c r="CX121" i="3"/>
  <c r="CX69" i="3"/>
  <c r="CW69" i="3"/>
  <c r="CV11" i="3"/>
  <c r="CX11" i="3"/>
  <c r="DF130" i="3"/>
  <c r="CV89" i="3"/>
  <c r="CW61" i="3"/>
  <c r="DF19" i="3"/>
  <c r="DJ19" i="3" s="1"/>
  <c r="DG19" i="3"/>
  <c r="DG13" i="3"/>
  <c r="DJ13" i="3" s="1"/>
  <c r="DH13" i="3"/>
  <c r="CX91" i="3"/>
  <c r="CX80" i="3"/>
  <c r="DH51" i="3"/>
  <c r="DI51" i="3"/>
  <c r="DJ51" i="3" s="1"/>
  <c r="DF7" i="3"/>
  <c r="DJ7" i="3" s="1"/>
  <c r="DI7" i="3"/>
  <c r="CX125" i="3"/>
  <c r="DI103" i="3"/>
  <c r="CV82" i="3"/>
  <c r="CX82" i="3"/>
  <c r="DI60" i="3"/>
  <c r="DF52" i="3"/>
  <c r="DG52" i="3"/>
  <c r="DJ52" i="3" s="1"/>
  <c r="DH52" i="3"/>
  <c r="CW32" i="3"/>
  <c r="CX32" i="3"/>
  <c r="DF14" i="3"/>
  <c r="DI14" i="3"/>
  <c r="DI6" i="3"/>
  <c r="DG5" i="3"/>
  <c r="DJ5" i="3" s="1"/>
  <c r="DF2" i="3"/>
  <c r="DI2" i="3"/>
  <c r="CV1" i="3"/>
  <c r="CX1" i="3"/>
  <c r="DG103" i="3"/>
  <c r="CW83" i="3"/>
  <c r="DI53" i="3"/>
  <c r="DF53" i="3"/>
  <c r="DF43" i="3"/>
  <c r="DI43" i="3"/>
  <c r="DJ43" i="3" s="1"/>
  <c r="CX26" i="3"/>
  <c r="DH16" i="3"/>
  <c r="DI16" i="3"/>
  <c r="CX110" i="3"/>
  <c r="CX108" i="3"/>
  <c r="DF103" i="3"/>
  <c r="DJ103" i="3" s="1"/>
  <c r="DF97" i="3"/>
  <c r="DI97" i="3"/>
  <c r="DJ97" i="3" s="1"/>
  <c r="CX93" i="3"/>
  <c r="CX74" i="3"/>
  <c r="DF65" i="3"/>
  <c r="DJ65" i="3" s="1"/>
  <c r="DI65" i="3"/>
  <c r="DF104" i="3"/>
  <c r="DJ104" i="3" s="1"/>
  <c r="CX96" i="3"/>
  <c r="DF66" i="3"/>
  <c r="DG66" i="3"/>
  <c r="DH66" i="3"/>
  <c r="DG62" i="3"/>
  <c r="DJ62" i="3" s="1"/>
  <c r="DG61" i="3"/>
  <c r="DJ61" i="3" s="1"/>
  <c r="DG51" i="3"/>
  <c r="DH19" i="3"/>
  <c r="DI13" i="3"/>
  <c r="DF10" i="3"/>
  <c r="DJ10" i="3" s="1"/>
  <c r="DI10" i="3"/>
  <c r="DH7" i="3"/>
  <c r="DG3" i="3"/>
  <c r="DJ3" i="3" s="1"/>
  <c r="DH3" i="3"/>
  <c r="DI3" i="3"/>
  <c r="DG98" i="3"/>
  <c r="DJ98" i="3" s="1"/>
  <c r="DI98" i="3"/>
  <c r="CV76" i="3"/>
  <c r="CX76" i="3"/>
  <c r="DF61" i="3"/>
  <c r="DF51" i="3"/>
  <c r="DG44" i="3"/>
  <c r="DJ44" i="3" s="1"/>
  <c r="DH44" i="3"/>
  <c r="DI44" i="3"/>
  <c r="CW34" i="3"/>
  <c r="CW22" i="3"/>
  <c r="CX22" i="3"/>
  <c r="DG17" i="3"/>
  <c r="DH17" i="3"/>
  <c r="DI17" i="3"/>
  <c r="DH14" i="3"/>
  <c r="DF13" i="3"/>
  <c r="DG7" i="3"/>
  <c r="DF4" i="3"/>
  <c r="DG4" i="3"/>
  <c r="DJ4" i="3" s="1"/>
  <c r="CX114" i="3"/>
  <c r="DF99" i="3"/>
  <c r="DJ99" i="3" s="1"/>
  <c r="DH99" i="3"/>
  <c r="CW77" i="3"/>
  <c r="DI64" i="3"/>
  <c r="DF45" i="3"/>
  <c r="DG45" i="3"/>
  <c r="DJ45" i="3" s="1"/>
  <c r="CX36" i="3"/>
  <c r="CX35" i="3"/>
  <c r="DI15" i="3"/>
  <c r="DG14" i="3"/>
  <c r="DJ14" i="3" s="1"/>
  <c r="DH2" i="3"/>
  <c r="DF60" i="3"/>
  <c r="DG60" i="3"/>
  <c r="DJ60" i="3" s="1"/>
  <c r="CX29" i="3"/>
  <c r="DF6" i="3"/>
  <c r="DG6" i="3"/>
  <c r="DJ6" i="3" s="1"/>
  <c r="DH5" i="3"/>
  <c r="DI5" i="3"/>
  <c r="DH18" i="3"/>
  <c r="DG18" i="3"/>
  <c r="H435" i="7" l="1"/>
  <c r="O237" i="7"/>
  <c r="O411" i="7"/>
  <c r="P180" i="7"/>
  <c r="O544" i="7"/>
  <c r="P152" i="7"/>
  <c r="H542" i="7"/>
  <c r="H235" i="7"/>
  <c r="O520" i="7"/>
  <c r="H518" i="7"/>
  <c r="H195" i="7"/>
  <c r="H208" i="7"/>
  <c r="H193" i="7"/>
  <c r="H237" i="7"/>
  <c r="H167" i="7"/>
  <c r="J223" i="7"/>
  <c r="J437" i="7"/>
  <c r="O280" i="7"/>
  <c r="H395" i="7"/>
  <c r="H165" i="7"/>
  <c r="H361" i="7"/>
  <c r="J237" i="7"/>
  <c r="J449" i="7"/>
  <c r="P437" i="7"/>
  <c r="J580" i="7" s="1"/>
  <c r="H321" i="7"/>
  <c r="O397" i="7"/>
  <c r="J451" i="7"/>
  <c r="H264" i="7"/>
  <c r="O361" i="7"/>
  <c r="H364" i="7" s="1"/>
  <c r="O210" i="7"/>
  <c r="J518" i="7"/>
  <c r="O437" i="7"/>
  <c r="P266" i="7"/>
  <c r="H411" i="7"/>
  <c r="J295" i="7"/>
  <c r="H319" i="7"/>
  <c r="H494" i="7"/>
  <c r="J293" i="7"/>
  <c r="J235" i="7"/>
  <c r="J520" i="7"/>
  <c r="H437" i="7"/>
  <c r="J221" i="7"/>
  <c r="H465" i="7"/>
  <c r="J333" i="7"/>
  <c r="O465" i="7"/>
  <c r="J335" i="7"/>
  <c r="H409" i="7"/>
  <c r="J364" i="7"/>
  <c r="X104" i="1"/>
  <c r="Y104" i="1"/>
  <c r="CY104" i="1"/>
  <c r="CZ104" i="1"/>
  <c r="GM29" i="1"/>
  <c r="DF203" i="3"/>
  <c r="DG203" i="3"/>
  <c r="DJ203" i="3" s="1"/>
  <c r="DH203" i="3"/>
  <c r="DI203" i="3"/>
  <c r="DF319" i="3"/>
  <c r="DG319" i="3"/>
  <c r="DJ319" i="3" s="1"/>
  <c r="DI319" i="3"/>
  <c r="DH319" i="3"/>
  <c r="DF477" i="3"/>
  <c r="DJ477" i="3" s="1"/>
  <c r="DG477" i="3"/>
  <c r="DH477" i="3"/>
  <c r="DI477" i="3"/>
  <c r="DH347" i="3"/>
  <c r="DI347" i="3"/>
  <c r="DF347" i="3"/>
  <c r="DG347" i="3"/>
  <c r="DJ347" i="3" s="1"/>
  <c r="EU26" i="1"/>
  <c r="P155" i="1"/>
  <c r="EU286" i="1"/>
  <c r="DI300" i="3"/>
  <c r="DH300" i="3"/>
  <c r="DF300" i="3"/>
  <c r="DG300" i="3"/>
  <c r="DJ300" i="3" s="1"/>
  <c r="DF342" i="3"/>
  <c r="DG342" i="3"/>
  <c r="DJ342" i="3" s="1"/>
  <c r="DH342" i="3"/>
  <c r="DI342" i="3"/>
  <c r="DH363" i="3"/>
  <c r="DI363" i="3"/>
  <c r="DJ363" i="3" s="1"/>
  <c r="DF363" i="3"/>
  <c r="DG363" i="3"/>
  <c r="DF337" i="3"/>
  <c r="DJ337" i="3" s="1"/>
  <c r="DH337" i="3"/>
  <c r="DG337" i="3"/>
  <c r="DI337" i="3"/>
  <c r="DG256" i="3"/>
  <c r="DJ256" i="3" s="1"/>
  <c r="DH256" i="3"/>
  <c r="DI256" i="3"/>
  <c r="DF256" i="3"/>
  <c r="DG535" i="3"/>
  <c r="DJ535" i="3" s="1"/>
  <c r="DH535" i="3"/>
  <c r="DI535" i="3"/>
  <c r="DF535" i="3"/>
  <c r="EM26" i="1"/>
  <c r="P158" i="1"/>
  <c r="EM286" i="1"/>
  <c r="DG446" i="3"/>
  <c r="DF446" i="3"/>
  <c r="DJ446" i="3" s="1"/>
  <c r="DH446" i="3"/>
  <c r="DI446" i="3"/>
  <c r="DF578" i="3"/>
  <c r="DJ578" i="3" s="1"/>
  <c r="DI578" i="3"/>
  <c r="DG578" i="3"/>
  <c r="DH578" i="3"/>
  <c r="DF393" i="3"/>
  <c r="DG393" i="3"/>
  <c r="DJ393" i="3" s="1"/>
  <c r="DH393" i="3"/>
  <c r="DI393" i="3"/>
  <c r="DF384" i="3"/>
  <c r="DJ384" i="3" s="1"/>
  <c r="DG384" i="3"/>
  <c r="DH384" i="3"/>
  <c r="DI384" i="3"/>
  <c r="DF561" i="3"/>
  <c r="DJ561" i="3" s="1"/>
  <c r="DI561" i="3"/>
  <c r="DG561" i="3"/>
  <c r="DH561" i="3"/>
  <c r="DG452" i="3"/>
  <c r="DJ452" i="3" s="1"/>
  <c r="DH452" i="3"/>
  <c r="DI452" i="3"/>
  <c r="DF452" i="3"/>
  <c r="DG584" i="3"/>
  <c r="DH584" i="3"/>
  <c r="DI584" i="3"/>
  <c r="DF584" i="3"/>
  <c r="DJ584" i="3" s="1"/>
  <c r="Y229" i="1"/>
  <c r="CZ229" i="1"/>
  <c r="X229" i="1"/>
  <c r="CY229" i="1"/>
  <c r="DG641" i="3"/>
  <c r="DJ641" i="3" s="1"/>
  <c r="DH641" i="3"/>
  <c r="DI641" i="3"/>
  <c r="DF641" i="3"/>
  <c r="CY197" i="1"/>
  <c r="CZ197" i="1"/>
  <c r="X197" i="1"/>
  <c r="Y197" i="1"/>
  <c r="CZ220" i="1"/>
  <c r="Y220" i="1"/>
  <c r="CY220" i="1"/>
  <c r="X220" i="1"/>
  <c r="DH601" i="3"/>
  <c r="DI601" i="3"/>
  <c r="DF601" i="3"/>
  <c r="DG601" i="3"/>
  <c r="DJ601" i="3" s="1"/>
  <c r="DI631" i="3"/>
  <c r="DF631" i="3"/>
  <c r="DG631" i="3"/>
  <c r="DJ631" i="3" s="1"/>
  <c r="DH631" i="3"/>
  <c r="DG467" i="3"/>
  <c r="DJ467" i="3" s="1"/>
  <c r="DH467" i="3"/>
  <c r="DI467" i="3"/>
  <c r="DF467" i="3"/>
  <c r="DF520" i="3"/>
  <c r="DG520" i="3"/>
  <c r="DJ520" i="3" s="1"/>
  <c r="DH520" i="3"/>
  <c r="DI520" i="3"/>
  <c r="DF615" i="3"/>
  <c r="DJ615" i="3" s="1"/>
  <c r="DG615" i="3"/>
  <c r="DH615" i="3"/>
  <c r="DI615" i="3"/>
  <c r="DF626" i="3"/>
  <c r="DJ626" i="3" s="1"/>
  <c r="DG626" i="3"/>
  <c r="DH626" i="3"/>
  <c r="DI626" i="3"/>
  <c r="CZ250" i="1"/>
  <c r="X250" i="1"/>
  <c r="GM250" i="1" s="1"/>
  <c r="GN250" i="1" s="1"/>
  <c r="Y250" i="1"/>
  <c r="CY250" i="1"/>
  <c r="Y207" i="1"/>
  <c r="CY207" i="1"/>
  <c r="X207" i="1"/>
  <c r="CZ207" i="1"/>
  <c r="DF238" i="3"/>
  <c r="DH238" i="3"/>
  <c r="DI238" i="3"/>
  <c r="DG238" i="3"/>
  <c r="DJ238" i="3" s="1"/>
  <c r="X70" i="1"/>
  <c r="Y70" i="1"/>
  <c r="CY70" i="1"/>
  <c r="CZ70" i="1"/>
  <c r="DF280" i="3"/>
  <c r="DJ280" i="3" s="1"/>
  <c r="DH280" i="3"/>
  <c r="DI280" i="3"/>
  <c r="DG280" i="3"/>
  <c r="DF29" i="3"/>
  <c r="DJ29" i="3" s="1"/>
  <c r="DI29" i="3"/>
  <c r="DG29" i="3"/>
  <c r="DH29" i="3"/>
  <c r="DF151" i="3"/>
  <c r="DJ151" i="3" s="1"/>
  <c r="DI151" i="3"/>
  <c r="DG151" i="3"/>
  <c r="DH151" i="3"/>
  <c r="DI102" i="3"/>
  <c r="DF102" i="3"/>
  <c r="DG102" i="3"/>
  <c r="DJ102" i="3" s="1"/>
  <c r="DH102" i="3"/>
  <c r="DG39" i="3"/>
  <c r="DH39" i="3"/>
  <c r="DI39" i="3"/>
  <c r="DF39" i="3"/>
  <c r="DJ39" i="3" s="1"/>
  <c r="DF184" i="3"/>
  <c r="DG184" i="3"/>
  <c r="DJ184" i="3" s="1"/>
  <c r="DH184" i="3"/>
  <c r="DI184" i="3"/>
  <c r="DF175" i="3"/>
  <c r="DJ175" i="3" s="1"/>
  <c r="DG175" i="3"/>
  <c r="DH175" i="3"/>
  <c r="DI175" i="3"/>
  <c r="DF251" i="3"/>
  <c r="DJ251" i="3" s="1"/>
  <c r="DG251" i="3"/>
  <c r="DH251" i="3"/>
  <c r="DI251" i="3"/>
  <c r="DF272" i="3"/>
  <c r="DG272" i="3"/>
  <c r="DJ272" i="3" s="1"/>
  <c r="DH272" i="3"/>
  <c r="DI272" i="3"/>
  <c r="DF213" i="3"/>
  <c r="DG213" i="3"/>
  <c r="DJ213" i="3" s="1"/>
  <c r="DH213" i="3"/>
  <c r="DI213" i="3"/>
  <c r="DF332" i="3"/>
  <c r="DG332" i="3"/>
  <c r="DJ332" i="3" s="1"/>
  <c r="DH332" i="3"/>
  <c r="DI332" i="3"/>
  <c r="DG310" i="3"/>
  <c r="DH310" i="3"/>
  <c r="DI310" i="3"/>
  <c r="DF310" i="3"/>
  <c r="DJ310" i="3" s="1"/>
  <c r="DH358" i="3"/>
  <c r="DF358" i="3"/>
  <c r="DG358" i="3"/>
  <c r="DI358" i="3"/>
  <c r="DJ358" i="3" s="1"/>
  <c r="DH424" i="3"/>
  <c r="DG424" i="3"/>
  <c r="DI424" i="3"/>
  <c r="DF424" i="3"/>
  <c r="DJ424" i="3" s="1"/>
  <c r="DG443" i="3"/>
  <c r="DH443" i="3"/>
  <c r="DF443" i="3"/>
  <c r="DI443" i="3"/>
  <c r="DJ443" i="3" s="1"/>
  <c r="DF456" i="3"/>
  <c r="DJ456" i="3" s="1"/>
  <c r="DG456" i="3"/>
  <c r="DH456" i="3"/>
  <c r="DI456" i="3"/>
  <c r="DI496" i="3"/>
  <c r="DF496" i="3"/>
  <c r="DJ496" i="3" s="1"/>
  <c r="DG496" i="3"/>
  <c r="DH496" i="3"/>
  <c r="DF481" i="3"/>
  <c r="DG481" i="3"/>
  <c r="DH481" i="3"/>
  <c r="DI481" i="3"/>
  <c r="DJ481" i="3" s="1"/>
  <c r="DF494" i="3"/>
  <c r="DG494" i="3"/>
  <c r="DJ494" i="3" s="1"/>
  <c r="DH494" i="3"/>
  <c r="DI494" i="3"/>
  <c r="DF568" i="3"/>
  <c r="DG568" i="3"/>
  <c r="DJ568" i="3" s="1"/>
  <c r="DH568" i="3"/>
  <c r="DI568" i="3"/>
  <c r="DF594" i="3"/>
  <c r="DJ594" i="3" s="1"/>
  <c r="DG594" i="3"/>
  <c r="DH594" i="3"/>
  <c r="DI594" i="3"/>
  <c r="DF620" i="3"/>
  <c r="DJ620" i="3" s="1"/>
  <c r="DG620" i="3"/>
  <c r="DH620" i="3"/>
  <c r="DI620" i="3"/>
  <c r="DF23" i="3"/>
  <c r="DI23" i="3"/>
  <c r="DH23" i="3"/>
  <c r="DG23" i="3"/>
  <c r="DJ23" i="3" s="1"/>
  <c r="DF536" i="3"/>
  <c r="DG536" i="3"/>
  <c r="DJ536" i="3" s="1"/>
  <c r="DH536" i="3"/>
  <c r="DI536" i="3"/>
  <c r="DF522" i="3"/>
  <c r="DJ522" i="3" s="1"/>
  <c r="DG522" i="3"/>
  <c r="DH522" i="3"/>
  <c r="DI522" i="3"/>
  <c r="X45" i="1"/>
  <c r="CZ45" i="1"/>
  <c r="Y45" i="1"/>
  <c r="CY45" i="1"/>
  <c r="DG156" i="3"/>
  <c r="DH156" i="3"/>
  <c r="DI156" i="3"/>
  <c r="DF156" i="3"/>
  <c r="DJ156" i="3" s="1"/>
  <c r="DF118" i="3"/>
  <c r="DI118" i="3"/>
  <c r="DJ118" i="3" s="1"/>
  <c r="DG118" i="3"/>
  <c r="DH118" i="3"/>
  <c r="DG538" i="3"/>
  <c r="DI538" i="3"/>
  <c r="DF538" i="3"/>
  <c r="DJ538" i="3" s="1"/>
  <c r="DH538" i="3"/>
  <c r="DF138" i="3"/>
  <c r="DG138" i="3"/>
  <c r="DJ138" i="3" s="1"/>
  <c r="DH138" i="3"/>
  <c r="DI138" i="3"/>
  <c r="DI198" i="3"/>
  <c r="DF198" i="3"/>
  <c r="DJ198" i="3" s="1"/>
  <c r="DG198" i="3"/>
  <c r="DH198" i="3"/>
  <c r="FR47" i="1"/>
  <c r="CP47" i="1"/>
  <c r="O47" i="1" s="1"/>
  <c r="GM47" i="1" s="1"/>
  <c r="DF243" i="3"/>
  <c r="DJ243" i="3" s="1"/>
  <c r="DH243" i="3"/>
  <c r="DI243" i="3"/>
  <c r="DG243" i="3"/>
  <c r="DH177" i="3"/>
  <c r="DI177" i="3"/>
  <c r="DF177" i="3"/>
  <c r="DG177" i="3"/>
  <c r="DJ177" i="3" s="1"/>
  <c r="X75" i="1"/>
  <c r="CY75" i="1"/>
  <c r="CZ75" i="1"/>
  <c r="Y75" i="1"/>
  <c r="DG222" i="3"/>
  <c r="DJ222" i="3" s="1"/>
  <c r="DH222" i="3"/>
  <c r="DF222" i="3"/>
  <c r="DI222" i="3"/>
  <c r="Q86" i="1"/>
  <c r="R86" i="1"/>
  <c r="W86" i="1"/>
  <c r="CY108" i="1"/>
  <c r="CZ108" i="1"/>
  <c r="X108" i="1"/>
  <c r="Y108" i="1"/>
  <c r="DI325" i="3"/>
  <c r="DF325" i="3"/>
  <c r="DJ325" i="3" s="1"/>
  <c r="DG325" i="3"/>
  <c r="DH325" i="3"/>
  <c r="DG350" i="3"/>
  <c r="DJ350" i="3" s="1"/>
  <c r="DF350" i="3"/>
  <c r="DH350" i="3"/>
  <c r="DI350" i="3"/>
  <c r="DH284" i="3"/>
  <c r="DI284" i="3"/>
  <c r="DF284" i="3"/>
  <c r="DG284" i="3"/>
  <c r="DJ284" i="3" s="1"/>
  <c r="X79" i="1"/>
  <c r="Y79" i="1"/>
  <c r="CY79" i="1"/>
  <c r="CZ79" i="1"/>
  <c r="S91" i="1"/>
  <c r="T70" i="1"/>
  <c r="AG139" i="1" s="1"/>
  <c r="X133" i="1"/>
  <c r="Y133" i="1"/>
  <c r="CY133" i="1"/>
  <c r="CZ133" i="1"/>
  <c r="DF303" i="3"/>
  <c r="DH303" i="3"/>
  <c r="DG303" i="3"/>
  <c r="DJ303" i="3" s="1"/>
  <c r="DI303" i="3"/>
  <c r="DF307" i="3"/>
  <c r="DJ307" i="3" s="1"/>
  <c r="DG307" i="3"/>
  <c r="DH307" i="3"/>
  <c r="DI307" i="3"/>
  <c r="W97" i="1"/>
  <c r="DF478" i="3"/>
  <c r="DJ478" i="3" s="1"/>
  <c r="DG478" i="3"/>
  <c r="DH478" i="3"/>
  <c r="DI478" i="3"/>
  <c r="DF532" i="3"/>
  <c r="DH532" i="3"/>
  <c r="DI532" i="3"/>
  <c r="DJ532" i="3" s="1"/>
  <c r="DG532" i="3"/>
  <c r="DF484" i="3"/>
  <c r="DG484" i="3"/>
  <c r="DJ484" i="3" s="1"/>
  <c r="DH484" i="3"/>
  <c r="DI484" i="3"/>
  <c r="U107" i="1"/>
  <c r="DF450" i="3"/>
  <c r="DJ450" i="3" s="1"/>
  <c r="DG450" i="3"/>
  <c r="DH450" i="3"/>
  <c r="DI450" i="3"/>
  <c r="DH566" i="3"/>
  <c r="DI566" i="3"/>
  <c r="DJ566" i="3" s="1"/>
  <c r="DF566" i="3"/>
  <c r="DG566" i="3"/>
  <c r="GX107" i="1"/>
  <c r="X184" i="1"/>
  <c r="Y184" i="1"/>
  <c r="CZ184" i="1"/>
  <c r="CY184" i="1"/>
  <c r="CP184" i="1"/>
  <c r="O184" i="1" s="1"/>
  <c r="T86" i="1"/>
  <c r="CG26" i="1"/>
  <c r="AX139" i="1"/>
  <c r="DF442" i="3"/>
  <c r="DJ442" i="3" s="1"/>
  <c r="DG442" i="3"/>
  <c r="DH442" i="3"/>
  <c r="DI442" i="3"/>
  <c r="DG563" i="3"/>
  <c r="DH563" i="3"/>
  <c r="DI563" i="3"/>
  <c r="DF563" i="3"/>
  <c r="DJ563" i="3" s="1"/>
  <c r="CZ199" i="1"/>
  <c r="Y199" i="1"/>
  <c r="CY199" i="1"/>
  <c r="X199" i="1"/>
  <c r="GM199" i="1" s="1"/>
  <c r="GN199" i="1" s="1"/>
  <c r="GM254" i="1"/>
  <c r="GN254" i="1" s="1"/>
  <c r="Q203" i="1"/>
  <c r="R203" i="1"/>
  <c r="P203" i="1"/>
  <c r="CP203" i="1" s="1"/>
  <c r="O203" i="1" s="1"/>
  <c r="GX203" i="1"/>
  <c r="S203" i="1"/>
  <c r="T203" i="1"/>
  <c r="AG256" i="1" s="1"/>
  <c r="T176" i="1"/>
  <c r="DH587" i="3"/>
  <c r="DI587" i="3"/>
  <c r="DJ587" i="3" s="1"/>
  <c r="DF587" i="3"/>
  <c r="DG587" i="3"/>
  <c r="Q219" i="1"/>
  <c r="GX219" i="1"/>
  <c r="P219" i="1"/>
  <c r="CP219" i="1" s="1"/>
  <c r="O219" i="1" s="1"/>
  <c r="R219" i="1"/>
  <c r="U219" i="1"/>
  <c r="T219" i="1"/>
  <c r="DF207" i="3"/>
  <c r="DJ207" i="3" s="1"/>
  <c r="DG207" i="3"/>
  <c r="DH207" i="3"/>
  <c r="DI207" i="3"/>
  <c r="DF585" i="3"/>
  <c r="DJ585" i="3" s="1"/>
  <c r="DG585" i="3"/>
  <c r="DH585" i="3"/>
  <c r="DI585" i="3"/>
  <c r="DH78" i="3"/>
  <c r="DI78" i="3"/>
  <c r="DF78" i="3"/>
  <c r="DJ78" i="3" s="1"/>
  <c r="DG78" i="3"/>
  <c r="DI96" i="3"/>
  <c r="DH96" i="3"/>
  <c r="DF96" i="3"/>
  <c r="DJ96" i="3" s="1"/>
  <c r="DG96" i="3"/>
  <c r="DI86" i="3"/>
  <c r="DF86" i="3"/>
  <c r="DJ86" i="3" s="1"/>
  <c r="DG86" i="3"/>
  <c r="DH86" i="3"/>
  <c r="DF217" i="3"/>
  <c r="DG217" i="3"/>
  <c r="DH217" i="3"/>
  <c r="DI217" i="3"/>
  <c r="DJ217" i="3" s="1"/>
  <c r="DF165" i="3"/>
  <c r="DJ165" i="3" s="1"/>
  <c r="DG165" i="3"/>
  <c r="DH165" i="3"/>
  <c r="DI165" i="3"/>
  <c r="DF167" i="3"/>
  <c r="DJ167" i="3" s="1"/>
  <c r="DG167" i="3"/>
  <c r="DH167" i="3"/>
  <c r="DI167" i="3"/>
  <c r="DG237" i="3"/>
  <c r="DH237" i="3"/>
  <c r="DF237" i="3"/>
  <c r="DI237" i="3"/>
  <c r="DJ237" i="3" s="1"/>
  <c r="DF330" i="3"/>
  <c r="DJ330" i="3" s="1"/>
  <c r="DG330" i="3"/>
  <c r="DI330" i="3"/>
  <c r="DH330" i="3"/>
  <c r="DF196" i="3"/>
  <c r="DJ196" i="3" s="1"/>
  <c r="DG196" i="3"/>
  <c r="DH196" i="3"/>
  <c r="DI196" i="3"/>
  <c r="DF346" i="3"/>
  <c r="DG346" i="3"/>
  <c r="DH346" i="3"/>
  <c r="DI346" i="3"/>
  <c r="DJ346" i="3" s="1"/>
  <c r="DG427" i="3"/>
  <c r="DH427" i="3"/>
  <c r="DI427" i="3"/>
  <c r="DJ427" i="3" s="1"/>
  <c r="DF427" i="3"/>
  <c r="DG375" i="3"/>
  <c r="DH375" i="3"/>
  <c r="DI375" i="3"/>
  <c r="DF375" i="3"/>
  <c r="DJ375" i="3" s="1"/>
  <c r="DF343" i="3"/>
  <c r="DH343" i="3"/>
  <c r="DG343" i="3"/>
  <c r="DJ343" i="3" s="1"/>
  <c r="DI343" i="3"/>
  <c r="DF515" i="3"/>
  <c r="DG515" i="3"/>
  <c r="DH515" i="3"/>
  <c r="DI515" i="3"/>
  <c r="DJ515" i="3" s="1"/>
  <c r="DF499" i="3"/>
  <c r="DG499" i="3"/>
  <c r="DH499" i="3"/>
  <c r="DI499" i="3"/>
  <c r="DJ499" i="3" s="1"/>
  <c r="DF412" i="3"/>
  <c r="DG412" i="3"/>
  <c r="DH412" i="3"/>
  <c r="DI412" i="3"/>
  <c r="DJ412" i="3" s="1"/>
  <c r="DF501" i="3"/>
  <c r="DH501" i="3"/>
  <c r="DI501" i="3"/>
  <c r="DG501" i="3"/>
  <c r="DJ501" i="3" s="1"/>
  <c r="DF600" i="3"/>
  <c r="DG600" i="3"/>
  <c r="DJ600" i="3" s="1"/>
  <c r="DH600" i="3"/>
  <c r="DI600" i="3"/>
  <c r="DI33" i="3"/>
  <c r="DF33" i="3"/>
  <c r="DH33" i="3"/>
  <c r="DG33" i="3"/>
  <c r="DJ33" i="3" s="1"/>
  <c r="DF559" i="3"/>
  <c r="DJ559" i="3" s="1"/>
  <c r="DG559" i="3"/>
  <c r="DH559" i="3"/>
  <c r="DI559" i="3"/>
  <c r="CP31" i="1"/>
  <c r="O31" i="1" s="1"/>
  <c r="GM31" i="1" s="1"/>
  <c r="GO31" i="1" s="1"/>
  <c r="DH30" i="3"/>
  <c r="DF30" i="3"/>
  <c r="DJ30" i="3" s="1"/>
  <c r="DG30" i="3"/>
  <c r="DI30" i="3"/>
  <c r="DF550" i="3"/>
  <c r="DG550" i="3"/>
  <c r="DJ550" i="3" s="1"/>
  <c r="DH550" i="3"/>
  <c r="DI550" i="3"/>
  <c r="DF542" i="3"/>
  <c r="DJ542" i="3" s="1"/>
  <c r="DG542" i="3"/>
  <c r="DH542" i="3"/>
  <c r="DI542" i="3"/>
  <c r="DF77" i="3"/>
  <c r="DI77" i="3"/>
  <c r="DG77" i="3"/>
  <c r="DJ77" i="3" s="1"/>
  <c r="DH77" i="3"/>
  <c r="DF623" i="3"/>
  <c r="DG623" i="3"/>
  <c r="DJ623" i="3" s="1"/>
  <c r="DH623" i="3"/>
  <c r="DI623" i="3"/>
  <c r="DF643" i="3"/>
  <c r="DJ643" i="3" s="1"/>
  <c r="DG643" i="3"/>
  <c r="DH643" i="3"/>
  <c r="DI643" i="3"/>
  <c r="DF166" i="3"/>
  <c r="DJ166" i="3" s="1"/>
  <c r="DG166" i="3"/>
  <c r="DH166" i="3"/>
  <c r="DI166" i="3"/>
  <c r="GM48" i="1"/>
  <c r="GO48" i="1" s="1"/>
  <c r="DG240" i="3"/>
  <c r="DJ240" i="3" s="1"/>
  <c r="DH240" i="3"/>
  <c r="DI240" i="3"/>
  <c r="DF240" i="3"/>
  <c r="CY76" i="1"/>
  <c r="Y76" i="1"/>
  <c r="CZ76" i="1"/>
  <c r="X76" i="1"/>
  <c r="DG219" i="3"/>
  <c r="DJ219" i="3" s="1"/>
  <c r="DH219" i="3"/>
  <c r="DI219" i="3"/>
  <c r="DF219" i="3"/>
  <c r="CZ80" i="1"/>
  <c r="Y80" i="1"/>
  <c r="X80" i="1"/>
  <c r="CY80" i="1"/>
  <c r="DG275" i="3"/>
  <c r="DH275" i="3"/>
  <c r="DI275" i="3"/>
  <c r="DF275" i="3"/>
  <c r="DJ275" i="3" s="1"/>
  <c r="CP64" i="1"/>
  <c r="O64" i="1" s="1"/>
  <c r="DF206" i="3"/>
  <c r="DJ206" i="3" s="1"/>
  <c r="DG206" i="3"/>
  <c r="DH206" i="3"/>
  <c r="DI206" i="3"/>
  <c r="GM98" i="1"/>
  <c r="GO98" i="1" s="1"/>
  <c r="DF316" i="3"/>
  <c r="DG316" i="3"/>
  <c r="DJ316" i="3" s="1"/>
  <c r="DH316" i="3"/>
  <c r="DI316" i="3"/>
  <c r="GM68" i="1"/>
  <c r="GO68" i="1" s="1"/>
  <c r="DF297" i="3"/>
  <c r="DJ297" i="3" s="1"/>
  <c r="DH297" i="3"/>
  <c r="DG297" i="3"/>
  <c r="DI297" i="3"/>
  <c r="CY71" i="1"/>
  <c r="CZ71" i="1"/>
  <c r="Y71" i="1"/>
  <c r="X71" i="1"/>
  <c r="DH309" i="3"/>
  <c r="DI309" i="3"/>
  <c r="DF309" i="3"/>
  <c r="DJ309" i="3" s="1"/>
  <c r="DG309" i="3"/>
  <c r="DI340" i="3"/>
  <c r="DF340" i="3"/>
  <c r="DG340" i="3"/>
  <c r="DJ340" i="3" s="1"/>
  <c r="DH340" i="3"/>
  <c r="Y72" i="1"/>
  <c r="CY72" i="1"/>
  <c r="CZ72" i="1"/>
  <c r="X72" i="1"/>
  <c r="GM72" i="1" s="1"/>
  <c r="GO72" i="1" s="1"/>
  <c r="U86" i="1"/>
  <c r="DF476" i="3"/>
  <c r="DJ476" i="3" s="1"/>
  <c r="DG476" i="3"/>
  <c r="DH476" i="3"/>
  <c r="DI476" i="3"/>
  <c r="DH579" i="3"/>
  <c r="DI579" i="3"/>
  <c r="DG579" i="3"/>
  <c r="DF579" i="3"/>
  <c r="DJ579" i="3" s="1"/>
  <c r="V112" i="1"/>
  <c r="CY132" i="1"/>
  <c r="CZ132" i="1"/>
  <c r="X132" i="1"/>
  <c r="Y132" i="1"/>
  <c r="X187" i="1"/>
  <c r="Y187" i="1"/>
  <c r="CZ187" i="1"/>
  <c r="CY187" i="1"/>
  <c r="GM110" i="1"/>
  <c r="GO110" i="1" s="1"/>
  <c r="AO26" i="1"/>
  <c r="F143" i="1"/>
  <c r="AO286" i="1"/>
  <c r="DG392" i="3"/>
  <c r="DJ392" i="3" s="1"/>
  <c r="DH392" i="3"/>
  <c r="DI392" i="3"/>
  <c r="DF392" i="3"/>
  <c r="DF380" i="3"/>
  <c r="DJ380" i="3" s="1"/>
  <c r="DG380" i="3"/>
  <c r="DH380" i="3"/>
  <c r="DI380" i="3"/>
  <c r="DH556" i="3"/>
  <c r="DI556" i="3"/>
  <c r="DF556" i="3"/>
  <c r="DJ556" i="3" s="1"/>
  <c r="DG556" i="3"/>
  <c r="GM205" i="1"/>
  <c r="GO205" i="1" s="1"/>
  <c r="DG602" i="3"/>
  <c r="DH602" i="3"/>
  <c r="DI602" i="3"/>
  <c r="DF602" i="3"/>
  <c r="DJ602" i="3" s="1"/>
  <c r="CY239" i="1"/>
  <c r="CZ239" i="1"/>
  <c r="X239" i="1"/>
  <c r="Y239" i="1"/>
  <c r="EG171" i="1"/>
  <c r="P260" i="1"/>
  <c r="Q213" i="1"/>
  <c r="CP213" i="1" s="1"/>
  <c r="O213" i="1" s="1"/>
  <c r="GM213" i="1" s="1"/>
  <c r="GO213" i="1" s="1"/>
  <c r="R213" i="1"/>
  <c r="U204" i="1"/>
  <c r="DZ256" i="1" s="1"/>
  <c r="DI466" i="3"/>
  <c r="DF466" i="3"/>
  <c r="DG466" i="3"/>
  <c r="DJ466" i="3" s="1"/>
  <c r="DH466" i="3"/>
  <c r="DF528" i="3"/>
  <c r="DJ528" i="3" s="1"/>
  <c r="DG528" i="3"/>
  <c r="DI528" i="3"/>
  <c r="DH528" i="3"/>
  <c r="CP133" i="1"/>
  <c r="O133" i="1" s="1"/>
  <c r="GM133" i="1" s="1"/>
  <c r="GN133" i="1" s="1"/>
  <c r="GX213" i="1"/>
  <c r="DH22" i="3"/>
  <c r="DG22" i="3"/>
  <c r="DJ22" i="3" s="1"/>
  <c r="DI22" i="3"/>
  <c r="DF22" i="3"/>
  <c r="DG288" i="3"/>
  <c r="DJ288" i="3" s="1"/>
  <c r="DH288" i="3"/>
  <c r="DF288" i="3"/>
  <c r="DI288" i="3"/>
  <c r="DF458" i="3"/>
  <c r="DG458" i="3"/>
  <c r="DH458" i="3"/>
  <c r="DI458" i="3"/>
  <c r="DJ458" i="3" s="1"/>
  <c r="DF40" i="3"/>
  <c r="DJ40" i="3" s="1"/>
  <c r="DG40" i="3"/>
  <c r="DH40" i="3"/>
  <c r="DI40" i="3"/>
  <c r="DF576" i="3"/>
  <c r="DJ576" i="3" s="1"/>
  <c r="DG576" i="3"/>
  <c r="DH576" i="3"/>
  <c r="DI576" i="3"/>
  <c r="DF530" i="3"/>
  <c r="DJ530" i="3" s="1"/>
  <c r="DG530" i="3"/>
  <c r="DH530" i="3"/>
  <c r="DI530" i="3"/>
  <c r="DF558" i="3"/>
  <c r="DJ558" i="3" s="1"/>
  <c r="DG558" i="3"/>
  <c r="DH558" i="3"/>
  <c r="DI558" i="3"/>
  <c r="DF570" i="3"/>
  <c r="DG570" i="3"/>
  <c r="DJ570" i="3" s="1"/>
  <c r="DH570" i="3"/>
  <c r="DI570" i="3"/>
  <c r="DH545" i="3"/>
  <c r="DI545" i="3"/>
  <c r="DF545" i="3"/>
  <c r="DJ545" i="3" s="1"/>
  <c r="DG545" i="3"/>
  <c r="DF159" i="3"/>
  <c r="DJ159" i="3" s="1"/>
  <c r="DG159" i="3"/>
  <c r="DH159" i="3"/>
  <c r="DI159" i="3"/>
  <c r="DG113" i="3"/>
  <c r="DF113" i="3"/>
  <c r="DH113" i="3"/>
  <c r="DI113" i="3"/>
  <c r="DJ113" i="3" s="1"/>
  <c r="DF560" i="3"/>
  <c r="DJ560" i="3" s="1"/>
  <c r="DG560" i="3"/>
  <c r="DH560" i="3"/>
  <c r="DI560" i="3"/>
  <c r="DF168" i="3"/>
  <c r="DJ168" i="3" s="1"/>
  <c r="DG168" i="3"/>
  <c r="DH168" i="3"/>
  <c r="DI168" i="3"/>
  <c r="GM44" i="1"/>
  <c r="GN44" i="1" s="1"/>
  <c r="DG209" i="3"/>
  <c r="DJ209" i="3" s="1"/>
  <c r="DH209" i="3"/>
  <c r="DI209" i="3"/>
  <c r="DF209" i="3"/>
  <c r="DG94" i="3"/>
  <c r="DF94" i="3"/>
  <c r="DJ94" i="3" s="1"/>
  <c r="DI94" i="3"/>
  <c r="DH94" i="3"/>
  <c r="DF269" i="3"/>
  <c r="DG269" i="3"/>
  <c r="DJ269" i="3" s="1"/>
  <c r="DH269" i="3"/>
  <c r="DI269" i="3"/>
  <c r="GM82" i="1"/>
  <c r="GO82" i="1" s="1"/>
  <c r="DF199" i="3"/>
  <c r="DG199" i="3"/>
  <c r="DH199" i="3"/>
  <c r="DI199" i="3"/>
  <c r="DJ199" i="3" s="1"/>
  <c r="DF323" i="3"/>
  <c r="DJ323" i="3" s="1"/>
  <c r="DG323" i="3"/>
  <c r="DH323" i="3"/>
  <c r="DI323" i="3"/>
  <c r="CZ89" i="1"/>
  <c r="Y89" i="1"/>
  <c r="X89" i="1"/>
  <c r="CY89" i="1"/>
  <c r="DI291" i="3"/>
  <c r="DF291" i="3"/>
  <c r="DJ291" i="3" s="1"/>
  <c r="DG291" i="3"/>
  <c r="DH291" i="3"/>
  <c r="S107" i="1"/>
  <c r="DF304" i="3"/>
  <c r="DH304" i="3"/>
  <c r="DI304" i="3"/>
  <c r="DG304" i="3"/>
  <c r="DJ304" i="3" s="1"/>
  <c r="X129" i="1"/>
  <c r="GM129" i="1" s="1"/>
  <c r="GN129" i="1" s="1"/>
  <c r="Y129" i="1"/>
  <c r="CY129" i="1"/>
  <c r="CZ129" i="1"/>
  <c r="T97" i="1"/>
  <c r="P101" i="1"/>
  <c r="DG475" i="3"/>
  <c r="DJ475" i="3" s="1"/>
  <c r="DH475" i="3"/>
  <c r="DI475" i="3"/>
  <c r="DF475" i="3"/>
  <c r="DG546" i="3"/>
  <c r="DH546" i="3"/>
  <c r="DI546" i="3"/>
  <c r="DF546" i="3"/>
  <c r="DJ546" i="3" s="1"/>
  <c r="DG580" i="3"/>
  <c r="DH580" i="3"/>
  <c r="DI580" i="3"/>
  <c r="DF580" i="3"/>
  <c r="DJ580" i="3" s="1"/>
  <c r="T112" i="1"/>
  <c r="DI391" i="3"/>
  <c r="DJ391" i="3" s="1"/>
  <c r="DH391" i="3"/>
  <c r="DF391" i="3"/>
  <c r="DG391" i="3"/>
  <c r="DG595" i="3"/>
  <c r="DH595" i="3"/>
  <c r="DI595" i="3"/>
  <c r="DJ595" i="3" s="1"/>
  <c r="DF595" i="3"/>
  <c r="CY177" i="1"/>
  <c r="CZ177" i="1"/>
  <c r="Y177" i="1"/>
  <c r="X177" i="1"/>
  <c r="CZ208" i="1"/>
  <c r="Y208" i="1"/>
  <c r="X208" i="1"/>
  <c r="CY208" i="1"/>
  <c r="DI617" i="3"/>
  <c r="DJ617" i="3" s="1"/>
  <c r="DF617" i="3"/>
  <c r="DG617" i="3"/>
  <c r="DH617" i="3"/>
  <c r="ET171" i="1"/>
  <c r="ET286" i="1"/>
  <c r="P269" i="1"/>
  <c r="S176" i="1"/>
  <c r="Y211" i="1"/>
  <c r="CZ211" i="1"/>
  <c r="X211" i="1"/>
  <c r="CY211" i="1"/>
  <c r="DG588" i="3"/>
  <c r="DH588" i="3"/>
  <c r="DI588" i="3"/>
  <c r="DF588" i="3"/>
  <c r="DJ588" i="3" s="1"/>
  <c r="DF518" i="3"/>
  <c r="DG518" i="3"/>
  <c r="DJ518" i="3" s="1"/>
  <c r="DH518" i="3"/>
  <c r="DI518" i="3"/>
  <c r="CG171" i="1"/>
  <c r="AX256" i="1"/>
  <c r="W203" i="1"/>
  <c r="DG110" i="3"/>
  <c r="DJ110" i="3" s="1"/>
  <c r="DI110" i="3"/>
  <c r="DF110" i="3"/>
  <c r="DH110" i="3"/>
  <c r="DF257" i="3"/>
  <c r="DG257" i="3"/>
  <c r="DJ257" i="3" s="1"/>
  <c r="DI257" i="3"/>
  <c r="DH257" i="3"/>
  <c r="DF469" i="3"/>
  <c r="DJ469" i="3" s="1"/>
  <c r="DG469" i="3"/>
  <c r="DH469" i="3"/>
  <c r="DI469" i="3"/>
  <c r="DH373" i="3"/>
  <c r="DI373" i="3"/>
  <c r="DF373" i="3"/>
  <c r="DJ373" i="3" s="1"/>
  <c r="DG373" i="3"/>
  <c r="DG527" i="3"/>
  <c r="DH527" i="3"/>
  <c r="DI527" i="3"/>
  <c r="DF527" i="3"/>
  <c r="DJ527" i="3" s="1"/>
  <c r="DI512" i="3"/>
  <c r="DF512" i="3"/>
  <c r="DJ512" i="3" s="1"/>
  <c r="DG512" i="3"/>
  <c r="DH512" i="3"/>
  <c r="DF73" i="3"/>
  <c r="DG73" i="3"/>
  <c r="DH73" i="3"/>
  <c r="DI73" i="3"/>
  <c r="DJ73" i="3" s="1"/>
  <c r="DF629" i="3"/>
  <c r="DG629" i="3"/>
  <c r="DJ629" i="3" s="1"/>
  <c r="DH629" i="3"/>
  <c r="DI629" i="3"/>
  <c r="DF120" i="3"/>
  <c r="DJ120" i="3" s="1"/>
  <c r="DH120" i="3"/>
  <c r="DG120" i="3"/>
  <c r="DI120" i="3"/>
  <c r="DF169" i="3"/>
  <c r="DG169" i="3"/>
  <c r="DH169" i="3"/>
  <c r="DI169" i="3"/>
  <c r="DJ169" i="3" s="1"/>
  <c r="DF224" i="3"/>
  <c r="DJ224" i="3" s="1"/>
  <c r="DH224" i="3"/>
  <c r="DG224" i="3"/>
  <c r="DI224" i="3"/>
  <c r="DH46" i="3"/>
  <c r="DF46" i="3"/>
  <c r="DG46" i="3"/>
  <c r="DJ46" i="3" s="1"/>
  <c r="DI46" i="3"/>
  <c r="DF174" i="3"/>
  <c r="DJ174" i="3" s="1"/>
  <c r="DG174" i="3"/>
  <c r="DH174" i="3"/>
  <c r="DI174" i="3"/>
  <c r="DF234" i="3"/>
  <c r="DJ234" i="3" s="1"/>
  <c r="DG234" i="3"/>
  <c r="DH234" i="3"/>
  <c r="DI234" i="3"/>
  <c r="DF349" i="3"/>
  <c r="DG349" i="3"/>
  <c r="DJ349" i="3" s="1"/>
  <c r="DI349" i="3"/>
  <c r="DH349" i="3"/>
  <c r="DF221" i="3"/>
  <c r="DG221" i="3"/>
  <c r="DJ221" i="3" s="1"/>
  <c r="DI221" i="3"/>
  <c r="DH221" i="3"/>
  <c r="DG354" i="3"/>
  <c r="DJ354" i="3" s="1"/>
  <c r="DH354" i="3"/>
  <c r="DI354" i="3"/>
  <c r="DF354" i="3"/>
  <c r="DF276" i="3"/>
  <c r="DJ276" i="3" s="1"/>
  <c r="DG276" i="3"/>
  <c r="DH276" i="3"/>
  <c r="DI276" i="3"/>
  <c r="DH352" i="3"/>
  <c r="DF352" i="3"/>
  <c r="DJ352" i="3" s="1"/>
  <c r="DG352" i="3"/>
  <c r="DI352" i="3"/>
  <c r="DF369" i="3"/>
  <c r="DJ369" i="3" s="1"/>
  <c r="DG369" i="3"/>
  <c r="DH369" i="3"/>
  <c r="DI369" i="3"/>
  <c r="DH432" i="3"/>
  <c r="DF432" i="3"/>
  <c r="DJ432" i="3" s="1"/>
  <c r="DG432" i="3"/>
  <c r="DI432" i="3"/>
  <c r="DH519" i="3"/>
  <c r="DI519" i="3"/>
  <c r="DF519" i="3"/>
  <c r="DG519" i="3"/>
  <c r="DJ519" i="3" s="1"/>
  <c r="DI381" i="3"/>
  <c r="DF381" i="3"/>
  <c r="DJ381" i="3" s="1"/>
  <c r="DG381" i="3"/>
  <c r="DH381" i="3"/>
  <c r="DF511" i="3"/>
  <c r="DJ511" i="3" s="1"/>
  <c r="DG511" i="3"/>
  <c r="DH511" i="3"/>
  <c r="DI511" i="3"/>
  <c r="DF503" i="3"/>
  <c r="DJ503" i="3" s="1"/>
  <c r="DG503" i="3"/>
  <c r="DH503" i="3"/>
  <c r="DI503" i="3"/>
  <c r="DF447" i="3"/>
  <c r="DJ447" i="3" s="1"/>
  <c r="DI447" i="3"/>
  <c r="DH447" i="3"/>
  <c r="DG447" i="3"/>
  <c r="DF541" i="3"/>
  <c r="DJ541" i="3" s="1"/>
  <c r="DG541" i="3"/>
  <c r="DH541" i="3"/>
  <c r="DI541" i="3"/>
  <c r="DF627" i="3"/>
  <c r="DJ627" i="3" s="1"/>
  <c r="DG627" i="3"/>
  <c r="DH627" i="3"/>
  <c r="DI627" i="3"/>
  <c r="DF543" i="3"/>
  <c r="DJ543" i="3" s="1"/>
  <c r="DG543" i="3"/>
  <c r="DH543" i="3"/>
  <c r="DI543" i="3"/>
  <c r="DF575" i="3"/>
  <c r="DJ575" i="3" s="1"/>
  <c r="DG575" i="3"/>
  <c r="DH575" i="3"/>
  <c r="DI575" i="3"/>
  <c r="DF636" i="3"/>
  <c r="DG636" i="3"/>
  <c r="DJ636" i="3" s="1"/>
  <c r="DH636" i="3"/>
  <c r="DI636" i="3"/>
  <c r="DF605" i="3"/>
  <c r="DJ605" i="3" s="1"/>
  <c r="DG605" i="3"/>
  <c r="DH605" i="3"/>
  <c r="DI605" i="3"/>
  <c r="DF639" i="3"/>
  <c r="DJ639" i="3" s="1"/>
  <c r="DG639" i="3"/>
  <c r="DH639" i="3"/>
  <c r="DI639" i="3"/>
  <c r="DF160" i="3"/>
  <c r="DJ160" i="3" s="1"/>
  <c r="DG160" i="3"/>
  <c r="DH160" i="3"/>
  <c r="DI160" i="3"/>
  <c r="Y38" i="1"/>
  <c r="CY38" i="1"/>
  <c r="CZ38" i="1"/>
  <c r="X38" i="1"/>
  <c r="DH147" i="3"/>
  <c r="DI147" i="3"/>
  <c r="DF147" i="3"/>
  <c r="DG147" i="3"/>
  <c r="DJ147" i="3" s="1"/>
  <c r="DF633" i="3"/>
  <c r="DJ633" i="3" s="1"/>
  <c r="DG633" i="3"/>
  <c r="DH633" i="3"/>
  <c r="DI633" i="3"/>
  <c r="DG115" i="3"/>
  <c r="DH115" i="3"/>
  <c r="DI115" i="3"/>
  <c r="DF115" i="3"/>
  <c r="DJ115" i="3" s="1"/>
  <c r="DH562" i="3"/>
  <c r="DI562" i="3"/>
  <c r="DG562" i="3"/>
  <c r="DF562" i="3"/>
  <c r="DJ562" i="3" s="1"/>
  <c r="DH163" i="3"/>
  <c r="DI163" i="3"/>
  <c r="DG163" i="3"/>
  <c r="DJ163" i="3" s="1"/>
  <c r="DF163" i="3"/>
  <c r="DI239" i="3"/>
  <c r="DF239" i="3"/>
  <c r="DG239" i="3"/>
  <c r="DJ239" i="3" s="1"/>
  <c r="DH239" i="3"/>
  <c r="U97" i="1"/>
  <c r="DF277" i="3"/>
  <c r="DJ277" i="3" s="1"/>
  <c r="DG277" i="3"/>
  <c r="DH277" i="3"/>
  <c r="DI277" i="3"/>
  <c r="DF331" i="3"/>
  <c r="DH331" i="3"/>
  <c r="DI331" i="3"/>
  <c r="DJ331" i="3" s="1"/>
  <c r="DG331" i="3"/>
  <c r="DF376" i="3"/>
  <c r="DJ376" i="3" s="1"/>
  <c r="DG376" i="3"/>
  <c r="DH376" i="3"/>
  <c r="DI376" i="3"/>
  <c r="V86" i="1"/>
  <c r="DF185" i="3"/>
  <c r="DJ185" i="3" s="1"/>
  <c r="DG185" i="3"/>
  <c r="DH185" i="3"/>
  <c r="DI185" i="3"/>
  <c r="DF539" i="3"/>
  <c r="DJ539" i="3" s="1"/>
  <c r="DH539" i="3"/>
  <c r="DI539" i="3"/>
  <c r="DG539" i="3"/>
  <c r="DF489" i="3"/>
  <c r="DJ489" i="3" s="1"/>
  <c r="DG489" i="3"/>
  <c r="DH489" i="3"/>
  <c r="DI489" i="3"/>
  <c r="CZ200" i="1"/>
  <c r="X200" i="1"/>
  <c r="CY200" i="1"/>
  <c r="Y200" i="1"/>
  <c r="DH573" i="3"/>
  <c r="DI573" i="3"/>
  <c r="DF573" i="3"/>
  <c r="DJ573" i="3" s="1"/>
  <c r="DG573" i="3"/>
  <c r="DF428" i="3"/>
  <c r="DG428" i="3"/>
  <c r="DJ428" i="3" s="1"/>
  <c r="DH428" i="3"/>
  <c r="DI428" i="3"/>
  <c r="DF400" i="3"/>
  <c r="DJ400" i="3" s="1"/>
  <c r="DG400" i="3"/>
  <c r="DH400" i="3"/>
  <c r="DI400" i="3"/>
  <c r="DI598" i="3"/>
  <c r="DF598" i="3"/>
  <c r="DJ598" i="3" s="1"/>
  <c r="DG598" i="3"/>
  <c r="DH598" i="3"/>
  <c r="GM188" i="1"/>
  <c r="GO188" i="1" s="1"/>
  <c r="CY213" i="1"/>
  <c r="CZ213" i="1"/>
  <c r="Y213" i="1"/>
  <c r="X213" i="1"/>
  <c r="CP214" i="1"/>
  <c r="O214" i="1" s="1"/>
  <c r="Q208" i="1"/>
  <c r="R208" i="1"/>
  <c r="T208" i="1"/>
  <c r="U104" i="1"/>
  <c r="CY180" i="1"/>
  <c r="CZ180" i="1"/>
  <c r="X180" i="1"/>
  <c r="GM180" i="1" s="1"/>
  <c r="GO180" i="1" s="1"/>
  <c r="Y180" i="1"/>
  <c r="DF500" i="3"/>
  <c r="DH500" i="3"/>
  <c r="DG500" i="3"/>
  <c r="DJ500" i="3" s="1"/>
  <c r="DI500" i="3"/>
  <c r="FY171" i="1"/>
  <c r="EP256" i="1"/>
  <c r="GX176" i="1"/>
  <c r="Q217" i="1"/>
  <c r="CP217" i="1" s="1"/>
  <c r="O217" i="1" s="1"/>
  <c r="GM217" i="1" s="1"/>
  <c r="GO217" i="1" s="1"/>
  <c r="R217" i="1"/>
  <c r="T217" i="1"/>
  <c r="Y252" i="1"/>
  <c r="CY252" i="1"/>
  <c r="CZ252" i="1"/>
  <c r="X252" i="1"/>
  <c r="CP177" i="1"/>
  <c r="O177" i="1" s="1"/>
  <c r="Y202" i="1"/>
  <c r="CZ202" i="1"/>
  <c r="X202" i="1"/>
  <c r="CY202" i="1"/>
  <c r="Y214" i="1"/>
  <c r="CZ214" i="1"/>
  <c r="X214" i="1"/>
  <c r="CY214" i="1"/>
  <c r="EI171" i="1"/>
  <c r="P266" i="1"/>
  <c r="AQ171" i="1"/>
  <c r="AQ286" i="1"/>
  <c r="F266" i="1"/>
  <c r="CP252" i="1"/>
  <c r="O252" i="1" s="1"/>
  <c r="AP171" i="1"/>
  <c r="F265" i="1"/>
  <c r="DI640" i="3"/>
  <c r="DJ640" i="3" s="1"/>
  <c r="DF640" i="3"/>
  <c r="DG640" i="3"/>
  <c r="DH640" i="3"/>
  <c r="GM79" i="1"/>
  <c r="GO79" i="1" s="1"/>
  <c r="DF153" i="3"/>
  <c r="DG153" i="3"/>
  <c r="DH153" i="3"/>
  <c r="DI153" i="3"/>
  <c r="DJ153" i="3" s="1"/>
  <c r="DI176" i="3"/>
  <c r="DJ176" i="3" s="1"/>
  <c r="DF176" i="3"/>
  <c r="DG176" i="3"/>
  <c r="DH176" i="3"/>
  <c r="DF210" i="3"/>
  <c r="DG210" i="3"/>
  <c r="DJ210" i="3" s="1"/>
  <c r="DH210" i="3"/>
  <c r="DI210" i="3"/>
  <c r="DF313" i="3"/>
  <c r="DJ313" i="3" s="1"/>
  <c r="DG313" i="3"/>
  <c r="DI313" i="3"/>
  <c r="DH313" i="3"/>
  <c r="DF385" i="3"/>
  <c r="DJ385" i="3" s="1"/>
  <c r="DG385" i="3"/>
  <c r="DH385" i="3"/>
  <c r="DI385" i="3"/>
  <c r="DF367" i="3"/>
  <c r="DJ367" i="3" s="1"/>
  <c r="DG367" i="3"/>
  <c r="DH367" i="3"/>
  <c r="DI367" i="3"/>
  <c r="DF547" i="3"/>
  <c r="DJ547" i="3" s="1"/>
  <c r="DG547" i="3"/>
  <c r="DH547" i="3"/>
  <c r="DI547" i="3"/>
  <c r="DF607" i="3"/>
  <c r="DG607" i="3"/>
  <c r="DJ607" i="3" s="1"/>
  <c r="DH607" i="3"/>
  <c r="DI607" i="3"/>
  <c r="CP28" i="1"/>
  <c r="O28" i="1" s="1"/>
  <c r="DF612" i="3"/>
  <c r="DJ612" i="3" s="1"/>
  <c r="DG612" i="3"/>
  <c r="DH612" i="3"/>
  <c r="DI612" i="3"/>
  <c r="DF83" i="3"/>
  <c r="DI83" i="3"/>
  <c r="DH83" i="3"/>
  <c r="DG83" i="3"/>
  <c r="DJ83" i="3" s="1"/>
  <c r="DF644" i="3"/>
  <c r="DJ644" i="3" s="1"/>
  <c r="DG644" i="3"/>
  <c r="DH644" i="3"/>
  <c r="DI644" i="3"/>
  <c r="DF154" i="3"/>
  <c r="DG154" i="3"/>
  <c r="DJ154" i="3" s="1"/>
  <c r="DH154" i="3"/>
  <c r="DI154" i="3"/>
  <c r="DG574" i="3"/>
  <c r="DH574" i="3"/>
  <c r="DI574" i="3"/>
  <c r="DF574" i="3"/>
  <c r="DJ574" i="3" s="1"/>
  <c r="GM33" i="1"/>
  <c r="GO33" i="1" s="1"/>
  <c r="DG247" i="3"/>
  <c r="DF247" i="3"/>
  <c r="DJ247" i="3" s="1"/>
  <c r="DH247" i="3"/>
  <c r="DI247" i="3"/>
  <c r="DF236" i="3"/>
  <c r="DJ236" i="3" s="1"/>
  <c r="DG236" i="3"/>
  <c r="DH236" i="3"/>
  <c r="DI236" i="3"/>
  <c r="DF216" i="3"/>
  <c r="DJ216" i="3" s="1"/>
  <c r="DH216" i="3"/>
  <c r="DI216" i="3"/>
  <c r="DG216" i="3"/>
  <c r="DH360" i="3"/>
  <c r="DI360" i="3"/>
  <c r="DF360" i="3"/>
  <c r="DG360" i="3"/>
  <c r="DJ360" i="3" s="1"/>
  <c r="GM89" i="1"/>
  <c r="GO89" i="1" s="1"/>
  <c r="DH204" i="3"/>
  <c r="DI204" i="3"/>
  <c r="DF204" i="3"/>
  <c r="DG204" i="3"/>
  <c r="DJ204" i="3" s="1"/>
  <c r="DF289" i="3"/>
  <c r="DJ289" i="3" s="1"/>
  <c r="DG289" i="3"/>
  <c r="DH289" i="3"/>
  <c r="DI289" i="3"/>
  <c r="DF357" i="3"/>
  <c r="DJ357" i="3" s="1"/>
  <c r="DH357" i="3"/>
  <c r="DG357" i="3"/>
  <c r="DI357" i="3"/>
  <c r="X115" i="1"/>
  <c r="GM115" i="1" s="1"/>
  <c r="GN115" i="1" s="1"/>
  <c r="Y115" i="1"/>
  <c r="CY115" i="1"/>
  <c r="CZ115" i="1"/>
  <c r="BB26" i="1"/>
  <c r="F152" i="1"/>
  <c r="BB286" i="1"/>
  <c r="GM132" i="1"/>
  <c r="GN132" i="1" s="1"/>
  <c r="DF258" i="3"/>
  <c r="DJ258" i="3" s="1"/>
  <c r="DH258" i="3"/>
  <c r="DG258" i="3"/>
  <c r="DI258" i="3"/>
  <c r="V107" i="1"/>
  <c r="DG422" i="3"/>
  <c r="DF422" i="3"/>
  <c r="DJ422" i="3" s="1"/>
  <c r="DH422" i="3"/>
  <c r="DI422" i="3"/>
  <c r="CP123" i="1"/>
  <c r="O123" i="1" s="1"/>
  <c r="GM123" i="1" s="1"/>
  <c r="GN123" i="1" s="1"/>
  <c r="DI474" i="3"/>
  <c r="DF474" i="3"/>
  <c r="DG474" i="3"/>
  <c r="DJ474" i="3" s="1"/>
  <c r="DH474" i="3"/>
  <c r="CZ206" i="1"/>
  <c r="X206" i="1"/>
  <c r="GM206" i="1" s="1"/>
  <c r="GO206" i="1" s="1"/>
  <c r="Y206" i="1"/>
  <c r="CY206" i="1"/>
  <c r="DF508" i="3"/>
  <c r="DH508" i="3"/>
  <c r="DG508" i="3"/>
  <c r="DJ508" i="3" s="1"/>
  <c r="DI508" i="3"/>
  <c r="DF597" i="3"/>
  <c r="DJ597" i="3" s="1"/>
  <c r="DG597" i="3"/>
  <c r="DH597" i="3"/>
  <c r="DI597" i="3"/>
  <c r="DF554" i="3"/>
  <c r="DH554" i="3"/>
  <c r="DI554" i="3"/>
  <c r="DG554" i="3"/>
  <c r="DJ554" i="3" s="1"/>
  <c r="CY215" i="1"/>
  <c r="CZ215" i="1"/>
  <c r="X215" i="1"/>
  <c r="Y215" i="1"/>
  <c r="GM215" i="1" s="1"/>
  <c r="GO215" i="1" s="1"/>
  <c r="Y216" i="1"/>
  <c r="CY216" i="1"/>
  <c r="X216" i="1"/>
  <c r="GM216" i="1" s="1"/>
  <c r="GO216" i="1" s="1"/>
  <c r="CZ216" i="1"/>
  <c r="DF599" i="3"/>
  <c r="DG599" i="3"/>
  <c r="DH599" i="3"/>
  <c r="DI599" i="3"/>
  <c r="DJ599" i="3" s="1"/>
  <c r="W208" i="1"/>
  <c r="CP108" i="1"/>
  <c r="O108" i="1" s="1"/>
  <c r="GM108" i="1" s="1"/>
  <c r="GO108" i="1" s="1"/>
  <c r="DG506" i="3"/>
  <c r="DH506" i="3"/>
  <c r="DI506" i="3"/>
  <c r="DF506" i="3"/>
  <c r="DJ506" i="3" s="1"/>
  <c r="W217" i="1"/>
  <c r="T213" i="1"/>
  <c r="DF516" i="3"/>
  <c r="DH516" i="3"/>
  <c r="DG516" i="3"/>
  <c r="DJ516" i="3" s="1"/>
  <c r="DI516" i="3"/>
  <c r="X179" i="1"/>
  <c r="Y179" i="1"/>
  <c r="CY179" i="1"/>
  <c r="CZ179" i="1"/>
  <c r="CZ242" i="1"/>
  <c r="X242" i="1"/>
  <c r="GM242" i="1" s="1"/>
  <c r="GO242" i="1" s="1"/>
  <c r="Y242" i="1"/>
  <c r="CY242" i="1"/>
  <c r="AO171" i="1"/>
  <c r="F260" i="1"/>
  <c r="CI171" i="1"/>
  <c r="AZ256" i="1"/>
  <c r="DF246" i="3"/>
  <c r="DJ246" i="3" s="1"/>
  <c r="DH246" i="3"/>
  <c r="DG246" i="3"/>
  <c r="DI246" i="3"/>
  <c r="DG399" i="3"/>
  <c r="DF399" i="3"/>
  <c r="DJ399" i="3" s="1"/>
  <c r="DH399" i="3"/>
  <c r="DI399" i="3"/>
  <c r="DF551" i="3"/>
  <c r="DG551" i="3"/>
  <c r="DJ551" i="3" s="1"/>
  <c r="DH551" i="3"/>
  <c r="DI551" i="3"/>
  <c r="DH145" i="3"/>
  <c r="DF145" i="3"/>
  <c r="DG145" i="3"/>
  <c r="DI145" i="3"/>
  <c r="DJ145" i="3" s="1"/>
  <c r="DF264" i="3"/>
  <c r="DJ264" i="3" s="1"/>
  <c r="DG264" i="3"/>
  <c r="DH264" i="3"/>
  <c r="DI264" i="3"/>
  <c r="DF11" i="3"/>
  <c r="DG11" i="3"/>
  <c r="DH11" i="3"/>
  <c r="DI11" i="3"/>
  <c r="DJ11" i="3" s="1"/>
  <c r="DG132" i="3"/>
  <c r="DJ132" i="3" s="1"/>
  <c r="DH132" i="3"/>
  <c r="DI132" i="3"/>
  <c r="DF132" i="3"/>
  <c r="DF241" i="3"/>
  <c r="DG241" i="3"/>
  <c r="DJ241" i="3" s="1"/>
  <c r="DH241" i="3"/>
  <c r="DI241" i="3"/>
  <c r="DF379" i="3"/>
  <c r="DG379" i="3"/>
  <c r="DJ379" i="3" s="1"/>
  <c r="DH379" i="3"/>
  <c r="DI379" i="3"/>
  <c r="DF397" i="3"/>
  <c r="DJ397" i="3" s="1"/>
  <c r="DI397" i="3"/>
  <c r="DG397" i="3"/>
  <c r="DH397" i="3"/>
  <c r="DF455" i="3"/>
  <c r="DJ455" i="3" s="1"/>
  <c r="DG455" i="3"/>
  <c r="DH455" i="3"/>
  <c r="DI455" i="3"/>
  <c r="DF564" i="3"/>
  <c r="DJ564" i="3" s="1"/>
  <c r="DG564" i="3"/>
  <c r="DH564" i="3"/>
  <c r="DI564" i="3"/>
  <c r="DG34" i="3"/>
  <c r="DJ34" i="3" s="1"/>
  <c r="DF34" i="3"/>
  <c r="DH34" i="3"/>
  <c r="DI34" i="3"/>
  <c r="DG75" i="3"/>
  <c r="DI75" i="3"/>
  <c r="DF75" i="3"/>
  <c r="DJ75" i="3" s="1"/>
  <c r="DH75" i="3"/>
  <c r="DH74" i="3"/>
  <c r="DG74" i="3"/>
  <c r="DJ74" i="3" s="1"/>
  <c r="DF74" i="3"/>
  <c r="DI74" i="3"/>
  <c r="DF32" i="3"/>
  <c r="DG32" i="3"/>
  <c r="DJ32" i="3" s="1"/>
  <c r="DH32" i="3"/>
  <c r="DI32" i="3"/>
  <c r="DG137" i="3"/>
  <c r="DH137" i="3"/>
  <c r="DF137" i="3"/>
  <c r="DI137" i="3"/>
  <c r="DJ137" i="3" s="1"/>
  <c r="DH63" i="3"/>
  <c r="DG63" i="3"/>
  <c r="DJ63" i="3" s="1"/>
  <c r="DI63" i="3"/>
  <c r="DF63" i="3"/>
  <c r="DF268" i="3"/>
  <c r="DG268" i="3"/>
  <c r="DJ268" i="3" s="1"/>
  <c r="DH268" i="3"/>
  <c r="DI268" i="3"/>
  <c r="DF378" i="3"/>
  <c r="DH378" i="3"/>
  <c r="DI378" i="3"/>
  <c r="DG378" i="3"/>
  <c r="DJ378" i="3" s="1"/>
  <c r="DF394" i="3"/>
  <c r="DJ394" i="3" s="1"/>
  <c r="DG394" i="3"/>
  <c r="DI394" i="3"/>
  <c r="DH394" i="3"/>
  <c r="DF463" i="3"/>
  <c r="DJ463" i="3" s="1"/>
  <c r="DG463" i="3"/>
  <c r="DH463" i="3"/>
  <c r="DI463" i="3"/>
  <c r="DF421" i="3"/>
  <c r="DH421" i="3"/>
  <c r="DG421" i="3"/>
  <c r="DJ421" i="3" s="1"/>
  <c r="DI421" i="3"/>
  <c r="DF492" i="3"/>
  <c r="DG492" i="3"/>
  <c r="DJ492" i="3" s="1"/>
  <c r="DH492" i="3"/>
  <c r="DI492" i="3"/>
  <c r="DF581" i="3"/>
  <c r="DJ581" i="3" s="1"/>
  <c r="DG581" i="3"/>
  <c r="DH581" i="3"/>
  <c r="DI581" i="3"/>
  <c r="DG81" i="3"/>
  <c r="DF81" i="3"/>
  <c r="DJ81" i="3" s="1"/>
  <c r="DH81" i="3"/>
  <c r="DI81" i="3"/>
  <c r="DG625" i="3"/>
  <c r="DJ625" i="3" s="1"/>
  <c r="DH625" i="3"/>
  <c r="DF625" i="3"/>
  <c r="DI625" i="3"/>
  <c r="DG619" i="3"/>
  <c r="DH619" i="3"/>
  <c r="DF619" i="3"/>
  <c r="DJ619" i="3" s="1"/>
  <c r="DI619" i="3"/>
  <c r="DF111" i="3"/>
  <c r="DJ111" i="3" s="1"/>
  <c r="DI111" i="3"/>
  <c r="DG111" i="3"/>
  <c r="DH111" i="3"/>
  <c r="DH84" i="3"/>
  <c r="DI84" i="3"/>
  <c r="DG84" i="3"/>
  <c r="DF84" i="3"/>
  <c r="DJ84" i="3" s="1"/>
  <c r="DH152" i="3"/>
  <c r="DF152" i="3"/>
  <c r="DJ152" i="3" s="1"/>
  <c r="DG152" i="3"/>
  <c r="DI152" i="3"/>
  <c r="DH90" i="3"/>
  <c r="DF90" i="3"/>
  <c r="DJ90" i="3" s="1"/>
  <c r="DG90" i="3"/>
  <c r="DI90" i="3"/>
  <c r="R60" i="1"/>
  <c r="Q60" i="1"/>
  <c r="AD139" i="1" s="1"/>
  <c r="W60" i="1"/>
  <c r="P60" i="1"/>
  <c r="AC139" i="1" s="1"/>
  <c r="DF616" i="3"/>
  <c r="DJ616" i="3" s="1"/>
  <c r="DG616" i="3"/>
  <c r="DH616" i="3"/>
  <c r="DI616" i="3"/>
  <c r="CP75" i="1"/>
  <c r="O75" i="1" s="1"/>
  <c r="GM75" i="1" s="1"/>
  <c r="GO75" i="1" s="1"/>
  <c r="DG212" i="3"/>
  <c r="DJ212" i="3" s="1"/>
  <c r="DH212" i="3"/>
  <c r="DI212" i="3"/>
  <c r="DF212" i="3"/>
  <c r="CP51" i="1"/>
  <c r="O51" i="1" s="1"/>
  <c r="GM51" i="1" s="1"/>
  <c r="FR51" i="1"/>
  <c r="V60" i="1"/>
  <c r="DI226" i="3"/>
  <c r="DF226" i="3"/>
  <c r="DJ226" i="3" s="1"/>
  <c r="DG226" i="3"/>
  <c r="DH226" i="3"/>
  <c r="DH274" i="3"/>
  <c r="DI274" i="3"/>
  <c r="DF274" i="3"/>
  <c r="DJ274" i="3" s="1"/>
  <c r="DG274" i="3"/>
  <c r="DF362" i="3"/>
  <c r="DJ362" i="3" s="1"/>
  <c r="DG362" i="3"/>
  <c r="DH362" i="3"/>
  <c r="DI362" i="3"/>
  <c r="CY131" i="1"/>
  <c r="CZ131" i="1"/>
  <c r="X131" i="1"/>
  <c r="GM131" i="1" s="1"/>
  <c r="GN131" i="1" s="1"/>
  <c r="Y131" i="1"/>
  <c r="CP116" i="1"/>
  <c r="O116" i="1" s="1"/>
  <c r="GM116" i="1" s="1"/>
  <c r="GN116" i="1" s="1"/>
  <c r="DH190" i="3"/>
  <c r="DI190" i="3"/>
  <c r="DF190" i="3"/>
  <c r="DJ190" i="3" s="1"/>
  <c r="DG190" i="3"/>
  <c r="DF368" i="3"/>
  <c r="DJ368" i="3" s="1"/>
  <c r="DG368" i="3"/>
  <c r="DH368" i="3"/>
  <c r="DI368" i="3"/>
  <c r="DF263" i="3"/>
  <c r="DJ263" i="3" s="1"/>
  <c r="DG263" i="3"/>
  <c r="DH263" i="3"/>
  <c r="DI263" i="3"/>
  <c r="V84" i="1"/>
  <c r="DG540" i="3"/>
  <c r="DH540" i="3"/>
  <c r="DI540" i="3"/>
  <c r="DF540" i="3"/>
  <c r="DJ540" i="3" s="1"/>
  <c r="DF571" i="3"/>
  <c r="DH571" i="3"/>
  <c r="DI571" i="3"/>
  <c r="DG571" i="3"/>
  <c r="DJ571" i="3" s="1"/>
  <c r="DF429" i="3"/>
  <c r="DH429" i="3"/>
  <c r="DG429" i="3"/>
  <c r="DJ429" i="3" s="1"/>
  <c r="DI429" i="3"/>
  <c r="Q176" i="1"/>
  <c r="R176" i="1"/>
  <c r="W176" i="1"/>
  <c r="P176" i="1"/>
  <c r="Q204" i="1"/>
  <c r="GX204" i="1"/>
  <c r="P204" i="1"/>
  <c r="R204" i="1"/>
  <c r="V204" i="1"/>
  <c r="X192" i="1"/>
  <c r="Y192" i="1"/>
  <c r="CY192" i="1"/>
  <c r="CZ192" i="1"/>
  <c r="X182" i="1"/>
  <c r="GM182" i="1" s="1"/>
  <c r="GO182" i="1" s="1"/>
  <c r="Y182" i="1"/>
  <c r="CY182" i="1"/>
  <c r="CZ182" i="1"/>
  <c r="CZ217" i="1"/>
  <c r="Y217" i="1"/>
  <c r="X217" i="1"/>
  <c r="CY217" i="1"/>
  <c r="CP207" i="1"/>
  <c r="O207" i="1" s="1"/>
  <c r="GM207" i="1" s="1"/>
  <c r="GO207" i="1" s="1"/>
  <c r="DH591" i="3"/>
  <c r="DI591" i="3"/>
  <c r="DJ591" i="3" s="1"/>
  <c r="DF591" i="3"/>
  <c r="DG591" i="3"/>
  <c r="DF638" i="3"/>
  <c r="DJ638" i="3" s="1"/>
  <c r="DG638" i="3"/>
  <c r="DH638" i="3"/>
  <c r="DI638" i="3"/>
  <c r="EV171" i="1"/>
  <c r="P281" i="1"/>
  <c r="V208" i="1"/>
  <c r="CP223" i="1"/>
  <c r="O223" i="1" s="1"/>
  <c r="GM223" i="1" s="1"/>
  <c r="GO223" i="1" s="1"/>
  <c r="CP231" i="1"/>
  <c r="O231" i="1" s="1"/>
  <c r="DI624" i="3"/>
  <c r="DF624" i="3"/>
  <c r="DG624" i="3"/>
  <c r="DJ624" i="3" s="1"/>
  <c r="DH624" i="3"/>
  <c r="P208" i="1"/>
  <c r="CP208" i="1" s="1"/>
  <c r="O208" i="1" s="1"/>
  <c r="GM208" i="1" s="1"/>
  <c r="GO208" i="1" s="1"/>
  <c r="DG148" i="3"/>
  <c r="DH148" i="3"/>
  <c r="DI148" i="3"/>
  <c r="DF148" i="3"/>
  <c r="DJ148" i="3" s="1"/>
  <c r="DF386" i="3"/>
  <c r="DJ386" i="3" s="1"/>
  <c r="DG386" i="3"/>
  <c r="DI386" i="3"/>
  <c r="DH386" i="3"/>
  <c r="DI178" i="3"/>
  <c r="DF178" i="3"/>
  <c r="DG178" i="3"/>
  <c r="DJ178" i="3" s="1"/>
  <c r="DH178" i="3"/>
  <c r="DH26" i="3"/>
  <c r="DI26" i="3"/>
  <c r="DF26" i="3"/>
  <c r="DG26" i="3"/>
  <c r="DJ26" i="3" s="1"/>
  <c r="DG441" i="3"/>
  <c r="DF441" i="3"/>
  <c r="DJ441" i="3" s="1"/>
  <c r="DH441" i="3"/>
  <c r="DI441" i="3"/>
  <c r="DF356" i="3"/>
  <c r="DJ356" i="3" s="1"/>
  <c r="DG356" i="3"/>
  <c r="DI356" i="3"/>
  <c r="DH356" i="3"/>
  <c r="DI88" i="3"/>
  <c r="DF88" i="3"/>
  <c r="DJ88" i="3" s="1"/>
  <c r="DG88" i="3"/>
  <c r="DH88" i="3"/>
  <c r="DG231" i="3"/>
  <c r="DJ231" i="3" s="1"/>
  <c r="DI231" i="3"/>
  <c r="DF231" i="3"/>
  <c r="DH231" i="3"/>
  <c r="DG119" i="3"/>
  <c r="DJ119" i="3" s="1"/>
  <c r="DI119" i="3"/>
  <c r="DF119" i="3"/>
  <c r="DH119" i="3"/>
  <c r="DF188" i="3"/>
  <c r="DJ188" i="3" s="1"/>
  <c r="DG188" i="3"/>
  <c r="DH188" i="3"/>
  <c r="DI188" i="3"/>
  <c r="DF157" i="3"/>
  <c r="DJ157" i="3" s="1"/>
  <c r="DG157" i="3"/>
  <c r="DH157" i="3"/>
  <c r="DI157" i="3"/>
  <c r="DF230" i="3"/>
  <c r="DG230" i="3"/>
  <c r="DJ230" i="3" s="1"/>
  <c r="DI230" i="3"/>
  <c r="DH230" i="3"/>
  <c r="DH249" i="3"/>
  <c r="DI249" i="3"/>
  <c r="DF249" i="3"/>
  <c r="DJ249" i="3" s="1"/>
  <c r="DG249" i="3"/>
  <c r="DF215" i="3"/>
  <c r="DJ215" i="3" s="1"/>
  <c r="DG215" i="3"/>
  <c r="DI215" i="3"/>
  <c r="DH215" i="3"/>
  <c r="DG244" i="3"/>
  <c r="DH244" i="3"/>
  <c r="DF244" i="3"/>
  <c r="DJ244" i="3" s="1"/>
  <c r="DI244" i="3"/>
  <c r="DF296" i="3"/>
  <c r="DJ296" i="3" s="1"/>
  <c r="DG296" i="3"/>
  <c r="DI296" i="3"/>
  <c r="DH296" i="3"/>
  <c r="DG322" i="3"/>
  <c r="DH322" i="3"/>
  <c r="DI322" i="3"/>
  <c r="DF322" i="3"/>
  <c r="DJ322" i="3" s="1"/>
  <c r="DF262" i="3"/>
  <c r="DJ262" i="3" s="1"/>
  <c r="DG262" i="3"/>
  <c r="DH262" i="3"/>
  <c r="DI262" i="3"/>
  <c r="DG315" i="3"/>
  <c r="DH315" i="3"/>
  <c r="DF315" i="3"/>
  <c r="DI315" i="3"/>
  <c r="DJ315" i="3" s="1"/>
  <c r="DH398" i="3"/>
  <c r="DF398" i="3"/>
  <c r="DJ398" i="3" s="1"/>
  <c r="DG398" i="3"/>
  <c r="DI398" i="3"/>
  <c r="DG419" i="3"/>
  <c r="DH419" i="3"/>
  <c r="DI419" i="3"/>
  <c r="DJ419" i="3" s="1"/>
  <c r="DF419" i="3"/>
  <c r="DG383" i="3"/>
  <c r="DH383" i="3"/>
  <c r="DI383" i="3"/>
  <c r="DF383" i="3"/>
  <c r="DJ383" i="3" s="1"/>
  <c r="DG390" i="3"/>
  <c r="DH390" i="3"/>
  <c r="DF390" i="3"/>
  <c r="DJ390" i="3" s="1"/>
  <c r="DI390" i="3"/>
  <c r="DI401" i="3"/>
  <c r="DF401" i="3"/>
  <c r="DJ401" i="3" s="1"/>
  <c r="DG401" i="3"/>
  <c r="DH401" i="3"/>
  <c r="DF465" i="3"/>
  <c r="DG465" i="3"/>
  <c r="DH465" i="3"/>
  <c r="DI465" i="3"/>
  <c r="DJ465" i="3" s="1"/>
  <c r="DF445" i="3"/>
  <c r="DH445" i="3"/>
  <c r="DG445" i="3"/>
  <c r="DJ445" i="3" s="1"/>
  <c r="DI445" i="3"/>
  <c r="DF495" i="3"/>
  <c r="DG495" i="3"/>
  <c r="DJ495" i="3" s="1"/>
  <c r="DH495" i="3"/>
  <c r="DI495" i="3"/>
  <c r="DG449" i="3"/>
  <c r="DF449" i="3"/>
  <c r="DJ449" i="3" s="1"/>
  <c r="DH449" i="3"/>
  <c r="DI449" i="3"/>
  <c r="DF590" i="3"/>
  <c r="DJ590" i="3" s="1"/>
  <c r="DG590" i="3"/>
  <c r="DH590" i="3"/>
  <c r="DI590" i="3"/>
  <c r="DF79" i="3"/>
  <c r="DG79" i="3"/>
  <c r="DH79" i="3"/>
  <c r="DI79" i="3"/>
  <c r="DJ79" i="3" s="1"/>
  <c r="DF25" i="3"/>
  <c r="DG25" i="3"/>
  <c r="DJ25" i="3" s="1"/>
  <c r="DH25" i="3"/>
  <c r="DI25" i="3"/>
  <c r="GM38" i="1"/>
  <c r="GO38" i="1" s="1"/>
  <c r="DF637" i="3"/>
  <c r="DG637" i="3"/>
  <c r="DJ637" i="3" s="1"/>
  <c r="DH637" i="3"/>
  <c r="DI637" i="3"/>
  <c r="DF92" i="3"/>
  <c r="DJ92" i="3" s="1"/>
  <c r="DH92" i="3"/>
  <c r="DI92" i="3"/>
  <c r="DG92" i="3"/>
  <c r="DH618" i="3"/>
  <c r="DI618" i="3"/>
  <c r="DF618" i="3"/>
  <c r="DJ618" i="3" s="1"/>
  <c r="DG618" i="3"/>
  <c r="DG164" i="3"/>
  <c r="DH164" i="3"/>
  <c r="DI164" i="3"/>
  <c r="DF164" i="3"/>
  <c r="DJ164" i="3" s="1"/>
  <c r="Q91" i="1"/>
  <c r="U91" i="1"/>
  <c r="GX91" i="1"/>
  <c r="GB139" i="1" s="1"/>
  <c r="P91" i="1"/>
  <c r="DU139" i="1" s="1"/>
  <c r="R91" i="1"/>
  <c r="CZ78" i="1"/>
  <c r="Y78" i="1"/>
  <c r="CY78" i="1"/>
  <c r="X78" i="1"/>
  <c r="DF228" i="3"/>
  <c r="DG228" i="3"/>
  <c r="DJ228" i="3" s="1"/>
  <c r="DH228" i="3"/>
  <c r="DI228" i="3"/>
  <c r="DF214" i="3"/>
  <c r="DJ214" i="3" s="1"/>
  <c r="DG214" i="3"/>
  <c r="DH214" i="3"/>
  <c r="DI214" i="3"/>
  <c r="DI218" i="3"/>
  <c r="DF218" i="3"/>
  <c r="DG218" i="3"/>
  <c r="DJ218" i="3" s="1"/>
  <c r="DH218" i="3"/>
  <c r="U84" i="1"/>
  <c r="Q101" i="1"/>
  <c r="R101" i="1"/>
  <c r="S101" i="1"/>
  <c r="W101" i="1"/>
  <c r="EB139" i="1" s="1"/>
  <c r="DG267" i="3"/>
  <c r="DH267" i="3"/>
  <c r="DI267" i="3"/>
  <c r="DJ267" i="3" s="1"/>
  <c r="DF267" i="3"/>
  <c r="DF359" i="3"/>
  <c r="DG359" i="3"/>
  <c r="DJ359" i="3" s="1"/>
  <c r="DH359" i="3"/>
  <c r="DI359" i="3"/>
  <c r="DH326" i="3"/>
  <c r="DI326" i="3"/>
  <c r="DF326" i="3"/>
  <c r="DJ326" i="3" s="1"/>
  <c r="DG326" i="3"/>
  <c r="DH374" i="3"/>
  <c r="DI374" i="3"/>
  <c r="DG374" i="3"/>
  <c r="DF374" i="3"/>
  <c r="DJ374" i="3" s="1"/>
  <c r="X99" i="1"/>
  <c r="CY99" i="1"/>
  <c r="CZ99" i="1"/>
  <c r="Y99" i="1"/>
  <c r="CY137" i="1"/>
  <c r="CZ137" i="1"/>
  <c r="X137" i="1"/>
  <c r="GM137" i="1" s="1"/>
  <c r="GO137" i="1" s="1"/>
  <c r="Y137" i="1"/>
  <c r="DF355" i="3"/>
  <c r="DG355" i="3"/>
  <c r="DJ355" i="3" s="1"/>
  <c r="DH355" i="3"/>
  <c r="DI355" i="3"/>
  <c r="X119" i="1"/>
  <c r="Y119" i="1"/>
  <c r="CY119" i="1"/>
  <c r="CZ119" i="1"/>
  <c r="CP119" i="1"/>
  <c r="O119" i="1" s="1"/>
  <c r="DI189" i="3"/>
  <c r="DF189" i="3"/>
  <c r="DJ189" i="3" s="1"/>
  <c r="DG189" i="3"/>
  <c r="DH189" i="3"/>
  <c r="DF314" i="3"/>
  <c r="DJ314" i="3" s="1"/>
  <c r="DH314" i="3"/>
  <c r="DG314" i="3"/>
  <c r="DI314" i="3"/>
  <c r="X122" i="1"/>
  <c r="GM122" i="1" s="1"/>
  <c r="GN122" i="1" s="1"/>
  <c r="Y122" i="1"/>
  <c r="CY122" i="1"/>
  <c r="CZ122" i="1"/>
  <c r="DF366" i="3"/>
  <c r="DJ366" i="3" s="1"/>
  <c r="DG366" i="3"/>
  <c r="DH366" i="3"/>
  <c r="DI366" i="3"/>
  <c r="Y83" i="1"/>
  <c r="CZ83" i="1"/>
  <c r="X83" i="1"/>
  <c r="GM83" i="1" s="1"/>
  <c r="GO83" i="1" s="1"/>
  <c r="CY83" i="1"/>
  <c r="X135" i="1"/>
  <c r="GM135" i="1" s="1"/>
  <c r="GO135" i="1" s="1"/>
  <c r="Y135" i="1"/>
  <c r="CY135" i="1"/>
  <c r="CZ135" i="1"/>
  <c r="GX101" i="1"/>
  <c r="DF420" i="3"/>
  <c r="DG420" i="3"/>
  <c r="DJ420" i="3" s="1"/>
  <c r="DH420" i="3"/>
  <c r="DI420" i="3"/>
  <c r="DF544" i="3"/>
  <c r="DJ544" i="3" s="1"/>
  <c r="DI544" i="3"/>
  <c r="DG544" i="3"/>
  <c r="DH544" i="3"/>
  <c r="CP187" i="1"/>
  <c r="O187" i="1" s="1"/>
  <c r="GM187" i="1" s="1"/>
  <c r="GO187" i="1" s="1"/>
  <c r="CZ218" i="1"/>
  <c r="X218" i="1"/>
  <c r="GM218" i="1" s="1"/>
  <c r="GO218" i="1" s="1"/>
  <c r="Y218" i="1"/>
  <c r="CY218" i="1"/>
  <c r="DG430" i="3"/>
  <c r="DF430" i="3"/>
  <c r="DJ430" i="3" s="1"/>
  <c r="DH430" i="3"/>
  <c r="DI430" i="3"/>
  <c r="DH402" i="3"/>
  <c r="DI402" i="3"/>
  <c r="DF402" i="3"/>
  <c r="DJ402" i="3" s="1"/>
  <c r="DG402" i="3"/>
  <c r="DG514" i="3"/>
  <c r="DH514" i="3"/>
  <c r="DI514" i="3"/>
  <c r="DF514" i="3"/>
  <c r="DJ514" i="3" s="1"/>
  <c r="DF565" i="3"/>
  <c r="DJ565" i="3" s="1"/>
  <c r="DG565" i="3"/>
  <c r="DH565" i="3"/>
  <c r="DI565" i="3"/>
  <c r="DG498" i="3"/>
  <c r="DH498" i="3"/>
  <c r="DI498" i="3"/>
  <c r="DF498" i="3"/>
  <c r="DJ498" i="3" s="1"/>
  <c r="CP229" i="1"/>
  <c r="O229" i="1" s="1"/>
  <c r="GM229" i="1" s="1"/>
  <c r="GO229" i="1" s="1"/>
  <c r="Y219" i="1"/>
  <c r="CY219" i="1"/>
  <c r="CZ219" i="1"/>
  <c r="X219" i="1"/>
  <c r="S244" i="1"/>
  <c r="P244" i="1"/>
  <c r="Q244" i="1"/>
  <c r="R244" i="1"/>
  <c r="W244" i="1"/>
  <c r="Q240" i="1"/>
  <c r="CP240" i="1" s="1"/>
  <c r="O240" i="1" s="1"/>
  <c r="R240" i="1"/>
  <c r="S240" i="1"/>
  <c r="V240" i="1"/>
  <c r="DF630" i="3"/>
  <c r="DG630" i="3"/>
  <c r="DJ630" i="3" s="1"/>
  <c r="DH630" i="3"/>
  <c r="DI630" i="3"/>
  <c r="DH505" i="3"/>
  <c r="DI505" i="3"/>
  <c r="DF505" i="3"/>
  <c r="DJ505" i="3" s="1"/>
  <c r="DG505" i="3"/>
  <c r="DF635" i="3"/>
  <c r="DG635" i="3"/>
  <c r="DH635" i="3"/>
  <c r="DI635" i="3"/>
  <c r="DJ635" i="3" s="1"/>
  <c r="W219" i="1"/>
  <c r="DG606" i="3"/>
  <c r="DH606" i="3"/>
  <c r="DI606" i="3"/>
  <c r="DJ606" i="3" s="1"/>
  <c r="DF606" i="3"/>
  <c r="CP200" i="1"/>
  <c r="O200" i="1" s="1"/>
  <c r="GM200" i="1" s="1"/>
  <c r="GN200" i="1" s="1"/>
  <c r="DF524" i="3"/>
  <c r="DJ524" i="3" s="1"/>
  <c r="DH524" i="3"/>
  <c r="DI524" i="3"/>
  <c r="DG524" i="3"/>
  <c r="GM181" i="1"/>
  <c r="GO181" i="1" s="1"/>
  <c r="V244" i="1"/>
  <c r="GX244" i="1"/>
  <c r="DF242" i="3"/>
  <c r="DG242" i="3"/>
  <c r="DJ242" i="3" s="1"/>
  <c r="DI242" i="3"/>
  <c r="DH242" i="3"/>
  <c r="DF321" i="3"/>
  <c r="DJ321" i="3" s="1"/>
  <c r="DH321" i="3"/>
  <c r="DI321" i="3"/>
  <c r="DG321" i="3"/>
  <c r="DH31" i="3"/>
  <c r="DI31" i="3"/>
  <c r="DJ31" i="3" s="1"/>
  <c r="DF31" i="3"/>
  <c r="DG31" i="3"/>
  <c r="DF28" i="3"/>
  <c r="DJ28" i="3" s="1"/>
  <c r="DG28" i="3"/>
  <c r="DH28" i="3"/>
  <c r="DI28" i="3"/>
  <c r="DI122" i="3"/>
  <c r="DF122" i="3"/>
  <c r="DJ122" i="3" s="1"/>
  <c r="DH122" i="3"/>
  <c r="DG122" i="3"/>
  <c r="DG341" i="3"/>
  <c r="DJ341" i="3" s="1"/>
  <c r="DH341" i="3"/>
  <c r="DI341" i="3"/>
  <c r="DF341" i="3"/>
  <c r="DF265" i="3"/>
  <c r="DJ265" i="3" s="1"/>
  <c r="DG265" i="3"/>
  <c r="DH265" i="3"/>
  <c r="DI265" i="3"/>
  <c r="DF529" i="3"/>
  <c r="DJ529" i="3" s="1"/>
  <c r="DG529" i="3"/>
  <c r="DH529" i="3"/>
  <c r="DI529" i="3"/>
  <c r="DG36" i="3"/>
  <c r="DJ36" i="3" s="1"/>
  <c r="DH36" i="3"/>
  <c r="DI36" i="3"/>
  <c r="DF36" i="3"/>
  <c r="DH80" i="3"/>
  <c r="DF80" i="3"/>
  <c r="DG80" i="3"/>
  <c r="DJ80" i="3" s="1"/>
  <c r="DI80" i="3"/>
  <c r="DI67" i="3"/>
  <c r="DF67" i="3"/>
  <c r="DH67" i="3"/>
  <c r="DG67" i="3"/>
  <c r="DJ67" i="3" s="1"/>
  <c r="DF142" i="3"/>
  <c r="DJ142" i="3" s="1"/>
  <c r="DG142" i="3"/>
  <c r="DI142" i="3"/>
  <c r="DH142" i="3"/>
  <c r="DF193" i="3"/>
  <c r="DJ193" i="3" s="1"/>
  <c r="DG193" i="3"/>
  <c r="DH193" i="3"/>
  <c r="DI193" i="3"/>
  <c r="DF245" i="3"/>
  <c r="DJ245" i="3" s="1"/>
  <c r="DG245" i="3"/>
  <c r="DI245" i="3"/>
  <c r="DH245" i="3"/>
  <c r="DF254" i="3"/>
  <c r="DH254" i="3"/>
  <c r="DG254" i="3"/>
  <c r="DJ254" i="3" s="1"/>
  <c r="DI254" i="3"/>
  <c r="DG252" i="3"/>
  <c r="DI252" i="3"/>
  <c r="DJ252" i="3" s="1"/>
  <c r="DF252" i="3"/>
  <c r="DH252" i="3"/>
  <c r="DF271" i="3"/>
  <c r="DG271" i="3"/>
  <c r="DJ271" i="3" s="1"/>
  <c r="DH271" i="3"/>
  <c r="DI271" i="3"/>
  <c r="DF173" i="3"/>
  <c r="DJ173" i="3" s="1"/>
  <c r="DG173" i="3"/>
  <c r="DH173" i="3"/>
  <c r="DI173" i="3"/>
  <c r="DG327" i="3"/>
  <c r="DH327" i="3"/>
  <c r="DI327" i="3"/>
  <c r="DF327" i="3"/>
  <c r="DJ327" i="3" s="1"/>
  <c r="DF279" i="3"/>
  <c r="DJ279" i="3" s="1"/>
  <c r="DG279" i="3"/>
  <c r="DI279" i="3"/>
  <c r="DH279" i="3"/>
  <c r="DF229" i="3"/>
  <c r="DH229" i="3"/>
  <c r="DI229" i="3"/>
  <c r="DG229" i="3"/>
  <c r="DJ229" i="3" s="1"/>
  <c r="DF329" i="3"/>
  <c r="DJ329" i="3" s="1"/>
  <c r="DG329" i="3"/>
  <c r="DH329" i="3"/>
  <c r="DI329" i="3"/>
  <c r="DG433" i="3"/>
  <c r="DF433" i="3"/>
  <c r="DJ433" i="3" s="1"/>
  <c r="DH433" i="3"/>
  <c r="DI433" i="3"/>
  <c r="DG403" i="3"/>
  <c r="DH403" i="3"/>
  <c r="DI403" i="3"/>
  <c r="DF403" i="3"/>
  <c r="DJ403" i="3" s="1"/>
  <c r="DF482" i="3"/>
  <c r="DG482" i="3"/>
  <c r="DJ482" i="3" s="1"/>
  <c r="DH482" i="3"/>
  <c r="DI482" i="3"/>
  <c r="DG510" i="3"/>
  <c r="DH510" i="3"/>
  <c r="DF510" i="3"/>
  <c r="DJ510" i="3" s="1"/>
  <c r="DI510" i="3"/>
  <c r="DF509" i="3"/>
  <c r="DH509" i="3"/>
  <c r="DI509" i="3"/>
  <c r="DG509" i="3"/>
  <c r="DJ509" i="3" s="1"/>
  <c r="DF604" i="3"/>
  <c r="DJ604" i="3" s="1"/>
  <c r="DG604" i="3"/>
  <c r="DH604" i="3"/>
  <c r="DI604" i="3"/>
  <c r="DI107" i="3"/>
  <c r="DF107" i="3"/>
  <c r="DJ107" i="3" s="1"/>
  <c r="DH107" i="3"/>
  <c r="DG107" i="3"/>
  <c r="DI555" i="3"/>
  <c r="DF555" i="3"/>
  <c r="DJ555" i="3" s="1"/>
  <c r="DG555" i="3"/>
  <c r="DH555" i="3"/>
  <c r="DF85" i="3"/>
  <c r="DG85" i="3"/>
  <c r="DH85" i="3"/>
  <c r="DI85" i="3"/>
  <c r="DJ85" i="3" s="1"/>
  <c r="DF592" i="3"/>
  <c r="DG592" i="3"/>
  <c r="DJ592" i="3" s="1"/>
  <c r="DH592" i="3"/>
  <c r="DI592" i="3"/>
  <c r="DH112" i="3"/>
  <c r="DF112" i="3"/>
  <c r="DJ112" i="3" s="1"/>
  <c r="DG112" i="3"/>
  <c r="DI112" i="3"/>
  <c r="CP45" i="1"/>
  <c r="O45" i="1" s="1"/>
  <c r="GM45" i="1" s="1"/>
  <c r="GN45" i="1" s="1"/>
  <c r="Q77" i="1"/>
  <c r="DV139" i="1" s="1"/>
  <c r="R77" i="1"/>
  <c r="DW139" i="1" s="1"/>
  <c r="S77" i="1"/>
  <c r="T77" i="1"/>
  <c r="DY139" i="1" s="1"/>
  <c r="U77" i="1"/>
  <c r="DZ139" i="1" s="1"/>
  <c r="GM46" i="1"/>
  <c r="DF149" i="3"/>
  <c r="DJ149" i="3" s="1"/>
  <c r="DG149" i="3"/>
  <c r="DH149" i="3"/>
  <c r="DI149" i="3"/>
  <c r="DF89" i="3"/>
  <c r="DI89" i="3"/>
  <c r="DJ89" i="3" s="1"/>
  <c r="DG89" i="3"/>
  <c r="DH89" i="3"/>
  <c r="DF141" i="3"/>
  <c r="DJ141" i="3" s="1"/>
  <c r="DG141" i="3"/>
  <c r="DH141" i="3"/>
  <c r="DI141" i="3"/>
  <c r="Y62" i="1"/>
  <c r="CZ62" i="1"/>
  <c r="X62" i="1"/>
  <c r="GM62" i="1" s="1"/>
  <c r="GO62" i="1" s="1"/>
  <c r="CY62" i="1"/>
  <c r="DF632" i="3"/>
  <c r="DG632" i="3"/>
  <c r="DJ632" i="3" s="1"/>
  <c r="DH632" i="3"/>
  <c r="DI632" i="3"/>
  <c r="CY64" i="1"/>
  <c r="X64" i="1"/>
  <c r="Y64" i="1"/>
  <c r="CZ64" i="1"/>
  <c r="DF182" i="3"/>
  <c r="DJ182" i="3" s="1"/>
  <c r="DG182" i="3"/>
  <c r="DH182" i="3"/>
  <c r="DI182" i="3"/>
  <c r="DG233" i="3"/>
  <c r="DH233" i="3"/>
  <c r="DI233" i="3"/>
  <c r="DF233" i="3"/>
  <c r="DJ233" i="3" s="1"/>
  <c r="DG225" i="3"/>
  <c r="DF225" i="3"/>
  <c r="DJ225" i="3" s="1"/>
  <c r="DH225" i="3"/>
  <c r="DI225" i="3"/>
  <c r="GX86" i="1"/>
  <c r="DG281" i="3"/>
  <c r="DH281" i="3"/>
  <c r="DI281" i="3"/>
  <c r="DF281" i="3"/>
  <c r="DJ281" i="3" s="1"/>
  <c r="DI273" i="3"/>
  <c r="DF273" i="3"/>
  <c r="DJ273" i="3" s="1"/>
  <c r="DG273" i="3"/>
  <c r="DH273" i="3"/>
  <c r="CP99" i="1"/>
  <c r="O99" i="1" s="1"/>
  <c r="GM99" i="1" s="1"/>
  <c r="GO99" i="1" s="1"/>
  <c r="CY128" i="1"/>
  <c r="CZ128" i="1"/>
  <c r="X128" i="1"/>
  <c r="GM128" i="1" s="1"/>
  <c r="GN128" i="1" s="1"/>
  <c r="Y128" i="1"/>
  <c r="DF202" i="3"/>
  <c r="DG202" i="3"/>
  <c r="DJ202" i="3" s="1"/>
  <c r="DH202" i="3"/>
  <c r="DI202" i="3"/>
  <c r="DH317" i="3"/>
  <c r="DI317" i="3"/>
  <c r="DF317" i="3"/>
  <c r="DG317" i="3"/>
  <c r="DJ317" i="3" s="1"/>
  <c r="DI372" i="3"/>
  <c r="DF372" i="3"/>
  <c r="DG372" i="3"/>
  <c r="DJ372" i="3" s="1"/>
  <c r="DH372" i="3"/>
  <c r="DF294" i="3"/>
  <c r="DJ294" i="3" s="1"/>
  <c r="DG294" i="3"/>
  <c r="DH294" i="3"/>
  <c r="DI294" i="3"/>
  <c r="EV26" i="1"/>
  <c r="P164" i="1"/>
  <c r="EV286" i="1"/>
  <c r="GM120" i="1"/>
  <c r="GN120" i="1" s="1"/>
  <c r="DF311" i="3"/>
  <c r="DJ311" i="3" s="1"/>
  <c r="DG311" i="3"/>
  <c r="DH311" i="3"/>
  <c r="DI311" i="3"/>
  <c r="DG365" i="3"/>
  <c r="DJ365" i="3" s="1"/>
  <c r="DH365" i="3"/>
  <c r="DI365" i="3"/>
  <c r="DF365" i="3"/>
  <c r="DH253" i="3"/>
  <c r="DF253" i="3"/>
  <c r="DG253" i="3"/>
  <c r="DJ253" i="3" s="1"/>
  <c r="DI253" i="3"/>
  <c r="DF462" i="3"/>
  <c r="DJ462" i="3" s="1"/>
  <c r="DG462" i="3"/>
  <c r="DH462" i="3"/>
  <c r="DI462" i="3"/>
  <c r="DH537" i="3"/>
  <c r="DF537" i="3"/>
  <c r="DG537" i="3"/>
  <c r="DJ537" i="3" s="1"/>
  <c r="DI537" i="3"/>
  <c r="CZ221" i="1"/>
  <c r="X221" i="1"/>
  <c r="CY221" i="1"/>
  <c r="Y221" i="1"/>
  <c r="DF582" i="3"/>
  <c r="DJ582" i="3" s="1"/>
  <c r="DG582" i="3"/>
  <c r="DH582" i="3"/>
  <c r="DI582" i="3"/>
  <c r="DF395" i="3"/>
  <c r="DJ395" i="3" s="1"/>
  <c r="DH395" i="3"/>
  <c r="DI395" i="3"/>
  <c r="DG395" i="3"/>
  <c r="CP173" i="1"/>
  <c r="O173" i="1" s="1"/>
  <c r="AD256" i="1"/>
  <c r="DF436" i="3"/>
  <c r="DG436" i="3"/>
  <c r="DJ436" i="3" s="1"/>
  <c r="DH436" i="3"/>
  <c r="DI436" i="3"/>
  <c r="DF457" i="3"/>
  <c r="DJ457" i="3" s="1"/>
  <c r="DG457" i="3"/>
  <c r="DH457" i="3"/>
  <c r="DI457" i="3"/>
  <c r="DF493" i="3"/>
  <c r="DH493" i="3"/>
  <c r="DI493" i="3"/>
  <c r="DG493" i="3"/>
  <c r="DJ493" i="3" s="1"/>
  <c r="BC171" i="1"/>
  <c r="F272" i="1"/>
  <c r="DI504" i="3"/>
  <c r="DF504" i="3"/>
  <c r="DJ504" i="3" s="1"/>
  <c r="DG504" i="3"/>
  <c r="DH504" i="3"/>
  <c r="Y222" i="1"/>
  <c r="CY222" i="1"/>
  <c r="X222" i="1"/>
  <c r="GM222" i="1" s="1"/>
  <c r="GO222" i="1" s="1"/>
  <c r="CZ222" i="1"/>
  <c r="CP248" i="1"/>
  <c r="O248" i="1" s="1"/>
  <c r="GM248" i="1" s="1"/>
  <c r="GN248" i="1" s="1"/>
  <c r="Q221" i="1"/>
  <c r="R221" i="1"/>
  <c r="GX221" i="1"/>
  <c r="P221" i="1"/>
  <c r="T221" i="1"/>
  <c r="V221" i="1"/>
  <c r="AH256" i="1"/>
  <c r="DF521" i="3"/>
  <c r="DJ521" i="3" s="1"/>
  <c r="DG521" i="3"/>
  <c r="DH521" i="3"/>
  <c r="DI521" i="3"/>
  <c r="GM235" i="1"/>
  <c r="GO235" i="1" s="1"/>
  <c r="V217" i="1"/>
  <c r="CZ235" i="1"/>
  <c r="X235" i="1"/>
  <c r="Y235" i="1"/>
  <c r="CY235" i="1"/>
  <c r="CP211" i="1"/>
  <c r="O211" i="1" s="1"/>
  <c r="GM211" i="1" s="1"/>
  <c r="GO211" i="1" s="1"/>
  <c r="V203" i="1"/>
  <c r="AI256" i="1" s="1"/>
  <c r="DF183" i="3"/>
  <c r="DG183" i="3"/>
  <c r="DH183" i="3"/>
  <c r="DI183" i="3"/>
  <c r="DJ183" i="3" s="1"/>
  <c r="DG339" i="3"/>
  <c r="DF339" i="3"/>
  <c r="DH339" i="3"/>
  <c r="DI339" i="3"/>
  <c r="DJ339" i="3" s="1"/>
  <c r="DF488" i="3"/>
  <c r="DJ488" i="3" s="1"/>
  <c r="DG488" i="3"/>
  <c r="DH488" i="3"/>
  <c r="DI488" i="3"/>
  <c r="DG361" i="3"/>
  <c r="DH361" i="3"/>
  <c r="DF361" i="3"/>
  <c r="DJ361" i="3" s="1"/>
  <c r="DI361" i="3"/>
  <c r="DF200" i="3"/>
  <c r="DG200" i="3"/>
  <c r="DJ200" i="3" s="1"/>
  <c r="DH200" i="3"/>
  <c r="DI200" i="3"/>
  <c r="DG259" i="3"/>
  <c r="DF259" i="3"/>
  <c r="DJ259" i="3" s="1"/>
  <c r="DH259" i="3"/>
  <c r="DI259" i="3"/>
  <c r="DH448" i="3"/>
  <c r="DF448" i="3"/>
  <c r="DJ448" i="3" s="1"/>
  <c r="DG448" i="3"/>
  <c r="DI448" i="3"/>
  <c r="DI35" i="3"/>
  <c r="DF35" i="3"/>
  <c r="DG35" i="3"/>
  <c r="DJ35" i="3" s="1"/>
  <c r="DH35" i="3"/>
  <c r="DH76" i="3"/>
  <c r="DF76" i="3"/>
  <c r="DG76" i="3"/>
  <c r="DI76" i="3"/>
  <c r="DJ76" i="3" s="1"/>
  <c r="DF191" i="3"/>
  <c r="DG191" i="3"/>
  <c r="DH191" i="3"/>
  <c r="DI191" i="3"/>
  <c r="DJ191" i="3" s="1"/>
  <c r="DG91" i="3"/>
  <c r="DI91" i="3"/>
  <c r="DF91" i="3"/>
  <c r="DJ91" i="3" s="1"/>
  <c r="DH91" i="3"/>
  <c r="DG121" i="3"/>
  <c r="DF121" i="3"/>
  <c r="DJ121" i="3" s="1"/>
  <c r="DH121" i="3"/>
  <c r="DI121" i="3"/>
  <c r="DF158" i="3"/>
  <c r="DJ158" i="3" s="1"/>
  <c r="DG158" i="3"/>
  <c r="DI158" i="3"/>
  <c r="DH158" i="3"/>
  <c r="DF220" i="3"/>
  <c r="DG220" i="3"/>
  <c r="DJ220" i="3" s="1"/>
  <c r="DH220" i="3"/>
  <c r="DI220" i="3"/>
  <c r="DG205" i="3"/>
  <c r="DH205" i="3"/>
  <c r="DI205" i="3"/>
  <c r="DF205" i="3"/>
  <c r="DJ205" i="3" s="1"/>
  <c r="DF324" i="3"/>
  <c r="DJ324" i="3" s="1"/>
  <c r="DG324" i="3"/>
  <c r="DH324" i="3"/>
  <c r="DI324" i="3"/>
  <c r="DG293" i="3"/>
  <c r="DH293" i="3"/>
  <c r="DI293" i="3"/>
  <c r="DF293" i="3"/>
  <c r="DJ293" i="3" s="1"/>
  <c r="DF336" i="3"/>
  <c r="DG336" i="3"/>
  <c r="DJ336" i="3" s="1"/>
  <c r="DI336" i="3"/>
  <c r="DH336" i="3"/>
  <c r="DF286" i="3"/>
  <c r="DG286" i="3"/>
  <c r="DJ286" i="3" s="1"/>
  <c r="DI286" i="3"/>
  <c r="DH286" i="3"/>
  <c r="DF290" i="3"/>
  <c r="DJ290" i="3" s="1"/>
  <c r="DG290" i="3"/>
  <c r="DH290" i="3"/>
  <c r="DI290" i="3"/>
  <c r="DF278" i="3"/>
  <c r="DJ278" i="3" s="1"/>
  <c r="DG278" i="3"/>
  <c r="DH278" i="3"/>
  <c r="DI278" i="3"/>
  <c r="DF485" i="3"/>
  <c r="DG485" i="3"/>
  <c r="DJ485" i="3" s="1"/>
  <c r="DH485" i="3"/>
  <c r="DI485" i="3"/>
  <c r="DF389" i="3"/>
  <c r="DJ389" i="3" s="1"/>
  <c r="DH389" i="3"/>
  <c r="DI389" i="3"/>
  <c r="DG389" i="3"/>
  <c r="DF517" i="3"/>
  <c r="DH517" i="3"/>
  <c r="DI517" i="3"/>
  <c r="DG517" i="3"/>
  <c r="DJ517" i="3" s="1"/>
  <c r="DH483" i="3"/>
  <c r="DI483" i="3"/>
  <c r="DF483" i="3"/>
  <c r="DG483" i="3"/>
  <c r="DJ483" i="3" s="1"/>
  <c r="DG611" i="3"/>
  <c r="DH611" i="3"/>
  <c r="DF611" i="3"/>
  <c r="DJ611" i="3" s="1"/>
  <c r="DI611" i="3"/>
  <c r="DF480" i="3"/>
  <c r="DJ480" i="3" s="1"/>
  <c r="DG480" i="3"/>
  <c r="DH480" i="3"/>
  <c r="DI480" i="3"/>
  <c r="DI572" i="3"/>
  <c r="DF572" i="3"/>
  <c r="DJ572" i="3" s="1"/>
  <c r="DG572" i="3"/>
  <c r="DH572" i="3"/>
  <c r="DF21" i="3"/>
  <c r="DG21" i="3"/>
  <c r="DH21" i="3"/>
  <c r="DI21" i="3"/>
  <c r="DJ21" i="3" s="1"/>
  <c r="DI109" i="3"/>
  <c r="DJ109" i="3" s="1"/>
  <c r="DH109" i="3"/>
  <c r="DF109" i="3"/>
  <c r="DG109" i="3"/>
  <c r="DH610" i="3"/>
  <c r="DI610" i="3"/>
  <c r="DF610" i="3"/>
  <c r="DJ610" i="3" s="1"/>
  <c r="DG610" i="3"/>
  <c r="DF150" i="3"/>
  <c r="DJ150" i="3" s="1"/>
  <c r="DG150" i="3"/>
  <c r="DH150" i="3"/>
  <c r="DI150" i="3"/>
  <c r="P70" i="1"/>
  <c r="Q70" i="1"/>
  <c r="R70" i="1"/>
  <c r="V70" i="1"/>
  <c r="CP43" i="1"/>
  <c r="O43" i="1" s="1"/>
  <c r="GM43" i="1" s="1"/>
  <c r="GO43" i="1" s="1"/>
  <c r="DF87" i="3"/>
  <c r="DG87" i="3"/>
  <c r="DI87" i="3"/>
  <c r="DJ87" i="3" s="1"/>
  <c r="DH87" i="3"/>
  <c r="DH162" i="3"/>
  <c r="DI162" i="3"/>
  <c r="DF162" i="3"/>
  <c r="DG162" i="3"/>
  <c r="DJ162" i="3" s="1"/>
  <c r="DF194" i="3"/>
  <c r="DJ194" i="3" s="1"/>
  <c r="DG194" i="3"/>
  <c r="DH194" i="3"/>
  <c r="DI194" i="3"/>
  <c r="Y52" i="1"/>
  <c r="CY52" i="1"/>
  <c r="X52" i="1"/>
  <c r="GM52" i="1" s="1"/>
  <c r="GO52" i="1" s="1"/>
  <c r="CZ52" i="1"/>
  <c r="DF181" i="3"/>
  <c r="DJ181" i="3" s="1"/>
  <c r="DG181" i="3"/>
  <c r="DH181" i="3"/>
  <c r="DI181" i="3"/>
  <c r="DH232" i="3"/>
  <c r="DI232" i="3"/>
  <c r="DF232" i="3"/>
  <c r="DG232" i="3"/>
  <c r="DJ232" i="3" s="1"/>
  <c r="S60" i="1"/>
  <c r="T91" i="1"/>
  <c r="GX70" i="1"/>
  <c r="DF282" i="3"/>
  <c r="DJ282" i="3" s="1"/>
  <c r="DG282" i="3"/>
  <c r="DH282" i="3"/>
  <c r="DI282" i="3"/>
  <c r="DF318" i="3"/>
  <c r="DG318" i="3"/>
  <c r="DJ318" i="3" s="1"/>
  <c r="DH318" i="3"/>
  <c r="DI318" i="3"/>
  <c r="DF370" i="3"/>
  <c r="DG370" i="3"/>
  <c r="DH370" i="3"/>
  <c r="DI370" i="3"/>
  <c r="DJ370" i="3" s="1"/>
  <c r="W80" i="1"/>
  <c r="Q80" i="1"/>
  <c r="R80" i="1"/>
  <c r="T80" i="1"/>
  <c r="DF285" i="3"/>
  <c r="DG285" i="3"/>
  <c r="DJ285" i="3" s="1"/>
  <c r="DH285" i="3"/>
  <c r="DI285" i="3"/>
  <c r="CP76" i="1"/>
  <c r="O76" i="1" s="1"/>
  <c r="GM76" i="1" s="1"/>
  <c r="GO76" i="1" s="1"/>
  <c r="DI353" i="3"/>
  <c r="DJ353" i="3" s="1"/>
  <c r="DF353" i="3"/>
  <c r="DG353" i="3"/>
  <c r="DH353" i="3"/>
  <c r="P86" i="1"/>
  <c r="CZ90" i="1"/>
  <c r="X90" i="1"/>
  <c r="GM90" i="1" s="1"/>
  <c r="GO90" i="1" s="1"/>
  <c r="Y90" i="1"/>
  <c r="CY90" i="1"/>
  <c r="DF345" i="3"/>
  <c r="DJ345" i="3" s="1"/>
  <c r="DI345" i="3"/>
  <c r="DG345" i="3"/>
  <c r="DH345" i="3"/>
  <c r="DF364" i="3"/>
  <c r="DI364" i="3"/>
  <c r="DH364" i="3"/>
  <c r="DG364" i="3"/>
  <c r="DJ364" i="3" s="1"/>
  <c r="CY85" i="1"/>
  <c r="CZ85" i="1"/>
  <c r="Y85" i="1"/>
  <c r="X85" i="1"/>
  <c r="GM85" i="1" s="1"/>
  <c r="GO85" i="1" s="1"/>
  <c r="X109" i="1"/>
  <c r="GM109" i="1" s="1"/>
  <c r="GO109" i="1" s="1"/>
  <c r="Y109" i="1"/>
  <c r="CY109" i="1"/>
  <c r="CZ109" i="1"/>
  <c r="DG338" i="3"/>
  <c r="DF338" i="3"/>
  <c r="DJ338" i="3" s="1"/>
  <c r="DH338" i="3"/>
  <c r="DI338" i="3"/>
  <c r="CY103" i="1"/>
  <c r="X103" i="1"/>
  <c r="Y103" i="1"/>
  <c r="CZ103" i="1"/>
  <c r="DF260" i="3"/>
  <c r="DJ260" i="3" s="1"/>
  <c r="DG260" i="3"/>
  <c r="DH260" i="3"/>
  <c r="DI260" i="3"/>
  <c r="DF460" i="3"/>
  <c r="DG460" i="3"/>
  <c r="DJ460" i="3" s="1"/>
  <c r="DH460" i="3"/>
  <c r="DI460" i="3"/>
  <c r="DF486" i="3"/>
  <c r="DG486" i="3"/>
  <c r="DJ486" i="3" s="1"/>
  <c r="DH486" i="3"/>
  <c r="DI486" i="3"/>
  <c r="CZ191" i="1"/>
  <c r="X191" i="1"/>
  <c r="GM191" i="1" s="1"/>
  <c r="GO191" i="1" s="1"/>
  <c r="CY191" i="1"/>
  <c r="Y191" i="1"/>
  <c r="DH569" i="3"/>
  <c r="DI569" i="3"/>
  <c r="DF569" i="3"/>
  <c r="DG569" i="3"/>
  <c r="DJ569" i="3" s="1"/>
  <c r="DG396" i="3"/>
  <c r="DI396" i="3"/>
  <c r="DF396" i="3"/>
  <c r="DJ396" i="3" s="1"/>
  <c r="DH396" i="3"/>
  <c r="DH513" i="3"/>
  <c r="DI513" i="3"/>
  <c r="DG513" i="3"/>
  <c r="DF513" i="3"/>
  <c r="DJ513" i="3" s="1"/>
  <c r="DG388" i="3"/>
  <c r="DI388" i="3"/>
  <c r="DF388" i="3"/>
  <c r="DJ388" i="3" s="1"/>
  <c r="DH388" i="3"/>
  <c r="DH552" i="3"/>
  <c r="DI552" i="3"/>
  <c r="DF552" i="3"/>
  <c r="DG552" i="3"/>
  <c r="DJ552" i="3" s="1"/>
  <c r="DF454" i="3"/>
  <c r="DJ454" i="3" s="1"/>
  <c r="DG454" i="3"/>
  <c r="DH454" i="3"/>
  <c r="DI454" i="3"/>
  <c r="CJ256" i="1"/>
  <c r="CP220" i="1"/>
  <c r="O220" i="1" s="1"/>
  <c r="GM220" i="1" s="1"/>
  <c r="GO220" i="1" s="1"/>
  <c r="X196" i="1"/>
  <c r="GM196" i="1" s="1"/>
  <c r="GN196" i="1" s="1"/>
  <c r="Y196" i="1"/>
  <c r="CZ196" i="1"/>
  <c r="CY196" i="1"/>
  <c r="DI634" i="3"/>
  <c r="DF634" i="3"/>
  <c r="DJ634" i="3" s="1"/>
  <c r="DG634" i="3"/>
  <c r="DH634" i="3"/>
  <c r="DG502" i="3"/>
  <c r="DH502" i="3"/>
  <c r="DI502" i="3"/>
  <c r="DF502" i="3"/>
  <c r="DJ502" i="3" s="1"/>
  <c r="DF608" i="3"/>
  <c r="DI608" i="3"/>
  <c r="DG608" i="3"/>
  <c r="DJ608" i="3" s="1"/>
  <c r="DH608" i="3"/>
  <c r="CY175" i="1"/>
  <c r="CZ175" i="1"/>
  <c r="X175" i="1"/>
  <c r="Y175" i="1"/>
  <c r="AF256" i="1"/>
  <c r="DI531" i="3"/>
  <c r="DF531" i="3"/>
  <c r="DJ531" i="3" s="1"/>
  <c r="DG531" i="3"/>
  <c r="DH531" i="3"/>
  <c r="Y226" i="1"/>
  <c r="CZ226" i="1"/>
  <c r="X226" i="1"/>
  <c r="GM226" i="1" s="1"/>
  <c r="GO226" i="1" s="1"/>
  <c r="CY226" i="1"/>
  <c r="DH621" i="3"/>
  <c r="DI621" i="3"/>
  <c r="DJ621" i="3" s="1"/>
  <c r="DF621" i="3"/>
  <c r="DG621" i="3"/>
  <c r="V91" i="1"/>
  <c r="EM171" i="1"/>
  <c r="P275" i="1"/>
  <c r="CP239" i="1"/>
  <c r="O239" i="1" s="1"/>
  <c r="GM239" i="1" s="1"/>
  <c r="GO239" i="1" s="1"/>
  <c r="T244" i="1"/>
  <c r="DI117" i="3"/>
  <c r="DF117" i="3"/>
  <c r="DJ117" i="3" s="1"/>
  <c r="DG117" i="3"/>
  <c r="DH117" i="3"/>
  <c r="DG305" i="3"/>
  <c r="DH305" i="3"/>
  <c r="DF305" i="3"/>
  <c r="DJ305" i="3" s="1"/>
  <c r="DI305" i="3"/>
  <c r="DF439" i="3"/>
  <c r="DJ439" i="3" s="1"/>
  <c r="DI439" i="3"/>
  <c r="DG439" i="3"/>
  <c r="DH439" i="3"/>
  <c r="DG105" i="3"/>
  <c r="DI105" i="3"/>
  <c r="DJ105" i="3" s="1"/>
  <c r="DF105" i="3"/>
  <c r="DH105" i="3"/>
  <c r="DF461" i="3"/>
  <c r="DJ461" i="3" s="1"/>
  <c r="DG461" i="3"/>
  <c r="DH461" i="3"/>
  <c r="DI461" i="3"/>
  <c r="DF622" i="3"/>
  <c r="DG622" i="3"/>
  <c r="DJ622" i="3" s="1"/>
  <c r="DH622" i="3"/>
  <c r="DI622" i="3"/>
  <c r="DF577" i="3"/>
  <c r="DJ577" i="3" s="1"/>
  <c r="DG577" i="3"/>
  <c r="DH577" i="3"/>
  <c r="DI577" i="3"/>
  <c r="DG24" i="3"/>
  <c r="DJ24" i="3" s="1"/>
  <c r="DH24" i="3"/>
  <c r="DI24" i="3"/>
  <c r="DF24" i="3"/>
  <c r="DG172" i="3"/>
  <c r="DF172" i="3"/>
  <c r="DJ172" i="3" s="1"/>
  <c r="DH172" i="3"/>
  <c r="DI172" i="3"/>
  <c r="DH490" i="3"/>
  <c r="DI490" i="3"/>
  <c r="DJ490" i="3" s="1"/>
  <c r="DF490" i="3"/>
  <c r="DG490" i="3"/>
  <c r="DF195" i="3"/>
  <c r="DJ195" i="3" s="1"/>
  <c r="DG195" i="3"/>
  <c r="DH195" i="3"/>
  <c r="DI195" i="3"/>
  <c r="DF348" i="3"/>
  <c r="DG348" i="3"/>
  <c r="DJ348" i="3" s="1"/>
  <c r="DH348" i="3"/>
  <c r="DI348" i="3"/>
  <c r="DH93" i="3"/>
  <c r="DG93" i="3"/>
  <c r="DI93" i="3"/>
  <c r="DJ93" i="3" s="1"/>
  <c r="DF93" i="3"/>
  <c r="DI69" i="3"/>
  <c r="DF69" i="3"/>
  <c r="DG69" i="3"/>
  <c r="DJ69" i="3" s="1"/>
  <c r="DH69" i="3"/>
  <c r="DH1" i="3"/>
  <c r="DG1" i="3"/>
  <c r="DI1" i="3"/>
  <c r="DJ1" i="3" s="1"/>
  <c r="DF1" i="3"/>
  <c r="DF143" i="3"/>
  <c r="DJ143" i="3" s="1"/>
  <c r="DI143" i="3"/>
  <c r="DG143" i="3"/>
  <c r="DH143" i="3"/>
  <c r="DF116" i="3"/>
  <c r="DJ116" i="3" s="1"/>
  <c r="DH116" i="3"/>
  <c r="DI116" i="3"/>
  <c r="DG116" i="3"/>
  <c r="DF186" i="3"/>
  <c r="DJ186" i="3" s="1"/>
  <c r="DG186" i="3"/>
  <c r="DH186" i="3"/>
  <c r="DI186" i="3"/>
  <c r="DF208" i="3"/>
  <c r="DG208" i="3"/>
  <c r="DH208" i="3"/>
  <c r="DI208" i="3"/>
  <c r="DJ208" i="3" s="1"/>
  <c r="DF223" i="3"/>
  <c r="DJ223" i="3" s="1"/>
  <c r="DG223" i="3"/>
  <c r="DI223" i="3"/>
  <c r="DH223" i="3"/>
  <c r="DF187" i="3"/>
  <c r="DJ187" i="3" s="1"/>
  <c r="DG187" i="3"/>
  <c r="DH187" i="3"/>
  <c r="DI187" i="3"/>
  <c r="DG301" i="3"/>
  <c r="DJ301" i="3" s="1"/>
  <c r="DH301" i="3"/>
  <c r="DI301" i="3"/>
  <c r="DF301" i="3"/>
  <c r="DF283" i="3"/>
  <c r="DG283" i="3"/>
  <c r="DH283" i="3"/>
  <c r="DI283" i="3"/>
  <c r="DJ283" i="3" s="1"/>
  <c r="DF312" i="3"/>
  <c r="DJ312" i="3" s="1"/>
  <c r="DG312" i="3"/>
  <c r="DH312" i="3"/>
  <c r="DI312" i="3"/>
  <c r="DF333" i="3"/>
  <c r="DJ333" i="3" s="1"/>
  <c r="DG333" i="3"/>
  <c r="DH333" i="3"/>
  <c r="DI333" i="3"/>
  <c r="DH440" i="3"/>
  <c r="DF440" i="3"/>
  <c r="DJ440" i="3" s="1"/>
  <c r="DG440" i="3"/>
  <c r="DI440" i="3"/>
  <c r="DG344" i="3"/>
  <c r="DF344" i="3"/>
  <c r="DJ344" i="3" s="1"/>
  <c r="DH344" i="3"/>
  <c r="DI344" i="3"/>
  <c r="DG425" i="3"/>
  <c r="DF425" i="3"/>
  <c r="DJ425" i="3" s="1"/>
  <c r="DH425" i="3"/>
  <c r="DI425" i="3"/>
  <c r="DF266" i="3"/>
  <c r="DJ266" i="3" s="1"/>
  <c r="DG266" i="3"/>
  <c r="DH266" i="3"/>
  <c r="DI266" i="3"/>
  <c r="DF406" i="3"/>
  <c r="DI406" i="3"/>
  <c r="DG406" i="3"/>
  <c r="DJ406" i="3" s="1"/>
  <c r="DH406" i="3"/>
  <c r="DF423" i="3"/>
  <c r="DJ423" i="3" s="1"/>
  <c r="DI423" i="3"/>
  <c r="DG423" i="3"/>
  <c r="DH423" i="3"/>
  <c r="DF377" i="3"/>
  <c r="DG377" i="3"/>
  <c r="DH377" i="3"/>
  <c r="DI377" i="3"/>
  <c r="DJ377" i="3" s="1"/>
  <c r="DF471" i="3"/>
  <c r="DJ471" i="3" s="1"/>
  <c r="DG471" i="3"/>
  <c r="DH471" i="3"/>
  <c r="DI471" i="3"/>
  <c r="DH38" i="3"/>
  <c r="DI38" i="3"/>
  <c r="DF38" i="3"/>
  <c r="DJ38" i="3" s="1"/>
  <c r="DG38" i="3"/>
  <c r="DF507" i="3"/>
  <c r="DG507" i="3"/>
  <c r="DH507" i="3"/>
  <c r="DI507" i="3"/>
  <c r="DJ507" i="3" s="1"/>
  <c r="DG106" i="3"/>
  <c r="DJ106" i="3" s="1"/>
  <c r="DF106" i="3"/>
  <c r="DH106" i="3"/>
  <c r="DI106" i="3"/>
  <c r="DF589" i="3"/>
  <c r="DJ589" i="3" s="1"/>
  <c r="DG589" i="3"/>
  <c r="DH589" i="3"/>
  <c r="DI589" i="3"/>
  <c r="DF567" i="3"/>
  <c r="DG567" i="3"/>
  <c r="DJ567" i="3" s="1"/>
  <c r="DH567" i="3"/>
  <c r="DI567" i="3"/>
  <c r="DG27" i="3"/>
  <c r="DH27" i="3"/>
  <c r="DF27" i="3"/>
  <c r="DJ27" i="3" s="1"/>
  <c r="DI27" i="3"/>
  <c r="DF553" i="3"/>
  <c r="DG553" i="3"/>
  <c r="DJ553" i="3" s="1"/>
  <c r="DH553" i="3"/>
  <c r="DI553" i="3"/>
  <c r="FR50" i="1"/>
  <c r="BY139" i="1" s="1"/>
  <c r="CP50" i="1"/>
  <c r="O50" i="1" s="1"/>
  <c r="GM50" i="1" s="1"/>
  <c r="DH139" i="3"/>
  <c r="DI139" i="3"/>
  <c r="DF139" i="3"/>
  <c r="DG139" i="3"/>
  <c r="DJ139" i="3" s="1"/>
  <c r="DF192" i="3"/>
  <c r="DG192" i="3"/>
  <c r="DJ192" i="3" s="1"/>
  <c r="DH192" i="3"/>
  <c r="DI192" i="3"/>
  <c r="GM59" i="1"/>
  <c r="GO59" i="1" s="1"/>
  <c r="DI248" i="3"/>
  <c r="DF248" i="3"/>
  <c r="DJ248" i="3" s="1"/>
  <c r="DG248" i="3"/>
  <c r="DH248" i="3"/>
  <c r="DG180" i="3"/>
  <c r="DF180" i="3"/>
  <c r="DJ180" i="3" s="1"/>
  <c r="DH180" i="3"/>
  <c r="DI180" i="3"/>
  <c r="DI211" i="3"/>
  <c r="DF211" i="3"/>
  <c r="DG211" i="3"/>
  <c r="DJ211" i="3" s="1"/>
  <c r="DH211" i="3"/>
  <c r="DF270" i="3"/>
  <c r="DH270" i="3"/>
  <c r="DI270" i="3"/>
  <c r="DG270" i="3"/>
  <c r="DJ270" i="3" s="1"/>
  <c r="CP71" i="1"/>
  <c r="O71" i="1" s="1"/>
  <c r="GM71" i="1" s="1"/>
  <c r="GO71" i="1" s="1"/>
  <c r="CP78" i="1"/>
  <c r="O78" i="1" s="1"/>
  <c r="GM78" i="1" s="1"/>
  <c r="GO78" i="1" s="1"/>
  <c r="DF328" i="3"/>
  <c r="DJ328" i="3" s="1"/>
  <c r="DG328" i="3"/>
  <c r="DH328" i="3"/>
  <c r="DI328" i="3"/>
  <c r="GM58" i="1"/>
  <c r="GO58" i="1" s="1"/>
  <c r="CZ81" i="1"/>
  <c r="X81" i="1"/>
  <c r="GM81" i="1" s="1"/>
  <c r="GO81" i="1" s="1"/>
  <c r="Y81" i="1"/>
  <c r="CY81" i="1"/>
  <c r="DH292" i="3"/>
  <c r="DI292" i="3"/>
  <c r="DG292" i="3"/>
  <c r="DF292" i="3"/>
  <c r="DJ292" i="3" s="1"/>
  <c r="GX60" i="1"/>
  <c r="W104" i="1"/>
  <c r="Q104" i="1"/>
  <c r="CP104" i="1" s="1"/>
  <c r="O104" i="1" s="1"/>
  <c r="GM104" i="1" s="1"/>
  <c r="GO104" i="1" s="1"/>
  <c r="R104" i="1"/>
  <c r="X124" i="1"/>
  <c r="Y124" i="1"/>
  <c r="CY124" i="1"/>
  <c r="CZ124" i="1"/>
  <c r="CP124" i="1"/>
  <c r="O124" i="1" s="1"/>
  <c r="U70" i="1"/>
  <c r="AH139" i="1" s="1"/>
  <c r="DF302" i="3"/>
  <c r="DG302" i="3"/>
  <c r="DJ302" i="3" s="1"/>
  <c r="DH302" i="3"/>
  <c r="DI302" i="3"/>
  <c r="S86" i="1"/>
  <c r="DF335" i="3"/>
  <c r="DG335" i="3"/>
  <c r="DH335" i="3"/>
  <c r="DI335" i="3"/>
  <c r="DJ335" i="3" s="1"/>
  <c r="P80" i="1"/>
  <c r="CP80" i="1" s="1"/>
  <c r="O80" i="1" s="1"/>
  <c r="GM80" i="1" s="1"/>
  <c r="GO80" i="1" s="1"/>
  <c r="DH171" i="3"/>
  <c r="DF171" i="3"/>
  <c r="DG171" i="3"/>
  <c r="DJ171" i="3" s="1"/>
  <c r="DI171" i="3"/>
  <c r="DF426" i="3"/>
  <c r="DJ426" i="3" s="1"/>
  <c r="DG426" i="3"/>
  <c r="DH426" i="3"/>
  <c r="DI426" i="3"/>
  <c r="DH459" i="3"/>
  <c r="DI459" i="3"/>
  <c r="DF459" i="3"/>
  <c r="DG459" i="3"/>
  <c r="DJ459" i="3" s="1"/>
  <c r="DI548" i="3"/>
  <c r="DF548" i="3"/>
  <c r="DJ548" i="3" s="1"/>
  <c r="DG548" i="3"/>
  <c r="DH548" i="3"/>
  <c r="GM136" i="1"/>
  <c r="GO136" i="1" s="1"/>
  <c r="DH444" i="3"/>
  <c r="DF444" i="3"/>
  <c r="DG444" i="3"/>
  <c r="DJ444" i="3" s="1"/>
  <c r="DI444" i="3"/>
  <c r="BC26" i="1"/>
  <c r="F155" i="1"/>
  <c r="BC286" i="1"/>
  <c r="DF434" i="3"/>
  <c r="DJ434" i="3" s="1"/>
  <c r="DG434" i="3"/>
  <c r="DH434" i="3"/>
  <c r="DI434" i="3"/>
  <c r="DH382" i="3"/>
  <c r="DI382" i="3"/>
  <c r="DF382" i="3"/>
  <c r="DJ382" i="3" s="1"/>
  <c r="DG382" i="3"/>
  <c r="DF437" i="3"/>
  <c r="DH437" i="3"/>
  <c r="DI437" i="3"/>
  <c r="DG437" i="3"/>
  <c r="DJ437" i="3" s="1"/>
  <c r="DF549" i="3"/>
  <c r="DH549" i="3"/>
  <c r="DI549" i="3"/>
  <c r="DJ549" i="3" s="1"/>
  <c r="DG549" i="3"/>
  <c r="DF453" i="3"/>
  <c r="DG453" i="3"/>
  <c r="DJ453" i="3" s="1"/>
  <c r="DH453" i="3"/>
  <c r="DI453" i="3"/>
  <c r="DF491" i="3"/>
  <c r="DG491" i="3"/>
  <c r="DJ491" i="3" s="1"/>
  <c r="DH491" i="3"/>
  <c r="DI491" i="3"/>
  <c r="V176" i="1"/>
  <c r="EA256" i="1" s="1"/>
  <c r="CP197" i="1"/>
  <c r="O197" i="1" s="1"/>
  <c r="GM197" i="1" s="1"/>
  <c r="GN197" i="1" s="1"/>
  <c r="DF642" i="3"/>
  <c r="DG642" i="3"/>
  <c r="DJ642" i="3" s="1"/>
  <c r="DH642" i="3"/>
  <c r="DI642" i="3"/>
  <c r="GM174" i="1"/>
  <c r="GM234" i="1"/>
  <c r="GO234" i="1" s="1"/>
  <c r="W213" i="1"/>
  <c r="AJ256" i="1" s="1"/>
  <c r="DG628" i="3"/>
  <c r="DH628" i="3"/>
  <c r="DI628" i="3"/>
  <c r="DJ628" i="3" s="1"/>
  <c r="DF628" i="3"/>
  <c r="DW256" i="1"/>
  <c r="CY201" i="1"/>
  <c r="X201" i="1"/>
  <c r="GM201" i="1" s="1"/>
  <c r="GO201" i="1" s="1"/>
  <c r="Y201" i="1"/>
  <c r="CZ201" i="1"/>
  <c r="GM232" i="1"/>
  <c r="GN232" i="1" s="1"/>
  <c r="DI609" i="3"/>
  <c r="DF609" i="3"/>
  <c r="DJ609" i="3" s="1"/>
  <c r="DG609" i="3"/>
  <c r="DH609" i="3"/>
  <c r="CP175" i="1"/>
  <c r="O175" i="1" s="1"/>
  <c r="AC256" i="1"/>
  <c r="AU26" i="1"/>
  <c r="F158" i="1"/>
  <c r="AU286" i="1"/>
  <c r="DF470" i="3"/>
  <c r="DJ470" i="3" s="1"/>
  <c r="DG470" i="3"/>
  <c r="DH470" i="3"/>
  <c r="DI470" i="3"/>
  <c r="DG525" i="3"/>
  <c r="DI525" i="3"/>
  <c r="DF525" i="3"/>
  <c r="DJ525" i="3" s="1"/>
  <c r="DH525" i="3"/>
  <c r="DH613" i="3"/>
  <c r="DI613" i="3"/>
  <c r="DJ613" i="3" s="1"/>
  <c r="DF613" i="3"/>
  <c r="DG613" i="3"/>
  <c r="T101" i="1"/>
  <c r="U244" i="1"/>
  <c r="V213" i="1"/>
  <c r="T240" i="1"/>
  <c r="DH82" i="3"/>
  <c r="DG82" i="3"/>
  <c r="DI82" i="3"/>
  <c r="DJ82" i="3" s="1"/>
  <c r="DF82" i="3"/>
  <c r="DF299" i="3"/>
  <c r="DG299" i="3"/>
  <c r="DH299" i="3"/>
  <c r="DI299" i="3"/>
  <c r="DJ299" i="3" s="1"/>
  <c r="DF479" i="3"/>
  <c r="DJ479" i="3" s="1"/>
  <c r="DG479" i="3"/>
  <c r="DH479" i="3"/>
  <c r="DI479" i="3"/>
  <c r="DF596" i="3"/>
  <c r="DG596" i="3"/>
  <c r="DJ596" i="3" s="1"/>
  <c r="DH596" i="3"/>
  <c r="DI596" i="3"/>
  <c r="P107" i="1"/>
  <c r="Q107" i="1"/>
  <c r="R107" i="1"/>
  <c r="W107" i="1"/>
  <c r="DH114" i="3"/>
  <c r="DF114" i="3"/>
  <c r="DG114" i="3"/>
  <c r="DJ114" i="3" s="1"/>
  <c r="DI114" i="3"/>
  <c r="DF125" i="3"/>
  <c r="DH125" i="3"/>
  <c r="DI125" i="3"/>
  <c r="DG125" i="3"/>
  <c r="DJ125" i="3" s="1"/>
  <c r="DF371" i="3"/>
  <c r="DG371" i="3"/>
  <c r="DJ371" i="3" s="1"/>
  <c r="DH371" i="3"/>
  <c r="DI371" i="3"/>
  <c r="DH108" i="3"/>
  <c r="DF108" i="3"/>
  <c r="DJ108" i="3" s="1"/>
  <c r="DG108" i="3"/>
  <c r="DI108" i="3"/>
  <c r="DH161" i="3"/>
  <c r="DI161" i="3"/>
  <c r="DJ161" i="3" s="1"/>
  <c r="DF161" i="3"/>
  <c r="DG161" i="3"/>
  <c r="DF95" i="3"/>
  <c r="DJ95" i="3" s="1"/>
  <c r="DG95" i="3"/>
  <c r="DI95" i="3"/>
  <c r="DH95" i="3"/>
  <c r="DG140" i="3"/>
  <c r="DH140" i="3"/>
  <c r="DI140" i="3"/>
  <c r="DF140" i="3"/>
  <c r="DJ140" i="3" s="1"/>
  <c r="DF201" i="3"/>
  <c r="DG201" i="3"/>
  <c r="DJ201" i="3" s="1"/>
  <c r="DH201" i="3"/>
  <c r="DI201" i="3"/>
  <c r="DF235" i="3"/>
  <c r="DJ235" i="3" s="1"/>
  <c r="DG235" i="3"/>
  <c r="DH235" i="3"/>
  <c r="DI235" i="3"/>
  <c r="DF227" i="3"/>
  <c r="DG227" i="3"/>
  <c r="DH227" i="3"/>
  <c r="DI227" i="3"/>
  <c r="DJ227" i="3" s="1"/>
  <c r="DF197" i="3"/>
  <c r="DJ197" i="3" s="1"/>
  <c r="DG197" i="3"/>
  <c r="DH197" i="3"/>
  <c r="DI197" i="3"/>
  <c r="DF261" i="3"/>
  <c r="DJ261" i="3" s="1"/>
  <c r="DG261" i="3"/>
  <c r="DH261" i="3"/>
  <c r="DI261" i="3"/>
  <c r="DF306" i="3"/>
  <c r="DJ306" i="3" s="1"/>
  <c r="DG306" i="3"/>
  <c r="DH306" i="3"/>
  <c r="DI306" i="3"/>
  <c r="DF295" i="3"/>
  <c r="DJ295" i="3" s="1"/>
  <c r="DG295" i="3"/>
  <c r="DH295" i="3"/>
  <c r="DI295" i="3"/>
  <c r="DI334" i="3"/>
  <c r="DF334" i="3"/>
  <c r="DJ334" i="3" s="1"/>
  <c r="DG334" i="3"/>
  <c r="DH334" i="3"/>
  <c r="DI451" i="3"/>
  <c r="DJ451" i="3" s="1"/>
  <c r="DF451" i="3"/>
  <c r="DG451" i="3"/>
  <c r="DH451" i="3"/>
  <c r="DG298" i="3"/>
  <c r="DI298" i="3"/>
  <c r="DF298" i="3"/>
  <c r="DJ298" i="3" s="1"/>
  <c r="DH298" i="3"/>
  <c r="DG435" i="3"/>
  <c r="DH435" i="3"/>
  <c r="DI435" i="3"/>
  <c r="DJ435" i="3" s="1"/>
  <c r="DF435" i="3"/>
  <c r="DF431" i="3"/>
  <c r="DJ431" i="3" s="1"/>
  <c r="DI431" i="3"/>
  <c r="DH431" i="3"/>
  <c r="DG431" i="3"/>
  <c r="DF472" i="3"/>
  <c r="DJ472" i="3" s="1"/>
  <c r="DG472" i="3"/>
  <c r="DH472" i="3"/>
  <c r="DI472" i="3"/>
  <c r="DF464" i="3"/>
  <c r="DJ464" i="3" s="1"/>
  <c r="DG464" i="3"/>
  <c r="DH464" i="3"/>
  <c r="DI464" i="3"/>
  <c r="DF473" i="3"/>
  <c r="DG473" i="3"/>
  <c r="DH473" i="3"/>
  <c r="DI473" i="3"/>
  <c r="DJ473" i="3" s="1"/>
  <c r="DF534" i="3"/>
  <c r="DG534" i="3"/>
  <c r="DJ534" i="3" s="1"/>
  <c r="DI534" i="3"/>
  <c r="DH534" i="3"/>
  <c r="DF37" i="3"/>
  <c r="DJ37" i="3" s="1"/>
  <c r="DI37" i="3"/>
  <c r="DG37" i="3"/>
  <c r="DH37" i="3"/>
  <c r="DF603" i="3"/>
  <c r="DJ603" i="3" s="1"/>
  <c r="DG603" i="3"/>
  <c r="DH603" i="3"/>
  <c r="DI603" i="3"/>
  <c r="DF593" i="3"/>
  <c r="DJ593" i="3" s="1"/>
  <c r="DG593" i="3"/>
  <c r="DH593" i="3"/>
  <c r="DI593" i="3"/>
  <c r="DF533" i="3"/>
  <c r="DG533" i="3"/>
  <c r="DJ533" i="3" s="1"/>
  <c r="DH533" i="3"/>
  <c r="DI533" i="3"/>
  <c r="DF586" i="3"/>
  <c r="DJ586" i="3" s="1"/>
  <c r="DG586" i="3"/>
  <c r="DH586" i="3"/>
  <c r="DI586" i="3"/>
  <c r="DG557" i="3"/>
  <c r="DH557" i="3"/>
  <c r="DI557" i="3"/>
  <c r="DF557" i="3"/>
  <c r="DJ557" i="3" s="1"/>
  <c r="X36" i="1"/>
  <c r="GM36" i="1" s="1"/>
  <c r="GO36" i="1" s="1"/>
  <c r="Y36" i="1"/>
  <c r="CY36" i="1"/>
  <c r="CZ36" i="1"/>
  <c r="DH155" i="3"/>
  <c r="DI155" i="3"/>
  <c r="DF155" i="3"/>
  <c r="DG155" i="3"/>
  <c r="DJ155" i="3" s="1"/>
  <c r="DF146" i="3"/>
  <c r="DG146" i="3"/>
  <c r="DJ146" i="3" s="1"/>
  <c r="DH146" i="3"/>
  <c r="DI146" i="3"/>
  <c r="DF526" i="3"/>
  <c r="DJ526" i="3" s="1"/>
  <c r="DH526" i="3"/>
  <c r="DI526" i="3"/>
  <c r="DG526" i="3"/>
  <c r="DH144" i="3"/>
  <c r="DF144" i="3"/>
  <c r="DJ144" i="3" s="1"/>
  <c r="DG144" i="3"/>
  <c r="DI144" i="3"/>
  <c r="DG250" i="3"/>
  <c r="DH250" i="3"/>
  <c r="DI250" i="3"/>
  <c r="DF250" i="3"/>
  <c r="DJ250" i="3" s="1"/>
  <c r="DH179" i="3"/>
  <c r="DF179" i="3"/>
  <c r="DJ179" i="3" s="1"/>
  <c r="DG179" i="3"/>
  <c r="DI179" i="3"/>
  <c r="GM35" i="1"/>
  <c r="GN35" i="1" s="1"/>
  <c r="Q97" i="1"/>
  <c r="CP97" i="1" s="1"/>
  <c r="O97" i="1" s="1"/>
  <c r="R97" i="1"/>
  <c r="S97" i="1"/>
  <c r="V97" i="1"/>
  <c r="Q84" i="1"/>
  <c r="R84" i="1"/>
  <c r="P84" i="1"/>
  <c r="S84" i="1"/>
  <c r="DG320" i="3"/>
  <c r="DJ320" i="3" s="1"/>
  <c r="DI320" i="3"/>
  <c r="DF320" i="3"/>
  <c r="DH320" i="3"/>
  <c r="DF351" i="3"/>
  <c r="DJ351" i="3" s="1"/>
  <c r="DI351" i="3"/>
  <c r="DG351" i="3"/>
  <c r="DH351" i="3"/>
  <c r="EI26" i="1"/>
  <c r="P149" i="1"/>
  <c r="EI286" i="1"/>
  <c r="DG287" i="3"/>
  <c r="DJ287" i="3" s="1"/>
  <c r="DI287" i="3"/>
  <c r="DF287" i="3"/>
  <c r="DH287" i="3"/>
  <c r="P112" i="1"/>
  <c r="GX112" i="1"/>
  <c r="Q112" i="1"/>
  <c r="R112" i="1"/>
  <c r="AE139" i="1" s="1"/>
  <c r="U112" i="1"/>
  <c r="CY111" i="1"/>
  <c r="CZ111" i="1"/>
  <c r="X111" i="1"/>
  <c r="GM111" i="1" s="1"/>
  <c r="GO111" i="1" s="1"/>
  <c r="Y111" i="1"/>
  <c r="CP92" i="1"/>
  <c r="O92" i="1" s="1"/>
  <c r="GM92" i="1" s="1"/>
  <c r="GO92" i="1" s="1"/>
  <c r="X127" i="1"/>
  <c r="Y127" i="1"/>
  <c r="CY127" i="1"/>
  <c r="CZ127" i="1"/>
  <c r="CP127" i="1"/>
  <c r="O127" i="1" s="1"/>
  <c r="GM127" i="1" s="1"/>
  <c r="GN127" i="1" s="1"/>
  <c r="V77" i="1"/>
  <c r="EA139" i="1" s="1"/>
  <c r="GM103" i="1"/>
  <c r="GO103" i="1" s="1"/>
  <c r="DI308" i="3"/>
  <c r="DF308" i="3"/>
  <c r="DJ308" i="3" s="1"/>
  <c r="DG308" i="3"/>
  <c r="DH308" i="3"/>
  <c r="S112" i="1"/>
  <c r="CP88" i="1"/>
  <c r="O88" i="1" s="1"/>
  <c r="GM88" i="1" s="1"/>
  <c r="GO88" i="1" s="1"/>
  <c r="DF170" i="3"/>
  <c r="DG170" i="3"/>
  <c r="DJ170" i="3" s="1"/>
  <c r="DH170" i="3"/>
  <c r="DI170" i="3"/>
  <c r="DI255" i="3"/>
  <c r="DF255" i="3"/>
  <c r="DH255" i="3"/>
  <c r="DG255" i="3"/>
  <c r="DJ255" i="3" s="1"/>
  <c r="T84" i="1"/>
  <c r="EG26" i="1"/>
  <c r="P143" i="1"/>
  <c r="EG286" i="1"/>
  <c r="DF487" i="3"/>
  <c r="DJ487" i="3" s="1"/>
  <c r="DG487" i="3"/>
  <c r="DH487" i="3"/>
  <c r="DI487" i="3"/>
  <c r="DF404" i="3"/>
  <c r="DJ404" i="3" s="1"/>
  <c r="DG404" i="3"/>
  <c r="DH404" i="3"/>
  <c r="DI404" i="3"/>
  <c r="DF387" i="3"/>
  <c r="DJ387" i="3" s="1"/>
  <c r="DH387" i="3"/>
  <c r="DG387" i="3"/>
  <c r="DI387" i="3"/>
  <c r="DG438" i="3"/>
  <c r="DI438" i="3"/>
  <c r="DF438" i="3"/>
  <c r="DJ438" i="3" s="1"/>
  <c r="DH438" i="3"/>
  <c r="DH497" i="3"/>
  <c r="DI497" i="3"/>
  <c r="DF497" i="3"/>
  <c r="DJ497" i="3" s="1"/>
  <c r="DG497" i="3"/>
  <c r="DH583" i="3"/>
  <c r="DI583" i="3"/>
  <c r="DJ583" i="3" s="1"/>
  <c r="DF583" i="3"/>
  <c r="DG583" i="3"/>
  <c r="Y198" i="1"/>
  <c r="CY198" i="1"/>
  <c r="CZ198" i="1"/>
  <c r="X198" i="1"/>
  <c r="GM198" i="1" s="1"/>
  <c r="GN198" i="1" s="1"/>
  <c r="GM179" i="1"/>
  <c r="GO179" i="1" s="1"/>
  <c r="S204" i="1"/>
  <c r="X231" i="1"/>
  <c r="Y231" i="1"/>
  <c r="CY231" i="1"/>
  <c r="CZ231" i="1"/>
  <c r="DV256" i="1"/>
  <c r="U203" i="1"/>
  <c r="AE256" i="1"/>
  <c r="CP192" i="1"/>
  <c r="O192" i="1" s="1"/>
  <c r="GM192" i="1" s="1"/>
  <c r="GO192" i="1" s="1"/>
  <c r="DF468" i="3"/>
  <c r="DJ468" i="3" s="1"/>
  <c r="DG468" i="3"/>
  <c r="DH468" i="3"/>
  <c r="DI468" i="3"/>
  <c r="DF523" i="3"/>
  <c r="DJ523" i="3" s="1"/>
  <c r="DG523" i="3"/>
  <c r="DI523" i="3"/>
  <c r="DH523" i="3"/>
  <c r="DG614" i="3"/>
  <c r="DH614" i="3"/>
  <c r="DI614" i="3"/>
  <c r="DF614" i="3"/>
  <c r="DJ614" i="3" s="1"/>
  <c r="T204" i="1"/>
  <c r="V219" i="1"/>
  <c r="U240" i="1"/>
  <c r="CP202" i="1"/>
  <c r="O202" i="1" s="1"/>
  <c r="GM202" i="1" s="1"/>
  <c r="GO202" i="1" s="1"/>
  <c r="J584" i="7" l="1"/>
  <c r="H584" i="7"/>
  <c r="H580" i="7"/>
  <c r="DW26" i="1"/>
  <c r="DJ139" i="1"/>
  <c r="GB26" i="1"/>
  <c r="ES139" i="1"/>
  <c r="AD26" i="1"/>
  <c r="Q139" i="1"/>
  <c r="DY26" i="1"/>
  <c r="DL139" i="1"/>
  <c r="DV26" i="1"/>
  <c r="DI139" i="1"/>
  <c r="EB26" i="1"/>
  <c r="DO139" i="1"/>
  <c r="DU26" i="1"/>
  <c r="FW139" i="1"/>
  <c r="DH139" i="1"/>
  <c r="EA26" i="1"/>
  <c r="DN139" i="1"/>
  <c r="AC26" i="1"/>
  <c r="CE139" i="1"/>
  <c r="CF139" i="1"/>
  <c r="P139" i="1"/>
  <c r="CH139" i="1"/>
  <c r="AH26" i="1"/>
  <c r="U139" i="1"/>
  <c r="AE26" i="1"/>
  <c r="R139" i="1"/>
  <c r="AI171" i="1"/>
  <c r="V256" i="1"/>
  <c r="DZ171" i="1"/>
  <c r="DM256" i="1"/>
  <c r="AG171" i="1"/>
  <c r="T256" i="1"/>
  <c r="AG26" i="1"/>
  <c r="T139" i="1"/>
  <c r="AJ171" i="1"/>
  <c r="W256" i="1"/>
  <c r="DZ26" i="1"/>
  <c r="DM139" i="1"/>
  <c r="DW171" i="1"/>
  <c r="DJ256" i="1"/>
  <c r="EI22" i="1"/>
  <c r="EI319" i="1"/>
  <c r="P296" i="1"/>
  <c r="AC171" i="1"/>
  <c r="CH256" i="1"/>
  <c r="P256" i="1"/>
  <c r="CE256" i="1"/>
  <c r="CF256" i="1"/>
  <c r="CJ171" i="1"/>
  <c r="BA256" i="1"/>
  <c r="GM173" i="1"/>
  <c r="AB256" i="1"/>
  <c r="Y77" i="1"/>
  <c r="CY77" i="1"/>
  <c r="CZ77" i="1"/>
  <c r="X77" i="1"/>
  <c r="EC139" i="1" s="1"/>
  <c r="AX171" i="1"/>
  <c r="F263" i="1"/>
  <c r="CB139" i="1"/>
  <c r="CZ84" i="1"/>
  <c r="X84" i="1"/>
  <c r="AK139" i="1" s="1"/>
  <c r="Y84" i="1"/>
  <c r="CY84" i="1"/>
  <c r="CP84" i="1"/>
  <c r="O84" i="1" s="1"/>
  <c r="GM175" i="1"/>
  <c r="GO175" i="1" s="1"/>
  <c r="EA171" i="1"/>
  <c r="DN256" i="1"/>
  <c r="GM124" i="1"/>
  <c r="GN124" i="1" s="1"/>
  <c r="GO29" i="1"/>
  <c r="CP107" i="1"/>
  <c r="O107" i="1" s="1"/>
  <c r="BC22" i="1"/>
  <c r="F302" i="1"/>
  <c r="BC319" i="1"/>
  <c r="AF171" i="1"/>
  <c r="S256" i="1"/>
  <c r="X60" i="1"/>
  <c r="Y60" i="1"/>
  <c r="AL139" i="1" s="1"/>
  <c r="CY60" i="1"/>
  <c r="CZ60" i="1"/>
  <c r="FR244" i="1"/>
  <c r="FQ256" i="1" s="1"/>
  <c r="CP244" i="1"/>
  <c r="O244" i="1" s="1"/>
  <c r="GM244" i="1" s="1"/>
  <c r="BB22" i="1"/>
  <c r="F299" i="1"/>
  <c r="BB319" i="1"/>
  <c r="GM28" i="1"/>
  <c r="CY176" i="1"/>
  <c r="CZ176" i="1"/>
  <c r="X176" i="1"/>
  <c r="Y176" i="1"/>
  <c r="ED256" i="1" s="1"/>
  <c r="DX256" i="1"/>
  <c r="DX139" i="1"/>
  <c r="CY204" i="1"/>
  <c r="CZ204" i="1"/>
  <c r="Y204" i="1"/>
  <c r="X204" i="1"/>
  <c r="BY26" i="1"/>
  <c r="AP139" i="1"/>
  <c r="CI139" i="1"/>
  <c r="FT139" i="1"/>
  <c r="X244" i="1"/>
  <c r="Y244" i="1"/>
  <c r="CY244" i="1"/>
  <c r="CZ244" i="1"/>
  <c r="CP91" i="1"/>
  <c r="O91" i="1" s="1"/>
  <c r="CP204" i="1"/>
  <c r="O204" i="1" s="1"/>
  <c r="AX26" i="1"/>
  <c r="F146" i="1"/>
  <c r="AX286" i="1"/>
  <c r="AI139" i="1"/>
  <c r="CP60" i="1"/>
  <c r="O60" i="1" s="1"/>
  <c r="GM60" i="1" s="1"/>
  <c r="GO60" i="1" s="1"/>
  <c r="ET22" i="1"/>
  <c r="ET319" i="1"/>
  <c r="P299" i="1"/>
  <c r="FQ139" i="1"/>
  <c r="AJ139" i="1"/>
  <c r="GB256" i="1"/>
  <c r="CY101" i="1"/>
  <c r="CZ101" i="1"/>
  <c r="X101" i="1"/>
  <c r="Y101" i="1"/>
  <c r="CP176" i="1"/>
  <c r="O176" i="1" s="1"/>
  <c r="DU256" i="1"/>
  <c r="AZ171" i="1"/>
  <c r="F267" i="1"/>
  <c r="EP171" i="1"/>
  <c r="EP286" i="1"/>
  <c r="P263" i="1"/>
  <c r="X107" i="1"/>
  <c r="Y107" i="1"/>
  <c r="CY107" i="1"/>
  <c r="CZ107" i="1"/>
  <c r="AO22" i="1"/>
  <c r="AO319" i="1"/>
  <c r="F290" i="1"/>
  <c r="GM184" i="1"/>
  <c r="GO184" i="1" s="1"/>
  <c r="AH171" i="1"/>
  <c r="U256" i="1"/>
  <c r="CP112" i="1"/>
  <c r="O112" i="1" s="1"/>
  <c r="GM112" i="1" s="1"/>
  <c r="GO112" i="1" s="1"/>
  <c r="GO174" i="1"/>
  <c r="Y86" i="1"/>
  <c r="CZ86" i="1"/>
  <c r="X86" i="1"/>
  <c r="CY86" i="1"/>
  <c r="GM119" i="1"/>
  <c r="GN119" i="1" s="1"/>
  <c r="EB256" i="1"/>
  <c r="GM252" i="1"/>
  <c r="GN252" i="1" s="1"/>
  <c r="FT256" i="1" s="1"/>
  <c r="DY256" i="1"/>
  <c r="AE171" i="1"/>
  <c r="R256" i="1"/>
  <c r="AF139" i="1"/>
  <c r="CP70" i="1"/>
  <c r="O70" i="1" s="1"/>
  <c r="GM70" i="1" s="1"/>
  <c r="GO70" i="1" s="1"/>
  <c r="CP221" i="1"/>
  <c r="O221" i="1" s="1"/>
  <c r="GM221" i="1" s="1"/>
  <c r="GO221" i="1" s="1"/>
  <c r="X240" i="1"/>
  <c r="GM240" i="1" s="1"/>
  <c r="GO240" i="1" s="1"/>
  <c r="Y240" i="1"/>
  <c r="CY240" i="1"/>
  <c r="CZ240" i="1"/>
  <c r="GM214" i="1"/>
  <c r="GO214" i="1" s="1"/>
  <c r="CP101" i="1"/>
  <c r="O101" i="1" s="1"/>
  <c r="GM101" i="1" s="1"/>
  <c r="GO101" i="1" s="1"/>
  <c r="EM22" i="1"/>
  <c r="EM319" i="1"/>
  <c r="P305" i="1"/>
  <c r="CY97" i="1"/>
  <c r="CZ97" i="1"/>
  <c r="X97" i="1"/>
  <c r="GM97" i="1" s="1"/>
  <c r="GO97" i="1" s="1"/>
  <c r="Y97" i="1"/>
  <c r="EG22" i="1"/>
  <c r="EG319" i="1"/>
  <c r="P290" i="1"/>
  <c r="AU22" i="1"/>
  <c r="F305" i="1"/>
  <c r="AU319" i="1"/>
  <c r="CJ139" i="1"/>
  <c r="CP86" i="1"/>
  <c r="O86" i="1" s="1"/>
  <c r="GM86" i="1" s="1"/>
  <c r="GO86" i="1" s="1"/>
  <c r="AQ22" i="1"/>
  <c r="F296" i="1"/>
  <c r="AQ319" i="1"/>
  <c r="GM177" i="1"/>
  <c r="GO177" i="1" s="1"/>
  <c r="CZ203" i="1"/>
  <c r="X203" i="1"/>
  <c r="AK256" i="1" s="1"/>
  <c r="Y203" i="1"/>
  <c r="AL256" i="1" s="1"/>
  <c r="CY203" i="1"/>
  <c r="X112" i="1"/>
  <c r="Y112" i="1"/>
  <c r="CY112" i="1"/>
  <c r="CZ112" i="1"/>
  <c r="EV22" i="1"/>
  <c r="EV319" i="1"/>
  <c r="P311" i="1"/>
  <c r="GM231" i="1"/>
  <c r="GN231" i="1" s="1"/>
  <c r="CB256" i="1" s="1"/>
  <c r="CP77" i="1"/>
  <c r="O77" i="1" s="1"/>
  <c r="GM77" i="1" s="1"/>
  <c r="GO77" i="1" s="1"/>
  <c r="DV171" i="1"/>
  <c r="DI256" i="1"/>
  <c r="AD171" i="1"/>
  <c r="Q256" i="1"/>
  <c r="GM64" i="1"/>
  <c r="GO64" i="1" s="1"/>
  <c r="GM219" i="1"/>
  <c r="GO219" i="1" s="1"/>
  <c r="GM203" i="1"/>
  <c r="GO203" i="1" s="1"/>
  <c r="Y91" i="1"/>
  <c r="CY91" i="1"/>
  <c r="X91" i="1"/>
  <c r="CZ91" i="1"/>
  <c r="EU22" i="1"/>
  <c r="EU319" i="1"/>
  <c r="P302" i="1"/>
  <c r="AL171" i="1" l="1"/>
  <c r="Y256" i="1"/>
  <c r="AK171" i="1"/>
  <c r="X256" i="1"/>
  <c r="CB171" i="1"/>
  <c r="AS256" i="1"/>
  <c r="AL26" i="1"/>
  <c r="Y139" i="1"/>
  <c r="EC26" i="1"/>
  <c r="DP139" i="1"/>
  <c r="FT171" i="1"/>
  <c r="EK256" i="1"/>
  <c r="AK26" i="1"/>
  <c r="X139" i="1"/>
  <c r="BB18" i="1"/>
  <c r="F332" i="1"/>
  <c r="BA171" i="1"/>
  <c r="F276" i="1"/>
  <c r="DM26" i="1"/>
  <c r="P161" i="1"/>
  <c r="DM286" i="1"/>
  <c r="DM171" i="1"/>
  <c r="P278" i="1"/>
  <c r="P26" i="1"/>
  <c r="F142" i="1"/>
  <c r="P286" i="1"/>
  <c r="DO26" i="1"/>
  <c r="P163" i="1"/>
  <c r="AQ18" i="1"/>
  <c r="F329" i="1"/>
  <c r="GM204" i="1"/>
  <c r="GO204" i="1" s="1"/>
  <c r="CF26" i="1"/>
  <c r="AW139" i="1"/>
  <c r="EV18" i="1"/>
  <c r="P344" i="1"/>
  <c r="GB171" i="1"/>
  <c r="ES256" i="1"/>
  <c r="GM91" i="1"/>
  <c r="GM107" i="1"/>
  <c r="GO107" i="1" s="1"/>
  <c r="DT139" i="1"/>
  <c r="CF171" i="1"/>
  <c r="AW256" i="1"/>
  <c r="W171" i="1"/>
  <c r="F280" i="1"/>
  <c r="V171" i="1"/>
  <c r="F279" i="1"/>
  <c r="CE26" i="1"/>
  <c r="AV139" i="1"/>
  <c r="DI26" i="1"/>
  <c r="P151" i="1"/>
  <c r="DI286" i="1"/>
  <c r="AJ26" i="1"/>
  <c r="W139" i="1"/>
  <c r="CB26" i="1"/>
  <c r="AS139" i="1"/>
  <c r="CE171" i="1"/>
  <c r="AV256" i="1"/>
  <c r="FQ26" i="1"/>
  <c r="GA139" i="1"/>
  <c r="EH139" i="1"/>
  <c r="DX26" i="1"/>
  <c r="DK139" i="1"/>
  <c r="FQ171" i="1"/>
  <c r="EH256" i="1"/>
  <c r="GA256" i="1"/>
  <c r="P171" i="1"/>
  <c r="F259" i="1"/>
  <c r="T26" i="1"/>
  <c r="F160" i="1"/>
  <c r="T286" i="1"/>
  <c r="R26" i="1"/>
  <c r="F153" i="1"/>
  <c r="R286" i="1"/>
  <c r="DN26" i="1"/>
  <c r="P162" i="1"/>
  <c r="DN286" i="1"/>
  <c r="DL26" i="1"/>
  <c r="P160" i="1"/>
  <c r="CJ26" i="1"/>
  <c r="BA139" i="1"/>
  <c r="EM18" i="1"/>
  <c r="P338" i="1"/>
  <c r="U171" i="1"/>
  <c r="F278" i="1"/>
  <c r="DX171" i="1"/>
  <c r="DK256" i="1"/>
  <c r="CH171" i="1"/>
  <c r="AY256" i="1"/>
  <c r="DY171" i="1"/>
  <c r="DL256" i="1"/>
  <c r="DL286" i="1" s="1"/>
  <c r="ET18" i="1"/>
  <c r="P332" i="1"/>
  <c r="ED171" i="1"/>
  <c r="DQ256" i="1"/>
  <c r="DN171" i="1"/>
  <c r="P279" i="1"/>
  <c r="Q26" i="1"/>
  <c r="Q286" i="1"/>
  <c r="F151" i="1"/>
  <c r="FT26" i="1"/>
  <c r="EK139" i="1"/>
  <c r="EC256" i="1"/>
  <c r="FX139" i="1"/>
  <c r="Q171" i="1"/>
  <c r="F268" i="1"/>
  <c r="DU171" i="1"/>
  <c r="DH256" i="1"/>
  <c r="FW256" i="1"/>
  <c r="FX256" i="1"/>
  <c r="FZ256" i="1"/>
  <c r="EI18" i="1"/>
  <c r="P329" i="1"/>
  <c r="U26" i="1"/>
  <c r="F161" i="1"/>
  <c r="U286" i="1"/>
  <c r="DH26" i="1"/>
  <c r="P142" i="1"/>
  <c r="ES26" i="1"/>
  <c r="P159" i="1"/>
  <c r="ES286" i="1"/>
  <c r="R171" i="1"/>
  <c r="F270" i="1"/>
  <c r="AU18" i="1"/>
  <c r="F338" i="1"/>
  <c r="AO18" i="1"/>
  <c r="F323" i="1"/>
  <c r="GM176" i="1"/>
  <c r="DT256" i="1"/>
  <c r="AI26" i="1"/>
  <c r="V139" i="1"/>
  <c r="CI26" i="1"/>
  <c r="AZ139" i="1"/>
  <c r="S171" i="1"/>
  <c r="F271" i="1"/>
  <c r="GM84" i="1"/>
  <c r="GO84" i="1" s="1"/>
  <c r="ED139" i="1"/>
  <c r="T171" i="1"/>
  <c r="F277" i="1"/>
  <c r="FZ139" i="1"/>
  <c r="EP22" i="1"/>
  <c r="P293" i="1"/>
  <c r="EP319" i="1"/>
  <c r="EU18" i="1"/>
  <c r="P335" i="1"/>
  <c r="EG18" i="1"/>
  <c r="P323" i="1"/>
  <c r="AX22" i="1"/>
  <c r="F293" i="1"/>
  <c r="AX319" i="1"/>
  <c r="AP26" i="1"/>
  <c r="F148" i="1"/>
  <c r="AP286" i="1"/>
  <c r="AB139" i="1"/>
  <c r="AB171" i="1"/>
  <c r="O256" i="1"/>
  <c r="DJ171" i="1"/>
  <c r="P270" i="1"/>
  <c r="FW26" i="1"/>
  <c r="EN139" i="1"/>
  <c r="DJ26" i="1"/>
  <c r="P153" i="1"/>
  <c r="DJ286" i="1"/>
  <c r="AF26" i="1"/>
  <c r="S139" i="1"/>
  <c r="EB171" i="1"/>
  <c r="DO256" i="1"/>
  <c r="DO286" i="1" s="1"/>
  <c r="DI171" i="1"/>
  <c r="P268" i="1"/>
  <c r="GO28" i="1"/>
  <c r="CC139" i="1" s="1"/>
  <c r="CA139" i="1"/>
  <c r="BC18" i="1"/>
  <c r="F335" i="1"/>
  <c r="GO173" i="1"/>
  <c r="CC256" i="1" s="1"/>
  <c r="CA256" i="1"/>
  <c r="CH26" i="1"/>
  <c r="AY139" i="1"/>
  <c r="DO22" i="1" l="1"/>
  <c r="P310" i="1"/>
  <c r="DO319" i="1"/>
  <c r="DL22" i="1"/>
  <c r="P307" i="1"/>
  <c r="DL319" i="1"/>
  <c r="EC171" i="1"/>
  <c r="DP256" i="1"/>
  <c r="AV171" i="1"/>
  <c r="F261" i="1"/>
  <c r="AW26" i="1"/>
  <c r="F145" i="1"/>
  <c r="AW286" i="1"/>
  <c r="DP26" i="1"/>
  <c r="P165" i="1"/>
  <c r="ED26" i="1"/>
  <c r="DQ139" i="1"/>
  <c r="EK26" i="1"/>
  <c r="P156" i="1"/>
  <c r="EK286" i="1"/>
  <c r="DM22" i="1"/>
  <c r="DM319" i="1"/>
  <c r="P308" i="1"/>
  <c r="CA26" i="1"/>
  <c r="AR139" i="1"/>
  <c r="AY171" i="1"/>
  <c r="F264" i="1"/>
  <c r="AS26" i="1"/>
  <c r="F156" i="1"/>
  <c r="AS286" i="1"/>
  <c r="Y26" i="1"/>
  <c r="F166" i="1"/>
  <c r="Y286" i="1"/>
  <c r="CC171" i="1"/>
  <c r="AT256" i="1"/>
  <c r="EK171" i="1"/>
  <c r="P273" i="1"/>
  <c r="AW171" i="1"/>
  <c r="F262" i="1"/>
  <c r="CC26" i="1"/>
  <c r="AT139" i="1"/>
  <c r="O171" i="1"/>
  <c r="F258" i="1"/>
  <c r="AZ26" i="1"/>
  <c r="F150" i="1"/>
  <c r="AZ286" i="1"/>
  <c r="FZ171" i="1"/>
  <c r="EQ256" i="1"/>
  <c r="Q22" i="1"/>
  <c r="Q319" i="1"/>
  <c r="F298" i="1"/>
  <c r="DK171" i="1"/>
  <c r="P271" i="1"/>
  <c r="DN22" i="1"/>
  <c r="P309" i="1"/>
  <c r="DN319" i="1"/>
  <c r="GA171" i="1"/>
  <c r="ER256" i="1"/>
  <c r="W26" i="1"/>
  <c r="F163" i="1"/>
  <c r="W286" i="1"/>
  <c r="AS171" i="1"/>
  <c r="F273" i="1"/>
  <c r="BA26" i="1"/>
  <c r="F159" i="1"/>
  <c r="BA286" i="1"/>
  <c r="GA26" i="1"/>
  <c r="ER139" i="1"/>
  <c r="FX26" i="1"/>
  <c r="EO139" i="1"/>
  <c r="DT26" i="1"/>
  <c r="DG139" i="1"/>
  <c r="AB26" i="1"/>
  <c r="O139" i="1"/>
  <c r="V26" i="1"/>
  <c r="F162" i="1"/>
  <c r="V286" i="1"/>
  <c r="FW171" i="1"/>
  <c r="EN256" i="1"/>
  <c r="DI22" i="1"/>
  <c r="P298" i="1"/>
  <c r="DI319" i="1"/>
  <c r="X171" i="1"/>
  <c r="F282" i="1"/>
  <c r="T22" i="1"/>
  <c r="T319" i="1"/>
  <c r="F307" i="1"/>
  <c r="U22" i="1"/>
  <c r="F308" i="1"/>
  <c r="U319" i="1"/>
  <c r="EN26" i="1"/>
  <c r="P144" i="1"/>
  <c r="EN286" i="1"/>
  <c r="DL171" i="1"/>
  <c r="P277" i="1"/>
  <c r="DO171" i="1"/>
  <c r="P280" i="1"/>
  <c r="EP18" i="1"/>
  <c r="P326" i="1"/>
  <c r="ES22" i="1"/>
  <c r="ES319" i="1"/>
  <c r="P306" i="1"/>
  <c r="H16" i="2" s="1"/>
  <c r="FX171" i="1"/>
  <c r="EO256" i="1"/>
  <c r="EH171" i="1"/>
  <c r="P265" i="1"/>
  <c r="AY26" i="1"/>
  <c r="F147" i="1"/>
  <c r="AY286" i="1"/>
  <c r="S26" i="1"/>
  <c r="F154" i="1"/>
  <c r="S286" i="1"/>
  <c r="AP22" i="1"/>
  <c r="F295" i="1"/>
  <c r="V16" i="2" s="1"/>
  <c r="AP319" i="1"/>
  <c r="DH171" i="1"/>
  <c r="P259" i="1"/>
  <c r="R22" i="1"/>
  <c r="R319" i="1"/>
  <c r="F300" i="1"/>
  <c r="DK26" i="1"/>
  <c r="P154" i="1"/>
  <c r="DK286" i="1"/>
  <c r="GO91" i="1"/>
  <c r="FU139" i="1" s="1"/>
  <c r="FS139" i="1"/>
  <c r="AX18" i="1"/>
  <c r="F326" i="1"/>
  <c r="DT171" i="1"/>
  <c r="DG256" i="1"/>
  <c r="DH286" i="1"/>
  <c r="DQ171" i="1"/>
  <c r="P283" i="1"/>
  <c r="ES171" i="1"/>
  <c r="P276" i="1"/>
  <c r="P22" i="1"/>
  <c r="F289" i="1"/>
  <c r="P319" i="1"/>
  <c r="X26" i="1"/>
  <c r="F165" i="1"/>
  <c r="X286" i="1"/>
  <c r="Y171" i="1"/>
  <c r="F283" i="1"/>
  <c r="CA171" i="1"/>
  <c r="AR256" i="1"/>
  <c r="DJ22" i="1"/>
  <c r="DJ319" i="1"/>
  <c r="P300" i="1"/>
  <c r="FZ26" i="1"/>
  <c r="EQ139" i="1"/>
  <c r="GO176" i="1"/>
  <c r="FU256" i="1" s="1"/>
  <c r="FS256" i="1"/>
  <c r="EH26" i="1"/>
  <c r="P148" i="1"/>
  <c r="EH286" i="1"/>
  <c r="AV26" i="1"/>
  <c r="F144" i="1"/>
  <c r="AV286" i="1"/>
  <c r="DI18" i="1" l="1"/>
  <c r="P331" i="1"/>
  <c r="EO26" i="1"/>
  <c r="P145" i="1"/>
  <c r="EO286" i="1"/>
  <c r="ER171" i="1"/>
  <c r="P267" i="1"/>
  <c r="AZ22" i="1"/>
  <c r="AZ319" i="1"/>
  <c r="F297" i="1"/>
  <c r="DM18" i="1"/>
  <c r="P341" i="1"/>
  <c r="Y22" i="1"/>
  <c r="F313" i="1"/>
  <c r="Y319" i="1"/>
  <c r="AT171" i="1"/>
  <c r="F274" i="1"/>
  <c r="DG171" i="1"/>
  <c r="P258" i="1"/>
  <c r="DN18" i="1"/>
  <c r="P342" i="1"/>
  <c r="EK22" i="1"/>
  <c r="P303" i="1"/>
  <c r="E16" i="2" s="1"/>
  <c r="EK319" i="1"/>
  <c r="EO171" i="1"/>
  <c r="P262" i="1"/>
  <c r="DP171" i="1"/>
  <c r="P282" i="1"/>
  <c r="EN22" i="1"/>
  <c r="P291" i="1"/>
  <c r="EN319" i="1"/>
  <c r="U18" i="1"/>
  <c r="F341" i="1"/>
  <c r="BA22" i="1"/>
  <c r="F306" i="1"/>
  <c r="W16" i="2" s="1"/>
  <c r="BA319" i="1"/>
  <c r="AS22" i="1"/>
  <c r="AS319" i="1"/>
  <c r="F303" i="1"/>
  <c r="T16" i="2" s="1"/>
  <c r="FS171" i="1"/>
  <c r="EJ256" i="1"/>
  <c r="EN171" i="1"/>
  <c r="P261" i="1"/>
  <c r="P18" i="1"/>
  <c r="F322" i="1"/>
  <c r="ES18" i="1"/>
  <c r="P339" i="1"/>
  <c r="V22" i="1"/>
  <c r="V319" i="1"/>
  <c r="F309" i="1"/>
  <c r="AT26" i="1"/>
  <c r="F157" i="1"/>
  <c r="AT286" i="1"/>
  <c r="DQ26" i="1"/>
  <c r="P166" i="1"/>
  <c r="DQ286" i="1"/>
  <c r="DL18" i="1"/>
  <c r="P340" i="1"/>
  <c r="EH22" i="1"/>
  <c r="P295" i="1"/>
  <c r="G16" i="2" s="1"/>
  <c r="EH319" i="1"/>
  <c r="ER26" i="1"/>
  <c r="P150" i="1"/>
  <c r="ER286" i="1"/>
  <c r="AP18" i="1"/>
  <c r="F328" i="1"/>
  <c r="S22" i="1"/>
  <c r="F301" i="1"/>
  <c r="Y16" i="2" s="1"/>
  <c r="S319" i="1"/>
  <c r="FU171" i="1"/>
  <c r="EL256" i="1"/>
  <c r="DK22" i="1"/>
  <c r="DK319" i="1"/>
  <c r="P301" i="1"/>
  <c r="J16" i="2" s="1"/>
  <c r="DP286" i="1"/>
  <c r="FU26" i="1"/>
  <c r="EL139" i="1"/>
  <c r="DJ18" i="1"/>
  <c r="P333" i="1"/>
  <c r="T18" i="1"/>
  <c r="F340" i="1"/>
  <c r="O26" i="1"/>
  <c r="F141" i="1"/>
  <c r="O286" i="1"/>
  <c r="Q18" i="1"/>
  <c r="F331" i="1"/>
  <c r="DO18" i="1"/>
  <c r="P343" i="1"/>
  <c r="R18" i="1"/>
  <c r="F333" i="1"/>
  <c r="DH22" i="1"/>
  <c r="DH319" i="1"/>
  <c r="P289" i="1"/>
  <c r="X22" i="1"/>
  <c r="F312" i="1"/>
  <c r="X319" i="1"/>
  <c r="EQ26" i="1"/>
  <c r="P147" i="1"/>
  <c r="EQ286" i="1"/>
  <c r="AV22" i="1"/>
  <c r="AV319" i="1"/>
  <c r="F291" i="1"/>
  <c r="AY22" i="1"/>
  <c r="F294" i="1"/>
  <c r="AY319" i="1"/>
  <c r="W22" i="1"/>
  <c r="F310" i="1"/>
  <c r="W319" i="1"/>
  <c r="AR26" i="1"/>
  <c r="F167" i="1"/>
  <c r="AR286" i="1"/>
  <c r="FS26" i="1"/>
  <c r="EJ139" i="1"/>
  <c r="AR171" i="1"/>
  <c r="F284" i="1"/>
  <c r="DG26" i="1"/>
  <c r="P141" i="1"/>
  <c r="DG286" i="1"/>
  <c r="EQ171" i="1"/>
  <c r="P264" i="1"/>
  <c r="AW22" i="1"/>
  <c r="F292" i="1"/>
  <c r="AW319" i="1"/>
  <c r="W18" i="1" l="1"/>
  <c r="F343" i="1"/>
  <c r="EK18" i="1"/>
  <c r="P336" i="1"/>
  <c r="AZ18" i="1"/>
  <c r="F330" i="1"/>
  <c r="DH18" i="1"/>
  <c r="P322" i="1"/>
  <c r="DQ22" i="1"/>
  <c r="P313" i="1"/>
  <c r="DQ319" i="1"/>
  <c r="DG22" i="1"/>
  <c r="DG319" i="1"/>
  <c r="P288" i="1"/>
  <c r="EN18" i="1"/>
  <c r="P324" i="1"/>
  <c r="X18" i="1"/>
  <c r="F345" i="1"/>
  <c r="S18" i="1"/>
  <c r="F334" i="1"/>
  <c r="EJ26" i="1"/>
  <c r="P167" i="1"/>
  <c r="EJ286" i="1"/>
  <c r="EJ171" i="1"/>
  <c r="P284" i="1"/>
  <c r="EO22" i="1"/>
  <c r="EO319" i="1"/>
  <c r="P292" i="1"/>
  <c r="O22" i="1"/>
  <c r="F288" i="1"/>
  <c r="O319" i="1"/>
  <c r="AT22" i="1"/>
  <c r="F304" i="1"/>
  <c r="U16" i="2" s="1"/>
  <c r="X16" i="2" s="1"/>
  <c r="AC16" i="2" s="1"/>
  <c r="AT319" i="1"/>
  <c r="ER22" i="1"/>
  <c r="P297" i="1"/>
  <c r="ER319" i="1"/>
  <c r="BA18" i="1"/>
  <c r="F339" i="1"/>
  <c r="EQ22" i="1"/>
  <c r="P294" i="1"/>
  <c r="EQ319" i="1"/>
  <c r="Y18" i="1"/>
  <c r="F346" i="1"/>
  <c r="EL171" i="1"/>
  <c r="P274" i="1"/>
  <c r="AY18" i="1"/>
  <c r="F327" i="1"/>
  <c r="EL26" i="1"/>
  <c r="P157" i="1"/>
  <c r="EL286" i="1"/>
  <c r="AR22" i="1"/>
  <c r="AR319" i="1"/>
  <c r="F314" i="1"/>
  <c r="F315" i="1" s="1"/>
  <c r="AS18" i="1"/>
  <c r="F336" i="1"/>
  <c r="AV18" i="1"/>
  <c r="F324" i="1"/>
  <c r="AW18" i="1"/>
  <c r="F325" i="1"/>
  <c r="DP22" i="1"/>
  <c r="P312" i="1"/>
  <c r="DP319" i="1"/>
  <c r="DK18" i="1"/>
  <c r="P334" i="1"/>
  <c r="EH18" i="1"/>
  <c r="P328" i="1"/>
  <c r="V18" i="1"/>
  <c r="F342" i="1"/>
  <c r="EJ22" i="1" l="1"/>
  <c r="EJ319" i="1"/>
  <c r="P314" i="1"/>
  <c r="P315" i="1" s="1"/>
  <c r="AT18" i="1"/>
  <c r="F337" i="1"/>
  <c r="F316" i="1"/>
  <c r="F317" i="1" s="1"/>
  <c r="EQ18" i="1"/>
  <c r="P327" i="1"/>
  <c r="EL22" i="1"/>
  <c r="P304" i="1"/>
  <c r="F16" i="2" s="1"/>
  <c r="I16" i="2" s="1"/>
  <c r="N16" i="2" s="1"/>
  <c r="EL319" i="1"/>
  <c r="EO18" i="1"/>
  <c r="P325" i="1"/>
  <c r="DP18" i="1"/>
  <c r="P345" i="1"/>
  <c r="ER18" i="1"/>
  <c r="P330" i="1"/>
  <c r="DG18" i="1"/>
  <c r="P321" i="1"/>
  <c r="DQ18" i="1"/>
  <c r="P346" i="1"/>
  <c r="O18" i="1"/>
  <c r="F321" i="1"/>
  <c r="AR18" i="1"/>
  <c r="F347" i="1"/>
  <c r="F348" i="1" s="1"/>
  <c r="EL18" i="1" l="1"/>
  <c r="P337" i="1"/>
  <c r="P316" i="1"/>
  <c r="P317" i="1" s="1"/>
  <c r="EJ18" i="1"/>
  <c r="P347" i="1"/>
  <c r="P348" i="1" s="1"/>
  <c r="F349" i="1"/>
  <c r="F350" i="1"/>
  <c r="P349" i="1" l="1"/>
  <c r="P350" i="1" s="1"/>
</calcChain>
</file>

<file path=xl/sharedStrings.xml><?xml version="1.0" encoding="utf-8"?>
<sst xmlns="http://schemas.openxmlformats.org/spreadsheetml/2006/main" count="23178" uniqueCount="739">
  <si>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</si>
  <si>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</si>
  <si>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</si>
  <si>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</si>
  <si>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пер. Старопименовский, д. 5</t>
  </si>
  <si>
    <t>Новый объект</t>
  </si>
  <si>
    <t>Спринклерное пожаротушение</t>
  </si>
  <si>
    <t>Сметные нормы списания</t>
  </si>
  <si>
    <t>Коды ОКП для ТСН-2001 МГЭ Дополнение 81</t>
  </si>
  <si>
    <t>ТСН-2001 (МГЭ) Доп 81 - Новое строительство</t>
  </si>
  <si>
    <t>Типовой расчет для ТСН-2001 МГЭ, Дополнение 81, строительство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</si>
  <si>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</si>
  <si>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</si>
  <si>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</si>
  <si>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</si>
  <si>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02-01-21</t>
  </si>
  <si>
    <t>Спринклерное пожаротушение.</t>
  </si>
  <si>
    <t>2024-00375-01-0-ИОС3.</t>
  </si>
  <si>
    <t>Новый раздел</t>
  </si>
  <si>
    <t>Насосная установка.</t>
  </si>
  <si>
    <t>1</t>
  </si>
  <si>
    <t>4.7-21-3</t>
  </si>
  <si>
    <t>Монтаж насосного агрегата лопастного центробежного одноступенчатого, многоступенчатого объемного, вихревого, поршневого, приводного, роторного на общей фундаментной плите или моноблочный массой 0,425 т</t>
  </si>
  <si>
    <t>1  ШТ.</t>
  </si>
  <si>
    <t>ТСН-2001.4 Доп. 80, Сб. 7, т. 21, поз. 3</t>
  </si>
  <si>
    <t>*0,75)*1</t>
  </si>
  <si>
    <t>*0,75)*1,2</t>
  </si>
  <si>
    <t>Монтаж оборудования</t>
  </si>
  <si>
    <t>ТСН-2001.4-7. Компрессорные машины, насосы, вентиляторы</t>
  </si>
  <si>
    <t>ТСН-2001.4-7-1</t>
  </si>
  <si>
    <t>Поправка: Гл.4.Прил.2.2.п.2.2.17_04.00.01.24.001
Поправка: Гл.12.Прил.8.п.8. 3_12.00.01.11.001</t>
  </si>
  <si>
    <t>2</t>
  </si>
  <si>
    <t>4.7-21-1</t>
  </si>
  <si>
    <t>Монтаж насосного агрегата лопастного центробежного одноступенчатого, многоступенчатого объемного, вихревого, поршневого, приводного, роторного на общей фундаментной плите или моноблочный массой 0,064 т</t>
  </si>
  <si>
    <t>ТСН-2001.4 Доп. 80, Сб. 7, т. 21, поз. 1</t>
  </si>
  <si>
    <t>*1</t>
  </si>
  <si>
    <t>*1,2</t>
  </si>
  <si>
    <t>Поправка: Гл.12.Прил.8.п.8. 3_12.00.01.11.001</t>
  </si>
  <si>
    <t>3</t>
  </si>
  <si>
    <t>4.6-48-4</t>
  </si>
  <si>
    <t>Бак внутренней установки без давления цилиндрический вертикальный, вместимость 1,0 м3 (60 л.)</t>
  </si>
  <si>
    <t>1 Т</t>
  </si>
  <si>
    <t>ТСН-2001.4. Доп. 1-42. Сб. 6, т. 48, поз. 4</t>
  </si>
  <si>
    <t>ТСН-2001.4-6. Теплосиловое оборудование</t>
  </si>
  <si>
    <t>ТСН-2001.4-6-1</t>
  </si>
  <si>
    <t>3.18-8-1</t>
  </si>
  <si>
    <t>Установка баков расширительных круглых и прямоугольных вместимостью до 0,1 м3 (60 л.)</t>
  </si>
  <si>
    <t>1 бак</t>
  </si>
  <si>
    <t>ТСН-2001.3 Доп. 72, Сб. 18, т. 8, поз. 1</t>
  </si>
  <si>
    <t>Строительные работы</t>
  </si>
  <si>
    <t>ТСН-2001.3-18. Отопление - внутренние устройства</t>
  </si>
  <si>
    <t>ТСН-2001.3-18-1</t>
  </si>
  <si>
    <t>4</t>
  </si>
  <si>
    <t>4.8-240-4</t>
  </si>
  <si>
    <t>Монтаж пультов и шкафов управления, шкафа (пульта) управления навесного, высотой, шириной, глубиной до 600х600х350 мм</t>
  </si>
  <si>
    <t>ТСН-2001.4 Доп. 80, Сб. 8, т. 240, поз. 4</t>
  </si>
  <si>
    <t>ТСН-2001.4-8. Электротехнические установки</t>
  </si>
  <si>
    <t>ТСН-2001.4-8-1</t>
  </si>
  <si>
    <t>5</t>
  </si>
  <si>
    <t>4.12-48-9</t>
  </si>
  <si>
    <t>Монтаж арматуры фланцевой с ручным приводом или без привода на номинальное давление до 4 МПа, номинальный диаметр прохода 80 мм (обратный клапан, затвор поворотный)</t>
  </si>
  <si>
    <t>ТСН-2001.4 Доп. 68, Сб. 12, т. 48, поз. 9</t>
  </si>
  <si>
    <t>ТСН-2001.4-12. Технологические трубопроводы</t>
  </si>
  <si>
    <t>ТСН-2001.4-12-1</t>
  </si>
  <si>
    <t>6</t>
  </si>
  <si>
    <t>4.12-48-11</t>
  </si>
  <si>
    <t>Монтаж арматуры фланцевой с ручным приводом или без привода на номинальное давление до 4 МПа, номинальный диаметр прохода 125 мм (затвор поворотный разделительный)</t>
  </si>
  <si>
    <t>ТСН-2001.4 Доп. 68, Сб. 12, т. 48, поз. 11</t>
  </si>
  <si>
    <t>7</t>
  </si>
  <si>
    <t>4.12-48-4</t>
  </si>
  <si>
    <t>Монтаж арматуры фланцевой с ручным приводом или без привода на номинальное давление до 4 МПа, номинальный диаметр прохода 25 мм (обратный клапан, затвор поворотный для жокея)</t>
  </si>
  <si>
    <t>ТСН-2001.4 Доп. 67, Сб. 12, т. 48, поз. 4</t>
  </si>
  <si>
    <t>8</t>
  </si>
  <si>
    <t>3.18-20-2</t>
  </si>
  <si>
    <t>Установка манометров с трехходовым краном (реле давления, манометр)</t>
  </si>
  <si>
    <t>1 комплект</t>
  </si>
  <si>
    <t>ТСН-2001.3. Доп. 1-42. Сб. 18, т. 20, поз. 2</t>
  </si>
  <si>
    <t>*1)*1</t>
  </si>
  <si>
    <t>*1,25)*1,2</t>
  </si>
  <si>
    <t>*1,15)*1,2</t>
  </si>
  <si>
    <t>Поправка: Гл.6.Прил.2.2.п.2.2.6_06.00.01.07.001
Поправка: Гл.12.Прил.8.п.8. 3_12.00.01.11.001</t>
  </si>
  <si>
    <t>9</t>
  </si>
  <si>
    <t>КА. п. 1</t>
  </si>
  <si>
    <t>Насосная установка пожаротушения Q-66,38 (м3/ч), H- 25,0 м.в.ст., Жокей насос Q-3.0 (м3/ч),H- 30,0 м.в.ст., комплектно со шкафом автоматического управления ШУПН-3-С ОН/РН/ЖН-18,5/18,5/1,5-УПП/УПП/П-В и комплектно с выносной панелью индикации ВП</t>
  </si>
  <si>
    <t>компл.</t>
  </si>
  <si>
    <t>Поправка: Гл.4.Прил.2.2.п.2.2.17_04.00.01.24.001_x000D_
Наименование: При разнице в массе оборудования более 10% к норме и расценке ближайшего по массе оборудования при коэффициенте изменения массы оборудования до 0,5 т</t>
  </si>
  <si>
    <t>Сметная стоимость оборудования</t>
  </si>
  <si>
    <t>ТСН-2001.13. Сметная стоимость оборудования</t>
  </si>
  <si>
    <t>ТСН-2001.13</t>
  </si>
  <si>
    <t>Поправка: Гл.4.Прил.2.2.п.2.2.17_04.00.01.24.001</t>
  </si>
  <si>
    <t>[2 125 500 / 1,22 /  7,57] +  3% Трансп +  1,2% Заг.скл</t>
  </si>
  <si>
    <t>1,2</t>
  </si>
  <si>
    <t>10</t>
  </si>
  <si>
    <t>4.12-50-6</t>
  </si>
  <si>
    <t>Монтаж арматуры фланцевой с электрическим приводом на номинальное давление до 4 МПа, номинальный диаметр прохода 100 мм</t>
  </si>
  <si>
    <t>ТСН-2001.4 Доп. 68, Сб. 12, т. 50, поз. 6</t>
  </si>
  <si>
    <t>10,1</t>
  </si>
  <si>
    <t>КА. п. 2</t>
  </si>
  <si>
    <t>Узел управления спринклерный водозаполненный УУ-С100/1,6В-ВФ.О4 Прямоточный-100</t>
  </si>
  <si>
    <t>шт.</t>
  </si>
  <si>
    <t>[72 997,8 / 1,22 /  7,57] +  3% Трансп +  1,2% Заг.скл</t>
  </si>
  <si>
    <t>11</t>
  </si>
  <si>
    <t>4.12-48-10</t>
  </si>
  <si>
    <t>Монтаж арматуры фланцевой с ручным приводом или без привода на номинальное давление до 4 МПа, номинальный диаметр прохода 100 мм</t>
  </si>
  <si>
    <t>ТСН-2001.4 Доп. 68, Сб. 12, т. 48, поз. 10</t>
  </si>
  <si>
    <t>11,1</t>
  </si>
  <si>
    <t>1.13-5-40</t>
  </si>
  <si>
    <t>Затвор дисковый, поворотный, корпус из чугуна, диск из нержавеющей стали, с ручкой, номинальное давление PN 1,6 МПа, номинальный диаметр DN 100 мм</t>
  </si>
  <si>
    <t>ТСН-2001.1 Доп. 79, Р. 13, о. 5, поз. 40</t>
  </si>
  <si>
    <t>12</t>
  </si>
  <si>
    <t>Монтаж арматуры фланцевой с ручным приводом или без привода на номинальное давление до 4 МПа, номинальный диаметр прохода 80 мм</t>
  </si>
  <si>
    <t>12,1</t>
  </si>
  <si>
    <t>1.13-3-109</t>
  </si>
  <si>
    <t>Клапан обратный, чугунный, фланцевый, температура рабочей среды от -10 до +100°С, условная пропускная способность 222 м3/ч, номинальное давление РN 1,6 МПа, номинальный диаметр DN 80 мм</t>
  </si>
  <si>
    <t>ТСН-2001.1 Доп. 79, Р. 13, о. 3, поз. 109</t>
  </si>
  <si>
    <t>12,2</t>
  </si>
  <si>
    <t>1.13-5-39</t>
  </si>
  <si>
    <t>Затвор дисковый, поворотный, корпус из чугуна, диск из нержавеющей стали, с ручкой, номинальное давление PN 1,6 МПа, номинальный диаметр DN 80 мм</t>
  </si>
  <si>
    <t>ТСН-2001.1 Доп. 79, Р. 13, о. 5, поз. 39</t>
  </si>
  <si>
    <t>13</t>
  </si>
  <si>
    <t>4.12-52-12</t>
  </si>
  <si>
    <t>Монтаж арматуры приварной с ручным приводом или без привода на номинальное давление до 4 МПа, номинальный диаметр 150 мм</t>
  </si>
  <si>
    <t>ТСН-2001.4 Доп. 79, Сб. 12, т. 52, поз. 12</t>
  </si>
  <si>
    <t>13,1</t>
  </si>
  <si>
    <t>1.12-11-52</t>
  </si>
  <si>
    <t>Отвод крутоизогнутый, стальной, оцинкованный, ГОСТ 17375-01, наружный диаметр 159 мм, толщина стенки от 4,5 от 5,0 мм, под углом 90°</t>
  </si>
  <si>
    <t>ТСН-2001.1 Доп. 79, Р. 12, о. 11, поз. 52</t>
  </si>
  <si>
    <t>14</t>
  </si>
  <si>
    <t>4.12-52-10</t>
  </si>
  <si>
    <t>Монтаж арматуры приварной с ручным приводом или без привода на номинальное давление до 4 МПа, номинальный диаметр 100 мм</t>
  </si>
  <si>
    <t>ТСН-2001.4 Доп. 80, Сб. 12, т. 52, поз. 10</t>
  </si>
  <si>
    <t>14,1</t>
  </si>
  <si>
    <t>1.12-9-21</t>
  </si>
  <si>
    <t>Фланец стальной плоский приварной с соединительным выступом, ГОСТ 33259-2015, из стали Ст3сп, номинальное давление PN 1,6 МПа, номинальный диаметр DN 100 мм</t>
  </si>
  <si>
    <t>ТСН-2001.1 Доп. 80, Р. 12, о. 9, поз. 21</t>
  </si>
  <si>
    <t>14,2</t>
  </si>
  <si>
    <t>1.12-11-48</t>
  </si>
  <si>
    <t>Отвод крутоизогнутый, стальной, оцинкованный, ГОСТ 17375-01, наружный диаметр 108 мм, толщина стенки 4,0 мм, под углом 90°</t>
  </si>
  <si>
    <t>ТСН-2001.1 Доп. 79, Р. 12, о. 11, поз. 48</t>
  </si>
  <si>
    <t>15</t>
  </si>
  <si>
    <t>4.12-52-9</t>
  </si>
  <si>
    <t>Монтаж арматуры приварной с ручным приводом или без привода на номинальное давление до 4 МПа, номинальный диаметр 80 мм</t>
  </si>
  <si>
    <t>ТСН-2001.4 Доп. 68, Сб. 12, т. 52, поз. 9</t>
  </si>
  <si>
    <t>15,1</t>
  </si>
  <si>
    <t>1.12-9-20</t>
  </si>
  <si>
    <t>Фланец стальной плоский приварной с соединительным выступом, ГОСТ 33259-2015, из стали Ст3сп, номинальное давление PN 1,6 МПа, номинальный диаметр DN 80 мм</t>
  </si>
  <si>
    <t>ТСН-2001.1 Доп. 80, Р. 12, о. 9, поз. 20</t>
  </si>
  <si>
    <t>15,2</t>
  </si>
  <si>
    <t>1.12-11-47</t>
  </si>
  <si>
    <t>Отвод крутоизогнутый, стальной, оцинкованный, ГОСТ 17375-01, наружный диаметр 89 мм, толщина стенки от 3,5 до 4,0 мм, под углом 90°</t>
  </si>
  <si>
    <t>ТСН-2001.1 Доп. 79, Р. 12, о. 11, поз. 47</t>
  </si>
  <si>
    <t>16</t>
  </si>
  <si>
    <t>4.12-56-9</t>
  </si>
  <si>
    <t>Монтаж арматуры муфтовой с ручным приводом или без привода на номинальное давление до 10 МПа, номинальный диаметр 80 мм</t>
  </si>
  <si>
    <t>ТСН-2001.4 Доп. 68, Сб. 12, т. 56, поз. 9</t>
  </si>
  <si>
    <t>16,1</t>
  </si>
  <si>
    <t>1.17-7-46</t>
  </si>
  <si>
    <t>Головка соединительная напорная, для соединения напорных пожарных рукавов между собой и с пожарным оборудованием, муфтовая ГМ-80</t>
  </si>
  <si>
    <t>ТСН-2001.1 Доп. 79, Р. 17, о. 7, поз. 46</t>
  </si>
  <si>
    <t>17</t>
  </si>
  <si>
    <t>4.12-56-5</t>
  </si>
  <si>
    <t>Монтаж арматуры муфтовой с ручным приводом или без привода на номинальное давление до 10 МПа, номинальный диаметр 32 мм</t>
  </si>
  <si>
    <t>ТСН-2001.4 Доп. 79, Сб. 12, т. 56, поз. 5</t>
  </si>
  <si>
    <t>17,1</t>
  </si>
  <si>
    <t>1.13-4-128</t>
  </si>
  <si>
    <t>Кран шаровой, латунный, полнопроходной, муфтовый, 11б27п1, номинальное давление PN 1,6 МПа, номинальный диаметр DN 32 мм</t>
  </si>
  <si>
    <t>ТСН-2001.1 Доп. 73, Р. 13, о. 4, поз. 128</t>
  </si>
  <si>
    <t>17,2</t>
  </si>
  <si>
    <t>1.13-3-40</t>
  </si>
  <si>
    <t>Клапан обратный общего назначения, латунный, с внутренней резьбой, температура до +100°С, номинальное давление PN 1,0 МПа, номинальный диаметр DN 32 мм</t>
  </si>
  <si>
    <t>ТСН-2001.1 Доп. 73, Р. 13, о. 3, поз. 40</t>
  </si>
  <si>
    <t>18</t>
  </si>
  <si>
    <t>4.12-32-4</t>
  </si>
  <si>
    <t>Монтаж трубопровода спринклерной установки водяного и пенного пожаротушения и побудительный из стальных труб, монтируемый из готовых узлов, номинальный диаметр труб 150 мм</t>
  </si>
  <si>
    <t>100 м</t>
  </si>
  <si>
    <t>ТСН-2001.4 Доп. 80, Сб. 12, т. 32, поз. 4</t>
  </si>
  <si>
    <t>18,1</t>
  </si>
  <si>
    <t>1.12-6-41</t>
  </si>
  <si>
    <t>Трубы стальные электросварные прямошовные, ГОСТ 10705-80, ГОСТ 10704-91, наружный диаметр 159 мм, толщина стенки 4 мм</t>
  </si>
  <si>
    <t>м</t>
  </si>
  <si>
    <t>ТСН-2001.1 Доп. 79, Р. 12, о. 6, поз. 41</t>
  </si>
  <si>
    <t>19</t>
  </si>
  <si>
    <t>4.12-32-3</t>
  </si>
  <si>
    <t>Монтаж трубопровода спринклерной установки водяного и пенного пожаротушения и побудительный из стальных труб, монтируемый из готовых узлов, номинальный диаметр труб 100 мм</t>
  </si>
  <si>
    <t>ТСН-2001.4 Доп. 80, Сб. 12, т. 32, поз. 3</t>
  </si>
  <si>
    <t>19,1</t>
  </si>
  <si>
    <t>1.12-6-31</t>
  </si>
  <si>
    <t>Трубы стальные электросварные прямошовные, ГОСТ 10705-80, ГОСТ 10704-91, наружный диаметр 108 мм, толщина стенки 3 мм</t>
  </si>
  <si>
    <t>ТСН-2001.1 Доп. 79, Р. 12, о. 6, поз. 31</t>
  </si>
  <si>
    <t>19,2</t>
  </si>
  <si>
    <t>1.12-6-24</t>
  </si>
  <si>
    <t>Трубы стальные электросварные прямошовные, ГОСТ 10705-80, ГОСТ 10704-91, наружный диаметр 89 мм, толщина стенки 3 мм</t>
  </si>
  <si>
    <t>ТСН-2001.1 Доп. 79, Р. 12, о. 6, поз. 24</t>
  </si>
  <si>
    <t>20</t>
  </si>
  <si>
    <t>4.12-32-2</t>
  </si>
  <si>
    <t>Монтаж трубопровода спринклерной установки водяного и пенного пожаротушения и побудительный из стальных труб, монтируемый из готовых узлов, номинальный диаметр труб 50 мм</t>
  </si>
  <si>
    <t>ТСН-2001.4 Доп. 80, Сб. 12, т. 32, поз. 2</t>
  </si>
  <si>
    <t>20,1</t>
  </si>
  <si>
    <t>1.12-1-57</t>
  </si>
  <si>
    <t>Узел трубопровода из стальных водогазопроводных оцинкованных труб, с гильзами, для водоснабжения, диаметр условного прохода 50 мм</t>
  </si>
  <si>
    <t>ТСН-2001.1 Доп. 79, Р. 12, о. 1, поз. 57</t>
  </si>
  <si>
    <t>4.12-34-1</t>
  </si>
  <si>
    <t>Монтаж трубопровода от узлов управления до выпускных насадок спринклерных установок водяного пожаротушения и побудительные в помещениях с подвесными потолками, номинальный диаметр труб до 40 мм</t>
  </si>
  <si>
    <t>1000 м</t>
  </si>
  <si>
    <t>ТСН-2001.4 Доп. 80, Сб. 12, т. 34, поз. 1</t>
  </si>
  <si>
    <t>1000 М</t>
  </si>
  <si>
    <t>1.12-1-55</t>
  </si>
  <si>
    <t>Узел трубопровода из стальных водогазопроводных оцинкованных труб, с гильзами, для водоснабжения, диаметр условного прохода 32 мм</t>
  </si>
  <si>
    <t>ТСН-2001.1 Доп. 79, Р. 12, о. 1, поз. 55</t>
  </si>
  <si>
    <t>1.12-1-54</t>
  </si>
  <si>
    <t>Узел трубопровода из стальных водогазопроводных оцинкованных труб, с гильзами, для водоснабжения, диаметр условного прохода 25 мм</t>
  </si>
  <si>
    <t>ТСН-2001.1 Доп. 79, Р. 12, о. 1, поз. 54</t>
  </si>
  <si>
    <t>21</t>
  </si>
  <si>
    <t>4.12-32-1</t>
  </si>
  <si>
    <t>Монтаж трубопровода спринклерной установки водяного и пенного пожаротушения и побудительный из стальных труб, монтируемый из готовых узлов, номинальный диаметр труб 40 мм</t>
  </si>
  <si>
    <t>ТСН-2001.4 Доп. 80, Сб. 12, т. 32, поз. 1</t>
  </si>
  <si>
    <t>21,1</t>
  </si>
  <si>
    <t>21,2</t>
  </si>
  <si>
    <t>22</t>
  </si>
  <si>
    <t>1.6-1-312</t>
  </si>
  <si>
    <t>Опора скользящая типа ОПП3-165 для трубопровода с наружным диаметром 165 мм</t>
  </si>
  <si>
    <t>ТСН-2001.1 Доп. 79, Р. 6, о. 1, поз. 312</t>
  </si>
  <si>
    <t>Материалы строительные</t>
  </si>
  <si>
    <t>ТСН-2001.1 Материалы строительные</t>
  </si>
  <si>
    <t>ТСН-2001.1-1</t>
  </si>
  <si>
    <t>23</t>
  </si>
  <si>
    <t>1.7-5-376</t>
  </si>
  <si>
    <t>Хомут U-образный из оцинкованной стали, размер 3 1/2", для крепления труб диаметром от 90 до 102 мм</t>
  </si>
  <si>
    <t>ТСН-2001.1 Доп. 77, Р. 7, о. 5, поз. 376</t>
  </si>
  <si>
    <t>24</t>
  </si>
  <si>
    <t>1.7-5-375</t>
  </si>
  <si>
    <t>Хомут U-образный из оцинкованной стали, размер 3", для крепления труб диаметром от 80 до 90 мм</t>
  </si>
  <si>
    <t>ТСН-2001.1 Доп. 77, Р. 7, о. 5, поз. 375</t>
  </si>
  <si>
    <t>25</t>
  </si>
  <si>
    <t>1.12-10-156</t>
  </si>
  <si>
    <t>Кронштейн Г-образный, стальной, окрашенный, для крепления экранов радиаторов к стенам, длина 150 мм (Угол стальной 45х45 для кронштейнов крепления, ст.3)</t>
  </si>
  <si>
    <t>ТСН-2001.1 Доп. 69, Р. 12, о. 10, поз. 156</t>
  </si>
  <si>
    <t>26</t>
  </si>
  <si>
    <t>3.70-41-2</t>
  </si>
  <si>
    <t>Установка распорных анкеров в готовые отверстия</t>
  </si>
  <si>
    <t>100 шт.</t>
  </si>
  <si>
    <t>ТСН-2001.3 Доп. 78, Сб. 70, т. 41, поз. 2</t>
  </si>
  <si>
    <t>ТСН-2001.3-70. Металлические конструкции</t>
  </si>
  <si>
    <t>ТСН-2001.3-70-4</t>
  </si>
  <si>
    <t>26,1</t>
  </si>
  <si>
    <t>1.3-4-176</t>
  </si>
  <si>
    <t>Шпилька анкерная, стальная, резьбовая, оцинкованная, в комплекте с шайбой и гайкой, М12x110 мм</t>
  </si>
  <si>
    <t>ТСН-2001.1 Доп. 73, Р. 3, о. 4, поз. 176</t>
  </si>
  <si>
    <t>Поправка: Гл.6.Прил.2.2.п.2.2.6_06.00.01.07.001_x000D_
Поправка: Гл.12.Прил.8.п.8. 3_12.00.01.11.001</t>
  </si>
  <si>
    <t>26,2</t>
  </si>
  <si>
    <t>1.7-5-262</t>
  </si>
  <si>
    <t>Анкер забивной, латунный, внутренняя резьба М10, диаметр 12 мм, длина 34 мм</t>
  </si>
  <si>
    <t>ТСН-2001.1 Доп. 79, Р. 7, о. 5, поз. 262</t>
  </si>
  <si>
    <t>27</t>
  </si>
  <si>
    <t>3.70-370-2</t>
  </si>
  <si>
    <t>Огрунтовка металлических поверхностей грунтовкой ГФ-021 за один раз (2 слоя)</t>
  </si>
  <si>
    <t>100 м2</t>
  </si>
  <si>
    <t>ТСН-2001.3 Доп. 79, Сб. 70, т. 370, поз. 2</t>
  </si>
  <si>
    <t>)*2)*1)*1</t>
  </si>
  <si>
    <t>)*2)*1,25)*1,2</t>
  </si>
  <si>
    <t>)*2)*1,15)*1,2</t>
  </si>
  <si>
    <t>ТСН-2001.3-70. Защита строительных конструкций и оборудования от коррозии</t>
  </si>
  <si>
    <t>ТСН-2001.3-70-8</t>
  </si>
  <si>
    <t>27,1</t>
  </si>
  <si>
    <t>1.1-1-165</t>
  </si>
  <si>
    <t>Грунтовка глифталевая, типа ГФ-021</t>
  </si>
  <si>
    <t>т</t>
  </si>
  <si>
    <t>ТСН-2001.1 Доп. 79, Р. 1, о. 1, поз. 165</t>
  </si>
  <si>
    <t>28</t>
  </si>
  <si>
    <t>3.70-357-8</t>
  </si>
  <si>
    <t>Окраска огрунтованных металлических поверхностей эмалями ПФ-115</t>
  </si>
  <si>
    <t>ТСН-2001.3 Доп. 79, Сб. 70, т. 357, поз. 8</t>
  </si>
  <si>
    <t>29</t>
  </si>
  <si>
    <t>4.12-53-10</t>
  </si>
  <si>
    <t>Монтаж арматуры приварной с ручным приводом или без привода на номинальное давление до 10 МПа, номинальный диаметр 100 мм</t>
  </si>
  <si>
    <t>ТСН-2001.4 Доп. 79, Сб. 12, т. 53, поз. 10</t>
  </si>
  <si>
    <t>29,1</t>
  </si>
  <si>
    <t>КА. п. 3</t>
  </si>
  <si>
    <t>Расходомер ДУ100 Пульсар</t>
  </si>
  <si>
    <t>[31 049,7 / 1,22 /  9,84] +  2% Заг.скл</t>
  </si>
  <si>
    <t>0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</si>
  <si>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</si>
  <si>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</si>
  <si>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</si>
  <si>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</si>
  <si>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</si>
  <si>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</si>
  <si>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</si>
  <si>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</si>
  <si>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</si>
  <si>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</si>
  <si>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</si>
  <si>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</si>
  <si>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</si>
  <si>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</si>
  <si>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</si>
  <si>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</si>
  <si>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</si>
  <si>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</si>
  <si>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</si>
  <si>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</si>
  <si>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</si>
  <si>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</si>
  <si>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</si>
  <si>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</si>
  <si>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</si>
  <si>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</si>
  <si>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</si>
  <si>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</si>
  <si>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</si>
  <si>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</si>
  <si>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</si>
  <si>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</si>
  <si>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</si>
  <si>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</si>
  <si>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</si>
  <si>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</si>
  <si>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</si>
  <si>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</si>
  <si>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</si>
  <si>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</si>
  <si>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</si>
  <si>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</si>
  <si>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</si>
  <si>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</si>
  <si>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</si>
  <si>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</si>
  <si>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</si>
  <si>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</si>
  <si>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</si>
  <si>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</si>
  <si>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</si>
  <si>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</si>
  <si>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</si>
  <si>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</si>
  <si>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Автоматическая установка водяного пожаротушения.</t>
  </si>
  <si>
    <t>30</t>
  </si>
  <si>
    <t>4.12-35-14</t>
  </si>
  <si>
    <t>Монтаж оросителя установки водяного или пенного пожаротушения, спринклерный или дренчерный в подвесных потолках</t>
  </si>
  <si>
    <t>ТСН-2001.4 Доп. 81, Сб. 12, т. 35, поз. 14</t>
  </si>
  <si>
    <t>30,1</t>
  </si>
  <si>
    <t>1.12-7-211</t>
  </si>
  <si>
    <t>Трубы из нержавеющей стали отожженные, гофрированные, водогазопроводные, номинальный диаметр DN 15 мм</t>
  </si>
  <si>
    <t>ТСН-2001.1 Доп. 81, Р. 12, о. 7, поз. 211</t>
  </si>
  <si>
    <t>30,2</t>
  </si>
  <si>
    <t>1.12-10-231</t>
  </si>
  <si>
    <t>Муфта соединительная, переходная, латунная, для соединения стальных гофрированных труб и резьбовых элементов, номинальный диаметр DN 15 мм, внутренняя резьба 1/2"</t>
  </si>
  <si>
    <t>ТСН-2001.1 Доп. 81, Р. 12, о. 10, поз. 231</t>
  </si>
  <si>
    <t>30,3</t>
  </si>
  <si>
    <t>1.12-10-232</t>
  </si>
  <si>
    <t>Муфта соединительная, переходная, латунная, для соединения стальных гофрированных труб и резьбовых элементов, номинальный диаметр DN 15 мм, наружная резьба 1/2"</t>
  </si>
  <si>
    <t>ТСН-2001.1 Доп. 81, Р. 12, о. 10, поз. 232</t>
  </si>
  <si>
    <t>30,4</t>
  </si>
  <si>
    <t>1.17-7-51</t>
  </si>
  <si>
    <t>Ороситель спринклерный, латунный, без покрытия, стандартного реагирования, для воды и пены, настенный, горизонтальный, присоединение 1/2", коэффициент производительности 80, колба 5 мм</t>
  </si>
  <si>
    <t>ТСН-2001.1 Доп. 79, Р. 17, о. 7, поз. 51</t>
  </si>
  <si>
    <t>31</t>
  </si>
  <si>
    <t>4.12-56-7</t>
  </si>
  <si>
    <t>Монтаж арматуры муфтовой с ручным приводом или без привода на номинальное давление до 10 МПа, номинальный диаметр 50 мм</t>
  </si>
  <si>
    <t>ТСН-2001.4 Доп. 80, Сб. 12, т. 56, поз. 7</t>
  </si>
  <si>
    <t>31,1</t>
  </si>
  <si>
    <t>1.13-4-66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</si>
  <si>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50 мм</t>
  </si>
  <si>
    <t>ТСН-2001.1 Доп. 79, Р. 13, о. 4, поз. 66</t>
  </si>
  <si>
    <t>31,2</t>
  </si>
  <si>
    <t>1.17-7-44</t>
  </si>
  <si>
    <t>Головка соединительная напорная, для соединения напорных пожарных рукавов между собой и с пожарным оборудованием, муфтовая ГМ-50</t>
  </si>
  <si>
    <t>ТСН-2001.1 Доп. 67, Р. 17, о. 7, поз. 44</t>
  </si>
  <si>
    <t>32</t>
  </si>
  <si>
    <t>4.12-39-1</t>
  </si>
  <si>
    <t>Монтаж закладного устройства прибора: бобышки, штуцера на номинальное давление до 10 МПа</t>
  </si>
  <si>
    <t>ТСН-2001.4 Доп. 79, Сб. 12, т. 39, поз. 1</t>
  </si>
  <si>
    <t>32,1</t>
  </si>
  <si>
    <t>1.12-10-23</t>
  </si>
  <si>
    <t>Фитинг (сгон) из стальных водогазопроводных неоцинкованных труб для соединения стальных трубопроводов, с муфтой и контргайкой, номинальный диаметр DN 50 мм</t>
  </si>
  <si>
    <t>КОМПЛЕКТ</t>
  </si>
  <si>
    <t>ТСН-2001.1 Доп. 79, Р. 12, о. 10, поз. 23</t>
  </si>
  <si>
    <t>33</t>
  </si>
  <si>
    <t>3.18-21-1</t>
  </si>
  <si>
    <t>Установка воздухоотводчиков</t>
  </si>
  <si>
    <t>ТСН-2001.3 Доп. 68, Сб. 18, т. 21, поз. 1</t>
  </si>
  <si>
    <t>33,1</t>
  </si>
  <si>
    <t>1.18-6-143</t>
  </si>
  <si>
    <t>Воздухоотводчик автоматический, латунный, с наружным резьбовым присоединением, температура рабочей среды до +110°С, номинальное давление PN 1,0 МПа, номинальный диаметр DN 10 мм</t>
  </si>
  <si>
    <t>ТСН-2001.1 Доп. 79, Р. 18, о. 6, поз. 143</t>
  </si>
  <si>
    <t>34</t>
  </si>
  <si>
    <t>3.16-15-1</t>
  </si>
  <si>
    <t>Установка вентилей, задвижек, затворов, клапанов обратных, кранов проходных на трубопроводах из стальных труб диаметром до 25 мм</t>
  </si>
  <si>
    <t>ТСН-2001.3 Доп. 79, Сб. 16, т. 15, поз. 1</t>
  </si>
  <si>
    <t>ТСН-2001.3-16. Трубопроводы внутренние</t>
  </si>
  <si>
    <t>ТСН-2001.3-16-1</t>
  </si>
  <si>
    <t>34,1</t>
  </si>
  <si>
    <t>1.13-3-33</t>
  </si>
  <si>
    <t>Клапан обратный, латунный, подъемный, муфтовый, 16б1бк, номинальное давление PN 1,6 МПа, номинальный диаметр DN 15 мм</t>
  </si>
  <si>
    <t>ТСН-2001.1 Доп. 73, Р. 13, о. 3, поз. 33</t>
  </si>
  <si>
    <t>35</t>
  </si>
  <si>
    <t>35,1</t>
  </si>
  <si>
    <t>1.12-10-126</t>
  </si>
  <si>
    <t>Бобышка стальная, прямая, типа ЗК4-1-85  (Муфта стальная приварная 1/2")</t>
  </si>
  <si>
    <t>ТСН-2001.1 Доп. 73, Р. 12, о. 10, поз. 126</t>
  </si>
  <si>
    <t>36</t>
  </si>
  <si>
    <t>36,1</t>
  </si>
  <si>
    <t>37</t>
  </si>
  <si>
    <t>37,1</t>
  </si>
  <si>
    <t>37,2</t>
  </si>
  <si>
    <t>1.12-11-104</t>
  </si>
  <si>
    <t>Тройник сварной, стальной, диаметр 108 мм, толщина стенки 6 мм</t>
  </si>
  <si>
    <t>ТСН-2001.1 Доп. 79, Р. 12, о. 11, поз. 104</t>
  </si>
  <si>
    <t>1.12-1-56</t>
  </si>
  <si>
    <t>Узел трубопровода из стальных водогазопроводных оцинкованных труб, с гильзами, для водоснабжения, диаметр условного прохода 40 мм</t>
  </si>
  <si>
    <t>ТСН-2001.1 Доп. 79, Р. 12, о. 1, поз. 56</t>
  </si>
  <si>
    <t>38</t>
  </si>
  <si>
    <t>38,1</t>
  </si>
  <si>
    <t>38,2</t>
  </si>
  <si>
    <t>38,3</t>
  </si>
  <si>
    <t>1.12-1-53</t>
  </si>
  <si>
    <t>Узел трубопровода из стальных водогазопроводных оцинкованных труб, с гильзами, для водоснабжения, диаметр условного прохода 20 мм</t>
  </si>
  <si>
    <t>ТСН-2001.1 Доп. 79, Р. 12, о. 1, поз. 53</t>
  </si>
  <si>
    <t>39</t>
  </si>
  <si>
    <t>6.65-47-1</t>
  </si>
  <si>
    <t>Установка заглушек, диаметр трубопроводов до 100 мм</t>
  </si>
  <si>
    <t>100 заглушек</t>
  </si>
  <si>
    <t>ТСН-2001.6 Доп. 79, Сб. 65, т. 47, поз. 1</t>
  </si>
  <si>
    <t>Ремонтно-строительные работы</t>
  </si>
  <si>
    <t>ТСН-2001.6-65. Внутренние санитарно-технические работы: смена труб, санприборов, запорной арматуры и другое</t>
  </si>
  <si>
    <t>ТСН-2001.6-65-2</t>
  </si>
  <si>
    <t>40</t>
  </si>
  <si>
    <t>40,1</t>
  </si>
  <si>
    <t>41</t>
  </si>
  <si>
    <t>41,1</t>
  </si>
  <si>
    <t>42</t>
  </si>
  <si>
    <t>4.11-2-1</t>
  </si>
  <si>
    <t>Установка прибора на резьбовых соединениях</t>
  </si>
  <si>
    <t>ТСН-2001.4 Доп. 67, Сб. 11, т. 2, поз. 1</t>
  </si>
  <si>
    <t>ТСН-2001.4-11. Приборы и средства автоматизации и вычислительной техники</t>
  </si>
  <si>
    <t>ТСН-2001.4-11-1</t>
  </si>
  <si>
    <t>42,1</t>
  </si>
  <si>
    <t>КА. п. 4</t>
  </si>
  <si>
    <t>Сигнализатор потока жидкости СПЖ (25-200)-0,63/1,6(3)-УН(G3/4).У2-"Стрим"</t>
  </si>
  <si>
    <t>[15 939 / 1,22 /  7,57] +  3% Трансп +  1,2% Заг.скл</t>
  </si>
  <si>
    <t>43</t>
  </si>
  <si>
    <t>44</t>
  </si>
  <si>
    <t>1.7-5-371</t>
  </si>
  <si>
    <t>Хомут U-образный из оцинкованной стали, размер 1 1/4", для крепления труб диаметром от 33 до 42 мм</t>
  </si>
  <si>
    <t>ТСН-2001.1 Доп. 77, Р. 7, о. 5, поз. 371</t>
  </si>
  <si>
    <t>45</t>
  </si>
  <si>
    <t>45,1</t>
  </si>
  <si>
    <t>46</t>
  </si>
  <si>
    <t>и1</t>
  </si>
  <si>
    <t>Итого</t>
  </si>
  <si>
    <t>и2</t>
  </si>
  <si>
    <t>НДС 20%</t>
  </si>
  <si>
    <t>и3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</si>
  <si>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</si>
  <si>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</si>
  <si>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</si>
  <si>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</si>
  <si>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</si>
  <si>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3.27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</si>
  <si>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</si>
  <si>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3.29 Отдел 1.5; табл. 3.29-1905...1906</t>
  </si>
  <si>
    <t>4.10_МЕЖГ</t>
  </si>
  <si>
    <t>{вкл} - Прокладка и монтаж междугородных линий связи  {выкл} - Прокладка и монтаж сетей связи  4.10 Раздел 1.7.3...1.7.5</t>
  </si>
  <si>
    <t>Текущий уровень цен</t>
  </si>
  <si>
    <t>Сборник индексов</t>
  </si>
  <si>
    <t>Коэффициенты к ТСН-2001 МГЭ Дополнение 81, ремонт</t>
  </si>
  <si>
    <t>219/81</t>
  </si>
  <si>
    <t>Коэффициенты к ТСН-2001.13-2 Дополнение 47</t>
  </si>
  <si>
    <t>64/47</t>
  </si>
  <si>
    <t>Базовый уровень цен</t>
  </si>
  <si>
    <t>Коэффициенты к ТСН-2001 МГЭ Дополнение 81, строительство</t>
  </si>
  <si>
    <t>_OBSM_</t>
  </si>
  <si>
    <t>9999990008</t>
  </si>
  <si>
    <t>Трудозатраты рабочих</t>
  </si>
  <si>
    <t>чел.-ч.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</si>
  <si>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</si>
  <si>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</si>
  <si>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</si>
  <si>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маш.-ч</t>
  </si>
  <si>
    <t>2.1-13-16</t>
  </si>
  <si>
    <t>ТСН-2001.2. Доп. 68. п.1-13-16 (136301)</t>
  </si>
  <si>
    <t>Аппараты для газовой сварки и резки (комплект оборудования)</t>
  </si>
  <si>
    <t>2.1-18-7</t>
  </si>
  <si>
    <t>ТСН-2001.2. Доп. 68. п.1-18-7 (183001)</t>
  </si>
  <si>
    <t>Автомобили грузовые бортовые, грузоподъемность до 5 т</t>
  </si>
  <si>
    <t>9999990009</t>
  </si>
  <si>
    <t>2.1-30-19</t>
  </si>
  <si>
    <t>ТСН-2001.2. Доп. 80. п.1-30-19 (305001)</t>
  </si>
  <si>
    <t>Машины шлифовальные электрические, мощность до 1700 Вт</t>
  </si>
  <si>
    <t>2.1-4-98</t>
  </si>
  <si>
    <t>ТСН-2001.2. Доп. 68. п.1-4-98 (042931)</t>
  </si>
  <si>
    <t>Лебедки электрические, тяговое усилие до 31,39 кН (3,2 тс)</t>
  </si>
  <si>
    <t>1.1-1-1677</t>
  </si>
  <si>
    <t>ТСН-2001.1 Доп. 79, Р. 1, о. 1, поз. 1677</t>
  </si>
  <si>
    <t>Электроды, типа УОНИ 13/55, диаметр от 4 до 5 мм</t>
  </si>
  <si>
    <t>1.1-1-1920</t>
  </si>
  <si>
    <t>ТСН-2001.1. Доп. 1-42. Р. 1, о. 1, поз. 1920</t>
  </si>
  <si>
    <t>Электроэнергия</t>
  </si>
  <si>
    <t>квт.-ч.</t>
  </si>
  <si>
    <t>1.1-1-2613</t>
  </si>
  <si>
    <t>ТСН-2001.1 Доп. 79, Р. 1, о. 1, поз. 2613</t>
  </si>
  <si>
    <t>Пропан-бутан, сжиженный газ</t>
  </si>
  <si>
    <t>кг</t>
  </si>
  <si>
    <t>1.1-1-376</t>
  </si>
  <si>
    <t>ТСН-2001.1 Доп. 79, Р. 1, о. 1, поз. 376</t>
  </si>
  <si>
    <t>Кислород технический, газообразный</t>
  </si>
  <si>
    <t>м3</t>
  </si>
  <si>
    <t>2.1-11-90</t>
  </si>
  <si>
    <t>ТСН-2001.2. Доп. 71. п.1-11-90 (111301)</t>
  </si>
  <si>
    <t>Агрегаты электронасосные для опрессовки сосудов, котлов и систем трубопроводов, производительность до 0,252 м3/ч</t>
  </si>
  <si>
    <t>2.1-3-38</t>
  </si>
  <si>
    <t>ТСН-2001.2. Доп. 68. п.1-3-38 (032009)</t>
  </si>
  <si>
    <t>Краны на автомобильном ходу, грузоподъемность до 16 т</t>
  </si>
  <si>
    <t>1.1-1-118</t>
  </si>
  <si>
    <t>ТСН-2001.1. Доп. 1-42. Р. 1, о. 1, поз. 118</t>
  </si>
  <si>
    <t>Вода</t>
  </si>
  <si>
    <t>1.1-1-2481</t>
  </si>
  <si>
    <t>ТСН-2001.1 Доп. 79, Р. 1, о. 1, поз. 2481</t>
  </si>
  <si>
    <t>Волокно льняное №11 для уплотнения резьбовых соединений при монтаже систем водоснабжения и отопления</t>
  </si>
  <si>
    <t>1.1-1-467</t>
  </si>
  <si>
    <t>ТСН-2001.1 Доп. 79,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</si>
  <si>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</si>
  <si>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1.1-1-732</t>
  </si>
  <si>
    <t>ТСН-2001.1 Доп. 67, Р. 1, о. 1, поз. 732</t>
  </si>
  <si>
    <t>Олифа для окраски комбинированная, типа Оксоль</t>
  </si>
  <si>
    <t>2.1-10-1</t>
  </si>
  <si>
    <t>ТСН-2001.2. Доп. 68. п.1-10-1 (100101)</t>
  </si>
  <si>
    <t>Компрессоры передвижные с двигателем внутреннего сгорания, давление до 7 ат, производительность до 5 м3/мин</t>
  </si>
  <si>
    <t>2.1-30-7</t>
  </si>
  <si>
    <t>ТСН-2001.2. Доп. 68. п.1-30-7 (303801)</t>
  </si>
  <si>
    <t>Молотки бурильные пневматические легкие</t>
  </si>
  <si>
    <t>1.1-1-1577</t>
  </si>
  <si>
    <t>ТСН-2001.1 Доп. 79, Р. 1, о. 1, поз. 1577</t>
  </si>
  <si>
    <t>Эмаль пентафталевая, цветная, типа ПФ-115</t>
  </si>
  <si>
    <t>1.1-1-1669</t>
  </si>
  <si>
    <t>ТСН-2001.1 Доп. 79, Р. 1, о. 1, поз. 1669</t>
  </si>
  <si>
    <t>Электроды, типа Э-42А, диаметр от 4 до 6 мм</t>
  </si>
  <si>
    <t>1.1-1-1003</t>
  </si>
  <si>
    <t>ТСН-2001.1 Доп. 79, Р. 1, о. 1, поз. 1003</t>
  </si>
  <si>
    <t>Резина техническая, прессованная</t>
  </si>
  <si>
    <t>1.1-1-1664</t>
  </si>
  <si>
    <t>ТСН-2001.1 Доп. 79, Р. 1, о. 1, поз. 1664</t>
  </si>
  <si>
    <t>Проволока сварочная, марка СВ-08 Г2С, диаметр 2 мм</t>
  </si>
  <si>
    <t>1.1-1-26</t>
  </si>
  <si>
    <t>ТСН-2001.1 Доп. 79, Р. 1, о. 1, поз. 26</t>
  </si>
  <si>
    <t>Ацетилен технический</t>
  </si>
  <si>
    <t>2.1-10-2</t>
  </si>
  <si>
    <t>ТСН-2001.2. Доп. 68. п.1-10-2 (100102)</t>
  </si>
  <si>
    <t>Компрессоры передвижные с двигателем внутреннего сгорания, давление до 7 ат, производительность до 6,5 м3/мин</t>
  </si>
  <si>
    <t>2.1-11-27</t>
  </si>
  <si>
    <t>ТСН-2001.2. Доп. 71. п.1-11-27 (115402)</t>
  </si>
  <si>
    <t>Насосы химические, производительность до 7,2 м3/ч, напор до 30 м</t>
  </si>
  <si>
    <t>2.1-4-32</t>
  </si>
  <si>
    <t>ТСН-2001.2. Доп. 68. п.1-4-32 (042904)</t>
  </si>
  <si>
    <t>Лебедки электрические, тяговое усилие до 19,62 кН (2 тc)</t>
  </si>
  <si>
    <t>1.1-1-1566</t>
  </si>
  <si>
    <t>ТСН-2001.1 Доп. 79, Р. 1, о. 1, поз. 1566</t>
  </si>
  <si>
    <t>Электроды, типа Э-42, Э-46, Э-50, диаметр от 4 до 6 мм</t>
  </si>
  <si>
    <t>1.1-1-1948</t>
  </si>
  <si>
    <t>ТСН-2001.1 Доп. 79, Р. 1, о. 1, поз. 1948</t>
  </si>
  <si>
    <t>Гвозди (дюбели металлические) для пороховых монтажных пистолетов, диаметр 4 мм, длина 37 мм, для крепления в бетон и сталь</t>
  </si>
  <si>
    <t>1.1-1-1949</t>
  </si>
  <si>
    <t>ТСН-2001.1 Доп. 73, Р. 1, о. 1, поз. 1949</t>
  </si>
  <si>
    <t>Патроны для пороховых монтажных пистолетов, калибр 6,8х11 мм</t>
  </si>
  <si>
    <t>1.21-5-731</t>
  </si>
  <si>
    <t>ТСН-2001.1 Доп. 77, Р. 21, о. 5, поз. 731</t>
  </si>
  <si>
    <t>Колпачок изолированный, типа СЕСТ 16-150</t>
  </si>
  <si>
    <t>2.1-10-12</t>
  </si>
  <si>
    <t>ТСН-2001.2. Доп. 68. п.1-10-12 (105001)</t>
  </si>
  <si>
    <t>Компрессоры передвижные электрические, давление до 10 ат, производительность до 3,5 м3/мин</t>
  </si>
  <si>
    <t>2.1-4-12</t>
  </si>
  <si>
    <t>ТСН-2001.2. Доп. 68. п.1-4-12 (040205)</t>
  </si>
  <si>
    <t>Автопогрузчики вилочные, грузоподъемность до 5 т</t>
  </si>
  <si>
    <t>2.1-4-30</t>
  </si>
  <si>
    <t>ТСН-2001.2. Доп. 68. п.1-4-30 (042901)</t>
  </si>
  <si>
    <t>Лебедки электрические, тяговое усилие до 4,9 кН (0,5 тс)</t>
  </si>
  <si>
    <t>1.1-1-489</t>
  </si>
  <si>
    <t>ТСН-2001.1 Доп. 79, Р. 1, о. 1, поз. 489</t>
  </si>
  <si>
    <t>Ксилол нефтяной, марка А</t>
  </si>
  <si>
    <t>1.1-1-999</t>
  </si>
  <si>
    <t>ТСН-2001.1 Доп. 79, Р. 1, о. 1, поз. 999</t>
  </si>
  <si>
    <t>Растворитель "Уайт-спирит"</t>
  </si>
  <si>
    <t>2.1-30-56</t>
  </si>
  <si>
    <t>ТСН-2001.2. Доп. 68. п.1-30-56 (309101)</t>
  </si>
  <si>
    <t>Шуруповерты</t>
  </si>
  <si>
    <t>1.1-1-8035</t>
  </si>
  <si>
    <t>ТСН-2001.1 Доп. 79, Р. 1, о. 1, поз. 8035</t>
  </si>
  <si>
    <t>Состав уплотнительный на органической основе с минеральным наполнителем для герметизации кабельных вводов, муфт, зазоров, резьбовых соединений газовых и водопроводных труб</t>
  </si>
  <si>
    <t>1.12-10-227</t>
  </si>
  <si>
    <t>ТСН-2001.1 Доп. 81, Р. 12, о. 10, поз. 227</t>
  </si>
  <si>
    <t>Рейка стальная для крепления гибких подводок к подвесному потолку в спринклерных системах пожаротушения</t>
  </si>
  <si>
    <t>1.12-10-228</t>
  </si>
  <si>
    <t>ТСН-2001.1 Доп. 81, Р. 12, о. 10, поз. 228</t>
  </si>
  <si>
    <t>Зажим (кронштейн) стальной для центрального крепления спринклерной подводки в точке орошения</t>
  </si>
  <si>
    <t>1.12-10-229</t>
  </si>
  <si>
    <t>ТСН-2001.1 Доп. 81, Р. 12, о. 10, поз. 229</t>
  </si>
  <si>
    <t>Зажим (кронштейн) стальной для фиксации реечного крепления гибких подводок к несущему профилю подвесного потолка</t>
  </si>
  <si>
    <t>1.12-10-230</t>
  </si>
  <si>
    <t>ТСН-2001.1 Доп. 81, Р. 12, о. 10, поз. 230</t>
  </si>
  <si>
    <t>Зажим для фиксации спринклерной подводки к потолку</t>
  </si>
  <si>
    <t>1.17-7-69</t>
  </si>
  <si>
    <t>ТСН-2001.1 Доп. 81, Р. 17, о. 7, поз. 69</t>
  </si>
  <si>
    <t>Отражатель декоративный пластиковый для спринклерного оросителя в подвесной потолок или стеновую панель, диаметр присоединительной резьбы 1/2"</t>
  </si>
  <si>
    <t>1.12-10-131</t>
  </si>
  <si>
    <t>ТСН-2001.1 Доп. 79, Р. 12, о. 10, поз. 131</t>
  </si>
  <si>
    <t>Заглушка стальная, резьбовая, диаметр 20 мм</t>
  </si>
  <si>
    <t>1.18-7-84</t>
  </si>
  <si>
    <t>ТСН-2001.1 Доп. 65, Р. 18, о. 7, поз. 84</t>
  </si>
  <si>
    <t>Пробка П-М27x2,0 из стали 20</t>
  </si>
  <si>
    <t>1.18-7-1</t>
  </si>
  <si>
    <t>ТСН-2001.1 Доп. 79, Р. 18, о. 7, поз. 1</t>
  </si>
  <si>
    <t>Прокладка паронитовая, уплотнительная, толщина от 0,5 до 2,5 мм</t>
  </si>
  <si>
    <t>1.1-1-1668</t>
  </si>
  <si>
    <t>ТСН-2001.1 Доп. 79, Р. 1, о. 1, поз. 1668</t>
  </si>
  <si>
    <t>Электроды, типа Э-42А, диаметр от 2 до 2,5 мм</t>
  </si>
  <si>
    <t>1.1-1-57</t>
  </si>
  <si>
    <t>ТСН-2001.1 Доп. 79, Р. 1, о. 1, поз. 57</t>
  </si>
  <si>
    <t>Болты строительные с гайками и шайбами, черные, М10х100 мм</t>
  </si>
  <si>
    <t>1.1-1-1103</t>
  </si>
  <si>
    <t>ТСН-2001.1 Доп. 79, Р. 1, о. 1, поз. 1103</t>
  </si>
  <si>
    <t>Прокат листовой, из стали углеродистой обыкновенного качества, полуспокойной, толщина более 4 мм</t>
  </si>
  <si>
    <t>1.1-1-1679</t>
  </si>
  <si>
    <t>ТСН-2001.1 Доп. 79, Р. 1, о. 1, поз. 1679</t>
  </si>
  <si>
    <t>Паронит общего назначения типа ПОН-Б, толщина от 0,4 до 5,0 мм</t>
  </si>
  <si>
    <t>9999990002</t>
  </si>
  <si>
    <t>Масса оборудования</t>
  </si>
  <si>
    <t>3630000000</t>
  </si>
  <si>
    <t>Насосные агрегаты</t>
  </si>
  <si>
    <t>4932510000</t>
  </si>
  <si>
    <t>Баки расширительные</t>
  </si>
  <si>
    <t>1297020000</t>
  </si>
  <si>
    <t>Болты строительные с гайками и шайбами (1297030000, 1610000000, 1620000000, 1680000000)</t>
  </si>
  <si>
    <t>3430000000</t>
  </si>
  <si>
    <t>Шкафы (пульты) управления навесные</t>
  </si>
  <si>
    <t>3700000000</t>
  </si>
  <si>
    <t>Арматура трубопроводная</t>
  </si>
  <si>
    <t>3712220000</t>
  </si>
  <si>
    <t>Кран трехходовой</t>
  </si>
  <si>
    <t>4212130000</t>
  </si>
  <si>
    <t>Контрольно-измерительные приборы</t>
  </si>
  <si>
    <t>1300000000</t>
  </si>
  <si>
    <t>Узлы из стальных труб</t>
  </si>
  <si>
    <t>Трубы стальные</t>
  </si>
  <si>
    <t>5285920000</t>
  </si>
  <si>
    <t>Анкер распорный для установки в бетон</t>
  </si>
  <si>
    <t>2312130000</t>
  </si>
  <si>
    <t>Грунтовка ГФ-021 красно-коричневая</t>
  </si>
  <si>
    <t>1371001000</t>
  </si>
  <si>
    <t>Трубы гофрированные из нержавеющей стали</t>
  </si>
  <si>
    <t>4193103000</t>
  </si>
  <si>
    <t>Муфты с внутренней резьбой для стальных гофрированных труб</t>
  </si>
  <si>
    <t>Муфты с наружной резьбой для стальных гофрированных труб</t>
  </si>
  <si>
    <t>4854870000</t>
  </si>
  <si>
    <t>Оросители, насадки</t>
  </si>
  <si>
    <t>3799000000</t>
  </si>
  <si>
    <t>Закладные устройства приборов</t>
  </si>
  <si>
    <t>1468010000</t>
  </si>
  <si>
    <t>Фланцы стальные</t>
  </si>
  <si>
    <t>4932521000</t>
  </si>
  <si>
    <t>Воздухоотводчики</t>
  </si>
  <si>
    <t>Фланцы стальные плоские приварные</t>
  </si>
  <si>
    <t>4200000000</t>
  </si>
  <si>
    <t>Приборы, устанавливаемые на резьбовых соединениях</t>
  </si>
  <si>
    <t>*0,75</t>
  </si>
  <si>
    <t>Гл.4.Прил.2.2.п.2.2.17_04.00.01.24.001</t>
  </si>
  <si>
    <t>При разнице в массе оборудования более 10% к норме и расценке ближайшего по массе оборудования при коэффициенте изменения массы оборудования до 0,5 т</t>
  </si>
  <si>
    <t>Глава 4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</si>
  <si>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</si>
  <si>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</si>
  <si>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</si>
  <si>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*1,25</t>
  </si>
  <si>
    <t>*1,15</t>
  </si>
  <si>
    <t>Гл.6.Прил.2.2.п.2.2.6_06.00.01.07.001</t>
  </si>
  <si>
    <t>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</si>
  <si>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Глава 6</t>
  </si>
  <si>
    <t>)*2</t>
  </si>
  <si>
    <t>Поправка: Гл.4.Прил.2.2.п.2.2.17_04.00.01.24.001
Наименование: При разнице в массе оборудования более 10% к норме и расценке ближайшего по массе оборудования при коэффициенте изменения массы оборудования до 0,5 т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</si>
  <si>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</si>
  <si>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</si>
  <si>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</si>
  <si>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</si>
  <si>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</si>
  <si>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</si>
  <si>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</si>
  <si>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</si>
  <si>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</si>
  <si>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</si>
  <si>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</si>
  <si>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</si>
  <si>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</si>
  <si>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</si>
  <si>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</si>
  <si>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</si>
  <si>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</si>
  <si>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</si>
  <si>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</si>
  <si>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</si>
  <si>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</si>
  <si>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</si>
  <si>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</si>
  <si>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</si>
  <si>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</si>
  <si>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</si>
  <si>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пер. Старопименовский, д. 5. Спринклерное пожаротушение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</si>
  <si>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</si>
  <si>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</si>
  <si>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</si>
  <si>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</si>
  <si>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0,75*1,2</t>
  </si>
  <si>
    <t>ЭМ</t>
  </si>
  <si>
    <t>в т.ч. ЗПМ</t>
  </si>
  <si>
    <t>МР</t>
  </si>
  <si>
    <t>0,75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</si>
  <si>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</si>
  <si>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</si>
  <si>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</si>
  <si>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</si>
  <si>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</si>
  <si>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</si>
  <si>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</si>
  <si>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</si>
  <si>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1,15*1,2</t>
  </si>
  <si>
    <r>
      <t>ОБОРУДОВАНИЕ:_x000D_
Насосная установка пожаротушения Q-66,38 (м3/ч), H- 25,0 м.в.ст., Жокей насос Q-3.0 (м3/ч),H- 30,0 м.в.ст., комплектно со шкафом автоматического управления ШУПН-3-С ОН/РН/ЖН-18,5/18,5/1,5-УПП/УПП/П-В и комплектно с выносной панелью индикации ВП</t>
    </r>
    <r>
      <rPr>
        <i/>
        <sz val="10"/>
        <color rgb="FF821E82"/>
        <rFont val="Arial"/>
        <family val="2"/>
        <charset val="204"/>
      </rPr>
      <t xml:space="preserve">
239 896,07 = [2 125 500 / 1,22 /  7,57] +  3% Трансп +  1,2% Заг.скл</t>
    </r>
  </si>
  <si>
    <t>1,25*1,2</t>
  </si>
  <si>
    <t>2*1,15*1,2</t>
  </si>
  <si>
    <t>2*1,25*1,2</t>
  </si>
  <si>
    <t>к нр 2</t>
  </si>
  <si>
    <r>
      <t>Расходомер ДУ100 Пульсар</t>
    </r>
    <r>
      <rPr>
        <i/>
        <sz val="10"/>
        <rFont val="Arial"/>
        <family val="2"/>
        <charset val="204"/>
      </rPr>
      <t xml:space="preserve">
2 638,17 = [31 049,7 / 1,22 /  9,84] +  2% Заг.скл</t>
    </r>
  </si>
  <si>
    <t xml:space="preserve">   Итого по ТСН-2001.16</t>
  </si>
  <si>
    <t xml:space="preserve">   Итого возвратных сумм</t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</si>
  <si>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</si>
  <si>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</si>
  <si>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</si>
  <si>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</si>
  <si>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</si>
  <si>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r>
      <t>ОБОРУДОВАНИЕ:
Узел управления спринклерный водозаполненный УУ-С100/1,6В-ВФ.О4 Прямоточный-100</t>
    </r>
    <r>
      <rPr>
        <i/>
        <sz val="10"/>
        <color rgb="FF821E82"/>
        <rFont val="Arial"/>
        <family val="2"/>
        <charset val="204"/>
      </rPr>
      <t xml:space="preserve">
8 238,95 = [72 997,8 / 1,22 /  7,57] +  3% Трансп +  1,2% Заг.скл</t>
    </r>
  </si>
  <si>
    <r>
      <t>ОБОРУДОВАНИЕ:
Сигнализатор потока жидкости СПЖ (25-200)-0,63/1,6(3)-УН(G3/4).У2-"Стрим"</t>
    </r>
    <r>
      <rPr>
        <i/>
        <sz val="10"/>
        <color rgb="FF821E82"/>
        <rFont val="Arial"/>
        <family val="2"/>
        <charset val="204"/>
      </rPr>
      <t xml:space="preserve">
1 798,97 = [15 939 / 1,22 /  7,57] +  3% Трансп +  1,2% Заг.скл</t>
    </r>
  </si>
  <si>
    <t>+</t>
  </si>
  <si>
    <t>цена  за  ед  с ндс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</si>
</sst>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₽_-;\-* #,##0.00\ _₽_-;_-* &quot;-&quot;??\ _₽_-;_-@_-"/>
    <numFmt numFmtId="164" formatCode="#,##0.00;[Red]\-\ #,##0.00"/>
  </numFmts>
  <fonts count="27" x14ac:knownFonts="1">
    <font>
      <sz val="10"/>
      <name val="Arial"/>
      <charset val="204"/>
    </font>
    <font>
      <b/>
      <sz val="10"/>
      <color indexed="12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0"/>
      <color indexed="16"/>
      <name val="Arial"/>
      <family val="2"/>
      <charset val="204"/>
    </font>
    <font>
      <b/>
      <sz val="10"/>
      <color indexed="20"/>
      <name val="Arial"/>
      <family val="2"/>
      <charset val="204"/>
    </font>
    <font>
      <b/>
      <sz val="10"/>
      <color indexed="17"/>
      <name val="Arial"/>
      <family val="2"/>
      <charset val="204"/>
    </font>
    <font>
      <sz val="10"/>
      <color indexed="17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color indexed="14"/>
      <name val="Arial"/>
      <family val="2"/>
      <charset val="204"/>
    </font>
    <font>
      <sz val="10"/>
      <color indexed="16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b/>
      <sz val="11"/>
      <color rgb="FF821E82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  <font>
      <sz val="10"/>
      <color rgb="FFC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0" fillId="0" borderId="0"/>
    <xf numFmtId="43" fontId="25" fillId="0" borderId="0" applyFont="0" applyFill="0" applyBorder="0" applyAlignment="0" applyProtection="0"/>
  </cellStyleXfs>
  <cellXfs count="79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164" fontId="18" fillId="0" borderId="0" xfId="0" applyNumberFormat="1" applyFont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0" fillId="0" borderId="0" xfId="0" applyNumberFormat="1"/>
    <xf numFmtId="0" fontId="10" fillId="0" borderId="0" xfId="0" applyFont="1" applyAlignment="1">
      <alignment vertical="top" wrapText="1"/>
    </xf>
    <xf numFmtId="0" fontId="22" fillId="0" borderId="0" xfId="0" applyFont="1"/>
    <xf numFmtId="0" fontId="23" fillId="0" borderId="0" xfId="0" applyFont="1" applyAlignment="1">
      <alignment vertical="top"/>
    </xf>
    <xf numFmtId="0" fontId="12" fillId="0" borderId="0" xfId="0" quotePrefix="1" applyFont="1" applyAlignment="1">
      <alignment horizontal="right" vertical="top" wrapText="1"/>
    </xf>
    <xf numFmtId="0" fontId="16" fillId="0" borderId="0" xfId="0" applyFont="1" applyAlignment="1">
      <alignment horizontal="left" wrapText="1"/>
    </xf>
    <xf numFmtId="0" fontId="12" fillId="0" borderId="1" xfId="0" applyFont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7" fillId="0" borderId="0" xfId="0" applyFont="1" applyAlignment="1">
      <alignment horizontal="center" vertical="top" wrapText="1"/>
    </xf>
    <xf numFmtId="0" fontId="11" fillId="0" borderId="2" xfId="0" applyFont="1" applyBorder="1" applyAlignment="1">
      <alignment horizontal="center"/>
    </xf>
    <xf numFmtId="164" fontId="16" fillId="0" borderId="2" xfId="0" applyNumberFormat="1" applyFont="1" applyBorder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164" fontId="23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right" vertical="top"/>
    </xf>
    <xf numFmtId="0" fontId="16" fillId="0" borderId="0" xfId="0" applyFont="1" applyAlignment="1">
      <alignment horizontal="left" wrapText="1"/>
    </xf>
    <xf numFmtId="0" fontId="12" fillId="0" borderId="0" xfId="0" applyFont="1" applyAlignment="1">
      <alignment horizontal="right" vertical="center"/>
    </xf>
    <xf numFmtId="0" fontId="13" fillId="2" borderId="1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/>
    </xf>
    <xf numFmtId="0" fontId="12" fillId="2" borderId="0" xfId="0" applyFont="1" applyFill="1"/>
    <xf numFmtId="0" fontId="14" fillId="2" borderId="1" xfId="0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0" fillId="2" borderId="0" xfId="0" applyFill="1"/>
    <xf numFmtId="0" fontId="12" fillId="2" borderId="1" xfId="0" applyFont="1" applyFill="1" applyBorder="1" applyAlignment="1">
      <alignment horizontal="left" wrapText="1"/>
    </xf>
    <xf numFmtId="0" fontId="12" fillId="2" borderId="0" xfId="0" applyFont="1" applyFill="1" applyAlignment="1">
      <alignment horizontal="left" wrapText="1"/>
    </xf>
    <xf numFmtId="0" fontId="12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left"/>
    </xf>
    <xf numFmtId="164" fontId="16" fillId="2" borderId="0" xfId="0" applyNumberFormat="1" applyFont="1" applyFill="1"/>
    <xf numFmtId="0" fontId="16" fillId="2" borderId="0" xfId="0" applyFont="1" applyFill="1"/>
    <xf numFmtId="0" fontId="12" fillId="2" borderId="0" xfId="0" applyFont="1" applyFill="1" applyAlignment="1">
      <alignment horizontal="left"/>
    </xf>
    <xf numFmtId="164" fontId="12" fillId="2" borderId="0" xfId="0" applyNumberFormat="1" applyFont="1" applyFill="1"/>
    <xf numFmtId="0" fontId="12" fillId="2" borderId="0" xfId="1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horizontal="right" vertical="top" wrapText="1"/>
    </xf>
    <xf numFmtId="0" fontId="19" fillId="2" borderId="1" xfId="0" applyFont="1" applyFill="1" applyBorder="1" applyAlignment="1">
      <alignment horizontal="right" vertical="top"/>
    </xf>
    <xf numFmtId="164" fontId="19" fillId="2" borderId="1" xfId="0" applyNumberFormat="1" applyFont="1" applyFill="1" applyBorder="1" applyAlignment="1">
      <alignment horizontal="right" vertical="top"/>
    </xf>
    <xf numFmtId="0" fontId="19" fillId="2" borderId="1" xfId="0" applyFont="1" applyFill="1" applyBorder="1" applyAlignment="1">
      <alignment horizontal="right" vertical="top" wrapText="1"/>
    </xf>
    <xf numFmtId="0" fontId="19" fillId="2" borderId="0" xfId="0" applyFont="1" applyFill="1" applyAlignment="1">
      <alignment horizontal="left" vertical="top" wrapText="1"/>
    </xf>
    <xf numFmtId="0" fontId="20" fillId="2" borderId="0" xfId="0" applyFont="1" applyFill="1" applyAlignment="1">
      <alignment horizontal="right" vertical="top" wrapText="1"/>
    </xf>
    <xf numFmtId="0" fontId="19" fillId="2" borderId="0" xfId="0" applyFont="1" applyFill="1" applyAlignment="1">
      <alignment horizontal="right" vertical="top"/>
    </xf>
    <xf numFmtId="164" fontId="19" fillId="2" borderId="0" xfId="0" applyNumberFormat="1" applyFont="1" applyFill="1" applyAlignment="1">
      <alignment horizontal="right" vertical="top"/>
    </xf>
    <xf numFmtId="0" fontId="19" fillId="2" borderId="0" xfId="0" quotePrefix="1" applyFont="1" applyFill="1" applyAlignment="1">
      <alignment horizontal="right" vertical="top" wrapText="1"/>
    </xf>
    <xf numFmtId="43" fontId="26" fillId="0" borderId="0" xfId="2" applyFont="1"/>
    <xf numFmtId="0" fontId="10" fillId="0" borderId="0" xfId="0" applyFont="1"/>
  </cellXfs>
  <cellStyles count="3">
    <cellStyle name="Обычный" xfId="0" builtinId="0"/>
    <cellStyle name="Обычный 4" xfId="1" xr:uid="{C2104B74-C70B-47C7-BE50-98873BCFD45B}"/>
    <cellStyle name="Финансовый" xfId="2" builtinId="3"/>
  </cellStyles>
  <dxfs count="1">
    <dxf>
      <fill>
        <patternFill patternType="solid">
          <fgColor rgb="FFD9E1F2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28AFC-E123-4E79-A372-8743F522D3CD}">
  <sheetPr filterMode="1">
    <pageSetUpPr fitToPage="1"/>
  </sheetPr>
  <dimension ref="A1:AQ593"/>
  <sheetViews>
    <sheetView tabSelected="1" topLeftCell="A9" zoomScaleNormal="100" workbookViewId="0">
      <selection activeCell="M23" sqref="M23"/>
    </sheetView>
  </sheetViews>
  <sheetFormatPr defaultRowHeight="12.75" x14ac:dyDescent="0.2"/>
  <cols>
    <col min="1" max="1" width="5.5703125" customWidth="1"/>
    <col min="2" max="2" width="11.5703125" customWidth="1"/>
    <col min="3" max="3" width="40.5703125" customWidth="1"/>
    <col min="4" max="4" width="11.5703125" customWidth="1"/>
    <col min="5" max="5" width="9.5703125" bestFit="1" customWidth="1"/>
    <col min="6" max="6" width="10.7109375" bestFit="1" customWidth="1"/>
    <col min="7" max="7" width="10.140625" bestFit="1" customWidth="1"/>
    <col min="8" max="8" width="9.5703125" bestFit="1" customWidth="1"/>
    <col min="9" max="9" width="13.140625" customWidth="1"/>
    <col min="10" max="10" width="9.85546875" bestFit="1" customWidth="1"/>
    <col min="11" max="11" width="16.7109375" customWidth="1"/>
    <col min="12" max="12" width="14.5703125" style="77" bestFit="1" customWidth="1"/>
    <col min="15" max="41" width="0" hidden="1" customWidth="1"/>
    <col min="42" max="42" width="127.28515625" hidden="1" customWidth="1"/>
    <col min="43" max="43" width="94.85546875" hidden="1" customWidth="1"/>
    <col min="44" max="47" width="0" hidden="1" customWidth="1"/>
  </cols>
  <sheetData>
    <row r="1" spans="1:42" x14ac:dyDescent="0.2">
      <c r="A1" s="15" t="str">
        <f>Source!B1</f>
        <v>Smeta.RU  (495) 974-1589</v>
      </c>
    </row>
    <row r="2" spans="1:42" ht="14.25" hidden="1" x14ac:dyDescent="0.2">
      <c r="A2" s="16"/>
      <c r="B2" s="16"/>
      <c r="C2" s="16"/>
      <c r="D2" s="16"/>
      <c r="E2" s="16"/>
      <c r="F2" s="16"/>
      <c r="G2" s="16"/>
      <c r="H2" s="16"/>
      <c r="I2" s="16"/>
      <c r="J2" s="39" t="s">
        <v>702</v>
      </c>
      <c r="K2" s="39"/>
      <c r="L2"/>
    </row>
    <row r="3" spans="1:42" ht="47.25" x14ac:dyDescent="0.25">
      <c r="A3" s="48" t="str">
        <f>Source!G4</f>
        <v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/>
      <c r="AP3" s="17" t="s">
        <v>703</v>
      </c>
    </row>
    <row r="4" spans="1:42" x14ac:dyDescent="0.2">
      <c r="A4" s="49" t="s">
        <v>681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/>
    </row>
    <row r="5" spans="1:42" ht="14.25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/>
    </row>
    <row r="6" spans="1:42" ht="15.75" x14ac:dyDescent="0.25">
      <c r="A6" s="48" t="str">
        <f>CONCATENATE( "ЛОКАЛЬНАЯ СМЕТА № ",IF(Source!F20&lt;&gt;"Новая локальная смета", Source!F20, ""))</f>
        <v>ЛОКАЛЬНАЯ СМЕТА № 02-01-21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/>
    </row>
    <row r="7" spans="1:42" ht="14.25" x14ac:dyDescent="0.2">
      <c r="A7" s="50"/>
      <c r="B7" s="50"/>
      <c r="C7" s="50"/>
      <c r="D7" s="50"/>
      <c r="E7" s="50"/>
      <c r="F7" s="50"/>
      <c r="G7" s="50"/>
      <c r="H7" s="50"/>
      <c r="I7" s="50"/>
      <c r="J7" s="50"/>
      <c r="K7" s="50"/>
      <c r="L7"/>
    </row>
    <row r="8" spans="1:42" ht="18" x14ac:dyDescent="0.25">
      <c r="A8" s="52" t="str">
        <f>IF(Source!G20&lt;&gt;"Новая локальная смета", Source!G20, "")</f>
        <v>Спринклерное пожаротушение.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/>
    </row>
    <row r="9" spans="1:42" x14ac:dyDescent="0.2">
      <c r="A9" s="53" t="s">
        <v>682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/>
    </row>
    <row r="10" spans="1:42" ht="14.25" x14ac:dyDescent="0.2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/>
    </row>
    <row r="11" spans="1:42" ht="14.25" x14ac:dyDescent="0.2">
      <c r="A11" s="55" t="str">
        <f>CONCATENATE( "Основание: чертежи № ", Source!J20)</f>
        <v>Основание: чертежи № 2024-00375-01-0-ИОС3.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/>
    </row>
    <row r="12" spans="1:42" ht="14.25" x14ac:dyDescent="0.2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/>
    </row>
    <row r="13" spans="1:42" ht="57" x14ac:dyDescent="0.2">
      <c r="A13" s="50"/>
      <c r="B13" s="50"/>
      <c r="C13" s="50"/>
      <c r="D13" s="50"/>
      <c r="E13" s="50"/>
      <c r="F13" s="50"/>
      <c r="G13" s="50"/>
      <c r="H13" s="50"/>
      <c r="I13" s="57" t="s">
        <v>683</v>
      </c>
      <c r="J13" s="57" t="s">
        <v>684</v>
      </c>
      <c r="K13" s="50"/>
      <c r="L13"/>
    </row>
    <row r="14" spans="1:42" ht="15" x14ac:dyDescent="0.25">
      <c r="A14" s="50"/>
      <c r="B14" s="50"/>
      <c r="C14" s="50"/>
      <c r="D14" s="50"/>
      <c r="E14" s="58" t="s">
        <v>685</v>
      </c>
      <c r="F14" s="58"/>
      <c r="G14" s="58"/>
      <c r="H14" s="58"/>
      <c r="I14" s="59">
        <f>I15+I16+I17+I18</f>
        <v>904.56</v>
      </c>
      <c r="J14" s="59">
        <f>J15+J16+J17+J18</f>
        <v>19336.73</v>
      </c>
      <c r="K14" s="60" t="s">
        <v>730</v>
      </c>
      <c r="L14"/>
    </row>
    <row r="15" spans="1:42" ht="14.25" x14ac:dyDescent="0.2">
      <c r="A15" s="50"/>
      <c r="B15" s="50"/>
      <c r="C15" s="50"/>
      <c r="D15" s="50"/>
      <c r="E15" s="61" t="s">
        <v>49</v>
      </c>
      <c r="F15" s="61"/>
      <c r="G15" s="61"/>
      <c r="H15" s="61"/>
      <c r="I15" s="62">
        <f>ROUND((Source!F303)/1000, 2)</f>
        <v>30.02</v>
      </c>
      <c r="J15" s="62">
        <f>ROUND((Source!P303)/1000, 2)</f>
        <v>993.63</v>
      </c>
      <c r="K15" s="50" t="s">
        <v>730</v>
      </c>
      <c r="L15"/>
    </row>
    <row r="16" spans="1:42" ht="14.25" x14ac:dyDescent="0.2">
      <c r="A16" s="50"/>
      <c r="B16" s="50"/>
      <c r="C16" s="50"/>
      <c r="D16" s="50"/>
      <c r="E16" s="61" t="s">
        <v>686</v>
      </c>
      <c r="F16" s="61"/>
      <c r="G16" s="61"/>
      <c r="H16" s="61"/>
      <c r="I16" s="62">
        <f>ROUND((Source!F304)/1000, 2)</f>
        <v>636.59</v>
      </c>
      <c r="J16" s="62">
        <f>ROUND((Source!P304)/1000, 2)</f>
        <v>16451.099999999999</v>
      </c>
      <c r="K16" s="50" t="s">
        <v>730</v>
      </c>
      <c r="L16"/>
    </row>
    <row r="17" spans="1:42" ht="14.25" x14ac:dyDescent="0.2">
      <c r="A17" s="50"/>
      <c r="B17" s="50"/>
      <c r="C17" s="50"/>
      <c r="D17" s="50"/>
      <c r="E17" s="61" t="s">
        <v>687</v>
      </c>
      <c r="F17" s="61"/>
      <c r="G17" s="61"/>
      <c r="H17" s="61"/>
      <c r="I17" s="62">
        <f>ROUND((Source!F295)/1000, 2)</f>
        <v>237.95</v>
      </c>
      <c r="J17" s="62">
        <f>ROUND((Source!P295)/1000, 2)</f>
        <v>1892</v>
      </c>
      <c r="K17" s="50" t="s">
        <v>730</v>
      </c>
      <c r="L17"/>
    </row>
    <row r="18" spans="1:42" ht="14.25" x14ac:dyDescent="0.2">
      <c r="A18" s="50"/>
      <c r="B18" s="50"/>
      <c r="C18" s="50"/>
      <c r="D18" s="50"/>
      <c r="E18" s="61" t="s">
        <v>688</v>
      </c>
      <c r="F18" s="61"/>
      <c r="G18" s="61"/>
      <c r="H18" s="61"/>
      <c r="I18" s="62">
        <f>ROUND((Source!F305+Source!F306)/1000, 2)</f>
        <v>0</v>
      </c>
      <c r="J18" s="62">
        <f>ROUND((Source!P305+Source!P306)/1000, 2)</f>
        <v>0</v>
      </c>
      <c r="K18" s="50" t="s">
        <v>730</v>
      </c>
      <c r="L18"/>
    </row>
    <row r="19" spans="1:42" ht="14.25" x14ac:dyDescent="0.2">
      <c r="A19" s="50"/>
      <c r="B19" s="50"/>
      <c r="C19" s="50"/>
      <c r="D19" s="50"/>
      <c r="E19" s="61" t="s">
        <v>689</v>
      </c>
      <c r="F19" s="61"/>
      <c r="G19" s="61"/>
      <c r="H19" s="61"/>
      <c r="I19" s="62">
        <f>(Source!F301+ Source!F300)/1000</f>
        <v>97.749100000000013</v>
      </c>
      <c r="J19" s="62">
        <f>((Source!P301 + Source!P300)/1000)</f>
        <v>5508.1617900000001</v>
      </c>
      <c r="K19" s="50" t="s">
        <v>730</v>
      </c>
      <c r="L19"/>
    </row>
    <row r="20" spans="1:42" ht="14.25" x14ac:dyDescent="0.2">
      <c r="A20" s="50"/>
      <c r="B20" s="50"/>
      <c r="C20" s="50"/>
      <c r="D20" s="50"/>
      <c r="E20" s="61" t="s">
        <v>690</v>
      </c>
      <c r="F20" s="61"/>
      <c r="G20" s="61"/>
      <c r="H20" s="61"/>
      <c r="I20" s="62">
        <f>Source!F308</f>
        <v>7442.2285615199999</v>
      </c>
      <c r="J20" s="62"/>
      <c r="K20" s="50" t="s">
        <v>474</v>
      </c>
      <c r="L20"/>
    </row>
    <row r="21" spans="1:42" ht="14.25" x14ac:dyDescent="0.2">
      <c r="A21" s="50"/>
      <c r="B21" s="50"/>
      <c r="C21" s="50"/>
      <c r="D21" s="50"/>
      <c r="E21" s="61" t="s">
        <v>691</v>
      </c>
      <c r="F21" s="61"/>
      <c r="G21" s="61"/>
      <c r="H21" s="61"/>
      <c r="I21" s="62"/>
      <c r="J21" s="62"/>
      <c r="K21" s="50"/>
      <c r="L21"/>
    </row>
    <row r="22" spans="1:42" ht="14.25" x14ac:dyDescent="0.2">
      <c r="A22" s="50"/>
      <c r="B22" s="50"/>
      <c r="C22" s="50"/>
      <c r="D22" s="50"/>
      <c r="E22" s="63" t="s">
        <v>320</v>
      </c>
      <c r="F22" s="63"/>
      <c r="G22" s="63"/>
      <c r="H22" s="63"/>
      <c r="I22" s="62">
        <f>SUM(Y28:Y586)/1000</f>
        <v>0</v>
      </c>
      <c r="J22" s="62">
        <f>SUM(Z28:Z586)/1000</f>
        <v>0</v>
      </c>
      <c r="K22" s="50" t="s">
        <v>730</v>
      </c>
      <c r="L22"/>
    </row>
    <row r="23" spans="1:42" ht="14.25" x14ac:dyDescent="0.2">
      <c r="A23" s="50"/>
      <c r="B23" s="50"/>
      <c r="C23" s="50"/>
      <c r="D23" s="50"/>
      <c r="E23" s="50"/>
      <c r="F23" s="64"/>
      <c r="G23" s="64"/>
      <c r="H23" s="64"/>
      <c r="I23" s="62"/>
      <c r="J23" s="62"/>
      <c r="K23" s="50"/>
      <c r="L23"/>
    </row>
    <row r="24" spans="1:42" ht="14.25" x14ac:dyDescent="0.2">
      <c r="A24" s="50" t="s">
        <v>704</v>
      </c>
      <c r="B24" s="50"/>
      <c r="C24" s="50"/>
      <c r="D24" s="50"/>
      <c r="E24" s="50"/>
      <c r="F24" s="64"/>
      <c r="G24" s="64"/>
      <c r="H24" s="64"/>
      <c r="I24" s="62"/>
      <c r="J24" s="62"/>
      <c r="K24" s="50"/>
      <c r="L24"/>
    </row>
    <row r="25" spans="1:42" ht="28.5" x14ac:dyDescent="0.2">
      <c r="A25" s="55" t="s">
        <v>705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/>
      <c r="AP25" s="18" t="s">
        <v>705</v>
      </c>
    </row>
    <row r="26" spans="1:42" ht="99.75" x14ac:dyDescent="0.2">
      <c r="A26" s="65" t="s">
        <v>692</v>
      </c>
      <c r="B26" s="65" t="s">
        <v>693</v>
      </c>
      <c r="C26" s="65" t="s">
        <v>694</v>
      </c>
      <c r="D26" s="65" t="s">
        <v>695</v>
      </c>
      <c r="E26" s="65" t="s">
        <v>696</v>
      </c>
      <c r="F26" s="65" t="s">
        <v>697</v>
      </c>
      <c r="G26" s="66" t="s">
        <v>698</v>
      </c>
      <c r="H26" s="66" t="s">
        <v>699</v>
      </c>
      <c r="I26" s="65" t="s">
        <v>706</v>
      </c>
      <c r="J26" s="65" t="s">
        <v>700</v>
      </c>
      <c r="K26" s="65" t="s">
        <v>701</v>
      </c>
      <c r="L26"/>
    </row>
    <row r="27" spans="1:42" ht="14.25" x14ac:dyDescent="0.2">
      <c r="A27" s="65">
        <v>1</v>
      </c>
      <c r="B27" s="65">
        <v>2</v>
      </c>
      <c r="C27" s="65">
        <v>3</v>
      </c>
      <c r="D27" s="65">
        <v>4</v>
      </c>
      <c r="E27" s="65">
        <v>5</v>
      </c>
      <c r="F27" s="65">
        <v>6</v>
      </c>
      <c r="G27" s="65">
        <v>7</v>
      </c>
      <c r="H27" s="65">
        <v>8</v>
      </c>
      <c r="I27" s="65">
        <v>9</v>
      </c>
      <c r="J27" s="65">
        <v>10</v>
      </c>
      <c r="K27" s="65">
        <v>11</v>
      </c>
      <c r="L27" s="78" t="s">
        <v>738</v>
      </c>
    </row>
    <row r="28" spans="1:42" hidden="1" x14ac:dyDescent="0.2">
      <c r="L28"/>
    </row>
    <row r="29" spans="1:42" ht="16.5" hidden="1" x14ac:dyDescent="0.2">
      <c r="A29" s="40" t="str">
        <f>CONCATENATE("Раздел: ",IF(Source!G24&lt;&gt;"Новый раздел", Source!G24, ""))</f>
        <v>Раздел: Насосная установка.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/>
    </row>
    <row r="30" spans="1:42" ht="85.5" hidden="1" x14ac:dyDescent="0.2">
      <c r="A30" s="19">
        <v>1</v>
      </c>
      <c r="B30" s="19" t="str">
        <f>Source!F28</f>
        <v>4.7-21-3</v>
      </c>
      <c r="C30" s="19" t="s">
        <v>22</v>
      </c>
      <c r="D30" s="21" t="str">
        <f>Source!H28</f>
        <v>1  ШТ.</v>
      </c>
      <c r="E30" s="20">
        <f>Source!I28</f>
        <v>2</v>
      </c>
      <c r="F30" s="23"/>
      <c r="G30" s="22"/>
      <c r="H30" s="20"/>
      <c r="I30" s="23"/>
      <c r="J30" s="20"/>
      <c r="K30" s="23"/>
      <c r="L30"/>
      <c r="Q30">
        <f>Source!X28</f>
        <v>694.1</v>
      </c>
      <c r="R30">
        <f>Source!X29</f>
        <v>39112.67</v>
      </c>
      <c r="S30">
        <f>Source!Y28</f>
        <v>358.49</v>
      </c>
      <c r="T30">
        <f>Source!Y29</f>
        <v>20201.05</v>
      </c>
      <c r="U30">
        <f>ROUND((175/100)*ROUND(Source!R28, 2), 2)</f>
        <v>9.75</v>
      </c>
      <c r="V30">
        <f>ROUND((0/100)*ROUND(Source!R29, 2), 2)</f>
        <v>0</v>
      </c>
      <c r="AC30">
        <v>0</v>
      </c>
    </row>
    <row r="31" spans="1:42" ht="14.25" hidden="1" x14ac:dyDescent="0.2">
      <c r="A31" s="19"/>
      <c r="B31" s="19"/>
      <c r="C31" s="19" t="s">
        <v>707</v>
      </c>
      <c r="D31" s="21"/>
      <c r="E31" s="20"/>
      <c r="F31" s="23">
        <f>Source!AO28</f>
        <v>394.24</v>
      </c>
      <c r="G31" s="22" t="s">
        <v>708</v>
      </c>
      <c r="H31" s="20">
        <f>Source!AV29</f>
        <v>1.0669999999999999</v>
      </c>
      <c r="I31" s="23">
        <f>Source!S28</f>
        <v>757.18</v>
      </c>
      <c r="J31" s="20">
        <f>IF(Source!BA29&lt;&gt; 0, Source!BA29, 1)</f>
        <v>56.35</v>
      </c>
      <c r="K31" s="23">
        <f>Source!S29</f>
        <v>42667.09</v>
      </c>
      <c r="L31"/>
    </row>
    <row r="32" spans="1:42" ht="14.25" hidden="1" x14ac:dyDescent="0.2">
      <c r="A32" s="19"/>
      <c r="B32" s="19"/>
      <c r="C32" s="19" t="s">
        <v>709</v>
      </c>
      <c r="D32" s="21"/>
      <c r="E32" s="20"/>
      <c r="F32" s="23">
        <f>Source!AM28</f>
        <v>42.08</v>
      </c>
      <c r="G32" s="22" t="s">
        <v>708</v>
      </c>
      <c r="H32" s="20">
        <f>Source!AV29</f>
        <v>1.0669999999999999</v>
      </c>
      <c r="I32" s="23">
        <f>Source!Q28</f>
        <v>80.819999999999993</v>
      </c>
      <c r="J32" s="20">
        <f>IF(Source!BB29&lt;&gt; 0, Source!BB29, 1)</f>
        <v>14.74</v>
      </c>
      <c r="K32" s="23">
        <f>Source!Q29</f>
        <v>1191.29</v>
      </c>
      <c r="L32"/>
    </row>
    <row r="33" spans="1:29" ht="14.25" hidden="1" x14ac:dyDescent="0.2">
      <c r="A33" s="19"/>
      <c r="B33" s="19"/>
      <c r="C33" s="19" t="s">
        <v>710</v>
      </c>
      <c r="D33" s="21"/>
      <c r="E33" s="20"/>
      <c r="F33" s="23">
        <f>Source!AN28</f>
        <v>2.9</v>
      </c>
      <c r="G33" s="22" t="s">
        <v>708</v>
      </c>
      <c r="H33" s="20">
        <f>Source!AV29</f>
        <v>1.0669999999999999</v>
      </c>
      <c r="I33" s="24">
        <f>Source!R28</f>
        <v>5.57</v>
      </c>
      <c r="J33" s="20">
        <f>IF(Source!BS29&lt;&gt; 0, Source!BS29, 1)</f>
        <v>56.35</v>
      </c>
      <c r="K33" s="24">
        <f>Source!R29</f>
        <v>313.87</v>
      </c>
      <c r="L33"/>
    </row>
    <row r="34" spans="1:29" ht="14.25" hidden="1" x14ac:dyDescent="0.2">
      <c r="A34" s="19"/>
      <c r="B34" s="19"/>
      <c r="C34" s="19" t="s">
        <v>711</v>
      </c>
      <c r="D34" s="21"/>
      <c r="E34" s="20"/>
      <c r="F34" s="23">
        <f>Source!AL28</f>
        <v>45.53</v>
      </c>
      <c r="G34" s="22" t="s">
        <v>712</v>
      </c>
      <c r="H34" s="20">
        <f>Source!AW29</f>
        <v>1.028</v>
      </c>
      <c r="I34" s="23">
        <f>Source!P28</f>
        <v>70.209999999999994</v>
      </c>
      <c r="J34" s="20">
        <f>IF(Source!BC29&lt;&gt; 0, Source!BC29, 1)</f>
        <v>11.98</v>
      </c>
      <c r="K34" s="23">
        <f>Source!P29</f>
        <v>841.12</v>
      </c>
      <c r="L34"/>
    </row>
    <row r="35" spans="1:29" ht="14.25" hidden="1" x14ac:dyDescent="0.2">
      <c r="A35" s="19"/>
      <c r="B35" s="19"/>
      <c r="C35" s="19" t="s">
        <v>713</v>
      </c>
      <c r="D35" s="21" t="s">
        <v>714</v>
      </c>
      <c r="E35" s="20">
        <f>Source!BZ29</f>
        <v>91</v>
      </c>
      <c r="F35" s="23"/>
      <c r="G35" s="22"/>
      <c r="H35" s="20"/>
      <c r="I35" s="23">
        <f>SUM(Q30:Q34)</f>
        <v>694.1</v>
      </c>
      <c r="J35" s="20">
        <f>Source!AT29</f>
        <v>91</v>
      </c>
      <c r="K35" s="23">
        <f>SUM(R30:R34)</f>
        <v>39112.67</v>
      </c>
      <c r="L35"/>
    </row>
    <row r="36" spans="1:29" ht="14.25" hidden="1" x14ac:dyDescent="0.2">
      <c r="A36" s="19"/>
      <c r="B36" s="19"/>
      <c r="C36" s="19" t="s">
        <v>715</v>
      </c>
      <c r="D36" s="21" t="s">
        <v>714</v>
      </c>
      <c r="E36" s="20">
        <f>Source!CA29</f>
        <v>47</v>
      </c>
      <c r="F36" s="23"/>
      <c r="G36" s="22"/>
      <c r="H36" s="20"/>
      <c r="I36" s="23">
        <f>SUM(S30:S35)</f>
        <v>358.49</v>
      </c>
      <c r="J36" s="20">
        <f>Source!AU29</f>
        <v>47</v>
      </c>
      <c r="K36" s="23">
        <f>SUM(T30:T35)</f>
        <v>20201.05</v>
      </c>
      <c r="L36"/>
    </row>
    <row r="37" spans="1:29" ht="14.25" hidden="1" x14ac:dyDescent="0.2">
      <c r="A37" s="25"/>
      <c r="B37" s="25"/>
      <c r="C37" s="25" t="s">
        <v>716</v>
      </c>
      <c r="D37" s="26" t="s">
        <v>717</v>
      </c>
      <c r="E37" s="27">
        <f>Source!AQ28</f>
        <v>32</v>
      </c>
      <c r="F37" s="28"/>
      <c r="G37" s="29" t="s">
        <v>708</v>
      </c>
      <c r="H37" s="27">
        <f>Source!AV29</f>
        <v>1.0669999999999999</v>
      </c>
      <c r="I37" s="28">
        <f>Source!U28</f>
        <v>61.459199999999989</v>
      </c>
      <c r="J37" s="27"/>
      <c r="K37" s="28"/>
      <c r="L37"/>
    </row>
    <row r="38" spans="1:29" ht="15" hidden="1" x14ac:dyDescent="0.2">
      <c r="C38" s="30" t="s">
        <v>718</v>
      </c>
      <c r="H38" s="42">
        <f>I31+I32+I34+I35+I36+0-0-0</f>
        <v>1960.8</v>
      </c>
      <c r="I38" s="42"/>
      <c r="J38" s="42">
        <f>K31+K32+K34+K35+K36+0-0-0</f>
        <v>104013.22</v>
      </c>
      <c r="K38" s="42"/>
      <c r="L38"/>
    </row>
    <row r="39" spans="1:29" ht="15" hidden="1" x14ac:dyDescent="0.2">
      <c r="C39" s="30" t="s">
        <v>719</v>
      </c>
      <c r="H39" s="43">
        <f>0+0</f>
        <v>0</v>
      </c>
      <c r="I39" s="43"/>
      <c r="J39" s="43">
        <f>0+0</f>
        <v>0</v>
      </c>
      <c r="K39" s="43"/>
      <c r="L39"/>
    </row>
    <row r="40" spans="1:29" ht="15" hidden="1" x14ac:dyDescent="0.2">
      <c r="C40" s="30" t="s">
        <v>720</v>
      </c>
      <c r="H40" s="43">
        <f>I31+I32+I34+I35+I36+0</f>
        <v>1960.8</v>
      </c>
      <c r="I40" s="43"/>
      <c r="J40" s="43">
        <f>K31+K32+K34+K35+K36+0</f>
        <v>104013.22</v>
      </c>
      <c r="K40" s="43"/>
      <c r="L40"/>
      <c r="O40" s="31">
        <f>I31+I32+I34+I35+I36+0</f>
        <v>1960.8</v>
      </c>
      <c r="P40" s="31">
        <f>K31+K32+K34+K35+K36+0</f>
        <v>104013.22</v>
      </c>
    </row>
    <row r="41" spans="1:29" hidden="1" x14ac:dyDescent="0.2">
      <c r="L41"/>
    </row>
    <row r="42" spans="1:29" ht="85.5" hidden="1" x14ac:dyDescent="0.2">
      <c r="A42" s="19">
        <v>2</v>
      </c>
      <c r="B42" s="19" t="str">
        <f>Source!F30</f>
        <v>4.7-21-1</v>
      </c>
      <c r="C42" s="19" t="s">
        <v>33</v>
      </c>
      <c r="D42" s="21" t="str">
        <f>Source!H30</f>
        <v>1  ШТ.</v>
      </c>
      <c r="E42" s="20">
        <f>Source!I30</f>
        <v>1</v>
      </c>
      <c r="F42" s="23"/>
      <c r="G42" s="22"/>
      <c r="H42" s="20"/>
      <c r="I42" s="23"/>
      <c r="J42" s="20"/>
      <c r="K42" s="23"/>
      <c r="L42"/>
      <c r="Q42">
        <f>Source!X30</f>
        <v>399.52</v>
      </c>
      <c r="R42">
        <f>Source!X31</f>
        <v>22512.799999999999</v>
      </c>
      <c r="S42">
        <f>Source!Y30</f>
        <v>206.34</v>
      </c>
      <c r="T42">
        <f>Source!Y31</f>
        <v>11627.49</v>
      </c>
      <c r="U42">
        <f>ROUND((175/100)*ROUND(Source!R30, 2), 2)</f>
        <v>0.86</v>
      </c>
      <c r="V42">
        <f>ROUND((0/100)*ROUND(Source!R31, 2), 2)</f>
        <v>0</v>
      </c>
      <c r="AC42">
        <v>0</v>
      </c>
    </row>
    <row r="43" spans="1:29" ht="14.25" hidden="1" x14ac:dyDescent="0.2">
      <c r="A43" s="19"/>
      <c r="B43" s="19"/>
      <c r="C43" s="19" t="s">
        <v>707</v>
      </c>
      <c r="D43" s="21"/>
      <c r="E43" s="20"/>
      <c r="F43" s="23">
        <f>Source!AO30</f>
        <v>342.5</v>
      </c>
      <c r="G43" s="22" t="s">
        <v>91</v>
      </c>
      <c r="H43" s="20">
        <f>Source!AV31</f>
        <v>1.0669999999999999</v>
      </c>
      <c r="I43" s="23">
        <f>Source!S30</f>
        <v>438.54</v>
      </c>
      <c r="J43" s="20">
        <f>IF(Source!BA31&lt;&gt; 0, Source!BA31, 1)</f>
        <v>56.35</v>
      </c>
      <c r="K43" s="23">
        <f>Source!S31</f>
        <v>24711.73</v>
      </c>
      <c r="L43"/>
    </row>
    <row r="44" spans="1:29" ht="14.25" hidden="1" x14ac:dyDescent="0.2">
      <c r="A44" s="19"/>
      <c r="B44" s="19"/>
      <c r="C44" s="19" t="s">
        <v>709</v>
      </c>
      <c r="D44" s="21"/>
      <c r="E44" s="20"/>
      <c r="F44" s="23">
        <f>Source!AM30</f>
        <v>24.5</v>
      </c>
      <c r="G44" s="22" t="s">
        <v>91</v>
      </c>
      <c r="H44" s="20">
        <f>Source!AV31</f>
        <v>1.0669999999999999</v>
      </c>
      <c r="I44" s="23">
        <f>Source!Q30</f>
        <v>31.37</v>
      </c>
      <c r="J44" s="20">
        <f>IF(Source!BB31&lt;&gt; 0, Source!BB31, 1)</f>
        <v>13.34</v>
      </c>
      <c r="K44" s="23">
        <f>Source!Q31</f>
        <v>418.48</v>
      </c>
      <c r="L44"/>
    </row>
    <row r="45" spans="1:29" ht="14.25" hidden="1" x14ac:dyDescent="0.2">
      <c r="A45" s="19"/>
      <c r="B45" s="19"/>
      <c r="C45" s="19" t="s">
        <v>710</v>
      </c>
      <c r="D45" s="21"/>
      <c r="E45" s="20"/>
      <c r="F45" s="23">
        <f>Source!AN30</f>
        <v>0.38</v>
      </c>
      <c r="G45" s="22" t="s">
        <v>91</v>
      </c>
      <c r="H45" s="20">
        <f>Source!AV31</f>
        <v>1.0669999999999999</v>
      </c>
      <c r="I45" s="24">
        <f>Source!R30</f>
        <v>0.49</v>
      </c>
      <c r="J45" s="20">
        <f>IF(Source!BS31&lt;&gt; 0, Source!BS31, 1)</f>
        <v>56.35</v>
      </c>
      <c r="K45" s="24">
        <f>Source!R31</f>
        <v>27.61</v>
      </c>
      <c r="L45"/>
    </row>
    <row r="46" spans="1:29" ht="14.25" hidden="1" x14ac:dyDescent="0.2">
      <c r="A46" s="19"/>
      <c r="B46" s="19"/>
      <c r="C46" s="19" t="s">
        <v>711</v>
      </c>
      <c r="D46" s="21"/>
      <c r="E46" s="20"/>
      <c r="F46" s="23">
        <f>Source!AL30</f>
        <v>42.34</v>
      </c>
      <c r="G46" s="22"/>
      <c r="H46" s="20">
        <f>Source!AW31</f>
        <v>1.028</v>
      </c>
      <c r="I46" s="23">
        <f>Source!P30</f>
        <v>43.53</v>
      </c>
      <c r="J46" s="20">
        <f>IF(Source!BC31&lt;&gt; 0, Source!BC31, 1)</f>
        <v>11.66</v>
      </c>
      <c r="K46" s="23">
        <f>Source!P31</f>
        <v>507.56</v>
      </c>
      <c r="L46"/>
    </row>
    <row r="47" spans="1:29" ht="14.25" hidden="1" x14ac:dyDescent="0.2">
      <c r="A47" s="19"/>
      <c r="B47" s="19"/>
      <c r="C47" s="19" t="s">
        <v>713</v>
      </c>
      <c r="D47" s="21" t="s">
        <v>714</v>
      </c>
      <c r="E47" s="20">
        <f>Source!BZ31</f>
        <v>91</v>
      </c>
      <c r="F47" s="23"/>
      <c r="G47" s="22"/>
      <c r="H47" s="20"/>
      <c r="I47" s="23">
        <f>SUM(Q42:Q46)</f>
        <v>399.52</v>
      </c>
      <c r="J47" s="20">
        <f>Source!AT31</f>
        <v>91</v>
      </c>
      <c r="K47" s="23">
        <f>SUM(R42:R46)</f>
        <v>22512.799999999999</v>
      </c>
      <c r="L47"/>
    </row>
    <row r="48" spans="1:29" ht="14.25" hidden="1" x14ac:dyDescent="0.2">
      <c r="A48" s="19"/>
      <c r="B48" s="19"/>
      <c r="C48" s="19" t="s">
        <v>715</v>
      </c>
      <c r="D48" s="21" t="s">
        <v>714</v>
      </c>
      <c r="E48" s="20">
        <f>Source!CA31</f>
        <v>47</v>
      </c>
      <c r="F48" s="23"/>
      <c r="G48" s="22"/>
      <c r="H48" s="20"/>
      <c r="I48" s="23">
        <f>SUM(S42:S47)</f>
        <v>206.34</v>
      </c>
      <c r="J48" s="20">
        <f>Source!AU31</f>
        <v>47</v>
      </c>
      <c r="K48" s="23">
        <f>SUM(T42:T47)</f>
        <v>11627.49</v>
      </c>
      <c r="L48"/>
    </row>
    <row r="49" spans="1:29" ht="14.25" hidden="1" x14ac:dyDescent="0.2">
      <c r="A49" s="25"/>
      <c r="B49" s="25"/>
      <c r="C49" s="25" t="s">
        <v>716</v>
      </c>
      <c r="D49" s="26" t="s">
        <v>717</v>
      </c>
      <c r="E49" s="27">
        <f>Source!AQ30</f>
        <v>27.8</v>
      </c>
      <c r="F49" s="28"/>
      <c r="G49" s="29" t="s">
        <v>91</v>
      </c>
      <c r="H49" s="27">
        <f>Source!AV31</f>
        <v>1.0669999999999999</v>
      </c>
      <c r="I49" s="28">
        <f>Source!U30</f>
        <v>35.595119999999994</v>
      </c>
      <c r="J49" s="27"/>
      <c r="K49" s="28"/>
      <c r="L49"/>
    </row>
    <row r="50" spans="1:29" ht="15" hidden="1" x14ac:dyDescent="0.2">
      <c r="C50" s="30" t="s">
        <v>718</v>
      </c>
      <c r="H50" s="42">
        <f>I43+I44+I46+I47+I48+0-0-0</f>
        <v>1119.3</v>
      </c>
      <c r="I50" s="42"/>
      <c r="J50" s="42">
        <f>K43+K44+K46+K47+K48+0-0-0</f>
        <v>59778.06</v>
      </c>
      <c r="K50" s="42"/>
      <c r="L50"/>
    </row>
    <row r="51" spans="1:29" ht="15" hidden="1" x14ac:dyDescent="0.2">
      <c r="C51" s="30" t="s">
        <v>719</v>
      </c>
      <c r="H51" s="43">
        <f>0+0</f>
        <v>0</v>
      </c>
      <c r="I51" s="43"/>
      <c r="J51" s="43">
        <f>0+0</f>
        <v>0</v>
      </c>
      <c r="K51" s="43"/>
      <c r="L51"/>
    </row>
    <row r="52" spans="1:29" ht="15" hidden="1" x14ac:dyDescent="0.2">
      <c r="C52" s="30" t="s">
        <v>720</v>
      </c>
      <c r="H52" s="43">
        <f>I43+I44+I46+I47+I48+0</f>
        <v>1119.3</v>
      </c>
      <c r="I52" s="43"/>
      <c r="J52" s="43">
        <f>K43+K44+K46+K47+K48+0</f>
        <v>59778.06</v>
      </c>
      <c r="K52" s="43"/>
      <c r="L52"/>
      <c r="O52" s="31">
        <f>I43+I44+I46+I47+I48+0</f>
        <v>1119.3</v>
      </c>
      <c r="P52" s="31">
        <f>K43+K44+K46+K47+K48+0</f>
        <v>59778.06</v>
      </c>
    </row>
    <row r="53" spans="1:29" hidden="1" x14ac:dyDescent="0.2">
      <c r="L53"/>
    </row>
    <row r="54" spans="1:29" ht="57" hidden="1" x14ac:dyDescent="0.2">
      <c r="A54" s="19">
        <v>3</v>
      </c>
      <c r="B54" s="19" t="str">
        <f>Source!F32</f>
        <v>4.6-48-4</v>
      </c>
      <c r="C54" s="19" t="s">
        <v>40</v>
      </c>
      <c r="D54" s="21" t="str">
        <f>Source!H32</f>
        <v>1 Т</v>
      </c>
      <c r="E54" s="20">
        <f>Source!I32</f>
        <v>8.9999999999999993E-3</v>
      </c>
      <c r="F54" s="23"/>
      <c r="G54" s="22"/>
      <c r="H54" s="20"/>
      <c r="I54" s="23"/>
      <c r="J54" s="20"/>
      <c r="K54" s="23"/>
      <c r="L54"/>
      <c r="Q54">
        <f>Source!X32</f>
        <v>66.75</v>
      </c>
      <c r="R54">
        <f>Source!X33</f>
        <v>3761.36</v>
      </c>
      <c r="S54">
        <f>Source!Y32</f>
        <v>33.75</v>
      </c>
      <c r="T54">
        <f>Source!Y33</f>
        <v>1901.81</v>
      </c>
      <c r="U54">
        <f>ROUND((175/100)*ROUND(Source!R32, 2), 2)</f>
        <v>18.600000000000001</v>
      </c>
      <c r="V54">
        <f>ROUND((0/100)*ROUND(Source!R33, 2), 2)</f>
        <v>0</v>
      </c>
      <c r="AC54">
        <v>0</v>
      </c>
    </row>
    <row r="55" spans="1:29" ht="14.25" hidden="1" x14ac:dyDescent="0.2">
      <c r="A55" s="19"/>
      <c r="B55" s="19"/>
      <c r="C55" s="19" t="s">
        <v>707</v>
      </c>
      <c r="D55" s="21"/>
      <c r="E55" s="20"/>
      <c r="F55" s="23">
        <f>Source!AO32</f>
        <v>5585.89</v>
      </c>
      <c r="G55" s="22" t="s">
        <v>91</v>
      </c>
      <c r="H55" s="20">
        <f>Source!AV33</f>
        <v>1.0669999999999999</v>
      </c>
      <c r="I55" s="23">
        <f>Source!S32</f>
        <v>64.37</v>
      </c>
      <c r="J55" s="20">
        <f>IF(Source!BA33&lt;&gt; 0, Source!BA33, 1)</f>
        <v>56.35</v>
      </c>
      <c r="K55" s="23">
        <f>Source!S33</f>
        <v>3627.25</v>
      </c>
      <c r="L55"/>
    </row>
    <row r="56" spans="1:29" ht="14.25" hidden="1" x14ac:dyDescent="0.2">
      <c r="A56" s="19"/>
      <c r="B56" s="19"/>
      <c r="C56" s="19" t="s">
        <v>709</v>
      </c>
      <c r="D56" s="21"/>
      <c r="E56" s="20"/>
      <c r="F56" s="23">
        <f>Source!AM32</f>
        <v>3066.32</v>
      </c>
      <c r="G56" s="22" t="s">
        <v>91</v>
      </c>
      <c r="H56" s="20">
        <f>Source!AV33</f>
        <v>1.0669999999999999</v>
      </c>
      <c r="I56" s="23">
        <f>Source!Q32</f>
        <v>35.340000000000003</v>
      </c>
      <c r="J56" s="20">
        <f>IF(Source!BB33&lt;&gt; 0, Source!BB33, 1)</f>
        <v>24.62</v>
      </c>
      <c r="K56" s="23">
        <f>Source!Q33</f>
        <v>870.07</v>
      </c>
      <c r="L56"/>
    </row>
    <row r="57" spans="1:29" ht="14.25" hidden="1" x14ac:dyDescent="0.2">
      <c r="A57" s="19"/>
      <c r="B57" s="19"/>
      <c r="C57" s="19" t="s">
        <v>710</v>
      </c>
      <c r="D57" s="21"/>
      <c r="E57" s="20"/>
      <c r="F57" s="23">
        <f>Source!AN32</f>
        <v>922.56</v>
      </c>
      <c r="G57" s="22" t="s">
        <v>91</v>
      </c>
      <c r="H57" s="20">
        <f>Source!AV33</f>
        <v>1.0669999999999999</v>
      </c>
      <c r="I57" s="24">
        <f>Source!R32</f>
        <v>10.63</v>
      </c>
      <c r="J57" s="20">
        <f>IF(Source!BS33&lt;&gt; 0, Source!BS33, 1)</f>
        <v>56.35</v>
      </c>
      <c r="K57" s="24">
        <f>Source!R33</f>
        <v>599</v>
      </c>
      <c r="L57"/>
    </row>
    <row r="58" spans="1:29" ht="14.25" hidden="1" x14ac:dyDescent="0.2">
      <c r="A58" s="19"/>
      <c r="B58" s="19"/>
      <c r="C58" s="19" t="s">
        <v>711</v>
      </c>
      <c r="D58" s="21"/>
      <c r="E58" s="20"/>
      <c r="F58" s="23">
        <f>Source!AL32</f>
        <v>133</v>
      </c>
      <c r="G58" s="22"/>
      <c r="H58" s="20">
        <f>Source!AW33</f>
        <v>1.028</v>
      </c>
      <c r="I58" s="23">
        <f>Source!P32</f>
        <v>1.23</v>
      </c>
      <c r="J58" s="20">
        <f>IF(Source!BC33&lt;&gt; 0, Source!BC33, 1)</f>
        <v>9.84</v>
      </c>
      <c r="K58" s="23">
        <f>Source!P33</f>
        <v>12.1</v>
      </c>
      <c r="L58"/>
    </row>
    <row r="59" spans="1:29" ht="14.25" hidden="1" x14ac:dyDescent="0.2">
      <c r="A59" s="19"/>
      <c r="B59" s="19"/>
      <c r="C59" s="19" t="s">
        <v>713</v>
      </c>
      <c r="D59" s="21" t="s">
        <v>714</v>
      </c>
      <c r="E59" s="20">
        <f>Source!BZ33</f>
        <v>89</v>
      </c>
      <c r="F59" s="23"/>
      <c r="G59" s="22"/>
      <c r="H59" s="20"/>
      <c r="I59" s="23">
        <f>SUM(Q54:Q58)</f>
        <v>66.75</v>
      </c>
      <c r="J59" s="20">
        <f>Source!AT33</f>
        <v>89</v>
      </c>
      <c r="K59" s="23">
        <f>SUM(R54:R58)</f>
        <v>3761.36</v>
      </c>
      <c r="L59"/>
    </row>
    <row r="60" spans="1:29" ht="14.25" hidden="1" x14ac:dyDescent="0.2">
      <c r="A60" s="19"/>
      <c r="B60" s="19"/>
      <c r="C60" s="19" t="s">
        <v>715</v>
      </c>
      <c r="D60" s="21" t="s">
        <v>714</v>
      </c>
      <c r="E60" s="20">
        <f>Source!CA33</f>
        <v>45</v>
      </c>
      <c r="F60" s="23"/>
      <c r="G60" s="22"/>
      <c r="H60" s="20"/>
      <c r="I60" s="23">
        <f>SUM(S54:S59)</f>
        <v>33.75</v>
      </c>
      <c r="J60" s="20">
        <f>Source!AU33</f>
        <v>45</v>
      </c>
      <c r="K60" s="23">
        <f>SUM(T54:T59)</f>
        <v>1901.81</v>
      </c>
      <c r="L60"/>
    </row>
    <row r="61" spans="1:29" ht="14.25" hidden="1" x14ac:dyDescent="0.2">
      <c r="A61" s="25"/>
      <c r="B61" s="25"/>
      <c r="C61" s="25" t="s">
        <v>716</v>
      </c>
      <c r="D61" s="26" t="s">
        <v>717</v>
      </c>
      <c r="E61" s="27">
        <f>Source!AQ32</f>
        <v>487</v>
      </c>
      <c r="F61" s="28"/>
      <c r="G61" s="29" t="s">
        <v>91</v>
      </c>
      <c r="H61" s="27">
        <f>Source!AV33</f>
        <v>1.0669999999999999</v>
      </c>
      <c r="I61" s="28">
        <f>Source!U32</f>
        <v>5.6119931999999997</v>
      </c>
      <c r="J61" s="27"/>
      <c r="K61" s="28"/>
      <c r="L61"/>
    </row>
    <row r="62" spans="1:29" ht="15" hidden="1" x14ac:dyDescent="0.2">
      <c r="C62" s="30" t="s">
        <v>718</v>
      </c>
      <c r="H62" s="42">
        <f>I55+I56+I58+I59+I60+0-0-0</f>
        <v>201.44</v>
      </c>
      <c r="I62" s="42"/>
      <c r="J62" s="42">
        <f>K55+K56+K58+K59+K60+0-0-0</f>
        <v>10172.59</v>
      </c>
      <c r="K62" s="42"/>
      <c r="L62"/>
    </row>
    <row r="63" spans="1:29" ht="15" hidden="1" x14ac:dyDescent="0.2">
      <c r="C63" s="30" t="s">
        <v>719</v>
      </c>
      <c r="H63" s="43">
        <f>0+0</f>
        <v>0</v>
      </c>
      <c r="I63" s="43"/>
      <c r="J63" s="43">
        <f>0+0</f>
        <v>0</v>
      </c>
      <c r="K63" s="43"/>
      <c r="L63"/>
    </row>
    <row r="64" spans="1:29" ht="15" hidden="1" x14ac:dyDescent="0.2">
      <c r="C64" s="30" t="s">
        <v>720</v>
      </c>
      <c r="H64" s="43">
        <f>I55+I56+I58+I59+I60+0</f>
        <v>201.44</v>
      </c>
      <c r="I64" s="43"/>
      <c r="J64" s="43">
        <f>K55+K56+K58+K59+K60+0</f>
        <v>10172.59</v>
      </c>
      <c r="K64" s="43"/>
      <c r="L64"/>
      <c r="O64" s="31">
        <f>I55+I56+I58+I59+I60+0</f>
        <v>201.44</v>
      </c>
      <c r="P64" s="31">
        <f>K55+K56+K58+K59+K60+0</f>
        <v>10172.59</v>
      </c>
    </row>
    <row r="65" spans="1:29" hidden="1" x14ac:dyDescent="0.2">
      <c r="L65"/>
    </row>
    <row r="66" spans="1:29" ht="57" hidden="1" x14ac:dyDescent="0.2">
      <c r="A66" s="19">
        <v>4</v>
      </c>
      <c r="B66" s="19" t="str">
        <f>Source!F36</f>
        <v>4.8-240-4</v>
      </c>
      <c r="C66" s="19" t="s">
        <v>54</v>
      </c>
      <c r="D66" s="21" t="str">
        <f>Source!H36</f>
        <v>1  ШТ.</v>
      </c>
      <c r="E66" s="20">
        <f>Source!I36</f>
        <v>1</v>
      </c>
      <c r="F66" s="23"/>
      <c r="G66" s="22"/>
      <c r="H66" s="20"/>
      <c r="I66" s="23"/>
      <c r="J66" s="20"/>
      <c r="K66" s="23"/>
      <c r="L66"/>
      <c r="Q66">
        <f>Source!X36</f>
        <v>36.46</v>
      </c>
      <c r="R66">
        <f>Source!X37</f>
        <v>2054.65</v>
      </c>
      <c r="S66">
        <f>Source!Y36</f>
        <v>19.170000000000002</v>
      </c>
      <c r="T66">
        <f>Source!Y37</f>
        <v>1080.28</v>
      </c>
      <c r="U66">
        <f>ROUND((175/100)*ROUND(Source!R36, 2), 2)</f>
        <v>6.95</v>
      </c>
      <c r="V66">
        <f>ROUND((0/100)*ROUND(Source!R37, 2), 2)</f>
        <v>0</v>
      </c>
      <c r="AC66">
        <v>0</v>
      </c>
    </row>
    <row r="67" spans="1:29" ht="14.25" hidden="1" x14ac:dyDescent="0.2">
      <c r="A67" s="19"/>
      <c r="B67" s="19"/>
      <c r="C67" s="19" t="s">
        <v>707</v>
      </c>
      <c r="D67" s="21"/>
      <c r="E67" s="20"/>
      <c r="F67" s="23">
        <f>Source!AO36</f>
        <v>26.76</v>
      </c>
      <c r="G67" s="22" t="s">
        <v>91</v>
      </c>
      <c r="H67" s="20">
        <f>Source!AV37</f>
        <v>1.0469999999999999</v>
      </c>
      <c r="I67" s="23">
        <f>Source!S36</f>
        <v>33.619999999999997</v>
      </c>
      <c r="J67" s="20">
        <f>IF(Source!BA37&lt;&gt; 0, Source!BA37, 1)</f>
        <v>56.35</v>
      </c>
      <c r="K67" s="23">
        <f>Source!S37</f>
        <v>1894.49</v>
      </c>
      <c r="L67"/>
    </row>
    <row r="68" spans="1:29" ht="14.25" hidden="1" x14ac:dyDescent="0.2">
      <c r="A68" s="19"/>
      <c r="B68" s="19"/>
      <c r="C68" s="19" t="s">
        <v>709</v>
      </c>
      <c r="D68" s="21"/>
      <c r="E68" s="20"/>
      <c r="F68" s="23">
        <f>Source!AM36</f>
        <v>17.420000000000002</v>
      </c>
      <c r="G68" s="22" t="s">
        <v>91</v>
      </c>
      <c r="H68" s="20">
        <f>Source!AV37</f>
        <v>1.0469999999999999</v>
      </c>
      <c r="I68" s="23">
        <f>Source!Q36</f>
        <v>21.89</v>
      </c>
      <c r="J68" s="20">
        <f>IF(Source!BB37&lt;&gt; 0, Source!BB37, 1)</f>
        <v>19.89</v>
      </c>
      <c r="K68" s="23">
        <f>Source!Q37</f>
        <v>435.39</v>
      </c>
      <c r="L68"/>
    </row>
    <row r="69" spans="1:29" ht="14.25" hidden="1" x14ac:dyDescent="0.2">
      <c r="A69" s="19"/>
      <c r="B69" s="19"/>
      <c r="C69" s="19" t="s">
        <v>710</v>
      </c>
      <c r="D69" s="21"/>
      <c r="E69" s="20"/>
      <c r="F69" s="23">
        <f>Source!AN36</f>
        <v>3.16</v>
      </c>
      <c r="G69" s="22" t="s">
        <v>91</v>
      </c>
      <c r="H69" s="20">
        <f>Source!AV37</f>
        <v>1.0469999999999999</v>
      </c>
      <c r="I69" s="24">
        <f>Source!R36</f>
        <v>3.97</v>
      </c>
      <c r="J69" s="20">
        <f>IF(Source!BS37&lt;&gt; 0, Source!BS37, 1)</f>
        <v>56.35</v>
      </c>
      <c r="K69" s="24">
        <f>Source!R37</f>
        <v>223.71</v>
      </c>
      <c r="L69"/>
    </row>
    <row r="70" spans="1:29" ht="14.25" hidden="1" x14ac:dyDescent="0.2">
      <c r="A70" s="19"/>
      <c r="B70" s="19"/>
      <c r="C70" s="19" t="s">
        <v>711</v>
      </c>
      <c r="D70" s="21"/>
      <c r="E70" s="20"/>
      <c r="F70" s="23">
        <f>Source!AL36</f>
        <v>1.46</v>
      </c>
      <c r="G70" s="22"/>
      <c r="H70" s="20">
        <f>Source!AW37</f>
        <v>1</v>
      </c>
      <c r="I70" s="23">
        <f>Source!P36</f>
        <v>1.46</v>
      </c>
      <c r="J70" s="20">
        <f>IF(Source!BC37&lt;&gt; 0, Source!BC37, 1)</f>
        <v>11.05</v>
      </c>
      <c r="K70" s="23">
        <f>Source!P37</f>
        <v>16.13</v>
      </c>
      <c r="L70"/>
    </row>
    <row r="71" spans="1:29" ht="14.25" hidden="1" x14ac:dyDescent="0.2">
      <c r="A71" s="19"/>
      <c r="B71" s="19"/>
      <c r="C71" s="19" t="s">
        <v>713</v>
      </c>
      <c r="D71" s="21" t="s">
        <v>714</v>
      </c>
      <c r="E71" s="20">
        <f>Source!BZ37</f>
        <v>97</v>
      </c>
      <c r="F71" s="23"/>
      <c r="G71" s="22"/>
      <c r="H71" s="20"/>
      <c r="I71" s="23">
        <f>SUM(Q66:Q70)</f>
        <v>36.46</v>
      </c>
      <c r="J71" s="20">
        <f>Source!AT37</f>
        <v>97</v>
      </c>
      <c r="K71" s="23">
        <f>SUM(R66:R70)</f>
        <v>2054.65</v>
      </c>
      <c r="L71"/>
    </row>
    <row r="72" spans="1:29" ht="14.25" hidden="1" x14ac:dyDescent="0.2">
      <c r="A72" s="19"/>
      <c r="B72" s="19"/>
      <c r="C72" s="19" t="s">
        <v>715</v>
      </c>
      <c r="D72" s="21" t="s">
        <v>714</v>
      </c>
      <c r="E72" s="20">
        <f>Source!CA37</f>
        <v>51</v>
      </c>
      <c r="F72" s="23"/>
      <c r="G72" s="22"/>
      <c r="H72" s="20"/>
      <c r="I72" s="23">
        <f>SUM(S66:S71)</f>
        <v>19.170000000000002</v>
      </c>
      <c r="J72" s="20">
        <f>Source!AU37</f>
        <v>51</v>
      </c>
      <c r="K72" s="23">
        <f>SUM(T66:T71)</f>
        <v>1080.28</v>
      </c>
      <c r="L72"/>
    </row>
    <row r="73" spans="1:29" ht="14.25" hidden="1" x14ac:dyDescent="0.2">
      <c r="A73" s="25"/>
      <c r="B73" s="25"/>
      <c r="C73" s="25" t="s">
        <v>716</v>
      </c>
      <c r="D73" s="26" t="s">
        <v>717</v>
      </c>
      <c r="E73" s="27">
        <f>Source!AQ36</f>
        <v>2.06</v>
      </c>
      <c r="F73" s="28"/>
      <c r="G73" s="29" t="s">
        <v>91</v>
      </c>
      <c r="H73" s="27">
        <f>Source!AV37</f>
        <v>1.0469999999999999</v>
      </c>
      <c r="I73" s="28">
        <f>Source!U36</f>
        <v>2.5881839999999996</v>
      </c>
      <c r="J73" s="27"/>
      <c r="K73" s="28"/>
      <c r="L73"/>
    </row>
    <row r="74" spans="1:29" ht="15" hidden="1" x14ac:dyDescent="0.2">
      <c r="C74" s="30" t="s">
        <v>718</v>
      </c>
      <c r="H74" s="42">
        <f>I67+I68+I70+I71+I72+0-0-0</f>
        <v>112.60000000000001</v>
      </c>
      <c r="I74" s="42"/>
      <c r="J74" s="42">
        <f>K67+K68+K70+K71+K72+0-0-0</f>
        <v>5480.94</v>
      </c>
      <c r="K74" s="42"/>
      <c r="L74"/>
    </row>
    <row r="75" spans="1:29" ht="15" hidden="1" x14ac:dyDescent="0.2">
      <c r="C75" s="30" t="s">
        <v>719</v>
      </c>
      <c r="H75" s="43">
        <f>0+0</f>
        <v>0</v>
      </c>
      <c r="I75" s="43"/>
      <c r="J75" s="43">
        <f>0+0</f>
        <v>0</v>
      </c>
      <c r="K75" s="43"/>
      <c r="L75"/>
    </row>
    <row r="76" spans="1:29" ht="15" hidden="1" x14ac:dyDescent="0.2">
      <c r="C76" s="30" t="s">
        <v>720</v>
      </c>
      <c r="H76" s="43">
        <f>I67+I68+I70+I71+I72+0</f>
        <v>112.60000000000001</v>
      </c>
      <c r="I76" s="43"/>
      <c r="J76" s="43">
        <f>K67+K68+K70+K71+K72+0</f>
        <v>5480.94</v>
      </c>
      <c r="K76" s="43"/>
      <c r="L76"/>
      <c r="O76" s="31">
        <f>I67+I68+I70+I71+I72+0</f>
        <v>112.60000000000001</v>
      </c>
      <c r="P76" s="31">
        <f>K67+K68+K70+K71+K72+0</f>
        <v>5480.94</v>
      </c>
    </row>
    <row r="77" spans="1:29" hidden="1" x14ac:dyDescent="0.2">
      <c r="L77"/>
    </row>
    <row r="78" spans="1:29" ht="71.25" hidden="1" x14ac:dyDescent="0.2">
      <c r="A78" s="19">
        <v>5</v>
      </c>
      <c r="B78" s="19" t="str">
        <f>Source!F38</f>
        <v>4.12-48-9</v>
      </c>
      <c r="C78" s="19" t="s">
        <v>60</v>
      </c>
      <c r="D78" s="21" t="str">
        <f>Source!H38</f>
        <v>1  ШТ.</v>
      </c>
      <c r="E78" s="20">
        <f>Source!I38</f>
        <v>6</v>
      </c>
      <c r="F78" s="23"/>
      <c r="G78" s="22"/>
      <c r="H78" s="20"/>
      <c r="I78" s="23"/>
      <c r="J78" s="20"/>
      <c r="K78" s="23"/>
      <c r="L78"/>
      <c r="Q78">
        <f>Source!X38</f>
        <v>350.76</v>
      </c>
      <c r="R78">
        <f>Source!X39</f>
        <v>19765.150000000001</v>
      </c>
      <c r="S78">
        <f>Source!Y38</f>
        <v>179.28</v>
      </c>
      <c r="T78">
        <f>Source!Y39</f>
        <v>10102.19</v>
      </c>
      <c r="U78">
        <f>ROUND((175/100)*ROUND(Source!R38, 2), 2)</f>
        <v>3.36</v>
      </c>
      <c r="V78">
        <f>ROUND((0/100)*ROUND(Source!R39, 2), 2)</f>
        <v>0</v>
      </c>
      <c r="AC78">
        <v>0</v>
      </c>
    </row>
    <row r="79" spans="1:29" hidden="1" x14ac:dyDescent="0.2">
      <c r="C79" s="32" t="str">
        <f>"Объем: "&amp;Source!I38&amp;"=2+"&amp;"4"</f>
        <v>Объем: 6=2+4</v>
      </c>
      <c r="L79"/>
    </row>
    <row r="80" spans="1:29" ht="14.25" hidden="1" x14ac:dyDescent="0.2">
      <c r="A80" s="19"/>
      <c r="B80" s="19"/>
      <c r="C80" s="19" t="s">
        <v>707</v>
      </c>
      <c r="D80" s="21"/>
      <c r="E80" s="20"/>
      <c r="F80" s="23">
        <f>Source!AO38</f>
        <v>50.48</v>
      </c>
      <c r="G80" s="22" t="s">
        <v>91</v>
      </c>
      <c r="H80" s="20">
        <f>Source!AV39</f>
        <v>1.0669999999999999</v>
      </c>
      <c r="I80" s="23">
        <f>Source!S38</f>
        <v>387.81</v>
      </c>
      <c r="J80" s="20">
        <f>IF(Source!BA39&lt;&gt; 0, Source!BA39, 1)</f>
        <v>56.35</v>
      </c>
      <c r="K80" s="23">
        <f>Source!S39</f>
        <v>21853.09</v>
      </c>
      <c r="L80"/>
    </row>
    <row r="81" spans="1:29" ht="14.25" hidden="1" x14ac:dyDescent="0.2">
      <c r="A81" s="19"/>
      <c r="B81" s="19"/>
      <c r="C81" s="19" t="s">
        <v>709</v>
      </c>
      <c r="D81" s="21"/>
      <c r="E81" s="20"/>
      <c r="F81" s="23">
        <f>Source!AM38</f>
        <v>1.66</v>
      </c>
      <c r="G81" s="22" t="s">
        <v>91</v>
      </c>
      <c r="H81" s="20">
        <f>Source!AV39</f>
        <v>1.0669999999999999</v>
      </c>
      <c r="I81" s="23">
        <f>Source!Q38</f>
        <v>12.75</v>
      </c>
      <c r="J81" s="20">
        <f>IF(Source!BB39&lt;&gt; 0, Source!BB39, 1)</f>
        <v>17.09</v>
      </c>
      <c r="K81" s="23">
        <f>Source!Q39</f>
        <v>217.9</v>
      </c>
      <c r="L81"/>
    </row>
    <row r="82" spans="1:29" ht="14.25" hidden="1" x14ac:dyDescent="0.2">
      <c r="A82" s="19"/>
      <c r="B82" s="19"/>
      <c r="C82" s="19" t="s">
        <v>710</v>
      </c>
      <c r="D82" s="21"/>
      <c r="E82" s="20"/>
      <c r="F82" s="23">
        <f>Source!AN38</f>
        <v>0.25</v>
      </c>
      <c r="G82" s="22" t="s">
        <v>91</v>
      </c>
      <c r="H82" s="20">
        <f>Source!AV39</f>
        <v>1.0669999999999999</v>
      </c>
      <c r="I82" s="24">
        <f>Source!R38</f>
        <v>1.92</v>
      </c>
      <c r="J82" s="20">
        <f>IF(Source!BS39&lt;&gt; 0, Source!BS39, 1)</f>
        <v>56.35</v>
      </c>
      <c r="K82" s="24">
        <f>Source!R39</f>
        <v>108.19</v>
      </c>
      <c r="L82"/>
    </row>
    <row r="83" spans="1:29" ht="14.25" hidden="1" x14ac:dyDescent="0.2">
      <c r="A83" s="19"/>
      <c r="B83" s="19"/>
      <c r="C83" s="19" t="s">
        <v>711</v>
      </c>
      <c r="D83" s="21"/>
      <c r="E83" s="20"/>
      <c r="F83" s="23">
        <f>Source!AL38</f>
        <v>2.77</v>
      </c>
      <c r="G83" s="22"/>
      <c r="H83" s="20">
        <f>Source!AW39</f>
        <v>1.028</v>
      </c>
      <c r="I83" s="23">
        <f>Source!P38</f>
        <v>17.09</v>
      </c>
      <c r="J83" s="20">
        <f>IF(Source!BC39&lt;&gt; 0, Source!BC39, 1)</f>
        <v>4.5</v>
      </c>
      <c r="K83" s="23">
        <f>Source!P39</f>
        <v>76.91</v>
      </c>
      <c r="L83"/>
    </row>
    <row r="84" spans="1:29" ht="14.25" hidden="1" x14ac:dyDescent="0.2">
      <c r="A84" s="19"/>
      <c r="B84" s="19"/>
      <c r="C84" s="19" t="s">
        <v>713</v>
      </c>
      <c r="D84" s="21" t="s">
        <v>714</v>
      </c>
      <c r="E84" s="20">
        <f>Source!BZ39</f>
        <v>90</v>
      </c>
      <c r="F84" s="23"/>
      <c r="G84" s="22"/>
      <c r="H84" s="20"/>
      <c r="I84" s="23">
        <f>SUM(Q78:Q83)</f>
        <v>350.76</v>
      </c>
      <c r="J84" s="20">
        <f>Source!AT39</f>
        <v>90</v>
      </c>
      <c r="K84" s="23">
        <f>SUM(R78:R83)</f>
        <v>19765.150000000001</v>
      </c>
      <c r="L84"/>
    </row>
    <row r="85" spans="1:29" ht="14.25" hidden="1" x14ac:dyDescent="0.2">
      <c r="A85" s="19"/>
      <c r="B85" s="19"/>
      <c r="C85" s="19" t="s">
        <v>715</v>
      </c>
      <c r="D85" s="21" t="s">
        <v>714</v>
      </c>
      <c r="E85" s="20">
        <f>Source!CA39</f>
        <v>46</v>
      </c>
      <c r="F85" s="23"/>
      <c r="G85" s="22"/>
      <c r="H85" s="20"/>
      <c r="I85" s="23">
        <f>SUM(S78:S84)</f>
        <v>179.28</v>
      </c>
      <c r="J85" s="20">
        <f>Source!AU39</f>
        <v>46</v>
      </c>
      <c r="K85" s="23">
        <f>SUM(T78:T84)</f>
        <v>10102.19</v>
      </c>
      <c r="L85"/>
    </row>
    <row r="86" spans="1:29" ht="14.25" hidden="1" x14ac:dyDescent="0.2">
      <c r="A86" s="25"/>
      <c r="B86" s="25"/>
      <c r="C86" s="25" t="s">
        <v>716</v>
      </c>
      <c r="D86" s="26" t="s">
        <v>717</v>
      </c>
      <c r="E86" s="27">
        <f>Source!AQ38</f>
        <v>4</v>
      </c>
      <c r="F86" s="28"/>
      <c r="G86" s="29" t="s">
        <v>91</v>
      </c>
      <c r="H86" s="27">
        <f>Source!AV39</f>
        <v>1.0669999999999999</v>
      </c>
      <c r="I86" s="28">
        <f>Source!U38</f>
        <v>30.729599999999998</v>
      </c>
      <c r="J86" s="27"/>
      <c r="K86" s="28"/>
      <c r="L86"/>
    </row>
    <row r="87" spans="1:29" ht="15" hidden="1" x14ac:dyDescent="0.2">
      <c r="C87" s="30" t="s">
        <v>718</v>
      </c>
      <c r="H87" s="42">
        <f>I80+I81+I83+I84+I85+0-0-0</f>
        <v>947.68999999999994</v>
      </c>
      <c r="I87" s="42"/>
      <c r="J87" s="42">
        <f>K80+K81+K83+K84+K85+0-0-0</f>
        <v>52015.240000000005</v>
      </c>
      <c r="K87" s="42"/>
      <c r="L87"/>
    </row>
    <row r="88" spans="1:29" ht="15" hidden="1" x14ac:dyDescent="0.2">
      <c r="C88" s="30" t="s">
        <v>719</v>
      </c>
      <c r="H88" s="43">
        <f>0+0</f>
        <v>0</v>
      </c>
      <c r="I88" s="43"/>
      <c r="J88" s="43">
        <f>0+0</f>
        <v>0</v>
      </c>
      <c r="K88" s="43"/>
      <c r="L88"/>
    </row>
    <row r="89" spans="1:29" ht="15" hidden="1" x14ac:dyDescent="0.2">
      <c r="C89" s="30" t="s">
        <v>720</v>
      </c>
      <c r="H89" s="43">
        <f>I80+I81+I83+I84+I85+0</f>
        <v>947.68999999999994</v>
      </c>
      <c r="I89" s="43"/>
      <c r="J89" s="43">
        <f>K80+K81+K83+K84+K85+0</f>
        <v>52015.240000000005</v>
      </c>
      <c r="K89" s="43"/>
      <c r="L89"/>
      <c r="O89" s="31">
        <f>I80+I81+I83+I84+I85+0</f>
        <v>947.68999999999994</v>
      </c>
      <c r="P89" s="31">
        <f>K80+K81+K83+K84+K85+0</f>
        <v>52015.240000000005</v>
      </c>
    </row>
    <row r="90" spans="1:29" hidden="1" x14ac:dyDescent="0.2">
      <c r="L90"/>
    </row>
    <row r="91" spans="1:29" ht="71.25" hidden="1" x14ac:dyDescent="0.2">
      <c r="A91" s="19">
        <v>6</v>
      </c>
      <c r="B91" s="19" t="str">
        <f>Source!F40</f>
        <v>4.12-48-11</v>
      </c>
      <c r="C91" s="19" t="s">
        <v>66</v>
      </c>
      <c r="D91" s="21" t="str">
        <f>Source!H40</f>
        <v>1  ШТ.</v>
      </c>
      <c r="E91" s="20">
        <f>Source!I40</f>
        <v>2</v>
      </c>
      <c r="F91" s="23"/>
      <c r="G91" s="22"/>
      <c r="H91" s="20"/>
      <c r="I91" s="23"/>
      <c r="J91" s="20"/>
      <c r="K91" s="23"/>
      <c r="L91"/>
      <c r="Q91">
        <f>Source!X40</f>
        <v>158.22</v>
      </c>
      <c r="R91">
        <f>Source!X41</f>
        <v>8915.7000000000007</v>
      </c>
      <c r="S91">
        <f>Source!Y40</f>
        <v>80.87</v>
      </c>
      <c r="T91">
        <f>Source!Y41</f>
        <v>4556.91</v>
      </c>
      <c r="U91">
        <f>ROUND((175/100)*ROUND(Source!R40, 2), 2)</f>
        <v>2.2400000000000002</v>
      </c>
      <c r="V91">
        <f>ROUND((0/100)*ROUND(Source!R41, 2), 2)</f>
        <v>0</v>
      </c>
      <c r="AC91">
        <v>0</v>
      </c>
    </row>
    <row r="92" spans="1:29" ht="14.25" hidden="1" x14ac:dyDescent="0.2">
      <c r="A92" s="19"/>
      <c r="B92" s="19"/>
      <c r="C92" s="19" t="s">
        <v>707</v>
      </c>
      <c r="D92" s="21"/>
      <c r="E92" s="20"/>
      <c r="F92" s="23">
        <f>Source!AO40</f>
        <v>68.150000000000006</v>
      </c>
      <c r="G92" s="22" t="s">
        <v>91</v>
      </c>
      <c r="H92" s="20">
        <f>Source!AV41</f>
        <v>1.0669999999999999</v>
      </c>
      <c r="I92" s="23">
        <f>Source!S40</f>
        <v>174.52</v>
      </c>
      <c r="J92" s="20">
        <f>IF(Source!BA41&lt;&gt; 0, Source!BA41, 1)</f>
        <v>56.35</v>
      </c>
      <c r="K92" s="23">
        <f>Source!S41</f>
        <v>9834.2000000000007</v>
      </c>
      <c r="L92"/>
    </row>
    <row r="93" spans="1:29" ht="14.25" hidden="1" x14ac:dyDescent="0.2">
      <c r="A93" s="19"/>
      <c r="B93" s="19"/>
      <c r="C93" s="19" t="s">
        <v>709</v>
      </c>
      <c r="D93" s="21"/>
      <c r="E93" s="20"/>
      <c r="F93" s="23">
        <f>Source!AM40</f>
        <v>3.32</v>
      </c>
      <c r="G93" s="22" t="s">
        <v>91</v>
      </c>
      <c r="H93" s="20">
        <f>Source!AV41</f>
        <v>1.0669999999999999</v>
      </c>
      <c r="I93" s="23">
        <f>Source!Q40</f>
        <v>8.5</v>
      </c>
      <c r="J93" s="20">
        <f>IF(Source!BB41&lt;&gt; 0, Source!BB41, 1)</f>
        <v>17.09</v>
      </c>
      <c r="K93" s="23">
        <f>Source!Q41</f>
        <v>145.27000000000001</v>
      </c>
      <c r="L93"/>
    </row>
    <row r="94" spans="1:29" ht="14.25" hidden="1" x14ac:dyDescent="0.2">
      <c r="A94" s="19"/>
      <c r="B94" s="19"/>
      <c r="C94" s="19" t="s">
        <v>710</v>
      </c>
      <c r="D94" s="21"/>
      <c r="E94" s="20"/>
      <c r="F94" s="23">
        <f>Source!AN40</f>
        <v>0.5</v>
      </c>
      <c r="G94" s="22" t="s">
        <v>91</v>
      </c>
      <c r="H94" s="20">
        <f>Source!AV41</f>
        <v>1.0669999999999999</v>
      </c>
      <c r="I94" s="24">
        <f>Source!R40</f>
        <v>1.28</v>
      </c>
      <c r="J94" s="20">
        <f>IF(Source!BS41&lt;&gt; 0, Source!BS41, 1)</f>
        <v>56.35</v>
      </c>
      <c r="K94" s="24">
        <f>Source!R41</f>
        <v>72.13</v>
      </c>
      <c r="L94"/>
    </row>
    <row r="95" spans="1:29" ht="14.25" hidden="1" x14ac:dyDescent="0.2">
      <c r="A95" s="19"/>
      <c r="B95" s="19"/>
      <c r="C95" s="19" t="s">
        <v>711</v>
      </c>
      <c r="D95" s="21"/>
      <c r="E95" s="20"/>
      <c r="F95" s="23">
        <f>Source!AL40</f>
        <v>3.93</v>
      </c>
      <c r="G95" s="22"/>
      <c r="H95" s="20">
        <f>Source!AW41</f>
        <v>1.028</v>
      </c>
      <c r="I95" s="23">
        <f>Source!P40</f>
        <v>8.08</v>
      </c>
      <c r="J95" s="20">
        <f>IF(Source!BC41&lt;&gt; 0, Source!BC41, 1)</f>
        <v>4.49</v>
      </c>
      <c r="K95" s="23">
        <f>Source!P41</f>
        <v>36.28</v>
      </c>
      <c r="L95"/>
    </row>
    <row r="96" spans="1:29" ht="14.25" hidden="1" x14ac:dyDescent="0.2">
      <c r="A96" s="19"/>
      <c r="B96" s="19"/>
      <c r="C96" s="19" t="s">
        <v>713</v>
      </c>
      <c r="D96" s="21" t="s">
        <v>714</v>
      </c>
      <c r="E96" s="20">
        <f>Source!BZ41</f>
        <v>90</v>
      </c>
      <c r="F96" s="23"/>
      <c r="G96" s="22"/>
      <c r="H96" s="20"/>
      <c r="I96" s="23">
        <f>SUM(Q91:Q95)</f>
        <v>158.22</v>
      </c>
      <c r="J96" s="20">
        <f>Source!AT41</f>
        <v>90</v>
      </c>
      <c r="K96" s="23">
        <f>SUM(R91:R95)</f>
        <v>8915.7000000000007</v>
      </c>
      <c r="L96"/>
    </row>
    <row r="97" spans="1:29" ht="14.25" hidden="1" x14ac:dyDescent="0.2">
      <c r="A97" s="19"/>
      <c r="B97" s="19"/>
      <c r="C97" s="19" t="s">
        <v>715</v>
      </c>
      <c r="D97" s="21" t="s">
        <v>714</v>
      </c>
      <c r="E97" s="20">
        <f>Source!CA41</f>
        <v>46</v>
      </c>
      <c r="F97" s="23"/>
      <c r="G97" s="22"/>
      <c r="H97" s="20"/>
      <c r="I97" s="23">
        <f>SUM(S91:S96)</f>
        <v>80.87</v>
      </c>
      <c r="J97" s="20">
        <f>Source!AU41</f>
        <v>46</v>
      </c>
      <c r="K97" s="23">
        <f>SUM(T91:T96)</f>
        <v>4556.91</v>
      </c>
      <c r="L97"/>
    </row>
    <row r="98" spans="1:29" ht="14.25" hidden="1" x14ac:dyDescent="0.2">
      <c r="A98" s="25"/>
      <c r="B98" s="25"/>
      <c r="C98" s="25" t="s">
        <v>716</v>
      </c>
      <c r="D98" s="26" t="s">
        <v>717</v>
      </c>
      <c r="E98" s="27">
        <f>Source!AQ40</f>
        <v>5.4</v>
      </c>
      <c r="F98" s="28"/>
      <c r="G98" s="29" t="s">
        <v>91</v>
      </c>
      <c r="H98" s="27">
        <f>Source!AV41</f>
        <v>1.0669999999999999</v>
      </c>
      <c r="I98" s="28">
        <f>Source!U40</f>
        <v>13.82832</v>
      </c>
      <c r="J98" s="27"/>
      <c r="K98" s="28"/>
      <c r="L98"/>
    </row>
    <row r="99" spans="1:29" ht="15" hidden="1" x14ac:dyDescent="0.2">
      <c r="C99" s="30" t="s">
        <v>718</v>
      </c>
      <c r="H99" s="42">
        <f>I92+I93+I95+I96+I97+0-0-0</f>
        <v>430.19000000000005</v>
      </c>
      <c r="I99" s="42"/>
      <c r="J99" s="42">
        <f>K92+K93+K95+K96+K97+0-0-0</f>
        <v>23488.360000000004</v>
      </c>
      <c r="K99" s="42"/>
      <c r="L99"/>
    </row>
    <row r="100" spans="1:29" ht="15" hidden="1" x14ac:dyDescent="0.2">
      <c r="C100" s="30" t="s">
        <v>719</v>
      </c>
      <c r="H100" s="43">
        <f>0+0</f>
        <v>0</v>
      </c>
      <c r="I100" s="43"/>
      <c r="J100" s="43">
        <f>0+0</f>
        <v>0</v>
      </c>
      <c r="K100" s="43"/>
      <c r="L100"/>
    </row>
    <row r="101" spans="1:29" ht="15" hidden="1" x14ac:dyDescent="0.2">
      <c r="C101" s="30" t="s">
        <v>720</v>
      </c>
      <c r="H101" s="43">
        <f>I92+I93+I95+I96+I97+0</f>
        <v>430.19000000000005</v>
      </c>
      <c r="I101" s="43"/>
      <c r="J101" s="43">
        <f>K92+K93+K95+K96+K97+0</f>
        <v>23488.360000000004</v>
      </c>
      <c r="K101" s="43"/>
      <c r="L101"/>
      <c r="O101" s="31">
        <f>I92+I93+I95+I96+I97+0</f>
        <v>430.19000000000005</v>
      </c>
      <c r="P101" s="31">
        <f>K92+K93+K95+K96+K97+0</f>
        <v>23488.360000000004</v>
      </c>
    </row>
    <row r="102" spans="1:29" hidden="1" x14ac:dyDescent="0.2">
      <c r="L102"/>
    </row>
    <row r="103" spans="1:29" ht="85.5" hidden="1" x14ac:dyDescent="0.2">
      <c r="A103" s="19">
        <v>7</v>
      </c>
      <c r="B103" s="19" t="str">
        <f>Source!F42</f>
        <v>4.12-48-4</v>
      </c>
      <c r="C103" s="19" t="s">
        <v>70</v>
      </c>
      <c r="D103" s="21" t="str">
        <f>Source!H42</f>
        <v>1  ШТ.</v>
      </c>
      <c r="E103" s="20">
        <f>Source!I42</f>
        <v>3</v>
      </c>
      <c r="F103" s="23"/>
      <c r="G103" s="22"/>
      <c r="H103" s="20"/>
      <c r="I103" s="23"/>
      <c r="J103" s="20"/>
      <c r="K103" s="23"/>
      <c r="L103"/>
      <c r="Q103">
        <f>Source!X42</f>
        <v>130.88999999999999</v>
      </c>
      <c r="R103">
        <f>Source!X43</f>
        <v>7375.48</v>
      </c>
      <c r="S103">
        <f>Source!Y42</f>
        <v>66.900000000000006</v>
      </c>
      <c r="T103">
        <f>Source!Y43</f>
        <v>3769.69</v>
      </c>
      <c r="U103">
        <f>ROUND((175/100)*ROUND(Source!R42, 2), 2)</f>
        <v>0</v>
      </c>
      <c r="V103">
        <f>ROUND((0/100)*ROUND(Source!R43, 2), 2)</f>
        <v>0</v>
      </c>
      <c r="AC103">
        <v>0</v>
      </c>
    </row>
    <row r="104" spans="1:29" hidden="1" x14ac:dyDescent="0.2">
      <c r="C104" s="32" t="str">
        <f>"Объем: "&amp;Source!I42&amp;"=1+"&amp;"2"</f>
        <v>Объем: 3=1+2</v>
      </c>
      <c r="L104"/>
    </row>
    <row r="105" spans="1:29" ht="14.25" hidden="1" x14ac:dyDescent="0.2">
      <c r="A105" s="19"/>
      <c r="B105" s="19"/>
      <c r="C105" s="19" t="s">
        <v>707</v>
      </c>
      <c r="D105" s="21"/>
      <c r="E105" s="20"/>
      <c r="F105" s="23">
        <f>Source!AO42</f>
        <v>37.86</v>
      </c>
      <c r="G105" s="22" t="s">
        <v>91</v>
      </c>
      <c r="H105" s="20">
        <f>Source!AV43</f>
        <v>1.0669999999999999</v>
      </c>
      <c r="I105" s="23">
        <f>Source!S42</f>
        <v>145.43</v>
      </c>
      <c r="J105" s="20">
        <f>IF(Source!BA43&lt;&gt; 0, Source!BA43, 1)</f>
        <v>56.35</v>
      </c>
      <c r="K105" s="23">
        <f>Source!S43</f>
        <v>8194.98</v>
      </c>
      <c r="L105"/>
    </row>
    <row r="106" spans="1:29" ht="14.25" hidden="1" x14ac:dyDescent="0.2">
      <c r="A106" s="19"/>
      <c r="B106" s="19"/>
      <c r="C106" s="19" t="s">
        <v>711</v>
      </c>
      <c r="D106" s="21"/>
      <c r="E106" s="20"/>
      <c r="F106" s="23">
        <f>Source!AL42</f>
        <v>0.69</v>
      </c>
      <c r="G106" s="22"/>
      <c r="H106" s="20">
        <f>Source!AW43</f>
        <v>1.028</v>
      </c>
      <c r="I106" s="23">
        <f>Source!P42</f>
        <v>2.13</v>
      </c>
      <c r="J106" s="20">
        <f>IF(Source!BC43&lt;&gt; 0, Source!BC43, 1)</f>
        <v>4.5199999999999996</v>
      </c>
      <c r="K106" s="23">
        <f>Source!P43</f>
        <v>9.6300000000000008</v>
      </c>
      <c r="L106"/>
    </row>
    <row r="107" spans="1:29" ht="14.25" hidden="1" x14ac:dyDescent="0.2">
      <c r="A107" s="19"/>
      <c r="B107" s="19"/>
      <c r="C107" s="19" t="s">
        <v>713</v>
      </c>
      <c r="D107" s="21" t="s">
        <v>714</v>
      </c>
      <c r="E107" s="20">
        <f>Source!BZ43</f>
        <v>90</v>
      </c>
      <c r="F107" s="23"/>
      <c r="G107" s="22"/>
      <c r="H107" s="20"/>
      <c r="I107" s="23">
        <f>SUM(Q103:Q106)</f>
        <v>130.88999999999999</v>
      </c>
      <c r="J107" s="20">
        <f>Source!AT43</f>
        <v>90</v>
      </c>
      <c r="K107" s="23">
        <f>SUM(R103:R106)</f>
        <v>7375.48</v>
      </c>
      <c r="L107"/>
    </row>
    <row r="108" spans="1:29" ht="14.25" hidden="1" x14ac:dyDescent="0.2">
      <c r="A108" s="19"/>
      <c r="B108" s="19"/>
      <c r="C108" s="19" t="s">
        <v>715</v>
      </c>
      <c r="D108" s="21" t="s">
        <v>714</v>
      </c>
      <c r="E108" s="20">
        <f>Source!CA43</f>
        <v>46</v>
      </c>
      <c r="F108" s="23"/>
      <c r="G108" s="22"/>
      <c r="H108" s="20"/>
      <c r="I108" s="23">
        <f>SUM(S103:S107)</f>
        <v>66.900000000000006</v>
      </c>
      <c r="J108" s="20">
        <f>Source!AU43</f>
        <v>46</v>
      </c>
      <c r="K108" s="23">
        <f>SUM(T103:T107)</f>
        <v>3769.69</v>
      </c>
      <c r="L108"/>
    </row>
    <row r="109" spans="1:29" ht="14.25" hidden="1" x14ac:dyDescent="0.2">
      <c r="A109" s="25"/>
      <c r="B109" s="25"/>
      <c r="C109" s="25" t="s">
        <v>716</v>
      </c>
      <c r="D109" s="26" t="s">
        <v>717</v>
      </c>
      <c r="E109" s="27">
        <f>Source!AQ42</f>
        <v>3</v>
      </c>
      <c r="F109" s="28"/>
      <c r="G109" s="29" t="s">
        <v>91</v>
      </c>
      <c r="H109" s="27">
        <f>Source!AV43</f>
        <v>1.0669999999999999</v>
      </c>
      <c r="I109" s="28">
        <f>Source!U42</f>
        <v>11.523599999999998</v>
      </c>
      <c r="J109" s="27"/>
      <c r="K109" s="28"/>
      <c r="L109"/>
    </row>
    <row r="110" spans="1:29" ht="15" hidden="1" x14ac:dyDescent="0.2">
      <c r="C110" s="30" t="s">
        <v>718</v>
      </c>
      <c r="H110" s="42">
        <f>I105+I106+I107+I108+0-0-0</f>
        <v>345.35</v>
      </c>
      <c r="I110" s="42"/>
      <c r="J110" s="42">
        <f>K105+K106+K107+K108+0-0-0</f>
        <v>19349.78</v>
      </c>
      <c r="K110" s="42"/>
      <c r="L110"/>
    </row>
    <row r="111" spans="1:29" ht="15" hidden="1" x14ac:dyDescent="0.2">
      <c r="C111" s="30" t="s">
        <v>719</v>
      </c>
      <c r="H111" s="43">
        <f>0+0</f>
        <v>0</v>
      </c>
      <c r="I111" s="43"/>
      <c r="J111" s="43">
        <f>0+0</f>
        <v>0</v>
      </c>
      <c r="K111" s="43"/>
      <c r="L111"/>
    </row>
    <row r="112" spans="1:29" ht="15" hidden="1" x14ac:dyDescent="0.2">
      <c r="C112" s="30" t="s">
        <v>720</v>
      </c>
      <c r="H112" s="43">
        <f>I105+I106+I107+I108+0</f>
        <v>345.35</v>
      </c>
      <c r="I112" s="43"/>
      <c r="J112" s="43">
        <f>K105+K106+K107+K108+0</f>
        <v>19349.78</v>
      </c>
      <c r="K112" s="43"/>
      <c r="L112"/>
      <c r="O112" s="31">
        <f>I105+I106+I107+I108+0</f>
        <v>345.35</v>
      </c>
      <c r="P112" s="31">
        <f>K105+K106+K107+K108+0</f>
        <v>19349.78</v>
      </c>
    </row>
    <row r="113" spans="1:29" hidden="1" x14ac:dyDescent="0.2">
      <c r="L113"/>
    </row>
    <row r="114" spans="1:29" ht="28.5" hidden="1" x14ac:dyDescent="0.2">
      <c r="A114" s="19">
        <v>8</v>
      </c>
      <c r="B114" s="19" t="str">
        <f>Source!F44</f>
        <v>3.18-20-2</v>
      </c>
      <c r="C114" s="19" t="s">
        <v>74</v>
      </c>
      <c r="D114" s="21" t="str">
        <f>Source!H44</f>
        <v>1 комплект</v>
      </c>
      <c r="E114" s="20">
        <f>Source!I44</f>
        <v>8</v>
      </c>
      <c r="F114" s="23"/>
      <c r="G114" s="22"/>
      <c r="H114" s="20"/>
      <c r="I114" s="23"/>
      <c r="J114" s="20"/>
      <c r="K114" s="23"/>
      <c r="L114"/>
      <c r="Q114">
        <f>Source!X44</f>
        <v>40.76</v>
      </c>
      <c r="R114">
        <f>Source!X45</f>
        <v>2297.1</v>
      </c>
      <c r="S114">
        <f>Source!Y44</f>
        <v>24.26</v>
      </c>
      <c r="T114">
        <f>Source!Y45</f>
        <v>1366.87</v>
      </c>
      <c r="U114">
        <f>ROUND((175/100)*ROUND(Source!R44, 2), 2)</f>
        <v>0</v>
      </c>
      <c r="V114">
        <f>ROUND((0/100)*ROUND(Source!R45, 2), 2)</f>
        <v>0</v>
      </c>
      <c r="AC114">
        <v>0</v>
      </c>
    </row>
    <row r="115" spans="1:29" hidden="1" x14ac:dyDescent="0.2">
      <c r="C115" s="32" t="str">
        <f>"Объем: "&amp;Source!I44&amp;"=2+"&amp;"2+"&amp;"4"</f>
        <v>Объем: 8=2+2+4</v>
      </c>
      <c r="L115"/>
    </row>
    <row r="116" spans="1:29" ht="14.25" hidden="1" x14ac:dyDescent="0.2">
      <c r="A116" s="19"/>
      <c r="B116" s="19"/>
      <c r="C116" s="19" t="s">
        <v>707</v>
      </c>
      <c r="D116" s="21"/>
      <c r="E116" s="20"/>
      <c r="F116" s="23">
        <f>Source!AO44</f>
        <v>2.86</v>
      </c>
      <c r="G116" s="22" t="s">
        <v>721</v>
      </c>
      <c r="H116" s="20">
        <f>Source!AV45</f>
        <v>1.0669999999999999</v>
      </c>
      <c r="I116" s="23">
        <f>Source!S44</f>
        <v>33.69</v>
      </c>
      <c r="J116" s="20">
        <f>IF(Source!BA45&lt;&gt; 0, Source!BA45, 1)</f>
        <v>56.35</v>
      </c>
      <c r="K116" s="23">
        <f>Source!S45</f>
        <v>1898.43</v>
      </c>
      <c r="L116"/>
    </row>
    <row r="117" spans="1:29" ht="14.25" hidden="1" x14ac:dyDescent="0.2">
      <c r="A117" s="19"/>
      <c r="B117" s="19"/>
      <c r="C117" s="19" t="s">
        <v>711</v>
      </c>
      <c r="D117" s="21"/>
      <c r="E117" s="20"/>
      <c r="F117" s="23">
        <f>Source!AL44</f>
        <v>0.93</v>
      </c>
      <c r="G117" s="22"/>
      <c r="H117" s="20">
        <f>Source!AW45</f>
        <v>1</v>
      </c>
      <c r="I117" s="23">
        <f>Source!P44</f>
        <v>7.44</v>
      </c>
      <c r="J117" s="20">
        <f>IF(Source!BC45&lt;&gt; 0, Source!BC45, 1)</f>
        <v>5.47</v>
      </c>
      <c r="K117" s="23">
        <f>Source!P45</f>
        <v>40.700000000000003</v>
      </c>
      <c r="L117"/>
    </row>
    <row r="118" spans="1:29" ht="14.25" hidden="1" x14ac:dyDescent="0.2">
      <c r="A118" s="19"/>
      <c r="B118" s="19"/>
      <c r="C118" s="19" t="s">
        <v>713</v>
      </c>
      <c r="D118" s="21" t="s">
        <v>714</v>
      </c>
      <c r="E118" s="20">
        <f>Source!BZ45</f>
        <v>121</v>
      </c>
      <c r="F118" s="23"/>
      <c r="G118" s="22"/>
      <c r="H118" s="20"/>
      <c r="I118" s="23">
        <f>SUM(Q114:Q117)</f>
        <v>40.76</v>
      </c>
      <c r="J118" s="20">
        <f>Source!AT45</f>
        <v>121</v>
      </c>
      <c r="K118" s="23">
        <f>SUM(R114:R117)</f>
        <v>2297.1</v>
      </c>
      <c r="L118"/>
    </row>
    <row r="119" spans="1:29" ht="14.25" hidden="1" x14ac:dyDescent="0.2">
      <c r="A119" s="19"/>
      <c r="B119" s="19"/>
      <c r="C119" s="19" t="s">
        <v>715</v>
      </c>
      <c r="D119" s="21" t="s">
        <v>714</v>
      </c>
      <c r="E119" s="20">
        <f>Source!CA45</f>
        <v>72</v>
      </c>
      <c r="F119" s="23"/>
      <c r="G119" s="22"/>
      <c r="H119" s="20"/>
      <c r="I119" s="23">
        <f>SUM(S114:S118)</f>
        <v>24.26</v>
      </c>
      <c r="J119" s="20">
        <f>Source!AU45</f>
        <v>72</v>
      </c>
      <c r="K119" s="23">
        <f>SUM(T114:T118)</f>
        <v>1366.87</v>
      </c>
      <c r="L119"/>
    </row>
    <row r="120" spans="1:29" ht="14.25" hidden="1" x14ac:dyDescent="0.2">
      <c r="A120" s="25"/>
      <c r="B120" s="25"/>
      <c r="C120" s="25" t="s">
        <v>716</v>
      </c>
      <c r="D120" s="26" t="s">
        <v>717</v>
      </c>
      <c r="E120" s="27">
        <f>Source!AQ44</f>
        <v>0.22</v>
      </c>
      <c r="F120" s="28"/>
      <c r="G120" s="29" t="s">
        <v>721</v>
      </c>
      <c r="H120" s="27">
        <f>Source!AV45</f>
        <v>1.0669999999999999</v>
      </c>
      <c r="I120" s="28">
        <f>Source!U44</f>
        <v>2.5915295999999999</v>
      </c>
      <c r="J120" s="27"/>
      <c r="K120" s="28"/>
      <c r="L120"/>
    </row>
    <row r="121" spans="1:29" ht="15" hidden="1" x14ac:dyDescent="0.2">
      <c r="C121" s="30" t="s">
        <v>718</v>
      </c>
      <c r="H121" s="42">
        <f>I116+I117+I118+I119+0-0-0</f>
        <v>106.14999999999999</v>
      </c>
      <c r="I121" s="42"/>
      <c r="J121" s="42">
        <f>K116+K117+K118+K119+0-0-0</f>
        <v>5603.0999999999995</v>
      </c>
      <c r="K121" s="42"/>
      <c r="L121"/>
    </row>
    <row r="122" spans="1:29" ht="15" hidden="1" x14ac:dyDescent="0.2">
      <c r="C122" s="30" t="s">
        <v>719</v>
      </c>
      <c r="H122" s="43">
        <f>0+0</f>
        <v>0</v>
      </c>
      <c r="I122" s="43"/>
      <c r="J122" s="43">
        <f>0+0</f>
        <v>0</v>
      </c>
      <c r="K122" s="43"/>
      <c r="L122"/>
    </row>
    <row r="123" spans="1:29" ht="15" hidden="1" x14ac:dyDescent="0.2">
      <c r="C123" s="30" t="s">
        <v>720</v>
      </c>
      <c r="H123" s="43">
        <f>I116+I117+I118+I119+0</f>
        <v>106.14999999999999</v>
      </c>
      <c r="I123" s="43"/>
      <c r="J123" s="43">
        <f>K116+K117+K118+K119+0</f>
        <v>5603.0999999999995</v>
      </c>
      <c r="K123" s="43"/>
      <c r="L123"/>
      <c r="O123" s="31">
        <f>I116+I117+I118+I119+0</f>
        <v>106.14999999999999</v>
      </c>
      <c r="P123" s="31">
        <f>K116+K117+K118+K119+0</f>
        <v>5603.0999999999995</v>
      </c>
    </row>
    <row r="124" spans="1:29" hidden="1" x14ac:dyDescent="0.2">
      <c r="L124"/>
    </row>
    <row r="125" spans="1:29" ht="153.75" x14ac:dyDescent="0.2">
      <c r="A125" s="67">
        <v>9</v>
      </c>
      <c r="B125" s="67" t="str">
        <f>Source!F46</f>
        <v>КА. п. 1</v>
      </c>
      <c r="C125" s="67" t="s">
        <v>722</v>
      </c>
      <c r="D125" s="68" t="str">
        <f>Source!H46</f>
        <v>компл.</v>
      </c>
      <c r="E125" s="69">
        <f>Source!I46</f>
        <v>1</v>
      </c>
      <c r="F125" s="70">
        <f>Source!AL46</f>
        <v>227909.78999999998</v>
      </c>
      <c r="G125" s="71"/>
      <c r="H125" s="69">
        <f>Source!AW47</f>
        <v>1</v>
      </c>
      <c r="I125" s="70">
        <f>Source!P46</f>
        <v>227909.79</v>
      </c>
      <c r="J125" s="69">
        <f>IF(Source!BC47&lt;&gt; 0, Source!BC47, 1)</f>
        <v>7.57</v>
      </c>
      <c r="K125" s="70">
        <f>Source!P47</f>
        <v>1816013.25</v>
      </c>
      <c r="L125" s="77">
        <v>1764680</v>
      </c>
      <c r="Q125">
        <f>Source!X46</f>
        <v>0</v>
      </c>
      <c r="R125">
        <f>Source!X47</f>
        <v>0</v>
      </c>
      <c r="S125">
        <f>Source!Y46</f>
        <v>0</v>
      </c>
      <c r="T125">
        <f>Source!Y47</f>
        <v>0</v>
      </c>
      <c r="U125">
        <f>ROUND((175/100)*ROUND(Source!R46, 2), 2)</f>
        <v>0</v>
      </c>
      <c r="V125">
        <f>ROUND((0/100)*ROUND(Source!R47, 2), 2)</f>
        <v>0</v>
      </c>
      <c r="AC125">
        <v>5</v>
      </c>
    </row>
    <row r="126" spans="1:29" ht="15" hidden="1" x14ac:dyDescent="0.2">
      <c r="A126" s="33"/>
      <c r="B126" s="33"/>
      <c r="C126" s="34" t="s">
        <v>720</v>
      </c>
      <c r="D126" s="33"/>
      <c r="E126" s="33"/>
      <c r="F126" s="33"/>
      <c r="G126" s="33"/>
      <c r="H126" s="44">
        <f>I125+0</f>
        <v>227909.79</v>
      </c>
      <c r="I126" s="44"/>
      <c r="J126" s="44">
        <f>K125+0</f>
        <v>1816013.25</v>
      </c>
      <c r="K126" s="44"/>
      <c r="L126"/>
      <c r="O126" s="31">
        <f>I125+0</f>
        <v>227909.79</v>
      </c>
      <c r="P126" s="31">
        <f>K125+0</f>
        <v>1816013.25</v>
      </c>
    </row>
    <row r="127" spans="1:29" hidden="1" x14ac:dyDescent="0.2">
      <c r="L127"/>
    </row>
    <row r="128" spans="1:29" ht="57" hidden="1" x14ac:dyDescent="0.2">
      <c r="A128" s="19">
        <v>10</v>
      </c>
      <c r="B128" s="19" t="str">
        <f>Source!F48</f>
        <v>4.12-50-6</v>
      </c>
      <c r="C128" s="19" t="s">
        <v>94</v>
      </c>
      <c r="D128" s="21" t="str">
        <f>Source!H48</f>
        <v>1  ШТ.</v>
      </c>
      <c r="E128" s="20">
        <f>Source!I48</f>
        <v>1</v>
      </c>
      <c r="F128" s="23"/>
      <c r="G128" s="22"/>
      <c r="H128" s="20"/>
      <c r="I128" s="23"/>
      <c r="J128" s="20"/>
      <c r="K128" s="23"/>
      <c r="L128"/>
      <c r="Q128">
        <f>Source!X48</f>
        <v>81.3</v>
      </c>
      <c r="R128">
        <f>Source!X49</f>
        <v>4581.08</v>
      </c>
      <c r="S128">
        <f>Source!Y48</f>
        <v>41.55</v>
      </c>
      <c r="T128">
        <f>Source!Y49</f>
        <v>2341.44</v>
      </c>
      <c r="U128">
        <f>ROUND((175/100)*ROUND(Source!R48, 2), 2)</f>
        <v>2.56</v>
      </c>
      <c r="V128">
        <f>ROUND((0/100)*ROUND(Source!R49, 2), 2)</f>
        <v>0</v>
      </c>
      <c r="AC128">
        <v>0</v>
      </c>
    </row>
    <row r="129" spans="1:29" ht="14.25" hidden="1" x14ac:dyDescent="0.2">
      <c r="A129" s="19"/>
      <c r="B129" s="19"/>
      <c r="C129" s="19" t="s">
        <v>707</v>
      </c>
      <c r="D129" s="21"/>
      <c r="E129" s="20"/>
      <c r="F129" s="23">
        <f>Source!AO48</f>
        <v>69.41</v>
      </c>
      <c r="G129" s="22" t="s">
        <v>91</v>
      </c>
      <c r="H129" s="20">
        <f>Source!AV49</f>
        <v>1.0669999999999999</v>
      </c>
      <c r="I129" s="23">
        <f>Source!S48</f>
        <v>88.87</v>
      </c>
      <c r="J129" s="20">
        <f>IF(Source!BA49&lt;&gt; 0, Source!BA49, 1)</f>
        <v>56.35</v>
      </c>
      <c r="K129" s="23">
        <f>Source!S49</f>
        <v>5007.82</v>
      </c>
      <c r="L129"/>
    </row>
    <row r="130" spans="1:29" ht="14.25" hidden="1" x14ac:dyDescent="0.2">
      <c r="A130" s="19"/>
      <c r="B130" s="19"/>
      <c r="C130" s="19" t="s">
        <v>709</v>
      </c>
      <c r="D130" s="21"/>
      <c r="E130" s="20"/>
      <c r="F130" s="23">
        <f>Source!AM48</f>
        <v>7.48</v>
      </c>
      <c r="G130" s="22" t="s">
        <v>91</v>
      </c>
      <c r="H130" s="20">
        <f>Source!AV49</f>
        <v>1.0669999999999999</v>
      </c>
      <c r="I130" s="23">
        <f>Source!Q48</f>
        <v>9.58</v>
      </c>
      <c r="J130" s="20">
        <f>IF(Source!BB49&lt;&gt; 0, Source!BB49, 1)</f>
        <v>17.07</v>
      </c>
      <c r="K130" s="23">
        <f>Source!Q49</f>
        <v>163.53</v>
      </c>
      <c r="L130"/>
    </row>
    <row r="131" spans="1:29" ht="14.25" hidden="1" x14ac:dyDescent="0.2">
      <c r="A131" s="19"/>
      <c r="B131" s="19"/>
      <c r="C131" s="19" t="s">
        <v>710</v>
      </c>
      <c r="D131" s="21"/>
      <c r="E131" s="20"/>
      <c r="F131" s="23">
        <f>Source!AN48</f>
        <v>1.1399999999999999</v>
      </c>
      <c r="G131" s="22" t="s">
        <v>91</v>
      </c>
      <c r="H131" s="20">
        <f>Source!AV49</f>
        <v>1.0669999999999999</v>
      </c>
      <c r="I131" s="24">
        <f>Source!R48</f>
        <v>1.46</v>
      </c>
      <c r="J131" s="20">
        <f>IF(Source!BS49&lt;&gt; 0, Source!BS49, 1)</f>
        <v>56.35</v>
      </c>
      <c r="K131" s="24">
        <f>Source!R49</f>
        <v>82.27</v>
      </c>
      <c r="L131"/>
    </row>
    <row r="132" spans="1:29" ht="14.25" hidden="1" x14ac:dyDescent="0.2">
      <c r="A132" s="19"/>
      <c r="B132" s="19"/>
      <c r="C132" s="19" t="s">
        <v>711</v>
      </c>
      <c r="D132" s="21"/>
      <c r="E132" s="20"/>
      <c r="F132" s="23">
        <f>Source!AL48</f>
        <v>3.93</v>
      </c>
      <c r="G132" s="22"/>
      <c r="H132" s="20">
        <f>Source!AW49</f>
        <v>1.028</v>
      </c>
      <c r="I132" s="23">
        <f>Source!P48</f>
        <v>4.04</v>
      </c>
      <c r="J132" s="20">
        <f>IF(Source!BC49&lt;&gt; 0, Source!BC49, 1)</f>
        <v>4.49</v>
      </c>
      <c r="K132" s="23">
        <f>Source!P49</f>
        <v>18.14</v>
      </c>
      <c r="L132"/>
    </row>
    <row r="133" spans="1:29" ht="82.5" x14ac:dyDescent="0.2">
      <c r="A133" s="72" t="s">
        <v>96</v>
      </c>
      <c r="B133" s="72" t="str">
        <f>Source!F50</f>
        <v>КА. п. 2</v>
      </c>
      <c r="C133" s="72" t="s">
        <v>735</v>
      </c>
      <c r="D133" s="73" t="str">
        <f>Source!H50</f>
        <v>шт.</v>
      </c>
      <c r="E133" s="74">
        <f>Source!I50</f>
        <v>1</v>
      </c>
      <c r="F133" s="75">
        <f>Source!AK50</f>
        <v>8238.9500000000007</v>
      </c>
      <c r="G133" s="76" t="s">
        <v>3</v>
      </c>
      <c r="H133" s="74">
        <f>Source!AW51</f>
        <v>1</v>
      </c>
      <c r="I133" s="75">
        <f>Source!O50</f>
        <v>8238.9500000000007</v>
      </c>
      <c r="J133" s="74">
        <f>IF(Source!BC51&lt;&gt; 0, Source!BC51, 1)</f>
        <v>7.57</v>
      </c>
      <c r="K133" s="75">
        <f>Source!O51</f>
        <v>62368.85</v>
      </c>
      <c r="L133" s="77">
        <v>69300</v>
      </c>
      <c r="Q133">
        <f>Source!X50</f>
        <v>0</v>
      </c>
      <c r="R133">
        <f>Source!X51</f>
        <v>0</v>
      </c>
      <c r="S133">
        <f>Source!Y50</f>
        <v>0</v>
      </c>
      <c r="T133">
        <f>Source!Y51</f>
        <v>0</v>
      </c>
      <c r="U133">
        <f>ROUND((175/100)*ROUND(Source!R50, 2), 2)</f>
        <v>0</v>
      </c>
      <c r="V133">
        <f>ROUND((0/100)*ROUND(Source!R51, 2), 2)</f>
        <v>0</v>
      </c>
      <c r="AC133">
        <v>5</v>
      </c>
    </row>
    <row r="134" spans="1:29" ht="14.25" hidden="1" x14ac:dyDescent="0.2">
      <c r="A134" s="19"/>
      <c r="B134" s="19"/>
      <c r="C134" s="19" t="s">
        <v>713</v>
      </c>
      <c r="D134" s="21" t="s">
        <v>714</v>
      </c>
      <c r="E134" s="20">
        <f>Source!BZ49</f>
        <v>90</v>
      </c>
      <c r="F134" s="23"/>
      <c r="G134" s="22"/>
      <c r="H134" s="20"/>
      <c r="I134" s="23">
        <f>SUM(Q128:Q133)</f>
        <v>81.3</v>
      </c>
      <c r="J134" s="20">
        <f>Source!AT49</f>
        <v>90</v>
      </c>
      <c r="K134" s="23">
        <f>SUM(R128:R133)</f>
        <v>4581.08</v>
      </c>
      <c r="L134"/>
    </row>
    <row r="135" spans="1:29" ht="14.25" hidden="1" x14ac:dyDescent="0.2">
      <c r="A135" s="19"/>
      <c r="B135" s="19"/>
      <c r="C135" s="19" t="s">
        <v>715</v>
      </c>
      <c r="D135" s="21" t="s">
        <v>714</v>
      </c>
      <c r="E135" s="20">
        <f>Source!CA49</f>
        <v>46</v>
      </c>
      <c r="F135" s="23"/>
      <c r="G135" s="22"/>
      <c r="H135" s="20"/>
      <c r="I135" s="23">
        <f>SUM(S128:S134)</f>
        <v>41.55</v>
      </c>
      <c r="J135" s="20">
        <f>Source!AU49</f>
        <v>46</v>
      </c>
      <c r="K135" s="23">
        <f>SUM(T128:T134)</f>
        <v>2341.44</v>
      </c>
      <c r="L135"/>
    </row>
    <row r="136" spans="1:29" ht="14.25" hidden="1" x14ac:dyDescent="0.2">
      <c r="A136" s="25"/>
      <c r="B136" s="25"/>
      <c r="C136" s="25" t="s">
        <v>716</v>
      </c>
      <c r="D136" s="26" t="s">
        <v>717</v>
      </c>
      <c r="E136" s="27">
        <f>Source!AQ48</f>
        <v>5.5</v>
      </c>
      <c r="F136" s="28"/>
      <c r="G136" s="29" t="s">
        <v>91</v>
      </c>
      <c r="H136" s="27">
        <f>Source!AV49</f>
        <v>1.0669999999999999</v>
      </c>
      <c r="I136" s="28">
        <f>Source!U48</f>
        <v>7.0421999999999993</v>
      </c>
      <c r="J136" s="27"/>
      <c r="K136" s="28"/>
      <c r="L136"/>
    </row>
    <row r="137" spans="1:29" ht="15" hidden="1" x14ac:dyDescent="0.2">
      <c r="C137" s="30" t="s">
        <v>718</v>
      </c>
      <c r="H137" s="42">
        <f>I129+I130+I132+I134+I135+SUM(I133:I133)-SUMIF(AC133:AC133, 5, I133:I133)-SUMIF(AC133:AC133, 6, I133:I133)</f>
        <v>225.34000000000015</v>
      </c>
      <c r="I137" s="42"/>
      <c r="J137" s="42">
        <f>K129+K130+K132+K134+K135+SUM(K133:K133)-SUMIF(AC133:AC133, 5, K133:K133)-SUMIF(AC133:AC133, 6, K133:K133)</f>
        <v>12112.010000000002</v>
      </c>
      <c r="K137" s="42"/>
      <c r="L137"/>
    </row>
    <row r="138" spans="1:29" ht="15" hidden="1" x14ac:dyDescent="0.2">
      <c r="C138" s="30" t="s">
        <v>719</v>
      </c>
      <c r="H138" s="43">
        <f>SUMIF(AC133:AC133, 5, I133:I133)+SUMIF(AC133:AC133, 6, I133:I133)</f>
        <v>8238.9500000000007</v>
      </c>
      <c r="I138" s="43"/>
      <c r="J138" s="43">
        <f>SUMIF(AC133:AC133, 5, K133:K133)+SUMIF(AC133:AC133, 6, K133:K133)</f>
        <v>62368.85</v>
      </c>
      <c r="K138" s="43"/>
      <c r="L138"/>
    </row>
    <row r="139" spans="1:29" ht="15" hidden="1" x14ac:dyDescent="0.2">
      <c r="C139" s="30" t="s">
        <v>720</v>
      </c>
      <c r="H139" s="43">
        <f>I129+I130+I132+I134+I135+SUM(I133:I133)</f>
        <v>8464.2900000000009</v>
      </c>
      <c r="I139" s="43"/>
      <c r="J139" s="43">
        <f>K129+K130+K132+K134+K135+SUM(K133:K133)</f>
        <v>74480.86</v>
      </c>
      <c r="K139" s="43"/>
      <c r="L139"/>
      <c r="O139" s="31">
        <f>I129+I130+I132+I134+I135+SUM(I133:I133)</f>
        <v>8464.2900000000009</v>
      </c>
      <c r="P139" s="31">
        <f>K129+K130+K132+K134+K135+SUM(K133:K133)</f>
        <v>74480.86</v>
      </c>
    </row>
    <row r="140" spans="1:29" hidden="1" x14ac:dyDescent="0.2">
      <c r="L140"/>
    </row>
    <row r="141" spans="1:29" ht="57" hidden="1" x14ac:dyDescent="0.2">
      <c r="A141" s="19">
        <v>11</v>
      </c>
      <c r="B141" s="19" t="str">
        <f>Source!F52</f>
        <v>4.12-48-10</v>
      </c>
      <c r="C141" s="19" t="s">
        <v>103</v>
      </c>
      <c r="D141" s="21" t="str">
        <f>Source!H52</f>
        <v>1  ШТ.</v>
      </c>
      <c r="E141" s="20">
        <f>Source!I52</f>
        <v>9</v>
      </c>
      <c r="F141" s="23"/>
      <c r="G141" s="22"/>
      <c r="H141" s="20"/>
      <c r="I141" s="23"/>
      <c r="J141" s="20"/>
      <c r="K141" s="23"/>
      <c r="L141"/>
      <c r="Q141">
        <f>Source!X52</f>
        <v>540.54999999999995</v>
      </c>
      <c r="R141">
        <f>Source!X53</f>
        <v>30459.93</v>
      </c>
      <c r="S141">
        <f>Source!Y52</f>
        <v>276.27999999999997</v>
      </c>
      <c r="T141">
        <f>Source!Y53</f>
        <v>15568.41</v>
      </c>
      <c r="U141">
        <f>ROUND((175/100)*ROUND(Source!R52, 2), 2)</f>
        <v>7.67</v>
      </c>
      <c r="V141">
        <f>ROUND((0/100)*ROUND(Source!R53, 2), 2)</f>
        <v>0</v>
      </c>
      <c r="AC141">
        <v>0</v>
      </c>
    </row>
    <row r="142" spans="1:29" ht="14.25" hidden="1" x14ac:dyDescent="0.2">
      <c r="A142" s="19"/>
      <c r="B142" s="19"/>
      <c r="C142" s="19" t="s">
        <v>707</v>
      </c>
      <c r="D142" s="21"/>
      <c r="E142" s="20"/>
      <c r="F142" s="23">
        <f>Source!AO52</f>
        <v>51.74</v>
      </c>
      <c r="G142" s="22" t="s">
        <v>91</v>
      </c>
      <c r="H142" s="20">
        <f>Source!AV53</f>
        <v>1.0669999999999999</v>
      </c>
      <c r="I142" s="23">
        <f>Source!S52</f>
        <v>596.23</v>
      </c>
      <c r="J142" s="20">
        <f>IF(Source!BA53&lt;&gt; 0, Source!BA53, 1)</f>
        <v>56.35</v>
      </c>
      <c r="K142" s="23">
        <f>Source!S53</f>
        <v>33597.56</v>
      </c>
      <c r="L142"/>
    </row>
    <row r="143" spans="1:29" ht="14.25" hidden="1" x14ac:dyDescent="0.2">
      <c r="A143" s="19"/>
      <c r="B143" s="19"/>
      <c r="C143" s="19" t="s">
        <v>709</v>
      </c>
      <c r="D143" s="21"/>
      <c r="E143" s="20"/>
      <c r="F143" s="23">
        <f>Source!AM52</f>
        <v>2.4900000000000002</v>
      </c>
      <c r="G143" s="22" t="s">
        <v>91</v>
      </c>
      <c r="H143" s="20">
        <f>Source!AV53</f>
        <v>1.0669999999999999</v>
      </c>
      <c r="I143" s="23">
        <f>Source!Q52</f>
        <v>28.69</v>
      </c>
      <c r="J143" s="20">
        <f>IF(Source!BB53&lt;&gt; 0, Source!BB53, 1)</f>
        <v>17.09</v>
      </c>
      <c r="K143" s="23">
        <f>Source!Q53</f>
        <v>490.31</v>
      </c>
      <c r="L143"/>
    </row>
    <row r="144" spans="1:29" ht="14.25" hidden="1" x14ac:dyDescent="0.2">
      <c r="A144" s="19"/>
      <c r="B144" s="19"/>
      <c r="C144" s="19" t="s">
        <v>710</v>
      </c>
      <c r="D144" s="21"/>
      <c r="E144" s="20"/>
      <c r="F144" s="23">
        <f>Source!AN52</f>
        <v>0.38</v>
      </c>
      <c r="G144" s="22" t="s">
        <v>91</v>
      </c>
      <c r="H144" s="20">
        <f>Source!AV53</f>
        <v>1.0669999999999999</v>
      </c>
      <c r="I144" s="24">
        <f>Source!R52</f>
        <v>4.38</v>
      </c>
      <c r="J144" s="20">
        <f>IF(Source!BS53&lt;&gt; 0, Source!BS53, 1)</f>
        <v>56.35</v>
      </c>
      <c r="K144" s="24">
        <f>Source!R53</f>
        <v>246.81</v>
      </c>
      <c r="L144"/>
    </row>
    <row r="145" spans="1:29" ht="14.25" hidden="1" x14ac:dyDescent="0.2">
      <c r="A145" s="19"/>
      <c r="B145" s="19"/>
      <c r="C145" s="19" t="s">
        <v>711</v>
      </c>
      <c r="D145" s="21"/>
      <c r="E145" s="20"/>
      <c r="F145" s="23">
        <f>Source!AL52</f>
        <v>3.93</v>
      </c>
      <c r="G145" s="22"/>
      <c r="H145" s="20">
        <f>Source!AW53</f>
        <v>1.028</v>
      </c>
      <c r="I145" s="23">
        <f>Source!P52</f>
        <v>36.36</v>
      </c>
      <c r="J145" s="20">
        <f>IF(Source!BC53&lt;&gt; 0, Source!BC53, 1)</f>
        <v>4.49</v>
      </c>
      <c r="K145" s="23">
        <f>Source!P53</f>
        <v>163.26</v>
      </c>
      <c r="L145"/>
    </row>
    <row r="146" spans="1:29" ht="71.25" hidden="1" x14ac:dyDescent="0.2">
      <c r="A146" s="19" t="s">
        <v>105</v>
      </c>
      <c r="B146" s="19" t="str">
        <f>Source!F54</f>
        <v>1.13-5-40</v>
      </c>
      <c r="C146" s="19" t="s">
        <v>107</v>
      </c>
      <c r="D146" s="21" t="str">
        <f>Source!H54</f>
        <v>шт.</v>
      </c>
      <c r="E146" s="20">
        <f>Source!I54</f>
        <v>9</v>
      </c>
      <c r="F146" s="23">
        <f>Source!AK54</f>
        <v>2177.9299999999998</v>
      </c>
      <c r="G146" s="35" t="s">
        <v>3</v>
      </c>
      <c r="H146" s="20">
        <f>Source!AW55</f>
        <v>1</v>
      </c>
      <c r="I146" s="23">
        <f>Source!O54</f>
        <v>19601.37</v>
      </c>
      <c r="J146" s="20">
        <f>IF(Source!BC55&lt;&gt; 0, Source!BC55, 1)</f>
        <v>3.11</v>
      </c>
      <c r="K146" s="23">
        <f>Source!O55</f>
        <v>60960.26</v>
      </c>
      <c r="L146"/>
      <c r="Q146">
        <f>Source!X54</f>
        <v>0</v>
      </c>
      <c r="R146">
        <f>Source!X55</f>
        <v>0</v>
      </c>
      <c r="S146">
        <f>Source!Y54</f>
        <v>0</v>
      </c>
      <c r="T146">
        <f>Source!Y55</f>
        <v>0</v>
      </c>
      <c r="U146">
        <f>ROUND((175/100)*ROUND(Source!R54, 2), 2)</f>
        <v>0</v>
      </c>
      <c r="V146">
        <f>ROUND((0/100)*ROUND(Source!R55, 2), 2)</f>
        <v>0</v>
      </c>
      <c r="AC146">
        <v>3</v>
      </c>
    </row>
    <row r="147" spans="1:29" ht="14.25" hidden="1" x14ac:dyDescent="0.2">
      <c r="A147" s="19"/>
      <c r="B147" s="19"/>
      <c r="C147" s="19" t="s">
        <v>713</v>
      </c>
      <c r="D147" s="21" t="s">
        <v>714</v>
      </c>
      <c r="E147" s="20">
        <f>Source!BZ53</f>
        <v>90</v>
      </c>
      <c r="F147" s="23"/>
      <c r="G147" s="22"/>
      <c r="H147" s="20"/>
      <c r="I147" s="23">
        <f>SUM(Q141:Q146)</f>
        <v>540.54999999999995</v>
      </c>
      <c r="J147" s="20">
        <f>Source!AT53</f>
        <v>90</v>
      </c>
      <c r="K147" s="23">
        <f>SUM(R141:R146)</f>
        <v>30459.93</v>
      </c>
      <c r="L147"/>
    </row>
    <row r="148" spans="1:29" ht="14.25" hidden="1" x14ac:dyDescent="0.2">
      <c r="A148" s="19"/>
      <c r="B148" s="19"/>
      <c r="C148" s="19" t="s">
        <v>715</v>
      </c>
      <c r="D148" s="21" t="s">
        <v>714</v>
      </c>
      <c r="E148" s="20">
        <f>Source!CA53</f>
        <v>46</v>
      </c>
      <c r="F148" s="23"/>
      <c r="G148" s="22"/>
      <c r="H148" s="20"/>
      <c r="I148" s="23">
        <f>SUM(S141:S147)</f>
        <v>276.27999999999997</v>
      </c>
      <c r="J148" s="20">
        <f>Source!AU53</f>
        <v>46</v>
      </c>
      <c r="K148" s="23">
        <f>SUM(T141:T147)</f>
        <v>15568.41</v>
      </c>
      <c r="L148"/>
    </row>
    <row r="149" spans="1:29" ht="14.25" hidden="1" x14ac:dyDescent="0.2">
      <c r="A149" s="25"/>
      <c r="B149" s="25"/>
      <c r="C149" s="25" t="s">
        <v>716</v>
      </c>
      <c r="D149" s="26" t="s">
        <v>717</v>
      </c>
      <c r="E149" s="27">
        <f>Source!AQ52</f>
        <v>4.0999999999999996</v>
      </c>
      <c r="F149" s="28"/>
      <c r="G149" s="29" t="s">
        <v>91</v>
      </c>
      <c r="H149" s="27">
        <f>Source!AV53</f>
        <v>1.0669999999999999</v>
      </c>
      <c r="I149" s="28">
        <f>Source!U52</f>
        <v>47.246759999999988</v>
      </c>
      <c r="J149" s="27"/>
      <c r="K149" s="28"/>
      <c r="L149"/>
    </row>
    <row r="150" spans="1:29" ht="15" hidden="1" x14ac:dyDescent="0.2">
      <c r="C150" s="30" t="s">
        <v>718</v>
      </c>
      <c r="H150" s="42">
        <f>I142+I143+I145+I147+I148+SUM(I146:I146)-SUMIF(AC146:AC146, 5, I146:I146)-SUMIF(AC146:AC146, 6, I146:I146)</f>
        <v>21079.48</v>
      </c>
      <c r="I150" s="42"/>
      <c r="J150" s="42">
        <f>K142+K143+K145+K147+K148+SUM(K146:K146)-SUMIF(AC146:AC146, 5, K146:K146)-SUMIF(AC146:AC146, 6, K146:K146)</f>
        <v>141239.73000000001</v>
      </c>
      <c r="K150" s="42"/>
      <c r="L150"/>
    </row>
    <row r="151" spans="1:29" ht="15" hidden="1" x14ac:dyDescent="0.2">
      <c r="C151" s="30" t="s">
        <v>719</v>
      </c>
      <c r="H151" s="43">
        <f>SUMIF(AC146:AC146, 5, I146:I146)+SUMIF(AC146:AC146, 6, I146:I146)</f>
        <v>0</v>
      </c>
      <c r="I151" s="43"/>
      <c r="J151" s="43">
        <f>SUMIF(AC146:AC146, 5, K146:K146)+SUMIF(AC146:AC146, 6, K146:K146)</f>
        <v>0</v>
      </c>
      <c r="K151" s="43"/>
      <c r="L151"/>
    </row>
    <row r="152" spans="1:29" ht="15" hidden="1" x14ac:dyDescent="0.2">
      <c r="C152" s="30" t="s">
        <v>720</v>
      </c>
      <c r="H152" s="43">
        <f>I142+I143+I145+I147+I148+SUM(I146:I146)</f>
        <v>21079.48</v>
      </c>
      <c r="I152" s="43"/>
      <c r="J152" s="43">
        <f>K142+K143+K145+K147+K148+SUM(K146:K146)</f>
        <v>141239.73000000001</v>
      </c>
      <c r="K152" s="43"/>
      <c r="L152"/>
      <c r="O152" s="31">
        <f>I142+I143+I145+I147+I148+SUM(I146:I146)</f>
        <v>21079.48</v>
      </c>
      <c r="P152" s="31">
        <f>K142+K143+K145+K147+K148+SUM(K146:K146)</f>
        <v>141239.73000000001</v>
      </c>
    </row>
    <row r="153" spans="1:29" hidden="1" x14ac:dyDescent="0.2">
      <c r="L153"/>
    </row>
    <row r="154" spans="1:29" ht="57" hidden="1" x14ac:dyDescent="0.2">
      <c r="A154" s="19">
        <v>12</v>
      </c>
      <c r="B154" s="19" t="str">
        <f>Source!F56</f>
        <v>4.12-48-9</v>
      </c>
      <c r="C154" s="19" t="s">
        <v>110</v>
      </c>
      <c r="D154" s="21" t="str">
        <f>Source!H56</f>
        <v>1  ШТ.</v>
      </c>
      <c r="E154" s="20">
        <f>Source!I56</f>
        <v>8</v>
      </c>
      <c r="F154" s="23"/>
      <c r="G154" s="22"/>
      <c r="H154" s="20"/>
      <c r="I154" s="23"/>
      <c r="J154" s="20"/>
      <c r="K154" s="23"/>
      <c r="L154"/>
      <c r="Q154">
        <f>Source!X56</f>
        <v>467.68</v>
      </c>
      <c r="R154">
        <f>Source!X57</f>
        <v>26353.55</v>
      </c>
      <c r="S154">
        <f>Source!Y56</f>
        <v>239.03</v>
      </c>
      <c r="T154">
        <f>Source!Y57</f>
        <v>13469.59</v>
      </c>
      <c r="U154">
        <f>ROUND((175/100)*ROUND(Source!R56, 2), 2)</f>
        <v>4.4800000000000004</v>
      </c>
      <c r="V154">
        <f>ROUND((0/100)*ROUND(Source!R57, 2), 2)</f>
        <v>0</v>
      </c>
      <c r="AC154">
        <v>0</v>
      </c>
    </row>
    <row r="155" spans="1:29" hidden="1" x14ac:dyDescent="0.2">
      <c r="C155" s="32" t="str">
        <f>"Объем: "&amp;Source!I56&amp;"=4+"&amp;"4"</f>
        <v>Объем: 8=4+4</v>
      </c>
      <c r="L155"/>
    </row>
    <row r="156" spans="1:29" ht="14.25" hidden="1" x14ac:dyDescent="0.2">
      <c r="A156" s="19"/>
      <c r="B156" s="19"/>
      <c r="C156" s="19" t="s">
        <v>707</v>
      </c>
      <c r="D156" s="21"/>
      <c r="E156" s="20"/>
      <c r="F156" s="23">
        <f>Source!AO56</f>
        <v>50.48</v>
      </c>
      <c r="G156" s="22" t="s">
        <v>91</v>
      </c>
      <c r="H156" s="20">
        <f>Source!AV57</f>
        <v>1.0669999999999999</v>
      </c>
      <c r="I156" s="23">
        <f>Source!S56</f>
        <v>517.08000000000004</v>
      </c>
      <c r="J156" s="20">
        <f>IF(Source!BA57&lt;&gt; 0, Source!BA57, 1)</f>
        <v>56.35</v>
      </c>
      <c r="K156" s="23">
        <f>Source!S57</f>
        <v>29137.46</v>
      </c>
      <c r="L156"/>
    </row>
    <row r="157" spans="1:29" ht="14.25" hidden="1" x14ac:dyDescent="0.2">
      <c r="A157" s="19"/>
      <c r="B157" s="19"/>
      <c r="C157" s="19" t="s">
        <v>709</v>
      </c>
      <c r="D157" s="21"/>
      <c r="E157" s="20"/>
      <c r="F157" s="23">
        <f>Source!AM56</f>
        <v>1.66</v>
      </c>
      <c r="G157" s="22" t="s">
        <v>91</v>
      </c>
      <c r="H157" s="20">
        <f>Source!AV57</f>
        <v>1.0669999999999999</v>
      </c>
      <c r="I157" s="23">
        <f>Source!Q56</f>
        <v>17</v>
      </c>
      <c r="J157" s="20">
        <f>IF(Source!BB57&lt;&gt; 0, Source!BB57, 1)</f>
        <v>17.09</v>
      </c>
      <c r="K157" s="23">
        <f>Source!Q57</f>
        <v>290.52999999999997</v>
      </c>
      <c r="L157"/>
    </row>
    <row r="158" spans="1:29" ht="14.25" hidden="1" x14ac:dyDescent="0.2">
      <c r="A158" s="19"/>
      <c r="B158" s="19"/>
      <c r="C158" s="19" t="s">
        <v>710</v>
      </c>
      <c r="D158" s="21"/>
      <c r="E158" s="20"/>
      <c r="F158" s="23">
        <f>Source!AN56</f>
        <v>0.25</v>
      </c>
      <c r="G158" s="22" t="s">
        <v>91</v>
      </c>
      <c r="H158" s="20">
        <f>Source!AV57</f>
        <v>1.0669999999999999</v>
      </c>
      <c r="I158" s="24">
        <f>Source!R56</f>
        <v>2.56</v>
      </c>
      <c r="J158" s="20">
        <f>IF(Source!BS57&lt;&gt; 0, Source!BS57, 1)</f>
        <v>56.35</v>
      </c>
      <c r="K158" s="24">
        <f>Source!R57</f>
        <v>144.26</v>
      </c>
      <c r="L158"/>
    </row>
    <row r="159" spans="1:29" ht="14.25" hidden="1" x14ac:dyDescent="0.2">
      <c r="A159" s="19"/>
      <c r="B159" s="19"/>
      <c r="C159" s="19" t="s">
        <v>711</v>
      </c>
      <c r="D159" s="21"/>
      <c r="E159" s="20"/>
      <c r="F159" s="23">
        <f>Source!AL56</f>
        <v>2.77</v>
      </c>
      <c r="G159" s="22"/>
      <c r="H159" s="20">
        <f>Source!AW57</f>
        <v>1.028</v>
      </c>
      <c r="I159" s="23">
        <f>Source!P56</f>
        <v>22.78</v>
      </c>
      <c r="J159" s="20">
        <f>IF(Source!BC57&lt;&gt; 0, Source!BC57, 1)</f>
        <v>4.5</v>
      </c>
      <c r="K159" s="23">
        <f>Source!P57</f>
        <v>102.51</v>
      </c>
      <c r="L159"/>
    </row>
    <row r="160" spans="1:29" ht="85.5" hidden="1" x14ac:dyDescent="0.2">
      <c r="A160" s="19" t="s">
        <v>111</v>
      </c>
      <c r="B160" s="19" t="str">
        <f>Source!F58</f>
        <v>1.13-3-109</v>
      </c>
      <c r="C160" s="19" t="s">
        <v>113</v>
      </c>
      <c r="D160" s="21" t="str">
        <f>Source!H58</f>
        <v>шт.</v>
      </c>
      <c r="E160" s="20">
        <f>Source!I58</f>
        <v>4</v>
      </c>
      <c r="F160" s="23">
        <f>Source!AK58</f>
        <v>3030.49</v>
      </c>
      <c r="G160" s="35" t="s">
        <v>3</v>
      </c>
      <c r="H160" s="20">
        <f>Source!AW59</f>
        <v>1</v>
      </c>
      <c r="I160" s="23">
        <f>Source!O58</f>
        <v>12121.96</v>
      </c>
      <c r="J160" s="20">
        <f>IF(Source!BC59&lt;&gt; 0, Source!BC59, 1)</f>
        <v>6.25</v>
      </c>
      <c r="K160" s="23">
        <f>Source!O59</f>
        <v>75762.25</v>
      </c>
      <c r="L160"/>
      <c r="Q160">
        <f>Source!X58</f>
        <v>0</v>
      </c>
      <c r="R160">
        <f>Source!X59</f>
        <v>0</v>
      </c>
      <c r="S160">
        <f>Source!Y58</f>
        <v>0</v>
      </c>
      <c r="T160">
        <f>Source!Y59</f>
        <v>0</v>
      </c>
      <c r="U160">
        <f>ROUND((175/100)*ROUND(Source!R58, 2), 2)</f>
        <v>0</v>
      </c>
      <c r="V160">
        <f>ROUND((0/100)*ROUND(Source!R59, 2), 2)</f>
        <v>0</v>
      </c>
      <c r="AC160">
        <v>3</v>
      </c>
    </row>
    <row r="161" spans="1:29" ht="71.25" hidden="1" x14ac:dyDescent="0.2">
      <c r="A161" s="19" t="s">
        <v>115</v>
      </c>
      <c r="B161" s="19" t="str">
        <f>Source!F60</f>
        <v>1.13-5-39</v>
      </c>
      <c r="C161" s="19" t="s">
        <v>117</v>
      </c>
      <c r="D161" s="21" t="str">
        <f>Source!H60</f>
        <v>шт.</v>
      </c>
      <c r="E161" s="20">
        <f>Source!I60</f>
        <v>4</v>
      </c>
      <c r="F161" s="23">
        <f>Source!AK60</f>
        <v>1974.43</v>
      </c>
      <c r="G161" s="35" t="s">
        <v>3</v>
      </c>
      <c r="H161" s="20">
        <f>Source!AW61</f>
        <v>1</v>
      </c>
      <c r="I161" s="23">
        <f>Source!O60</f>
        <v>7897.72</v>
      </c>
      <c r="J161" s="20">
        <f>IF(Source!BC61&lt;&gt; 0, Source!BC61, 1)</f>
        <v>1.78</v>
      </c>
      <c r="K161" s="23">
        <f>Source!O61</f>
        <v>14057.94</v>
      </c>
      <c r="L161"/>
      <c r="Q161">
        <f>Source!X60</f>
        <v>0</v>
      </c>
      <c r="R161">
        <f>Source!X61</f>
        <v>0</v>
      </c>
      <c r="S161">
        <f>Source!Y60</f>
        <v>0</v>
      </c>
      <c r="T161">
        <f>Source!Y61</f>
        <v>0</v>
      </c>
      <c r="U161">
        <f>ROUND((175/100)*ROUND(Source!R60, 2), 2)</f>
        <v>0</v>
      </c>
      <c r="V161">
        <f>ROUND((0/100)*ROUND(Source!R61, 2), 2)</f>
        <v>0</v>
      </c>
      <c r="AC161">
        <v>3</v>
      </c>
    </row>
    <row r="162" spans="1:29" ht="14.25" hidden="1" x14ac:dyDescent="0.2">
      <c r="A162" s="19"/>
      <c r="B162" s="19"/>
      <c r="C162" s="19" t="s">
        <v>713</v>
      </c>
      <c r="D162" s="21" t="s">
        <v>714</v>
      </c>
      <c r="E162" s="20">
        <f>Source!BZ57</f>
        <v>90</v>
      </c>
      <c r="F162" s="23"/>
      <c r="G162" s="22"/>
      <c r="H162" s="20"/>
      <c r="I162" s="23">
        <f>SUM(Q154:Q161)</f>
        <v>467.68</v>
      </c>
      <c r="J162" s="20">
        <f>Source!AT57</f>
        <v>90</v>
      </c>
      <c r="K162" s="23">
        <f>SUM(R154:R161)</f>
        <v>26353.55</v>
      </c>
      <c r="L162"/>
    </row>
    <row r="163" spans="1:29" ht="14.25" hidden="1" x14ac:dyDescent="0.2">
      <c r="A163" s="19"/>
      <c r="B163" s="19"/>
      <c r="C163" s="19" t="s">
        <v>715</v>
      </c>
      <c r="D163" s="21" t="s">
        <v>714</v>
      </c>
      <c r="E163" s="20">
        <f>Source!CA57</f>
        <v>46</v>
      </c>
      <c r="F163" s="23"/>
      <c r="G163" s="22"/>
      <c r="H163" s="20"/>
      <c r="I163" s="23">
        <f>SUM(S154:S162)</f>
        <v>239.03</v>
      </c>
      <c r="J163" s="20">
        <f>Source!AU57</f>
        <v>46</v>
      </c>
      <c r="K163" s="23">
        <f>SUM(T154:T162)</f>
        <v>13469.59</v>
      </c>
      <c r="L163"/>
    </row>
    <row r="164" spans="1:29" ht="14.25" hidden="1" x14ac:dyDescent="0.2">
      <c r="A164" s="25"/>
      <c r="B164" s="25"/>
      <c r="C164" s="25" t="s">
        <v>716</v>
      </c>
      <c r="D164" s="26" t="s">
        <v>717</v>
      </c>
      <c r="E164" s="27">
        <f>Source!AQ56</f>
        <v>4</v>
      </c>
      <c r="F164" s="28"/>
      <c r="G164" s="29" t="s">
        <v>91</v>
      </c>
      <c r="H164" s="27">
        <f>Source!AV57</f>
        <v>1.0669999999999999</v>
      </c>
      <c r="I164" s="28">
        <f>Source!U56</f>
        <v>40.972799999999999</v>
      </c>
      <c r="J164" s="27"/>
      <c r="K164" s="28"/>
      <c r="L164"/>
    </row>
    <row r="165" spans="1:29" ht="15" hidden="1" x14ac:dyDescent="0.2">
      <c r="C165" s="30" t="s">
        <v>718</v>
      </c>
      <c r="H165" s="42">
        <f>I156+I157+I159+I162+I163+SUM(I160:I161)-SUMIF(AC160:AC161, 5, I160:I161)-SUMIF(AC160:AC161, 6, I160:I161)</f>
        <v>21283.25</v>
      </c>
      <c r="I165" s="42"/>
      <c r="J165" s="42">
        <f>K156+K157+K159+K162+K163+SUM(K160:K161)-SUMIF(AC160:AC161, 5, K160:K161)-SUMIF(AC160:AC161, 6, K160:K161)</f>
        <v>159173.83000000002</v>
      </c>
      <c r="K165" s="42"/>
      <c r="L165"/>
    </row>
    <row r="166" spans="1:29" ht="15" hidden="1" x14ac:dyDescent="0.2">
      <c r="C166" s="30" t="s">
        <v>719</v>
      </c>
      <c r="H166" s="43">
        <f>SUMIF(AC160:AC161, 5, I160:I161)+SUMIF(AC160:AC161, 6, I160:I161)</f>
        <v>0</v>
      </c>
      <c r="I166" s="43"/>
      <c r="J166" s="43">
        <f>SUMIF(AC160:AC161, 5, K160:K161)+SUMIF(AC160:AC161, 6, K160:K161)</f>
        <v>0</v>
      </c>
      <c r="K166" s="43"/>
      <c r="L166"/>
    </row>
    <row r="167" spans="1:29" ht="15" hidden="1" x14ac:dyDescent="0.2">
      <c r="C167" s="30" t="s">
        <v>720</v>
      </c>
      <c r="H167" s="43">
        <f>I156+I157+I159+I162+I163+SUM(I160:I161)</f>
        <v>21283.25</v>
      </c>
      <c r="I167" s="43"/>
      <c r="J167" s="43">
        <f>K156+K157+K159+K162+K163+SUM(K160:K161)</f>
        <v>159173.83000000002</v>
      </c>
      <c r="K167" s="43"/>
      <c r="L167"/>
      <c r="O167" s="31">
        <f>I156+I157+I159+I162+I163+SUM(I160:I161)</f>
        <v>21283.25</v>
      </c>
      <c r="P167" s="31">
        <f>K156+K157+K159+K162+K163+SUM(K160:K161)</f>
        <v>159173.83000000002</v>
      </c>
    </row>
    <row r="168" spans="1:29" hidden="1" x14ac:dyDescent="0.2">
      <c r="L168"/>
    </row>
    <row r="169" spans="1:29" ht="57" hidden="1" x14ac:dyDescent="0.2">
      <c r="A169" s="19">
        <v>13</v>
      </c>
      <c r="B169" s="19" t="str">
        <f>Source!F62</f>
        <v>4.12-52-12</v>
      </c>
      <c r="C169" s="19" t="s">
        <v>121</v>
      </c>
      <c r="D169" s="21" t="str">
        <f>Source!H62</f>
        <v>1  ШТ.</v>
      </c>
      <c r="E169" s="20">
        <f>Source!I62</f>
        <v>4</v>
      </c>
      <c r="F169" s="23"/>
      <c r="G169" s="22"/>
      <c r="H169" s="20"/>
      <c r="I169" s="23"/>
      <c r="J169" s="20"/>
      <c r="K169" s="23"/>
      <c r="L169"/>
      <c r="Q169">
        <f>Source!X62</f>
        <v>443.84</v>
      </c>
      <c r="R169">
        <f>Source!X63</f>
        <v>25010.6</v>
      </c>
      <c r="S169">
        <f>Source!Y62</f>
        <v>226.85</v>
      </c>
      <c r="T169">
        <f>Source!Y63</f>
        <v>12783.2</v>
      </c>
      <c r="U169">
        <f>ROUND((175/100)*ROUND(Source!R62, 2), 2)</f>
        <v>3.41</v>
      </c>
      <c r="V169">
        <f>ROUND((0/100)*ROUND(Source!R63, 2), 2)</f>
        <v>0</v>
      </c>
      <c r="AC169">
        <v>0</v>
      </c>
    </row>
    <row r="170" spans="1:29" ht="14.25" hidden="1" x14ac:dyDescent="0.2">
      <c r="A170" s="19"/>
      <c r="B170" s="19"/>
      <c r="C170" s="19" t="s">
        <v>707</v>
      </c>
      <c r="D170" s="21"/>
      <c r="E170" s="20"/>
      <c r="F170" s="23">
        <f>Source!AO62</f>
        <v>95.91</v>
      </c>
      <c r="G170" s="22" t="s">
        <v>91</v>
      </c>
      <c r="H170" s="20">
        <f>Source!AV63</f>
        <v>1.0669999999999999</v>
      </c>
      <c r="I170" s="23">
        <f>Source!S62</f>
        <v>491.21</v>
      </c>
      <c r="J170" s="20">
        <f>IF(Source!BA63&lt;&gt; 0, Source!BA63, 1)</f>
        <v>56.35</v>
      </c>
      <c r="K170" s="23">
        <f>Source!S63</f>
        <v>27679.68</v>
      </c>
      <c r="L170"/>
    </row>
    <row r="171" spans="1:29" ht="14.25" hidden="1" x14ac:dyDescent="0.2">
      <c r="A171" s="19"/>
      <c r="B171" s="19"/>
      <c r="C171" s="19" t="s">
        <v>709</v>
      </c>
      <c r="D171" s="21"/>
      <c r="E171" s="20"/>
      <c r="F171" s="23">
        <f>Source!AM62</f>
        <v>14.58</v>
      </c>
      <c r="G171" s="22" t="s">
        <v>91</v>
      </c>
      <c r="H171" s="20">
        <f>Source!AV63</f>
        <v>1.0669999999999999</v>
      </c>
      <c r="I171" s="23">
        <f>Source!Q62</f>
        <v>74.67</v>
      </c>
      <c r="J171" s="20">
        <f>IF(Source!BB63&lt;&gt; 0, Source!BB63, 1)</f>
        <v>14.08</v>
      </c>
      <c r="K171" s="23">
        <f>Source!Q63</f>
        <v>1051.3499999999999</v>
      </c>
      <c r="L171"/>
    </row>
    <row r="172" spans="1:29" ht="14.25" hidden="1" x14ac:dyDescent="0.2">
      <c r="A172" s="19"/>
      <c r="B172" s="19"/>
      <c r="C172" s="19" t="s">
        <v>710</v>
      </c>
      <c r="D172" s="21"/>
      <c r="E172" s="20"/>
      <c r="F172" s="23">
        <f>Source!AN62</f>
        <v>0.38</v>
      </c>
      <c r="G172" s="22" t="s">
        <v>91</v>
      </c>
      <c r="H172" s="20">
        <f>Source!AV63</f>
        <v>1.0669999999999999</v>
      </c>
      <c r="I172" s="24">
        <f>Source!R62</f>
        <v>1.95</v>
      </c>
      <c r="J172" s="20">
        <f>IF(Source!BS63&lt;&gt; 0, Source!BS63, 1)</f>
        <v>56.35</v>
      </c>
      <c r="K172" s="24">
        <f>Source!R63</f>
        <v>109.88</v>
      </c>
      <c r="L172"/>
    </row>
    <row r="173" spans="1:29" ht="14.25" hidden="1" x14ac:dyDescent="0.2">
      <c r="A173" s="19"/>
      <c r="B173" s="19"/>
      <c r="C173" s="19" t="s">
        <v>711</v>
      </c>
      <c r="D173" s="21"/>
      <c r="E173" s="20"/>
      <c r="F173" s="23">
        <f>Source!AL62</f>
        <v>6.65</v>
      </c>
      <c r="G173" s="22"/>
      <c r="H173" s="20">
        <f>Source!AW63</f>
        <v>1.028</v>
      </c>
      <c r="I173" s="23">
        <f>Source!P62</f>
        <v>27.34</v>
      </c>
      <c r="J173" s="20">
        <f>IF(Source!BC63&lt;&gt; 0, Source!BC63, 1)</f>
        <v>10.71</v>
      </c>
      <c r="K173" s="23">
        <f>Source!P63</f>
        <v>292.81</v>
      </c>
      <c r="L173"/>
    </row>
    <row r="174" spans="1:29" ht="57" hidden="1" x14ac:dyDescent="0.2">
      <c r="A174" s="19" t="s">
        <v>123</v>
      </c>
      <c r="B174" s="19" t="str">
        <f>Source!F64</f>
        <v>1.12-11-52</v>
      </c>
      <c r="C174" s="19" t="s">
        <v>125</v>
      </c>
      <c r="D174" s="21" t="str">
        <f>Source!H64</f>
        <v>шт.</v>
      </c>
      <c r="E174" s="20">
        <f>Source!I64</f>
        <v>4</v>
      </c>
      <c r="F174" s="23">
        <f>Source!AK64</f>
        <v>340.41</v>
      </c>
      <c r="G174" s="35" t="s">
        <v>3</v>
      </c>
      <c r="H174" s="20">
        <f>Source!AW65</f>
        <v>1</v>
      </c>
      <c r="I174" s="23">
        <f>Source!O64</f>
        <v>1361.64</v>
      </c>
      <c r="J174" s="20">
        <f>IF(Source!BC65&lt;&gt; 0, Source!BC65, 1)</f>
        <v>4.5</v>
      </c>
      <c r="K174" s="23">
        <f>Source!O65</f>
        <v>6127.38</v>
      </c>
      <c r="L174"/>
      <c r="Q174">
        <f>Source!X64</f>
        <v>0</v>
      </c>
      <c r="R174">
        <f>Source!X65</f>
        <v>0</v>
      </c>
      <c r="S174">
        <f>Source!Y64</f>
        <v>0</v>
      </c>
      <c r="T174">
        <f>Source!Y65</f>
        <v>0</v>
      </c>
      <c r="U174">
        <f>ROUND((175/100)*ROUND(Source!R64, 2), 2)</f>
        <v>0</v>
      </c>
      <c r="V174">
        <f>ROUND((0/100)*ROUND(Source!R65, 2), 2)</f>
        <v>0</v>
      </c>
      <c r="AC174">
        <v>3</v>
      </c>
    </row>
    <row r="175" spans="1:29" ht="14.25" hidden="1" x14ac:dyDescent="0.2">
      <c r="A175" s="19"/>
      <c r="B175" s="19"/>
      <c r="C175" s="19" t="s">
        <v>713</v>
      </c>
      <c r="D175" s="21" t="s">
        <v>714</v>
      </c>
      <c r="E175" s="20">
        <f>Source!BZ63</f>
        <v>90</v>
      </c>
      <c r="F175" s="23"/>
      <c r="G175" s="22"/>
      <c r="H175" s="20"/>
      <c r="I175" s="23">
        <f>SUM(Q169:Q174)</f>
        <v>443.84</v>
      </c>
      <c r="J175" s="20">
        <f>Source!AT63</f>
        <v>90</v>
      </c>
      <c r="K175" s="23">
        <f>SUM(R169:R174)</f>
        <v>25010.6</v>
      </c>
      <c r="L175"/>
    </row>
    <row r="176" spans="1:29" ht="14.25" hidden="1" x14ac:dyDescent="0.2">
      <c r="A176" s="19"/>
      <c r="B176" s="19"/>
      <c r="C176" s="19" t="s">
        <v>715</v>
      </c>
      <c r="D176" s="21" t="s">
        <v>714</v>
      </c>
      <c r="E176" s="20">
        <f>Source!CA63</f>
        <v>46</v>
      </c>
      <c r="F176" s="23"/>
      <c r="G176" s="22"/>
      <c r="H176" s="20"/>
      <c r="I176" s="23">
        <f>SUM(S169:S175)</f>
        <v>226.85</v>
      </c>
      <c r="J176" s="20">
        <f>Source!AU63</f>
        <v>46</v>
      </c>
      <c r="K176" s="23">
        <f>SUM(T169:T175)</f>
        <v>12783.2</v>
      </c>
      <c r="L176"/>
    </row>
    <row r="177" spans="1:29" ht="14.25" hidden="1" x14ac:dyDescent="0.2">
      <c r="A177" s="25"/>
      <c r="B177" s="25"/>
      <c r="C177" s="25" t="s">
        <v>716</v>
      </c>
      <c r="D177" s="26" t="s">
        <v>717</v>
      </c>
      <c r="E177" s="27">
        <f>Source!AQ62</f>
        <v>7.6</v>
      </c>
      <c r="F177" s="28"/>
      <c r="G177" s="29" t="s">
        <v>91</v>
      </c>
      <c r="H177" s="27">
        <f>Source!AV63</f>
        <v>1.0669999999999999</v>
      </c>
      <c r="I177" s="28">
        <f>Source!U62</f>
        <v>38.924159999999993</v>
      </c>
      <c r="J177" s="27"/>
      <c r="K177" s="28"/>
      <c r="L177"/>
    </row>
    <row r="178" spans="1:29" ht="15" hidden="1" x14ac:dyDescent="0.2">
      <c r="C178" s="30" t="s">
        <v>718</v>
      </c>
      <c r="H178" s="42">
        <f>I170+I171+I173+I175+I176+SUM(I174:I174)-SUMIF(AC174:AC174, 5, I174:I174)-SUMIF(AC174:AC174, 6, I174:I174)</f>
        <v>2625.55</v>
      </c>
      <c r="I178" s="42"/>
      <c r="J178" s="42">
        <f>K170+K171+K173+K175+K176+SUM(K174:K174)-SUMIF(AC174:AC174, 5, K174:K174)-SUMIF(AC174:AC174, 6, K174:K174)</f>
        <v>72945.02</v>
      </c>
      <c r="K178" s="42"/>
      <c r="L178"/>
    </row>
    <row r="179" spans="1:29" ht="15" hidden="1" x14ac:dyDescent="0.2">
      <c r="C179" s="30" t="s">
        <v>719</v>
      </c>
      <c r="H179" s="43">
        <f>SUMIF(AC174:AC174, 5, I174:I174)+SUMIF(AC174:AC174, 6, I174:I174)</f>
        <v>0</v>
      </c>
      <c r="I179" s="43"/>
      <c r="J179" s="43">
        <f>SUMIF(AC174:AC174, 5, K174:K174)+SUMIF(AC174:AC174, 6, K174:K174)</f>
        <v>0</v>
      </c>
      <c r="K179" s="43"/>
      <c r="L179"/>
    </row>
    <row r="180" spans="1:29" ht="15" hidden="1" x14ac:dyDescent="0.2">
      <c r="C180" s="30" t="s">
        <v>720</v>
      </c>
      <c r="H180" s="43">
        <f>I170+I171+I173+I175+I176+SUM(I174:I174)</f>
        <v>2625.55</v>
      </c>
      <c r="I180" s="43"/>
      <c r="J180" s="43">
        <f>K170+K171+K173+K175+K176+SUM(K174:K174)</f>
        <v>72945.02</v>
      </c>
      <c r="K180" s="43"/>
      <c r="L180"/>
      <c r="O180" s="31">
        <f>I170+I171+I173+I175+I176+SUM(I174:I174)</f>
        <v>2625.55</v>
      </c>
      <c r="P180" s="31">
        <f>K170+K171+K173+K175+K176+SUM(K174:K174)</f>
        <v>72945.02</v>
      </c>
    </row>
    <row r="181" spans="1:29" hidden="1" x14ac:dyDescent="0.2">
      <c r="L181"/>
    </row>
    <row r="182" spans="1:29" ht="57" hidden="1" x14ac:dyDescent="0.2">
      <c r="A182" s="19">
        <v>14</v>
      </c>
      <c r="B182" s="19" t="str">
        <f>Source!F66</f>
        <v>4.12-52-10</v>
      </c>
      <c r="C182" s="19" t="s">
        <v>129</v>
      </c>
      <c r="D182" s="21" t="str">
        <f>Source!H66</f>
        <v>1  ШТ.</v>
      </c>
      <c r="E182" s="20">
        <f>Source!I66</f>
        <v>16</v>
      </c>
      <c r="F182" s="23"/>
      <c r="G182" s="22"/>
      <c r="H182" s="20"/>
      <c r="I182" s="23"/>
      <c r="J182" s="20"/>
      <c r="K182" s="23"/>
      <c r="L182"/>
      <c r="Q182">
        <f>Source!X66</f>
        <v>1261.1400000000001</v>
      </c>
      <c r="R182">
        <f>Source!X67</f>
        <v>71065.399999999994</v>
      </c>
      <c r="S182">
        <f>Source!Y66</f>
        <v>644.58000000000004</v>
      </c>
      <c r="T182">
        <f>Source!Y67</f>
        <v>36322.32</v>
      </c>
      <c r="U182">
        <f>ROUND((175/100)*ROUND(Source!R66, 2), 2)</f>
        <v>8.9600000000000009</v>
      </c>
      <c r="V182">
        <f>ROUND((0/100)*ROUND(Source!R67, 2), 2)</f>
        <v>0</v>
      </c>
      <c r="AC182">
        <v>0</v>
      </c>
    </row>
    <row r="183" spans="1:29" hidden="1" x14ac:dyDescent="0.2">
      <c r="C183" s="32" t="str">
        <f>"Объем: "&amp;Source!I66&amp;"=1+"&amp;"9+"&amp;"6"</f>
        <v>Объем: 16=1+9+6</v>
      </c>
      <c r="L183"/>
    </row>
    <row r="184" spans="1:29" ht="14.25" hidden="1" x14ac:dyDescent="0.2">
      <c r="A184" s="19"/>
      <c r="B184" s="19"/>
      <c r="C184" s="19" t="s">
        <v>707</v>
      </c>
      <c r="D184" s="21"/>
      <c r="E184" s="20"/>
      <c r="F184" s="23">
        <f>Source!AO66</f>
        <v>68.150000000000006</v>
      </c>
      <c r="G184" s="22" t="s">
        <v>91</v>
      </c>
      <c r="H184" s="20">
        <f>Source!AV67</f>
        <v>1.0669999999999999</v>
      </c>
      <c r="I184" s="23">
        <f>Source!S66</f>
        <v>1396.15</v>
      </c>
      <c r="J184" s="20">
        <f>IF(Source!BA67&lt;&gt; 0, Source!BA67, 1)</f>
        <v>56.35</v>
      </c>
      <c r="K184" s="23">
        <f>Source!S67</f>
        <v>78673.05</v>
      </c>
      <c r="L184"/>
    </row>
    <row r="185" spans="1:29" ht="14.25" hidden="1" x14ac:dyDescent="0.2">
      <c r="A185" s="19"/>
      <c r="B185" s="19"/>
      <c r="C185" s="19" t="s">
        <v>709</v>
      </c>
      <c r="D185" s="21"/>
      <c r="E185" s="20"/>
      <c r="F185" s="23">
        <f>Source!AM66</f>
        <v>8.06</v>
      </c>
      <c r="G185" s="22" t="s">
        <v>91</v>
      </c>
      <c r="H185" s="20">
        <f>Source!AV67</f>
        <v>1.0669999999999999</v>
      </c>
      <c r="I185" s="23">
        <f>Source!Q66</f>
        <v>165.12</v>
      </c>
      <c r="J185" s="20">
        <f>IF(Source!BB67&lt;&gt; 0, Source!BB67, 1)</f>
        <v>14.21</v>
      </c>
      <c r="K185" s="23">
        <f>Source!Q67</f>
        <v>2346.36</v>
      </c>
      <c r="L185"/>
    </row>
    <row r="186" spans="1:29" ht="14.25" hidden="1" x14ac:dyDescent="0.2">
      <c r="A186" s="19"/>
      <c r="B186" s="19"/>
      <c r="C186" s="19" t="s">
        <v>710</v>
      </c>
      <c r="D186" s="21"/>
      <c r="E186" s="20"/>
      <c r="F186" s="23">
        <f>Source!AN66</f>
        <v>0.25</v>
      </c>
      <c r="G186" s="22" t="s">
        <v>91</v>
      </c>
      <c r="H186" s="20">
        <f>Source!AV67</f>
        <v>1.0669999999999999</v>
      </c>
      <c r="I186" s="24">
        <f>Source!R66</f>
        <v>5.12</v>
      </c>
      <c r="J186" s="20">
        <f>IF(Source!BS67&lt;&gt; 0, Source!BS67, 1)</f>
        <v>56.35</v>
      </c>
      <c r="K186" s="24">
        <f>Source!R67</f>
        <v>288.51</v>
      </c>
      <c r="L186"/>
    </row>
    <row r="187" spans="1:29" ht="14.25" hidden="1" x14ac:dyDescent="0.2">
      <c r="A187" s="19"/>
      <c r="B187" s="19"/>
      <c r="C187" s="19" t="s">
        <v>711</v>
      </c>
      <c r="D187" s="21"/>
      <c r="E187" s="20"/>
      <c r="F187" s="23">
        <f>Source!AL66</f>
        <v>4.33</v>
      </c>
      <c r="G187" s="22"/>
      <c r="H187" s="20">
        <f>Source!AW67</f>
        <v>1.028</v>
      </c>
      <c r="I187" s="23">
        <f>Source!P66</f>
        <v>71.22</v>
      </c>
      <c r="J187" s="20">
        <f>IF(Source!BC67&lt;&gt; 0, Source!BC67, 1)</f>
        <v>10.59</v>
      </c>
      <c r="K187" s="23">
        <f>Source!P67</f>
        <v>754.22</v>
      </c>
      <c r="L187"/>
    </row>
    <row r="188" spans="1:29" ht="71.25" hidden="1" x14ac:dyDescent="0.2">
      <c r="A188" s="19" t="s">
        <v>131</v>
      </c>
      <c r="B188" s="19" t="str">
        <f>Source!F68</f>
        <v>1.12-9-21</v>
      </c>
      <c r="C188" s="19" t="s">
        <v>133</v>
      </c>
      <c r="D188" s="21" t="str">
        <f>Source!H68</f>
        <v>шт.</v>
      </c>
      <c r="E188" s="20">
        <f>Source!I68</f>
        <v>20</v>
      </c>
      <c r="F188" s="23">
        <f>Source!AK68</f>
        <v>107.23</v>
      </c>
      <c r="G188" s="35" t="s">
        <v>3</v>
      </c>
      <c r="H188" s="20">
        <f>Source!AW69</f>
        <v>1</v>
      </c>
      <c r="I188" s="23">
        <f>Source!O68</f>
        <v>2144.6</v>
      </c>
      <c r="J188" s="20">
        <f>IF(Source!BC69&lt;&gt; 0, Source!BC69, 1)</f>
        <v>6.94</v>
      </c>
      <c r="K188" s="23">
        <f>Source!O69</f>
        <v>14883.52</v>
      </c>
      <c r="L188"/>
      <c r="Q188">
        <f>Source!X68</f>
        <v>0</v>
      </c>
      <c r="R188">
        <f>Source!X69</f>
        <v>0</v>
      </c>
      <c r="S188">
        <f>Source!Y68</f>
        <v>0</v>
      </c>
      <c r="T188">
        <f>Source!Y69</f>
        <v>0</v>
      </c>
      <c r="U188">
        <f>ROUND((175/100)*ROUND(Source!R68, 2), 2)</f>
        <v>0</v>
      </c>
      <c r="V188">
        <f>ROUND((0/100)*ROUND(Source!R69, 2), 2)</f>
        <v>0</v>
      </c>
      <c r="AC188">
        <v>3</v>
      </c>
    </row>
    <row r="189" spans="1:29" ht="57" hidden="1" x14ac:dyDescent="0.2">
      <c r="A189" s="19" t="s">
        <v>135</v>
      </c>
      <c r="B189" s="19" t="str">
        <f>Source!F70</f>
        <v>1.12-11-48</v>
      </c>
      <c r="C189" s="19" t="s">
        <v>137</v>
      </c>
      <c r="D189" s="21" t="str">
        <f>Source!H70</f>
        <v>шт.</v>
      </c>
      <c r="E189" s="20">
        <f>Source!I70</f>
        <v>6</v>
      </c>
      <c r="F189" s="23">
        <f>Source!AK70</f>
        <v>130.07</v>
      </c>
      <c r="G189" s="35" t="s">
        <v>3</v>
      </c>
      <c r="H189" s="20">
        <f>Source!AW71</f>
        <v>1</v>
      </c>
      <c r="I189" s="23">
        <f>Source!O70</f>
        <v>780.42</v>
      </c>
      <c r="J189" s="20">
        <f>IF(Source!BC71&lt;&gt; 0, Source!BC71, 1)</f>
        <v>4.82</v>
      </c>
      <c r="K189" s="23">
        <f>Source!O71</f>
        <v>3761.62</v>
      </c>
      <c r="L189"/>
      <c r="Q189">
        <f>Source!X70</f>
        <v>0</v>
      </c>
      <c r="R189">
        <f>Source!X71</f>
        <v>0</v>
      </c>
      <c r="S189">
        <f>Source!Y70</f>
        <v>0</v>
      </c>
      <c r="T189">
        <f>Source!Y71</f>
        <v>0</v>
      </c>
      <c r="U189">
        <f>ROUND((175/100)*ROUND(Source!R70, 2), 2)</f>
        <v>0</v>
      </c>
      <c r="V189">
        <f>ROUND((0/100)*ROUND(Source!R71, 2), 2)</f>
        <v>0</v>
      </c>
      <c r="AC189">
        <v>3</v>
      </c>
    </row>
    <row r="190" spans="1:29" ht="14.25" hidden="1" x14ac:dyDescent="0.2">
      <c r="A190" s="19"/>
      <c r="B190" s="19"/>
      <c r="C190" s="19" t="s">
        <v>713</v>
      </c>
      <c r="D190" s="21" t="s">
        <v>714</v>
      </c>
      <c r="E190" s="20">
        <f>Source!BZ67</f>
        <v>90</v>
      </c>
      <c r="F190" s="23"/>
      <c r="G190" s="22"/>
      <c r="H190" s="20"/>
      <c r="I190" s="23">
        <f>SUM(Q182:Q189)</f>
        <v>1261.1400000000001</v>
      </c>
      <c r="J190" s="20">
        <f>Source!AT67</f>
        <v>90</v>
      </c>
      <c r="K190" s="23">
        <f>SUM(R182:R189)</f>
        <v>71065.399999999994</v>
      </c>
      <c r="L190"/>
    </row>
    <row r="191" spans="1:29" ht="14.25" hidden="1" x14ac:dyDescent="0.2">
      <c r="A191" s="19"/>
      <c r="B191" s="19"/>
      <c r="C191" s="19" t="s">
        <v>715</v>
      </c>
      <c r="D191" s="21" t="s">
        <v>714</v>
      </c>
      <c r="E191" s="20">
        <f>Source!CA67</f>
        <v>46</v>
      </c>
      <c r="F191" s="23"/>
      <c r="G191" s="22"/>
      <c r="H191" s="20"/>
      <c r="I191" s="23">
        <f>SUM(S182:S190)</f>
        <v>644.58000000000004</v>
      </c>
      <c r="J191" s="20">
        <f>Source!AU67</f>
        <v>46</v>
      </c>
      <c r="K191" s="23">
        <f>SUM(T182:T190)</f>
        <v>36322.32</v>
      </c>
      <c r="L191"/>
    </row>
    <row r="192" spans="1:29" ht="14.25" hidden="1" x14ac:dyDescent="0.2">
      <c r="A192" s="25"/>
      <c r="B192" s="25"/>
      <c r="C192" s="25" t="s">
        <v>716</v>
      </c>
      <c r="D192" s="26" t="s">
        <v>717</v>
      </c>
      <c r="E192" s="27">
        <f>Source!AQ66</f>
        <v>5.4</v>
      </c>
      <c r="F192" s="28"/>
      <c r="G192" s="29" t="s">
        <v>91</v>
      </c>
      <c r="H192" s="27">
        <f>Source!AV67</f>
        <v>1.0669999999999999</v>
      </c>
      <c r="I192" s="28">
        <f>Source!U66</f>
        <v>110.62656</v>
      </c>
      <c r="J192" s="27"/>
      <c r="K192" s="28"/>
      <c r="L192"/>
    </row>
    <row r="193" spans="1:29" ht="15" hidden="1" x14ac:dyDescent="0.2">
      <c r="C193" s="30" t="s">
        <v>718</v>
      </c>
      <c r="H193" s="42">
        <f>I184+I185+I187+I190+I191+SUM(I188:I189)-SUMIF(AC188:AC189, 5, I188:I189)-SUMIF(AC188:AC189, 6, I188:I189)</f>
        <v>6463.23</v>
      </c>
      <c r="I193" s="42"/>
      <c r="J193" s="42">
        <f>K184+K185+K187+K190+K191+SUM(K188:K189)-SUMIF(AC188:AC189, 5, K188:K189)-SUMIF(AC188:AC189, 6, K188:K189)</f>
        <v>207806.49</v>
      </c>
      <c r="K193" s="42"/>
      <c r="L193"/>
    </row>
    <row r="194" spans="1:29" ht="15" hidden="1" x14ac:dyDescent="0.2">
      <c r="C194" s="30" t="s">
        <v>719</v>
      </c>
      <c r="H194" s="43">
        <f>SUMIF(AC188:AC189, 5, I188:I189)+SUMIF(AC188:AC189, 6, I188:I189)</f>
        <v>0</v>
      </c>
      <c r="I194" s="43"/>
      <c r="J194" s="43">
        <f>SUMIF(AC188:AC189, 5, K188:K189)+SUMIF(AC188:AC189, 6, K188:K189)</f>
        <v>0</v>
      </c>
      <c r="K194" s="43"/>
      <c r="L194"/>
    </row>
    <row r="195" spans="1:29" ht="15" hidden="1" x14ac:dyDescent="0.2">
      <c r="C195" s="30" t="s">
        <v>720</v>
      </c>
      <c r="H195" s="43">
        <f>I184+I185+I187+I190+I191+SUM(I188:I189)</f>
        <v>6463.23</v>
      </c>
      <c r="I195" s="43"/>
      <c r="J195" s="43">
        <f>K184+K185+K187+K190+K191+SUM(K188:K189)</f>
        <v>207806.49</v>
      </c>
      <c r="K195" s="43"/>
      <c r="L195"/>
      <c r="O195" s="31">
        <f>I184+I185+I187+I190+I191+SUM(I188:I189)</f>
        <v>6463.23</v>
      </c>
      <c r="P195" s="31">
        <f>K184+K185+K187+K190+K191+SUM(K188:K189)</f>
        <v>207806.49</v>
      </c>
    </row>
    <row r="196" spans="1:29" hidden="1" x14ac:dyDescent="0.2">
      <c r="L196"/>
    </row>
    <row r="197" spans="1:29" ht="57" hidden="1" x14ac:dyDescent="0.2">
      <c r="A197" s="19">
        <v>15</v>
      </c>
      <c r="B197" s="19" t="str">
        <f>Source!F72</f>
        <v>4.12-52-9</v>
      </c>
      <c r="C197" s="19" t="s">
        <v>141</v>
      </c>
      <c r="D197" s="21" t="str">
        <f>Source!H72</f>
        <v>1  ШТ.</v>
      </c>
      <c r="E197" s="20">
        <f>Source!I72</f>
        <v>16</v>
      </c>
      <c r="F197" s="23"/>
      <c r="G197" s="22"/>
      <c r="H197" s="20"/>
      <c r="I197" s="23"/>
      <c r="J197" s="20"/>
      <c r="K197" s="23"/>
      <c r="L197"/>
      <c r="Q197">
        <f>Source!X72</f>
        <v>1168.03</v>
      </c>
      <c r="R197">
        <f>Source!X73</f>
        <v>65818.429999999993</v>
      </c>
      <c r="S197">
        <f>Source!Y72</f>
        <v>596.99</v>
      </c>
      <c r="T197">
        <f>Source!Y73</f>
        <v>33640.53</v>
      </c>
      <c r="U197">
        <f>ROUND((175/100)*ROUND(Source!R72, 2), 2)</f>
        <v>8.9600000000000009</v>
      </c>
      <c r="V197">
        <f>ROUND((0/100)*ROUND(Source!R73, 2), 2)</f>
        <v>0</v>
      </c>
      <c r="AC197">
        <v>0</v>
      </c>
    </row>
    <row r="198" spans="1:29" hidden="1" x14ac:dyDescent="0.2">
      <c r="C198" s="32" t="str">
        <f>"Объем: "&amp;Source!I72&amp;"=4+"&amp;"4+"&amp;"8"</f>
        <v>Объем: 16=4+4+8</v>
      </c>
      <c r="L198"/>
    </row>
    <row r="199" spans="1:29" ht="14.25" hidden="1" x14ac:dyDescent="0.2">
      <c r="A199" s="19"/>
      <c r="B199" s="19"/>
      <c r="C199" s="19" t="s">
        <v>707</v>
      </c>
      <c r="D199" s="21"/>
      <c r="E199" s="20"/>
      <c r="F199" s="23">
        <f>Source!AO72</f>
        <v>63.1</v>
      </c>
      <c r="G199" s="22" t="s">
        <v>91</v>
      </c>
      <c r="H199" s="20">
        <f>Source!AV73</f>
        <v>1.0669999999999999</v>
      </c>
      <c r="I199" s="23">
        <f>Source!S72</f>
        <v>1292.69</v>
      </c>
      <c r="J199" s="20">
        <f>IF(Source!BA73&lt;&gt; 0, Source!BA73, 1)</f>
        <v>56.35</v>
      </c>
      <c r="K199" s="23">
        <f>Source!S73</f>
        <v>72843.08</v>
      </c>
      <c r="L199"/>
    </row>
    <row r="200" spans="1:29" ht="14.25" hidden="1" x14ac:dyDescent="0.2">
      <c r="A200" s="19"/>
      <c r="B200" s="19"/>
      <c r="C200" s="19" t="s">
        <v>709</v>
      </c>
      <c r="D200" s="21"/>
      <c r="E200" s="20"/>
      <c r="F200" s="23">
        <f>Source!AM72</f>
        <v>5.93</v>
      </c>
      <c r="G200" s="22" t="s">
        <v>91</v>
      </c>
      <c r="H200" s="20">
        <f>Source!AV73</f>
        <v>1.0669999999999999</v>
      </c>
      <c r="I200" s="23">
        <f>Source!Q72</f>
        <v>121.48</v>
      </c>
      <c r="J200" s="20">
        <f>IF(Source!BB73&lt;&gt; 0, Source!BB73, 1)</f>
        <v>14.47</v>
      </c>
      <c r="K200" s="23">
        <f>Source!Q73</f>
        <v>1757.82</v>
      </c>
      <c r="L200"/>
    </row>
    <row r="201" spans="1:29" ht="14.25" hidden="1" x14ac:dyDescent="0.2">
      <c r="A201" s="19"/>
      <c r="B201" s="19"/>
      <c r="C201" s="19" t="s">
        <v>710</v>
      </c>
      <c r="D201" s="21"/>
      <c r="E201" s="20"/>
      <c r="F201" s="23">
        <f>Source!AN72</f>
        <v>0.25</v>
      </c>
      <c r="G201" s="22" t="s">
        <v>91</v>
      </c>
      <c r="H201" s="20">
        <f>Source!AV73</f>
        <v>1.0669999999999999</v>
      </c>
      <c r="I201" s="24">
        <f>Source!R72</f>
        <v>5.12</v>
      </c>
      <c r="J201" s="20">
        <f>IF(Source!BS73&lt;&gt; 0, Source!BS73, 1)</f>
        <v>56.35</v>
      </c>
      <c r="K201" s="24">
        <f>Source!R73</f>
        <v>288.51</v>
      </c>
      <c r="L201"/>
    </row>
    <row r="202" spans="1:29" ht="14.25" hidden="1" x14ac:dyDescent="0.2">
      <c r="A202" s="19"/>
      <c r="B202" s="19"/>
      <c r="C202" s="19" t="s">
        <v>711</v>
      </c>
      <c r="D202" s="21"/>
      <c r="E202" s="20"/>
      <c r="F202" s="23">
        <f>Source!AL72</f>
        <v>3.5</v>
      </c>
      <c r="G202" s="22"/>
      <c r="H202" s="20">
        <f>Source!AW73</f>
        <v>1.028</v>
      </c>
      <c r="I202" s="23">
        <f>Source!P72</f>
        <v>57.57</v>
      </c>
      <c r="J202" s="20">
        <f>IF(Source!BC73&lt;&gt; 0, Source!BC73, 1)</f>
        <v>10.51</v>
      </c>
      <c r="K202" s="23">
        <f>Source!P73</f>
        <v>605.05999999999995</v>
      </c>
      <c r="L202"/>
    </row>
    <row r="203" spans="1:29" ht="71.25" hidden="1" x14ac:dyDescent="0.2">
      <c r="A203" s="19" t="s">
        <v>143</v>
      </c>
      <c r="B203" s="19" t="str">
        <f>Source!F74</f>
        <v>1.12-9-20</v>
      </c>
      <c r="C203" s="19" t="s">
        <v>145</v>
      </c>
      <c r="D203" s="21" t="str">
        <f>Source!H74</f>
        <v>шт.</v>
      </c>
      <c r="E203" s="20">
        <f>Source!I74</f>
        <v>16</v>
      </c>
      <c r="F203" s="23">
        <f>Source!AK74</f>
        <v>79.92</v>
      </c>
      <c r="G203" s="35" t="s">
        <v>3</v>
      </c>
      <c r="H203" s="20">
        <f>Source!AW75</f>
        <v>1</v>
      </c>
      <c r="I203" s="23">
        <f>Source!O74</f>
        <v>1278.72</v>
      </c>
      <c r="J203" s="20">
        <f>IF(Source!BC75&lt;&gt; 0, Source!BC75, 1)</f>
        <v>7.63</v>
      </c>
      <c r="K203" s="23">
        <f>Source!O75</f>
        <v>9756.6299999999992</v>
      </c>
      <c r="L203"/>
      <c r="Q203">
        <f>Source!X74</f>
        <v>0</v>
      </c>
      <c r="R203">
        <f>Source!X75</f>
        <v>0</v>
      </c>
      <c r="S203">
        <f>Source!Y74</f>
        <v>0</v>
      </c>
      <c r="T203">
        <f>Source!Y75</f>
        <v>0</v>
      </c>
      <c r="U203">
        <f>ROUND((175/100)*ROUND(Source!R74, 2), 2)</f>
        <v>0</v>
      </c>
      <c r="V203">
        <f>ROUND((0/100)*ROUND(Source!R75, 2), 2)</f>
        <v>0</v>
      </c>
      <c r="AC203">
        <v>3</v>
      </c>
    </row>
    <row r="204" spans="1:29" ht="57" hidden="1" x14ac:dyDescent="0.2">
      <c r="A204" s="19" t="s">
        <v>147</v>
      </c>
      <c r="B204" s="19" t="str">
        <f>Source!F76</f>
        <v>1.12-11-47</v>
      </c>
      <c r="C204" s="19" t="s">
        <v>149</v>
      </c>
      <c r="D204" s="21" t="str">
        <f>Source!H76</f>
        <v>шт.</v>
      </c>
      <c r="E204" s="20">
        <f>Source!I76</f>
        <v>8</v>
      </c>
      <c r="F204" s="23">
        <f>Source!AK76</f>
        <v>87.96</v>
      </c>
      <c r="G204" s="35" t="s">
        <v>3</v>
      </c>
      <c r="H204" s="20">
        <f>Source!AW77</f>
        <v>1</v>
      </c>
      <c r="I204" s="23">
        <f>Source!O76</f>
        <v>703.68</v>
      </c>
      <c r="J204" s="20">
        <f>IF(Source!BC77&lt;&gt; 0, Source!BC77, 1)</f>
        <v>3.68</v>
      </c>
      <c r="K204" s="23">
        <f>Source!O77</f>
        <v>2589.54</v>
      </c>
      <c r="L204"/>
      <c r="Q204">
        <f>Source!X76</f>
        <v>0</v>
      </c>
      <c r="R204">
        <f>Source!X77</f>
        <v>0</v>
      </c>
      <c r="S204">
        <f>Source!Y76</f>
        <v>0</v>
      </c>
      <c r="T204">
        <f>Source!Y77</f>
        <v>0</v>
      </c>
      <c r="U204">
        <f>ROUND((175/100)*ROUND(Source!R76, 2), 2)</f>
        <v>0</v>
      </c>
      <c r="V204">
        <f>ROUND((0/100)*ROUND(Source!R77, 2), 2)</f>
        <v>0</v>
      </c>
      <c r="AC204">
        <v>3</v>
      </c>
    </row>
    <row r="205" spans="1:29" ht="14.25" hidden="1" x14ac:dyDescent="0.2">
      <c r="A205" s="19"/>
      <c r="B205" s="19"/>
      <c r="C205" s="19" t="s">
        <v>713</v>
      </c>
      <c r="D205" s="21" t="s">
        <v>714</v>
      </c>
      <c r="E205" s="20">
        <f>Source!BZ73</f>
        <v>90</v>
      </c>
      <c r="F205" s="23"/>
      <c r="G205" s="22"/>
      <c r="H205" s="20"/>
      <c r="I205" s="23">
        <f>SUM(Q197:Q204)</f>
        <v>1168.03</v>
      </c>
      <c r="J205" s="20">
        <f>Source!AT73</f>
        <v>90</v>
      </c>
      <c r="K205" s="23">
        <f>SUM(R197:R204)</f>
        <v>65818.429999999993</v>
      </c>
      <c r="L205"/>
    </row>
    <row r="206" spans="1:29" ht="14.25" hidden="1" x14ac:dyDescent="0.2">
      <c r="A206" s="19"/>
      <c r="B206" s="19"/>
      <c r="C206" s="19" t="s">
        <v>715</v>
      </c>
      <c r="D206" s="21" t="s">
        <v>714</v>
      </c>
      <c r="E206" s="20">
        <f>Source!CA73</f>
        <v>46</v>
      </c>
      <c r="F206" s="23"/>
      <c r="G206" s="22"/>
      <c r="H206" s="20"/>
      <c r="I206" s="23">
        <f>SUM(S197:S205)</f>
        <v>596.99</v>
      </c>
      <c r="J206" s="20">
        <f>Source!AU73</f>
        <v>46</v>
      </c>
      <c r="K206" s="23">
        <f>SUM(T197:T205)</f>
        <v>33640.53</v>
      </c>
      <c r="L206"/>
    </row>
    <row r="207" spans="1:29" ht="14.25" hidden="1" x14ac:dyDescent="0.2">
      <c r="A207" s="25"/>
      <c r="B207" s="25"/>
      <c r="C207" s="25" t="s">
        <v>716</v>
      </c>
      <c r="D207" s="26" t="s">
        <v>717</v>
      </c>
      <c r="E207" s="27">
        <f>Source!AQ72</f>
        <v>5</v>
      </c>
      <c r="F207" s="28"/>
      <c r="G207" s="29" t="s">
        <v>91</v>
      </c>
      <c r="H207" s="27">
        <f>Source!AV73</f>
        <v>1.0669999999999999</v>
      </c>
      <c r="I207" s="28">
        <f>Source!U72</f>
        <v>102.43199999999999</v>
      </c>
      <c r="J207" s="27"/>
      <c r="K207" s="28"/>
      <c r="L207"/>
    </row>
    <row r="208" spans="1:29" ht="15" hidden="1" x14ac:dyDescent="0.2">
      <c r="C208" s="30" t="s">
        <v>718</v>
      </c>
      <c r="H208" s="42">
        <f>I199+I200+I202+I205+I206+SUM(I203:I204)-SUMIF(AC203:AC204, 5, I203:I204)-SUMIF(AC203:AC204, 6, I203:I204)</f>
        <v>5219.16</v>
      </c>
      <c r="I208" s="42"/>
      <c r="J208" s="42">
        <f>K199+K200+K202+K205+K206+SUM(K203:K204)-SUMIF(AC203:AC204, 5, K203:K204)-SUMIF(AC203:AC204, 6, K203:K204)</f>
        <v>187011.09000000003</v>
      </c>
      <c r="K208" s="42"/>
      <c r="L208"/>
    </row>
    <row r="209" spans="1:29" ht="15" hidden="1" x14ac:dyDescent="0.2">
      <c r="C209" s="30" t="s">
        <v>719</v>
      </c>
      <c r="H209" s="43">
        <f>SUMIF(AC203:AC204, 5, I203:I204)+SUMIF(AC203:AC204, 6, I203:I204)</f>
        <v>0</v>
      </c>
      <c r="I209" s="43"/>
      <c r="J209" s="43">
        <f>SUMIF(AC203:AC204, 5, K203:K204)+SUMIF(AC203:AC204, 6, K203:K204)</f>
        <v>0</v>
      </c>
      <c r="K209" s="43"/>
      <c r="L209"/>
    </row>
    <row r="210" spans="1:29" ht="15" hidden="1" x14ac:dyDescent="0.2">
      <c r="C210" s="30" t="s">
        <v>720</v>
      </c>
      <c r="H210" s="43">
        <f>I199+I200+I202+I205+I206+SUM(I203:I204)</f>
        <v>5219.16</v>
      </c>
      <c r="I210" s="43"/>
      <c r="J210" s="43">
        <f>K199+K200+K202+K205+K206+SUM(K203:K204)</f>
        <v>187011.09000000003</v>
      </c>
      <c r="K210" s="43"/>
      <c r="L210"/>
      <c r="O210" s="31">
        <f>I199+I200+I202+I205+I206+SUM(I203:I204)</f>
        <v>5219.16</v>
      </c>
      <c r="P210" s="31">
        <f>K199+K200+K202+K205+K206+SUM(K203:K204)</f>
        <v>187011.09000000003</v>
      </c>
    </row>
    <row r="211" spans="1:29" hidden="1" x14ac:dyDescent="0.2">
      <c r="L211"/>
    </row>
    <row r="212" spans="1:29" ht="57" hidden="1" x14ac:dyDescent="0.2">
      <c r="A212" s="19">
        <v>16</v>
      </c>
      <c r="B212" s="19" t="str">
        <f>Source!F78</f>
        <v>4.12-56-9</v>
      </c>
      <c r="C212" s="19" t="s">
        <v>153</v>
      </c>
      <c r="D212" s="21" t="str">
        <f>Source!H78</f>
        <v>1  ШТ.</v>
      </c>
      <c r="E212" s="20">
        <f>Source!I78</f>
        <v>2</v>
      </c>
      <c r="F212" s="23"/>
      <c r="G212" s="22"/>
      <c r="H212" s="20"/>
      <c r="I212" s="23"/>
      <c r="J212" s="20"/>
      <c r="K212" s="23"/>
      <c r="L212"/>
      <c r="Q212">
        <f>Source!X78</f>
        <v>221.35</v>
      </c>
      <c r="R212">
        <f>Source!X79</f>
        <v>12472.85</v>
      </c>
      <c r="S212">
        <f>Source!Y78</f>
        <v>113.13</v>
      </c>
      <c r="T212">
        <f>Source!Y79</f>
        <v>6375.01</v>
      </c>
      <c r="U212">
        <f>ROUND((175/100)*ROUND(Source!R78, 2), 2)</f>
        <v>0.57999999999999996</v>
      </c>
      <c r="V212">
        <f>ROUND((0/100)*ROUND(Source!R79, 2), 2)</f>
        <v>0</v>
      </c>
      <c r="AC212">
        <v>0</v>
      </c>
    </row>
    <row r="213" spans="1:29" ht="14.25" hidden="1" x14ac:dyDescent="0.2">
      <c r="A213" s="19"/>
      <c r="B213" s="19"/>
      <c r="C213" s="19" t="s">
        <v>707</v>
      </c>
      <c r="D213" s="21"/>
      <c r="E213" s="20"/>
      <c r="F213" s="23">
        <f>Source!AO78</f>
        <v>95.91</v>
      </c>
      <c r="G213" s="22" t="s">
        <v>91</v>
      </c>
      <c r="H213" s="20">
        <f>Source!AV79</f>
        <v>1.0669999999999999</v>
      </c>
      <c r="I213" s="23">
        <f>Source!S78</f>
        <v>245.61</v>
      </c>
      <c r="J213" s="20">
        <f>IF(Source!BA79&lt;&gt; 0, Source!BA79, 1)</f>
        <v>56.35</v>
      </c>
      <c r="K213" s="23">
        <f>Source!S79</f>
        <v>13840.12</v>
      </c>
      <c r="L213"/>
    </row>
    <row r="214" spans="1:29" ht="14.25" hidden="1" x14ac:dyDescent="0.2">
      <c r="A214" s="19"/>
      <c r="B214" s="19"/>
      <c r="C214" s="19" t="s">
        <v>709</v>
      </c>
      <c r="D214" s="21"/>
      <c r="E214" s="20"/>
      <c r="F214" s="23">
        <f>Source!AM78</f>
        <v>7.94</v>
      </c>
      <c r="G214" s="22" t="s">
        <v>91</v>
      </c>
      <c r="H214" s="20">
        <f>Source!AV79</f>
        <v>1.0669999999999999</v>
      </c>
      <c r="I214" s="23">
        <f>Source!Q78</f>
        <v>20.329999999999998</v>
      </c>
      <c r="J214" s="20">
        <f>IF(Source!BB79&lt;&gt; 0, Source!BB79, 1)</f>
        <v>13.84</v>
      </c>
      <c r="K214" s="23">
        <f>Source!Q79</f>
        <v>281.37</v>
      </c>
      <c r="L214"/>
    </row>
    <row r="215" spans="1:29" ht="14.25" hidden="1" x14ac:dyDescent="0.2">
      <c r="A215" s="19"/>
      <c r="B215" s="19"/>
      <c r="C215" s="19" t="s">
        <v>710</v>
      </c>
      <c r="D215" s="21"/>
      <c r="E215" s="20"/>
      <c r="F215" s="23">
        <f>Source!AN78</f>
        <v>0.13</v>
      </c>
      <c r="G215" s="22" t="s">
        <v>91</v>
      </c>
      <c r="H215" s="20">
        <f>Source!AV79</f>
        <v>1.0669999999999999</v>
      </c>
      <c r="I215" s="24">
        <f>Source!R78</f>
        <v>0.33</v>
      </c>
      <c r="J215" s="20">
        <f>IF(Source!BS79&lt;&gt; 0, Source!BS79, 1)</f>
        <v>56.35</v>
      </c>
      <c r="K215" s="24">
        <f>Source!R79</f>
        <v>18.600000000000001</v>
      </c>
      <c r="L215"/>
    </row>
    <row r="216" spans="1:29" ht="14.25" hidden="1" x14ac:dyDescent="0.2">
      <c r="A216" s="19"/>
      <c r="B216" s="19"/>
      <c r="C216" s="19" t="s">
        <v>711</v>
      </c>
      <c r="D216" s="21"/>
      <c r="E216" s="20"/>
      <c r="F216" s="23">
        <f>Source!AL78</f>
        <v>3.5</v>
      </c>
      <c r="G216" s="22"/>
      <c r="H216" s="20">
        <f>Source!AW79</f>
        <v>1.028</v>
      </c>
      <c r="I216" s="23">
        <f>Source!P78</f>
        <v>7.2</v>
      </c>
      <c r="J216" s="20">
        <f>IF(Source!BC79&lt;&gt; 0, Source!BC79, 1)</f>
        <v>10.51</v>
      </c>
      <c r="K216" s="23">
        <f>Source!P79</f>
        <v>75.67</v>
      </c>
      <c r="L216"/>
    </row>
    <row r="217" spans="1:29" ht="57" hidden="1" x14ac:dyDescent="0.2">
      <c r="A217" s="19" t="s">
        <v>155</v>
      </c>
      <c r="B217" s="19" t="str">
        <f>Source!F80</f>
        <v>1.17-7-46</v>
      </c>
      <c r="C217" s="19" t="s">
        <v>157</v>
      </c>
      <c r="D217" s="21" t="str">
        <f>Source!H80</f>
        <v>шт.</v>
      </c>
      <c r="E217" s="20">
        <f>Source!I80</f>
        <v>2</v>
      </c>
      <c r="F217" s="23">
        <f>Source!AK80</f>
        <v>38.630000000000003</v>
      </c>
      <c r="G217" s="35" t="s">
        <v>3</v>
      </c>
      <c r="H217" s="20">
        <f>Source!AW81</f>
        <v>1</v>
      </c>
      <c r="I217" s="23">
        <f>Source!O80</f>
        <v>77.260000000000005</v>
      </c>
      <c r="J217" s="20">
        <f>IF(Source!BC81&lt;&gt; 0, Source!BC81, 1)</f>
        <v>4.5999999999999996</v>
      </c>
      <c r="K217" s="23">
        <f>Source!O81</f>
        <v>355.4</v>
      </c>
      <c r="L217"/>
      <c r="Q217">
        <f>Source!X80</f>
        <v>0</v>
      </c>
      <c r="R217">
        <f>Source!X81</f>
        <v>0</v>
      </c>
      <c r="S217">
        <f>Source!Y80</f>
        <v>0</v>
      </c>
      <c r="T217">
        <f>Source!Y81</f>
        <v>0</v>
      </c>
      <c r="U217">
        <f>ROUND((175/100)*ROUND(Source!R80, 2), 2)</f>
        <v>0</v>
      </c>
      <c r="V217">
        <f>ROUND((0/100)*ROUND(Source!R81, 2), 2)</f>
        <v>0</v>
      </c>
      <c r="AC217">
        <v>3</v>
      </c>
    </row>
    <row r="218" spans="1:29" ht="14.25" hidden="1" x14ac:dyDescent="0.2">
      <c r="A218" s="19"/>
      <c r="B218" s="19"/>
      <c r="C218" s="19" t="s">
        <v>713</v>
      </c>
      <c r="D218" s="21" t="s">
        <v>714</v>
      </c>
      <c r="E218" s="20">
        <f>Source!BZ79</f>
        <v>90</v>
      </c>
      <c r="F218" s="23"/>
      <c r="G218" s="22"/>
      <c r="H218" s="20"/>
      <c r="I218" s="23">
        <f>SUM(Q212:Q217)</f>
        <v>221.35</v>
      </c>
      <c r="J218" s="20">
        <f>Source!AT79</f>
        <v>90</v>
      </c>
      <c r="K218" s="23">
        <f>SUM(R212:R217)</f>
        <v>12472.85</v>
      </c>
      <c r="L218"/>
    </row>
    <row r="219" spans="1:29" ht="14.25" hidden="1" x14ac:dyDescent="0.2">
      <c r="A219" s="19"/>
      <c r="B219" s="19"/>
      <c r="C219" s="19" t="s">
        <v>715</v>
      </c>
      <c r="D219" s="21" t="s">
        <v>714</v>
      </c>
      <c r="E219" s="20">
        <f>Source!CA79</f>
        <v>46</v>
      </c>
      <c r="F219" s="23"/>
      <c r="G219" s="22"/>
      <c r="H219" s="20"/>
      <c r="I219" s="23">
        <f>SUM(S212:S218)</f>
        <v>113.13</v>
      </c>
      <c r="J219" s="20">
        <f>Source!AU79</f>
        <v>46</v>
      </c>
      <c r="K219" s="23">
        <f>SUM(T212:T218)</f>
        <v>6375.01</v>
      </c>
      <c r="L219"/>
    </row>
    <row r="220" spans="1:29" ht="14.25" hidden="1" x14ac:dyDescent="0.2">
      <c r="A220" s="25"/>
      <c r="B220" s="25"/>
      <c r="C220" s="25" t="s">
        <v>716</v>
      </c>
      <c r="D220" s="26" t="s">
        <v>717</v>
      </c>
      <c r="E220" s="27">
        <f>Source!AQ78</f>
        <v>7.6</v>
      </c>
      <c r="F220" s="28"/>
      <c r="G220" s="29" t="s">
        <v>91</v>
      </c>
      <c r="H220" s="27">
        <f>Source!AV79</f>
        <v>1.0669999999999999</v>
      </c>
      <c r="I220" s="28">
        <f>Source!U78</f>
        <v>19.462079999999997</v>
      </c>
      <c r="J220" s="27"/>
      <c r="K220" s="28"/>
      <c r="L220"/>
    </row>
    <row r="221" spans="1:29" ht="15" hidden="1" x14ac:dyDescent="0.2">
      <c r="C221" s="30" t="s">
        <v>718</v>
      </c>
      <c r="H221" s="42">
        <f>I213+I214+I216+I218+I219+SUM(I217:I217)-SUMIF(AC217:AC217, 5, I217:I217)-SUMIF(AC217:AC217, 6, I217:I217)</f>
        <v>684.88</v>
      </c>
      <c r="I221" s="42"/>
      <c r="J221" s="42">
        <f>K213+K214+K216+K218+K219+SUM(K217:K217)-SUMIF(AC217:AC217, 5, K217:K217)-SUMIF(AC217:AC217, 6, K217:K217)</f>
        <v>33400.420000000006</v>
      </c>
      <c r="K221" s="42"/>
      <c r="L221"/>
    </row>
    <row r="222" spans="1:29" ht="15" hidden="1" x14ac:dyDescent="0.2">
      <c r="C222" s="30" t="s">
        <v>719</v>
      </c>
      <c r="H222" s="43">
        <f>SUMIF(AC217:AC217, 5, I217:I217)+SUMIF(AC217:AC217, 6, I217:I217)</f>
        <v>0</v>
      </c>
      <c r="I222" s="43"/>
      <c r="J222" s="43">
        <f>SUMIF(AC217:AC217, 5, K217:K217)+SUMIF(AC217:AC217, 6, K217:K217)</f>
        <v>0</v>
      </c>
      <c r="K222" s="43"/>
      <c r="L222"/>
    </row>
    <row r="223" spans="1:29" ht="15" hidden="1" x14ac:dyDescent="0.2">
      <c r="C223" s="30" t="s">
        <v>720</v>
      </c>
      <c r="H223" s="43">
        <f>I213+I214+I216+I218+I219+SUM(I217:I217)</f>
        <v>684.88</v>
      </c>
      <c r="I223" s="43"/>
      <c r="J223" s="43">
        <f>K213+K214+K216+K218+K219+SUM(K217:K217)</f>
        <v>33400.420000000006</v>
      </c>
      <c r="K223" s="43"/>
      <c r="L223"/>
      <c r="O223" s="31">
        <f>I213+I214+I216+I218+I219+SUM(I217:I217)</f>
        <v>684.88</v>
      </c>
      <c r="P223" s="31">
        <f>K213+K214+K216+K218+K219+SUM(K217:K217)</f>
        <v>33400.420000000006</v>
      </c>
    </row>
    <row r="224" spans="1:29" hidden="1" x14ac:dyDescent="0.2">
      <c r="L224"/>
    </row>
    <row r="225" spans="1:29" ht="57" hidden="1" x14ac:dyDescent="0.2">
      <c r="A225" s="19">
        <v>17</v>
      </c>
      <c r="B225" s="19" t="str">
        <f>Source!F82</f>
        <v>4.12-56-5</v>
      </c>
      <c r="C225" s="19" t="s">
        <v>161</v>
      </c>
      <c r="D225" s="21" t="str">
        <f>Source!H82</f>
        <v>1  ШТ.</v>
      </c>
      <c r="E225" s="20">
        <f>Source!I82</f>
        <v>3</v>
      </c>
      <c r="F225" s="23"/>
      <c r="G225" s="22"/>
      <c r="H225" s="20"/>
      <c r="I225" s="23"/>
      <c r="J225" s="20"/>
      <c r="K225" s="23"/>
      <c r="L225"/>
      <c r="Q225">
        <f>Source!X82</f>
        <v>209.43</v>
      </c>
      <c r="R225">
        <f>Source!X83</f>
        <v>11801.39</v>
      </c>
      <c r="S225">
        <f>Source!Y82</f>
        <v>107.04</v>
      </c>
      <c r="T225">
        <f>Source!Y83</f>
        <v>6031.82</v>
      </c>
      <c r="U225">
        <f>ROUND((175/100)*ROUND(Source!R82, 2), 2)</f>
        <v>0</v>
      </c>
      <c r="V225">
        <f>ROUND((0/100)*ROUND(Source!R83, 2), 2)</f>
        <v>0</v>
      </c>
      <c r="AC225">
        <v>0</v>
      </c>
    </row>
    <row r="226" spans="1:29" hidden="1" x14ac:dyDescent="0.2">
      <c r="C226" s="32" t="str">
        <f>"Объем: "&amp;Source!I82&amp;"=2+"&amp;"1"</f>
        <v>Объем: 3=2+1</v>
      </c>
      <c r="L226"/>
    </row>
    <row r="227" spans="1:29" ht="14.25" hidden="1" x14ac:dyDescent="0.2">
      <c r="A227" s="19"/>
      <c r="B227" s="19"/>
      <c r="C227" s="19" t="s">
        <v>707</v>
      </c>
      <c r="D227" s="21"/>
      <c r="E227" s="20"/>
      <c r="F227" s="23">
        <f>Source!AO82</f>
        <v>60.58</v>
      </c>
      <c r="G227" s="22" t="s">
        <v>91</v>
      </c>
      <c r="H227" s="20">
        <f>Source!AV83</f>
        <v>1.0669999999999999</v>
      </c>
      <c r="I227" s="23">
        <f>Source!S82</f>
        <v>232.7</v>
      </c>
      <c r="J227" s="20">
        <f>IF(Source!BA83&lt;&gt; 0, Source!BA83, 1)</f>
        <v>56.35</v>
      </c>
      <c r="K227" s="23">
        <f>Source!S83</f>
        <v>13112.65</v>
      </c>
      <c r="L227"/>
    </row>
    <row r="228" spans="1:29" ht="14.25" hidden="1" x14ac:dyDescent="0.2">
      <c r="A228" s="19"/>
      <c r="B228" s="19"/>
      <c r="C228" s="19" t="s">
        <v>709</v>
      </c>
      <c r="D228" s="21"/>
      <c r="E228" s="20"/>
      <c r="F228" s="23">
        <f>Source!AM82</f>
        <v>3.77</v>
      </c>
      <c r="G228" s="22" t="s">
        <v>91</v>
      </c>
      <c r="H228" s="20">
        <f>Source!AV83</f>
        <v>1.0669999999999999</v>
      </c>
      <c r="I228" s="23">
        <f>Source!Q82</f>
        <v>14.48</v>
      </c>
      <c r="J228" s="20">
        <f>IF(Source!BB83&lt;&gt; 0, Source!BB83, 1)</f>
        <v>13.45</v>
      </c>
      <c r="K228" s="23">
        <f>Source!Q83</f>
        <v>194.76</v>
      </c>
      <c r="L228"/>
    </row>
    <row r="229" spans="1:29" ht="14.25" hidden="1" x14ac:dyDescent="0.2">
      <c r="A229" s="19"/>
      <c r="B229" s="19"/>
      <c r="C229" s="19" t="s">
        <v>711</v>
      </c>
      <c r="D229" s="21"/>
      <c r="E229" s="20"/>
      <c r="F229" s="23">
        <f>Source!AL82</f>
        <v>13.48</v>
      </c>
      <c r="G229" s="22"/>
      <c r="H229" s="20">
        <f>Source!AW83</f>
        <v>1.028</v>
      </c>
      <c r="I229" s="23">
        <f>Source!P82</f>
        <v>41.57</v>
      </c>
      <c r="J229" s="20">
        <f>IF(Source!BC83&lt;&gt; 0, Source!BC83, 1)</f>
        <v>5.68</v>
      </c>
      <c r="K229" s="23">
        <f>Source!P83</f>
        <v>236.12</v>
      </c>
      <c r="L229"/>
    </row>
    <row r="230" spans="1:29" ht="57" hidden="1" x14ac:dyDescent="0.2">
      <c r="A230" s="19" t="s">
        <v>163</v>
      </c>
      <c r="B230" s="19" t="str">
        <f>Source!F84</f>
        <v>1.13-4-128</v>
      </c>
      <c r="C230" s="19" t="s">
        <v>165</v>
      </c>
      <c r="D230" s="21" t="str">
        <f>Source!H84</f>
        <v>шт.</v>
      </c>
      <c r="E230" s="20">
        <f>Source!I84</f>
        <v>2</v>
      </c>
      <c r="F230" s="23">
        <f>Source!AK84</f>
        <v>139.83000000000001</v>
      </c>
      <c r="G230" s="35" t="s">
        <v>3</v>
      </c>
      <c r="H230" s="20">
        <f>Source!AW85</f>
        <v>1</v>
      </c>
      <c r="I230" s="23">
        <f>Source!O84</f>
        <v>279.66000000000003</v>
      </c>
      <c r="J230" s="20">
        <f>IF(Source!BC85&lt;&gt; 0, Source!BC85, 1)</f>
        <v>3.35</v>
      </c>
      <c r="K230" s="23">
        <f>Source!O85</f>
        <v>936.86</v>
      </c>
      <c r="L230"/>
      <c r="Q230">
        <f>Source!X84</f>
        <v>0</v>
      </c>
      <c r="R230">
        <f>Source!X85</f>
        <v>0</v>
      </c>
      <c r="S230">
        <f>Source!Y84</f>
        <v>0</v>
      </c>
      <c r="T230">
        <f>Source!Y85</f>
        <v>0</v>
      </c>
      <c r="U230">
        <f>ROUND((175/100)*ROUND(Source!R84, 2), 2)</f>
        <v>0</v>
      </c>
      <c r="V230">
        <f>ROUND((0/100)*ROUND(Source!R85, 2), 2)</f>
        <v>0</v>
      </c>
      <c r="AC230">
        <v>3</v>
      </c>
    </row>
    <row r="231" spans="1:29" ht="71.25" hidden="1" x14ac:dyDescent="0.2">
      <c r="A231" s="19" t="s">
        <v>167</v>
      </c>
      <c r="B231" s="19" t="str">
        <f>Source!F86</f>
        <v>1.13-3-40</v>
      </c>
      <c r="C231" s="19" t="s">
        <v>169</v>
      </c>
      <c r="D231" s="21" t="str">
        <f>Source!H86</f>
        <v>шт.</v>
      </c>
      <c r="E231" s="20">
        <f>Source!I86</f>
        <v>1</v>
      </c>
      <c r="F231" s="23">
        <f>Source!AK86</f>
        <v>279.67</v>
      </c>
      <c r="G231" s="35" t="s">
        <v>3</v>
      </c>
      <c r="H231" s="20">
        <f>Source!AW87</f>
        <v>1</v>
      </c>
      <c r="I231" s="23">
        <f>Source!O86</f>
        <v>279.67</v>
      </c>
      <c r="J231" s="20">
        <f>IF(Source!BC87&lt;&gt; 0, Source!BC87, 1)</f>
        <v>2.64</v>
      </c>
      <c r="K231" s="23">
        <f>Source!O87</f>
        <v>738.33</v>
      </c>
      <c r="L231"/>
      <c r="Q231">
        <f>Source!X86</f>
        <v>0</v>
      </c>
      <c r="R231">
        <f>Source!X87</f>
        <v>0</v>
      </c>
      <c r="S231">
        <f>Source!Y86</f>
        <v>0</v>
      </c>
      <c r="T231">
        <f>Source!Y87</f>
        <v>0</v>
      </c>
      <c r="U231">
        <f>ROUND((175/100)*ROUND(Source!R86, 2), 2)</f>
        <v>0</v>
      </c>
      <c r="V231">
        <f>ROUND((0/100)*ROUND(Source!R87, 2), 2)</f>
        <v>0</v>
      </c>
      <c r="AC231">
        <v>3</v>
      </c>
    </row>
    <row r="232" spans="1:29" ht="14.25" hidden="1" x14ac:dyDescent="0.2">
      <c r="A232" s="19"/>
      <c r="B232" s="19"/>
      <c r="C232" s="19" t="s">
        <v>713</v>
      </c>
      <c r="D232" s="21" t="s">
        <v>714</v>
      </c>
      <c r="E232" s="20">
        <f>Source!BZ83</f>
        <v>90</v>
      </c>
      <c r="F232" s="23"/>
      <c r="G232" s="22"/>
      <c r="H232" s="20"/>
      <c r="I232" s="23">
        <f>SUM(Q225:Q231)</f>
        <v>209.43</v>
      </c>
      <c r="J232" s="20">
        <f>Source!AT83</f>
        <v>90</v>
      </c>
      <c r="K232" s="23">
        <f>SUM(R225:R231)</f>
        <v>11801.39</v>
      </c>
      <c r="L232"/>
    </row>
    <row r="233" spans="1:29" ht="14.25" hidden="1" x14ac:dyDescent="0.2">
      <c r="A233" s="19"/>
      <c r="B233" s="19"/>
      <c r="C233" s="19" t="s">
        <v>715</v>
      </c>
      <c r="D233" s="21" t="s">
        <v>714</v>
      </c>
      <c r="E233" s="20">
        <f>Source!CA83</f>
        <v>46</v>
      </c>
      <c r="F233" s="23"/>
      <c r="G233" s="22"/>
      <c r="H233" s="20"/>
      <c r="I233" s="23">
        <f>SUM(S225:S232)</f>
        <v>107.04</v>
      </c>
      <c r="J233" s="20">
        <f>Source!AU83</f>
        <v>46</v>
      </c>
      <c r="K233" s="23">
        <f>SUM(T225:T232)</f>
        <v>6031.82</v>
      </c>
      <c r="L233"/>
    </row>
    <row r="234" spans="1:29" ht="14.25" hidden="1" x14ac:dyDescent="0.2">
      <c r="A234" s="25"/>
      <c r="B234" s="25"/>
      <c r="C234" s="25" t="s">
        <v>716</v>
      </c>
      <c r="D234" s="26" t="s">
        <v>717</v>
      </c>
      <c r="E234" s="27">
        <f>Source!AQ82</f>
        <v>4.8</v>
      </c>
      <c r="F234" s="28"/>
      <c r="G234" s="29" t="s">
        <v>91</v>
      </c>
      <c r="H234" s="27">
        <f>Source!AV83</f>
        <v>1.0669999999999999</v>
      </c>
      <c r="I234" s="28">
        <f>Source!U82</f>
        <v>18.437759999999997</v>
      </c>
      <c r="J234" s="27"/>
      <c r="K234" s="28"/>
      <c r="L234"/>
    </row>
    <row r="235" spans="1:29" ht="15" hidden="1" x14ac:dyDescent="0.2">
      <c r="C235" s="30" t="s">
        <v>718</v>
      </c>
      <c r="H235" s="42">
        <f>I227+I228+I229+I232+I233+SUM(I230:I231)-SUMIF(AC230:AC231, 5, I230:I231)-SUMIF(AC230:AC231, 6, I230:I231)</f>
        <v>1164.5500000000002</v>
      </c>
      <c r="I235" s="42"/>
      <c r="J235" s="42">
        <f>K227+K228+K229+K232+K233+SUM(K230:K231)-SUMIF(AC230:AC231, 5, K230:K231)-SUMIF(AC230:AC231, 6, K230:K231)</f>
        <v>33051.93</v>
      </c>
      <c r="K235" s="42"/>
      <c r="L235"/>
    </row>
    <row r="236" spans="1:29" ht="15" hidden="1" x14ac:dyDescent="0.2">
      <c r="C236" s="30" t="s">
        <v>719</v>
      </c>
      <c r="H236" s="43">
        <f>SUMIF(AC230:AC231, 5, I230:I231)+SUMIF(AC230:AC231, 6, I230:I231)</f>
        <v>0</v>
      </c>
      <c r="I236" s="43"/>
      <c r="J236" s="43">
        <f>SUMIF(AC230:AC231, 5, K230:K231)+SUMIF(AC230:AC231, 6, K230:K231)</f>
        <v>0</v>
      </c>
      <c r="K236" s="43"/>
      <c r="L236"/>
    </row>
    <row r="237" spans="1:29" ht="15" hidden="1" x14ac:dyDescent="0.2">
      <c r="C237" s="30" t="s">
        <v>720</v>
      </c>
      <c r="H237" s="43">
        <f>I227+I228+I229+I232+I233+SUM(I230:I231)</f>
        <v>1164.5500000000002</v>
      </c>
      <c r="I237" s="43"/>
      <c r="J237" s="43">
        <f>K227+K228+K229+K232+K233+SUM(K230:K231)</f>
        <v>33051.93</v>
      </c>
      <c r="K237" s="43"/>
      <c r="L237"/>
      <c r="O237" s="31">
        <f>I227+I228+I229+I232+I233+SUM(I230:I231)</f>
        <v>1164.5500000000002</v>
      </c>
      <c r="P237" s="31">
        <f>K227+K228+K229+K232+K233+SUM(K230:K231)</f>
        <v>33051.93</v>
      </c>
    </row>
    <row r="238" spans="1:29" hidden="1" x14ac:dyDescent="0.2">
      <c r="L238"/>
    </row>
    <row r="239" spans="1:29" ht="85.5" hidden="1" x14ac:dyDescent="0.2">
      <c r="A239" s="19">
        <v>18</v>
      </c>
      <c r="B239" s="19" t="str">
        <f>Source!F88</f>
        <v>4.12-32-4</v>
      </c>
      <c r="C239" s="19" t="s">
        <v>173</v>
      </c>
      <c r="D239" s="21" t="str">
        <f>Source!H88</f>
        <v>100 м</v>
      </c>
      <c r="E239" s="20">
        <f>Source!I88</f>
        <v>0.2</v>
      </c>
      <c r="F239" s="23"/>
      <c r="G239" s="22"/>
      <c r="H239" s="20"/>
      <c r="I239" s="23"/>
      <c r="J239" s="20"/>
      <c r="K239" s="23"/>
      <c r="L239"/>
      <c r="Q239">
        <f>Source!X88</f>
        <v>629.27</v>
      </c>
      <c r="R239">
        <f>Source!X89</f>
        <v>35459.42</v>
      </c>
      <c r="S239">
        <f>Source!Y88</f>
        <v>321.63</v>
      </c>
      <c r="T239">
        <f>Source!Y89</f>
        <v>18123.7</v>
      </c>
      <c r="U239">
        <f>ROUND((175/100)*ROUND(Source!R88, 2), 2)</f>
        <v>81.17</v>
      </c>
      <c r="V239">
        <f>ROUND((0/100)*ROUND(Source!R89, 2), 2)</f>
        <v>0</v>
      </c>
      <c r="AC239">
        <v>0</v>
      </c>
    </row>
    <row r="240" spans="1:29" hidden="1" x14ac:dyDescent="0.2">
      <c r="C240" s="32" t="str">
        <f>"Объем: "&amp;Source!I88&amp;"=(20)/"&amp;"100"</f>
        <v>Объем: 0,2=(20)/100</v>
      </c>
      <c r="L240"/>
    </row>
    <row r="241" spans="1:29" ht="14.25" hidden="1" x14ac:dyDescent="0.2">
      <c r="A241" s="19"/>
      <c r="B241" s="19"/>
      <c r="C241" s="19" t="s">
        <v>707</v>
      </c>
      <c r="D241" s="21"/>
      <c r="E241" s="20"/>
      <c r="F241" s="23">
        <f>Source!AO88</f>
        <v>2549.2399999999998</v>
      </c>
      <c r="G241" s="22" t="s">
        <v>91</v>
      </c>
      <c r="H241" s="20">
        <f>Source!AV89</f>
        <v>1.0669999999999999</v>
      </c>
      <c r="I241" s="23">
        <f>Source!S88</f>
        <v>652.80999999999995</v>
      </c>
      <c r="J241" s="20">
        <f>IF(Source!BA89&lt;&gt; 0, Source!BA89, 1)</f>
        <v>56.35</v>
      </c>
      <c r="K241" s="23">
        <f>Source!S89</f>
        <v>36785.839999999997</v>
      </c>
      <c r="L241"/>
    </row>
    <row r="242" spans="1:29" ht="14.25" hidden="1" x14ac:dyDescent="0.2">
      <c r="A242" s="19"/>
      <c r="B242" s="19"/>
      <c r="C242" s="19" t="s">
        <v>709</v>
      </c>
      <c r="D242" s="21"/>
      <c r="E242" s="20"/>
      <c r="F242" s="23">
        <f>Source!AM88</f>
        <v>1045.75</v>
      </c>
      <c r="G242" s="22" t="s">
        <v>91</v>
      </c>
      <c r="H242" s="20">
        <f>Source!AV89</f>
        <v>1.0669999999999999</v>
      </c>
      <c r="I242" s="23">
        <f>Source!Q88</f>
        <v>267.8</v>
      </c>
      <c r="J242" s="20">
        <f>IF(Source!BB89&lt;&gt; 0, Source!BB89, 1)</f>
        <v>19.5</v>
      </c>
      <c r="K242" s="23">
        <f>Source!Q89</f>
        <v>5222.1000000000004</v>
      </c>
      <c r="L242"/>
    </row>
    <row r="243" spans="1:29" ht="14.25" hidden="1" x14ac:dyDescent="0.2">
      <c r="A243" s="19"/>
      <c r="B243" s="19"/>
      <c r="C243" s="19" t="s">
        <v>710</v>
      </c>
      <c r="D243" s="21"/>
      <c r="E243" s="20"/>
      <c r="F243" s="23">
        <f>Source!AN88</f>
        <v>181.1</v>
      </c>
      <c r="G243" s="22" t="s">
        <v>91</v>
      </c>
      <c r="H243" s="20">
        <f>Source!AV89</f>
        <v>1.0669999999999999</v>
      </c>
      <c r="I243" s="24">
        <f>Source!R88</f>
        <v>46.38</v>
      </c>
      <c r="J243" s="20">
        <f>IF(Source!BS89&lt;&gt; 0, Source!BS89, 1)</f>
        <v>56.35</v>
      </c>
      <c r="K243" s="24">
        <f>Source!R89</f>
        <v>2613.5100000000002</v>
      </c>
      <c r="L243"/>
    </row>
    <row r="244" spans="1:29" ht="14.25" hidden="1" x14ac:dyDescent="0.2">
      <c r="A244" s="19"/>
      <c r="B244" s="19"/>
      <c r="C244" s="19" t="s">
        <v>711</v>
      </c>
      <c r="D244" s="21"/>
      <c r="E244" s="20"/>
      <c r="F244" s="23">
        <f>Source!AL88</f>
        <v>204.64</v>
      </c>
      <c r="G244" s="22"/>
      <c r="H244" s="20">
        <f>Source!AW89</f>
        <v>1.028</v>
      </c>
      <c r="I244" s="23">
        <f>Source!P88</f>
        <v>42.07</v>
      </c>
      <c r="J244" s="20">
        <f>IF(Source!BC89&lt;&gt; 0, Source!BC89, 1)</f>
        <v>9.52</v>
      </c>
      <c r="K244" s="23">
        <f>Source!P89</f>
        <v>400.51</v>
      </c>
      <c r="L244"/>
    </row>
    <row r="245" spans="1:29" ht="57" hidden="1" x14ac:dyDescent="0.2">
      <c r="A245" s="19" t="s">
        <v>176</v>
      </c>
      <c r="B245" s="19" t="str">
        <f>Source!F90</f>
        <v>1.12-6-41</v>
      </c>
      <c r="C245" s="19" t="s">
        <v>178</v>
      </c>
      <c r="D245" s="21" t="str">
        <f>Source!H90</f>
        <v>м</v>
      </c>
      <c r="E245" s="20">
        <f>Source!I90</f>
        <v>20.100000000000001</v>
      </c>
      <c r="F245" s="23">
        <f>Source!AK90</f>
        <v>155</v>
      </c>
      <c r="G245" s="35" t="s">
        <v>3</v>
      </c>
      <c r="H245" s="20">
        <f>Source!AW91</f>
        <v>1</v>
      </c>
      <c r="I245" s="23">
        <f>Source!O90</f>
        <v>3115.5</v>
      </c>
      <c r="J245" s="20">
        <f>IF(Source!BC91&lt;&gt; 0, Source!BC91, 1)</f>
        <v>4.87</v>
      </c>
      <c r="K245" s="23">
        <f>Source!O91</f>
        <v>15172.49</v>
      </c>
      <c r="L245"/>
      <c r="Q245">
        <f>Source!X90</f>
        <v>0</v>
      </c>
      <c r="R245">
        <f>Source!X91</f>
        <v>0</v>
      </c>
      <c r="S245">
        <f>Source!Y90</f>
        <v>0</v>
      </c>
      <c r="T245">
        <f>Source!Y91</f>
        <v>0</v>
      </c>
      <c r="U245">
        <f>ROUND((175/100)*ROUND(Source!R90, 2), 2)</f>
        <v>0</v>
      </c>
      <c r="V245">
        <f>ROUND((0/100)*ROUND(Source!R91, 2), 2)</f>
        <v>0</v>
      </c>
      <c r="AC245">
        <v>3</v>
      </c>
    </row>
    <row r="246" spans="1:29" ht="14.25" hidden="1" x14ac:dyDescent="0.2">
      <c r="A246" s="19"/>
      <c r="B246" s="19"/>
      <c r="C246" s="19" t="s">
        <v>713</v>
      </c>
      <c r="D246" s="21" t="s">
        <v>714</v>
      </c>
      <c r="E246" s="20">
        <f>Source!BZ89</f>
        <v>90</v>
      </c>
      <c r="F246" s="23"/>
      <c r="G246" s="22"/>
      <c r="H246" s="20"/>
      <c r="I246" s="23">
        <f>SUM(Q239:Q245)</f>
        <v>629.27</v>
      </c>
      <c r="J246" s="20">
        <f>Source!AT89</f>
        <v>90</v>
      </c>
      <c r="K246" s="23">
        <f>SUM(R239:R245)</f>
        <v>35459.42</v>
      </c>
      <c r="L246"/>
    </row>
    <row r="247" spans="1:29" ht="14.25" hidden="1" x14ac:dyDescent="0.2">
      <c r="A247" s="19"/>
      <c r="B247" s="19"/>
      <c r="C247" s="19" t="s">
        <v>715</v>
      </c>
      <c r="D247" s="21" t="s">
        <v>714</v>
      </c>
      <c r="E247" s="20">
        <f>Source!CA89</f>
        <v>46</v>
      </c>
      <c r="F247" s="23"/>
      <c r="G247" s="22"/>
      <c r="H247" s="20"/>
      <c r="I247" s="23">
        <f>SUM(S239:S246)</f>
        <v>321.63</v>
      </c>
      <c r="J247" s="20">
        <f>Source!AU89</f>
        <v>46</v>
      </c>
      <c r="K247" s="23">
        <f>SUM(T239:T246)</f>
        <v>18123.7</v>
      </c>
      <c r="L247"/>
    </row>
    <row r="248" spans="1:29" ht="14.25" hidden="1" x14ac:dyDescent="0.2">
      <c r="A248" s="25"/>
      <c r="B248" s="25"/>
      <c r="C248" s="25" t="s">
        <v>716</v>
      </c>
      <c r="D248" s="26" t="s">
        <v>717</v>
      </c>
      <c r="E248" s="27">
        <f>Source!AQ88</f>
        <v>202</v>
      </c>
      <c r="F248" s="28"/>
      <c r="G248" s="29" t="s">
        <v>91</v>
      </c>
      <c r="H248" s="27">
        <f>Source!AV89</f>
        <v>1.0669999999999999</v>
      </c>
      <c r="I248" s="28">
        <f>Source!U88</f>
        <v>51.728159999999995</v>
      </c>
      <c r="J248" s="27"/>
      <c r="K248" s="28"/>
      <c r="L248"/>
    </row>
    <row r="249" spans="1:29" ht="15" hidden="1" x14ac:dyDescent="0.2">
      <c r="C249" s="30" t="s">
        <v>718</v>
      </c>
      <c r="H249" s="42">
        <f>I241+I242+I244+I246+I247+SUM(I245:I245)-SUMIF(AC245:AC245, 5, I245:I245)-SUMIF(AC245:AC245, 6, I245:I245)</f>
        <v>5029.08</v>
      </c>
      <c r="I249" s="42"/>
      <c r="J249" s="42">
        <f>K241+K242+K244+K246+K247+SUM(K245:K245)-SUMIF(AC245:AC245, 5, K245:K245)-SUMIF(AC245:AC245, 6, K245:K245)</f>
        <v>111164.06</v>
      </c>
      <c r="K249" s="42"/>
      <c r="L249"/>
    </row>
    <row r="250" spans="1:29" ht="15" hidden="1" x14ac:dyDescent="0.2">
      <c r="C250" s="30" t="s">
        <v>719</v>
      </c>
      <c r="H250" s="43">
        <f>SUMIF(AC245:AC245, 5, I245:I245)+SUMIF(AC245:AC245, 6, I245:I245)</f>
        <v>0</v>
      </c>
      <c r="I250" s="43"/>
      <c r="J250" s="43">
        <f>SUMIF(AC245:AC245, 5, K245:K245)+SUMIF(AC245:AC245, 6, K245:K245)</f>
        <v>0</v>
      </c>
      <c r="K250" s="43"/>
      <c r="L250"/>
    </row>
    <row r="251" spans="1:29" ht="15" hidden="1" x14ac:dyDescent="0.2">
      <c r="C251" s="30" t="s">
        <v>720</v>
      </c>
      <c r="H251" s="43">
        <f>I241+I242+I244+I246+I247+SUM(I245:I245)</f>
        <v>5029.08</v>
      </c>
      <c r="I251" s="43"/>
      <c r="J251" s="43">
        <f>K241+K242+K244+K246+K247+SUM(K245:K245)</f>
        <v>111164.06</v>
      </c>
      <c r="K251" s="43"/>
      <c r="L251"/>
      <c r="O251" s="31">
        <f>I241+I242+I244+I246+I247+SUM(I245:I245)</f>
        <v>5029.08</v>
      </c>
      <c r="P251" s="31">
        <f>K241+K242+K244+K246+K247+SUM(K245:K245)</f>
        <v>111164.06</v>
      </c>
    </row>
    <row r="252" spans="1:29" hidden="1" x14ac:dyDescent="0.2">
      <c r="L252"/>
    </row>
    <row r="253" spans="1:29" ht="85.5" hidden="1" x14ac:dyDescent="0.2">
      <c r="A253" s="19">
        <v>19</v>
      </c>
      <c r="B253" s="19" t="str">
        <f>Source!F92</f>
        <v>4.12-32-3</v>
      </c>
      <c r="C253" s="19" t="s">
        <v>183</v>
      </c>
      <c r="D253" s="21" t="str">
        <f>Source!H92</f>
        <v>100 м</v>
      </c>
      <c r="E253" s="20">
        <f>Source!I92</f>
        <v>1</v>
      </c>
      <c r="F253" s="23"/>
      <c r="G253" s="22"/>
      <c r="H253" s="20"/>
      <c r="I253" s="23"/>
      <c r="J253" s="20"/>
      <c r="K253" s="23"/>
      <c r="L253"/>
      <c r="Q253">
        <f>Source!X92</f>
        <v>2473.16</v>
      </c>
      <c r="R253">
        <f>Source!X93</f>
        <v>139362.28</v>
      </c>
      <c r="S253">
        <f>Source!Y92</f>
        <v>1264.06</v>
      </c>
      <c r="T253">
        <f>Source!Y93</f>
        <v>71229.61</v>
      </c>
      <c r="U253">
        <f>ROUND((175/100)*ROUND(Source!R92, 2), 2)</f>
        <v>312.76</v>
      </c>
      <c r="V253">
        <f>ROUND((0/100)*ROUND(Source!R93, 2), 2)</f>
        <v>0</v>
      </c>
      <c r="AC253">
        <v>0</v>
      </c>
    </row>
    <row r="254" spans="1:29" hidden="1" x14ac:dyDescent="0.2">
      <c r="C254" s="32" t="str">
        <f>"Объем: "&amp;Source!I92&amp;"=(40+"&amp;"60)/"&amp;"100"</f>
        <v>Объем: 1=(40+60)/100</v>
      </c>
      <c r="L254"/>
    </row>
    <row r="255" spans="1:29" ht="14.25" hidden="1" x14ac:dyDescent="0.2">
      <c r="A255" s="19"/>
      <c r="B255" s="19"/>
      <c r="C255" s="19" t="s">
        <v>707</v>
      </c>
      <c r="D255" s="21"/>
      <c r="E255" s="20"/>
      <c r="F255" s="23">
        <f>Source!AO92</f>
        <v>2006.58</v>
      </c>
      <c r="G255" s="22" t="s">
        <v>91</v>
      </c>
      <c r="H255" s="20">
        <f>Source!AV93</f>
        <v>1.0669999999999999</v>
      </c>
      <c r="I255" s="23">
        <f>Source!S92</f>
        <v>2569.23</v>
      </c>
      <c r="J255" s="20">
        <f>IF(Source!BA93&lt;&gt; 0, Source!BA93, 1)</f>
        <v>56.35</v>
      </c>
      <c r="K255" s="23">
        <f>Source!S93</f>
        <v>144776.10999999999</v>
      </c>
      <c r="L255"/>
    </row>
    <row r="256" spans="1:29" ht="14.25" hidden="1" x14ac:dyDescent="0.2">
      <c r="A256" s="19"/>
      <c r="B256" s="19"/>
      <c r="C256" s="19" t="s">
        <v>709</v>
      </c>
      <c r="D256" s="21"/>
      <c r="E256" s="20"/>
      <c r="F256" s="23">
        <f>Source!AM92</f>
        <v>820.65</v>
      </c>
      <c r="G256" s="22" t="s">
        <v>91</v>
      </c>
      <c r="H256" s="20">
        <f>Source!AV93</f>
        <v>1.0669999999999999</v>
      </c>
      <c r="I256" s="23">
        <f>Source!Q92</f>
        <v>1050.76</v>
      </c>
      <c r="J256" s="20">
        <f>IF(Source!BB93&lt;&gt; 0, Source!BB93, 1)</f>
        <v>19.46</v>
      </c>
      <c r="K256" s="23">
        <f>Source!Q93</f>
        <v>20447.79</v>
      </c>
      <c r="L256"/>
    </row>
    <row r="257" spans="1:29" ht="14.25" hidden="1" x14ac:dyDescent="0.2">
      <c r="A257" s="19"/>
      <c r="B257" s="19"/>
      <c r="C257" s="19" t="s">
        <v>710</v>
      </c>
      <c r="D257" s="21"/>
      <c r="E257" s="20"/>
      <c r="F257" s="23">
        <f>Source!AN92</f>
        <v>139.58000000000001</v>
      </c>
      <c r="G257" s="22" t="s">
        <v>91</v>
      </c>
      <c r="H257" s="20">
        <f>Source!AV93</f>
        <v>1.0669999999999999</v>
      </c>
      <c r="I257" s="24">
        <f>Source!R92</f>
        <v>178.72</v>
      </c>
      <c r="J257" s="20">
        <f>IF(Source!BS93&lt;&gt; 0, Source!BS93, 1)</f>
        <v>56.35</v>
      </c>
      <c r="K257" s="24">
        <f>Source!R93</f>
        <v>10070.870000000001</v>
      </c>
      <c r="L257"/>
    </row>
    <row r="258" spans="1:29" ht="14.25" hidden="1" x14ac:dyDescent="0.2">
      <c r="A258" s="19"/>
      <c r="B258" s="19"/>
      <c r="C258" s="19" t="s">
        <v>711</v>
      </c>
      <c r="D258" s="21"/>
      <c r="E258" s="20"/>
      <c r="F258" s="23">
        <f>Source!AL92</f>
        <v>126.03</v>
      </c>
      <c r="G258" s="22"/>
      <c r="H258" s="20">
        <f>Source!AW93</f>
        <v>1.028</v>
      </c>
      <c r="I258" s="23">
        <f>Source!P92</f>
        <v>129.56</v>
      </c>
      <c r="J258" s="20">
        <f>IF(Source!BC93&lt;&gt; 0, Source!BC93, 1)</f>
        <v>10.26</v>
      </c>
      <c r="K258" s="23">
        <f>Source!P93</f>
        <v>1329.29</v>
      </c>
      <c r="L258"/>
    </row>
    <row r="259" spans="1:29" ht="57" hidden="1" x14ac:dyDescent="0.2">
      <c r="A259" s="19" t="s">
        <v>185</v>
      </c>
      <c r="B259" s="19" t="str">
        <f>Source!F94</f>
        <v>1.12-6-31</v>
      </c>
      <c r="C259" s="19" t="s">
        <v>187</v>
      </c>
      <c r="D259" s="21" t="str">
        <f>Source!H94</f>
        <v>м</v>
      </c>
      <c r="E259" s="20">
        <f>Source!I94</f>
        <v>40.200000000000003</v>
      </c>
      <c r="F259" s="23">
        <f>Source!AK94</f>
        <v>80.59</v>
      </c>
      <c r="G259" s="35" t="s">
        <v>3</v>
      </c>
      <c r="H259" s="20">
        <f>Source!AW95</f>
        <v>1</v>
      </c>
      <c r="I259" s="23">
        <f>Source!O94</f>
        <v>3239.72</v>
      </c>
      <c r="J259" s="20">
        <f>IF(Source!BC95&lt;&gt; 0, Source!BC95, 1)</f>
        <v>4.59</v>
      </c>
      <c r="K259" s="23">
        <f>Source!O95</f>
        <v>14870.31</v>
      </c>
      <c r="L259"/>
      <c r="Q259">
        <f>Source!X94</f>
        <v>0</v>
      </c>
      <c r="R259">
        <f>Source!X95</f>
        <v>0</v>
      </c>
      <c r="S259">
        <f>Source!Y94</f>
        <v>0</v>
      </c>
      <c r="T259">
        <f>Source!Y95</f>
        <v>0</v>
      </c>
      <c r="U259">
        <f>ROUND((175/100)*ROUND(Source!R94, 2), 2)</f>
        <v>0</v>
      </c>
      <c r="V259">
        <f>ROUND((0/100)*ROUND(Source!R95, 2), 2)</f>
        <v>0</v>
      </c>
      <c r="AC259">
        <v>3</v>
      </c>
    </row>
    <row r="260" spans="1:29" ht="57" hidden="1" x14ac:dyDescent="0.2">
      <c r="A260" s="19" t="s">
        <v>189</v>
      </c>
      <c r="B260" s="19" t="str">
        <f>Source!F96</f>
        <v>1.12-6-24</v>
      </c>
      <c r="C260" s="19" t="s">
        <v>191</v>
      </c>
      <c r="D260" s="21" t="str">
        <f>Source!H96</f>
        <v>м</v>
      </c>
      <c r="E260" s="20">
        <f>Source!I96</f>
        <v>60.3</v>
      </c>
      <c r="F260" s="23">
        <f>Source!AK96</f>
        <v>66.16</v>
      </c>
      <c r="G260" s="35" t="s">
        <v>3</v>
      </c>
      <c r="H260" s="20">
        <f>Source!AW97</f>
        <v>1</v>
      </c>
      <c r="I260" s="23">
        <f>Source!O96</f>
        <v>3989.45</v>
      </c>
      <c r="J260" s="20">
        <f>IF(Source!BC97&lt;&gt; 0, Source!BC97, 1)</f>
        <v>4.6900000000000004</v>
      </c>
      <c r="K260" s="23">
        <f>Source!O97</f>
        <v>18710.52</v>
      </c>
      <c r="L260"/>
      <c r="Q260">
        <f>Source!X96</f>
        <v>0</v>
      </c>
      <c r="R260">
        <f>Source!X97</f>
        <v>0</v>
      </c>
      <c r="S260">
        <f>Source!Y96</f>
        <v>0</v>
      </c>
      <c r="T260">
        <f>Source!Y97</f>
        <v>0</v>
      </c>
      <c r="U260">
        <f>ROUND((175/100)*ROUND(Source!R96, 2), 2)</f>
        <v>0</v>
      </c>
      <c r="V260">
        <f>ROUND((0/100)*ROUND(Source!R97, 2), 2)</f>
        <v>0</v>
      </c>
      <c r="AC260">
        <v>3</v>
      </c>
    </row>
    <row r="261" spans="1:29" ht="14.25" hidden="1" x14ac:dyDescent="0.2">
      <c r="A261" s="19"/>
      <c r="B261" s="19"/>
      <c r="C261" s="19" t="s">
        <v>713</v>
      </c>
      <c r="D261" s="21" t="s">
        <v>714</v>
      </c>
      <c r="E261" s="20">
        <f>Source!BZ93</f>
        <v>90</v>
      </c>
      <c r="F261" s="23"/>
      <c r="G261" s="22"/>
      <c r="H261" s="20"/>
      <c r="I261" s="23">
        <f>SUM(Q253:Q260)</f>
        <v>2473.16</v>
      </c>
      <c r="J261" s="20">
        <f>Source!AT93</f>
        <v>90</v>
      </c>
      <c r="K261" s="23">
        <f>SUM(R253:R260)</f>
        <v>139362.28</v>
      </c>
      <c r="L261"/>
    </row>
    <row r="262" spans="1:29" ht="14.25" hidden="1" x14ac:dyDescent="0.2">
      <c r="A262" s="19"/>
      <c r="B262" s="19"/>
      <c r="C262" s="19" t="s">
        <v>715</v>
      </c>
      <c r="D262" s="21" t="s">
        <v>714</v>
      </c>
      <c r="E262" s="20">
        <f>Source!CA93</f>
        <v>46</v>
      </c>
      <c r="F262" s="23"/>
      <c r="G262" s="22"/>
      <c r="H262" s="20"/>
      <c r="I262" s="23">
        <f>SUM(S253:S261)</f>
        <v>1264.06</v>
      </c>
      <c r="J262" s="20">
        <f>Source!AU93</f>
        <v>46</v>
      </c>
      <c r="K262" s="23">
        <f>SUM(T253:T261)</f>
        <v>71229.61</v>
      </c>
      <c r="L262"/>
    </row>
    <row r="263" spans="1:29" ht="14.25" hidden="1" x14ac:dyDescent="0.2">
      <c r="A263" s="25"/>
      <c r="B263" s="25"/>
      <c r="C263" s="25" t="s">
        <v>716</v>
      </c>
      <c r="D263" s="26" t="s">
        <v>717</v>
      </c>
      <c r="E263" s="27">
        <f>Source!AQ92</f>
        <v>159</v>
      </c>
      <c r="F263" s="28"/>
      <c r="G263" s="29" t="s">
        <v>91</v>
      </c>
      <c r="H263" s="27">
        <f>Source!AV93</f>
        <v>1.0669999999999999</v>
      </c>
      <c r="I263" s="28">
        <f>Source!U92</f>
        <v>203.58359999999996</v>
      </c>
      <c r="J263" s="27"/>
      <c r="K263" s="28"/>
      <c r="L263"/>
    </row>
    <row r="264" spans="1:29" ht="15" hidden="1" x14ac:dyDescent="0.2">
      <c r="C264" s="30" t="s">
        <v>718</v>
      </c>
      <c r="H264" s="42">
        <f>I255+I256+I258+I261+I262+SUM(I259:I260)-SUMIF(AC259:AC260, 5, I259:I260)-SUMIF(AC259:AC260, 6, I259:I260)</f>
        <v>14715.939999999999</v>
      </c>
      <c r="I264" s="42"/>
      <c r="J264" s="42">
        <f>K255+K256+K258+K261+K262+SUM(K259:K260)-SUMIF(AC259:AC260, 5, K259:K260)-SUMIF(AC259:AC260, 6, K259:K260)</f>
        <v>410725.91</v>
      </c>
      <c r="K264" s="42"/>
      <c r="L264"/>
    </row>
    <row r="265" spans="1:29" ht="15" hidden="1" x14ac:dyDescent="0.2">
      <c r="C265" s="30" t="s">
        <v>719</v>
      </c>
      <c r="H265" s="43">
        <f>SUMIF(AC259:AC260, 5, I259:I260)+SUMIF(AC259:AC260, 6, I259:I260)</f>
        <v>0</v>
      </c>
      <c r="I265" s="43"/>
      <c r="J265" s="43">
        <f>SUMIF(AC259:AC260, 5, K259:K260)+SUMIF(AC259:AC260, 6, K259:K260)</f>
        <v>0</v>
      </c>
      <c r="K265" s="43"/>
      <c r="L265"/>
    </row>
    <row r="266" spans="1:29" ht="15" hidden="1" x14ac:dyDescent="0.2">
      <c r="C266" s="30" t="s">
        <v>720</v>
      </c>
      <c r="H266" s="43">
        <f>I255+I256+I258+I261+I262+SUM(I259:I260)</f>
        <v>14715.939999999999</v>
      </c>
      <c r="I266" s="43"/>
      <c r="J266" s="43">
        <f>K255+K256+K258+K261+K262+SUM(K259:K260)</f>
        <v>410725.91</v>
      </c>
      <c r="K266" s="43"/>
      <c r="L266"/>
      <c r="O266" s="31">
        <f>I255+I256+I258+I261+I262+SUM(I259:I260)</f>
        <v>14715.939999999999</v>
      </c>
      <c r="P266" s="31">
        <f>K255+K256+K258+K261+K262+SUM(K259:K260)</f>
        <v>410725.91</v>
      </c>
    </row>
    <row r="267" spans="1:29" hidden="1" x14ac:dyDescent="0.2">
      <c r="L267"/>
    </row>
    <row r="268" spans="1:29" ht="85.5" hidden="1" x14ac:dyDescent="0.2">
      <c r="A268" s="19">
        <v>20</v>
      </c>
      <c r="B268" s="19" t="str">
        <f>Source!F98</f>
        <v>4.12-32-2</v>
      </c>
      <c r="C268" s="19" t="s">
        <v>195</v>
      </c>
      <c r="D268" s="21" t="str">
        <f>Source!H98</f>
        <v>100 м</v>
      </c>
      <c r="E268" s="20">
        <f>Source!I98</f>
        <v>0.15</v>
      </c>
      <c r="F268" s="23"/>
      <c r="G268" s="22"/>
      <c r="H268" s="20"/>
      <c r="I268" s="23"/>
      <c r="J268" s="20"/>
      <c r="K268" s="23"/>
      <c r="L268"/>
      <c r="Q268">
        <f>Source!X98</f>
        <v>323.33</v>
      </c>
      <c r="R268">
        <f>Source!X99</f>
        <v>18219.37</v>
      </c>
      <c r="S268">
        <f>Source!Y98</f>
        <v>165.26</v>
      </c>
      <c r="T268">
        <f>Source!Y99</f>
        <v>9312.1200000000008</v>
      </c>
      <c r="U268">
        <f>ROUND((175/100)*ROUND(Source!R98, 2), 2)</f>
        <v>34.86</v>
      </c>
      <c r="V268">
        <f>ROUND((0/100)*ROUND(Source!R99, 2), 2)</f>
        <v>0</v>
      </c>
      <c r="AC268">
        <v>0</v>
      </c>
    </row>
    <row r="269" spans="1:29" hidden="1" x14ac:dyDescent="0.2">
      <c r="C269" s="32" t="str">
        <f>"Объем: "&amp;Source!I98&amp;"=15/"&amp;"100"</f>
        <v>Объем: 0,15=15/100</v>
      </c>
      <c r="L269"/>
    </row>
    <row r="270" spans="1:29" ht="14.25" hidden="1" x14ac:dyDescent="0.2">
      <c r="A270" s="19"/>
      <c r="B270" s="19"/>
      <c r="C270" s="19" t="s">
        <v>707</v>
      </c>
      <c r="D270" s="21"/>
      <c r="E270" s="20"/>
      <c r="F270" s="23">
        <f>Source!AO98</f>
        <v>1766.8</v>
      </c>
      <c r="G270" s="22" t="s">
        <v>91</v>
      </c>
      <c r="H270" s="20">
        <f>Source!AV99</f>
        <v>1.0669999999999999</v>
      </c>
      <c r="I270" s="23">
        <f>Source!S98</f>
        <v>339.33</v>
      </c>
      <c r="J270" s="20">
        <f>IF(Source!BA99&lt;&gt; 0, Source!BA99, 1)</f>
        <v>56.35</v>
      </c>
      <c r="K270" s="23">
        <f>Source!S99</f>
        <v>19121.25</v>
      </c>
      <c r="L270"/>
    </row>
    <row r="271" spans="1:29" ht="14.25" hidden="1" x14ac:dyDescent="0.2">
      <c r="A271" s="19"/>
      <c r="B271" s="19"/>
      <c r="C271" s="19" t="s">
        <v>709</v>
      </c>
      <c r="D271" s="21"/>
      <c r="E271" s="20"/>
      <c r="F271" s="23">
        <f>Source!AM98</f>
        <v>528.70000000000005</v>
      </c>
      <c r="G271" s="22" t="s">
        <v>91</v>
      </c>
      <c r="H271" s="20">
        <f>Source!AV99</f>
        <v>1.0669999999999999</v>
      </c>
      <c r="I271" s="23">
        <f>Source!Q98</f>
        <v>101.54</v>
      </c>
      <c r="J271" s="20">
        <f>IF(Source!BB99&lt;&gt; 0, Source!BB99, 1)</f>
        <v>20.55</v>
      </c>
      <c r="K271" s="23">
        <f>Source!Q99</f>
        <v>2086.65</v>
      </c>
      <c r="L271"/>
    </row>
    <row r="272" spans="1:29" ht="14.25" hidden="1" x14ac:dyDescent="0.2">
      <c r="A272" s="19"/>
      <c r="B272" s="19"/>
      <c r="C272" s="19" t="s">
        <v>710</v>
      </c>
      <c r="D272" s="21"/>
      <c r="E272" s="20"/>
      <c r="F272" s="23">
        <f>Source!AN98</f>
        <v>103.74</v>
      </c>
      <c r="G272" s="22" t="s">
        <v>91</v>
      </c>
      <c r="H272" s="20">
        <f>Source!AV99</f>
        <v>1.0669999999999999</v>
      </c>
      <c r="I272" s="24">
        <f>Source!R98</f>
        <v>19.920000000000002</v>
      </c>
      <c r="J272" s="20">
        <f>IF(Source!BS99&lt;&gt; 0, Source!BS99, 1)</f>
        <v>56.35</v>
      </c>
      <c r="K272" s="24">
        <f>Source!R99</f>
        <v>1122.49</v>
      </c>
      <c r="L272"/>
    </row>
    <row r="273" spans="1:29" ht="14.25" hidden="1" x14ac:dyDescent="0.2">
      <c r="A273" s="19"/>
      <c r="B273" s="19"/>
      <c r="C273" s="19" t="s">
        <v>711</v>
      </c>
      <c r="D273" s="21"/>
      <c r="E273" s="20"/>
      <c r="F273" s="23">
        <f>Source!AL98</f>
        <v>1645.2</v>
      </c>
      <c r="G273" s="22"/>
      <c r="H273" s="20">
        <f>Source!AW99</f>
        <v>1.028</v>
      </c>
      <c r="I273" s="23">
        <f>Source!P98</f>
        <v>253.69</v>
      </c>
      <c r="J273" s="20">
        <f>IF(Source!BC99&lt;&gt; 0, Source!BC99, 1)</f>
        <v>1.74</v>
      </c>
      <c r="K273" s="23">
        <f>Source!P99</f>
        <v>441.42</v>
      </c>
      <c r="L273"/>
    </row>
    <row r="274" spans="1:29" ht="57" hidden="1" x14ac:dyDescent="0.2">
      <c r="A274" s="19" t="s">
        <v>197</v>
      </c>
      <c r="B274" s="19" t="str">
        <f>Source!F100</f>
        <v>1.12-1-57</v>
      </c>
      <c r="C274" s="19" t="s">
        <v>199</v>
      </c>
      <c r="D274" s="21" t="str">
        <f>Source!H100</f>
        <v>м</v>
      </c>
      <c r="E274" s="20">
        <f>Source!I100</f>
        <v>15.074999999999999</v>
      </c>
      <c r="F274" s="23">
        <f>Source!AK100</f>
        <v>76.08</v>
      </c>
      <c r="G274" s="35" t="s">
        <v>3</v>
      </c>
      <c r="H274" s="20">
        <f>Source!AW101</f>
        <v>1</v>
      </c>
      <c r="I274" s="23">
        <f>Source!O100</f>
        <v>1146.9100000000001</v>
      </c>
      <c r="J274" s="20">
        <f>IF(Source!BC101&lt;&gt; 0, Source!BC101, 1)</f>
        <v>13.16</v>
      </c>
      <c r="K274" s="23">
        <f>Source!O101</f>
        <v>15093.34</v>
      </c>
      <c r="L274"/>
      <c r="Q274">
        <f>Source!X100</f>
        <v>0</v>
      </c>
      <c r="R274">
        <f>Source!X101</f>
        <v>0</v>
      </c>
      <c r="S274">
        <f>Source!Y100</f>
        <v>0</v>
      </c>
      <c r="T274">
        <f>Source!Y101</f>
        <v>0</v>
      </c>
      <c r="U274">
        <f>ROUND((175/100)*ROUND(Source!R100, 2), 2)</f>
        <v>0</v>
      </c>
      <c r="V274">
        <f>ROUND((0/100)*ROUND(Source!R101, 2), 2)</f>
        <v>0</v>
      </c>
      <c r="AC274">
        <v>3</v>
      </c>
    </row>
    <row r="275" spans="1:29" ht="14.25" hidden="1" x14ac:dyDescent="0.2">
      <c r="A275" s="19"/>
      <c r="B275" s="19"/>
      <c r="C275" s="19" t="s">
        <v>713</v>
      </c>
      <c r="D275" s="21" t="s">
        <v>714</v>
      </c>
      <c r="E275" s="20">
        <f>Source!BZ99</f>
        <v>90</v>
      </c>
      <c r="F275" s="23"/>
      <c r="G275" s="22"/>
      <c r="H275" s="20"/>
      <c r="I275" s="23">
        <f>SUM(Q268:Q274)</f>
        <v>323.33</v>
      </c>
      <c r="J275" s="20">
        <f>Source!AT99</f>
        <v>90</v>
      </c>
      <c r="K275" s="23">
        <f>SUM(R268:R274)</f>
        <v>18219.37</v>
      </c>
      <c r="L275"/>
    </row>
    <row r="276" spans="1:29" ht="14.25" hidden="1" x14ac:dyDescent="0.2">
      <c r="A276" s="19"/>
      <c r="B276" s="19"/>
      <c r="C276" s="19" t="s">
        <v>715</v>
      </c>
      <c r="D276" s="21" t="s">
        <v>714</v>
      </c>
      <c r="E276" s="20">
        <f>Source!CA99</f>
        <v>46</v>
      </c>
      <c r="F276" s="23"/>
      <c r="G276" s="22"/>
      <c r="H276" s="20"/>
      <c r="I276" s="23">
        <f>SUM(S268:S275)</f>
        <v>165.26</v>
      </c>
      <c r="J276" s="20">
        <f>Source!AU99</f>
        <v>46</v>
      </c>
      <c r="K276" s="23">
        <f>SUM(T268:T275)</f>
        <v>9312.1200000000008</v>
      </c>
      <c r="L276"/>
    </row>
    <row r="277" spans="1:29" ht="14.25" hidden="1" x14ac:dyDescent="0.2">
      <c r="A277" s="25"/>
      <c r="B277" s="25"/>
      <c r="C277" s="25" t="s">
        <v>716</v>
      </c>
      <c r="D277" s="26" t="s">
        <v>717</v>
      </c>
      <c r="E277" s="27">
        <f>Source!AQ98</f>
        <v>140</v>
      </c>
      <c r="F277" s="28"/>
      <c r="G277" s="29" t="s">
        <v>91</v>
      </c>
      <c r="H277" s="27">
        <f>Source!AV99</f>
        <v>1.0669999999999999</v>
      </c>
      <c r="I277" s="28">
        <f>Source!U98</f>
        <v>26.888400000000001</v>
      </c>
      <c r="J277" s="27"/>
      <c r="K277" s="28"/>
      <c r="L277"/>
    </row>
    <row r="278" spans="1:29" ht="15" hidden="1" x14ac:dyDescent="0.2">
      <c r="C278" s="30" t="s">
        <v>718</v>
      </c>
      <c r="H278" s="42">
        <f>I270+I271+I273+I275+I276+SUM(I274:I274)-SUMIF(AC274:AC274, 5, I274:I274)-SUMIF(AC274:AC274, 6, I274:I274)</f>
        <v>2330.06</v>
      </c>
      <c r="I278" s="42"/>
      <c r="J278" s="42">
        <f>K270+K271+K273+K275+K276+SUM(K274:K274)-SUMIF(AC274:AC274, 5, K274:K274)-SUMIF(AC274:AC274, 6, K274:K274)</f>
        <v>64274.150000000009</v>
      </c>
      <c r="K278" s="42"/>
      <c r="L278"/>
    </row>
    <row r="279" spans="1:29" ht="15" hidden="1" x14ac:dyDescent="0.2">
      <c r="C279" s="30" t="s">
        <v>719</v>
      </c>
      <c r="H279" s="43">
        <f>SUMIF(AC274:AC274, 5, I274:I274)+SUMIF(AC274:AC274, 6, I274:I274)</f>
        <v>0</v>
      </c>
      <c r="I279" s="43"/>
      <c r="J279" s="43">
        <f>SUMIF(AC274:AC274, 5, K274:K274)+SUMIF(AC274:AC274, 6, K274:K274)</f>
        <v>0</v>
      </c>
      <c r="K279" s="43"/>
      <c r="L279"/>
    </row>
    <row r="280" spans="1:29" ht="15" hidden="1" x14ac:dyDescent="0.2">
      <c r="C280" s="30" t="s">
        <v>720</v>
      </c>
      <c r="H280" s="43">
        <f>I270+I271+I273+I275+I276+SUM(I274:I274)</f>
        <v>2330.06</v>
      </c>
      <c r="I280" s="43"/>
      <c r="J280" s="43">
        <f>K270+K271+K273+K275+K276+SUM(K274:K274)</f>
        <v>64274.150000000009</v>
      </c>
      <c r="K280" s="43"/>
      <c r="L280"/>
      <c r="O280" s="31">
        <f>I270+I271+I273+I275+I276+SUM(I274:I274)</f>
        <v>2330.06</v>
      </c>
      <c r="P280" s="31">
        <f>K270+K271+K273+K275+K276+SUM(K274:K274)</f>
        <v>64274.150000000009</v>
      </c>
    </row>
    <row r="281" spans="1:29" hidden="1" x14ac:dyDescent="0.2">
      <c r="L281"/>
    </row>
    <row r="282" spans="1:29" ht="85.5" hidden="1" x14ac:dyDescent="0.2">
      <c r="A282" s="19">
        <v>21</v>
      </c>
      <c r="B282" s="19" t="str">
        <f>Source!F108</f>
        <v>4.12-32-1</v>
      </c>
      <c r="C282" s="19" t="s">
        <v>214</v>
      </c>
      <c r="D282" s="21" t="str">
        <f>Source!H108</f>
        <v>100 м</v>
      </c>
      <c r="E282" s="20">
        <f>Source!I108</f>
        <v>0.3</v>
      </c>
      <c r="F282" s="23"/>
      <c r="G282" s="22"/>
      <c r="H282" s="20"/>
      <c r="I282" s="23"/>
      <c r="J282" s="20"/>
      <c r="K282" s="23"/>
      <c r="L282"/>
      <c r="Q282">
        <f>Source!X108</f>
        <v>641.51</v>
      </c>
      <c r="R282">
        <f>Source!X109</f>
        <v>36149.15</v>
      </c>
      <c r="S282">
        <f>Source!Y108</f>
        <v>327.88</v>
      </c>
      <c r="T282">
        <f>Source!Y109</f>
        <v>18476.23</v>
      </c>
      <c r="U282">
        <f>ROUND((175/100)*ROUND(Source!R108, 2), 2)</f>
        <v>68.2</v>
      </c>
      <c r="V282">
        <f>ROUND((0/100)*ROUND(Source!R109, 2), 2)</f>
        <v>0</v>
      </c>
      <c r="AC282">
        <v>0</v>
      </c>
    </row>
    <row r="283" spans="1:29" hidden="1" x14ac:dyDescent="0.2">
      <c r="C283" s="32" t="str">
        <f>"Объем: "&amp;Source!I108&amp;"=(15+"&amp;"15)/"&amp;"100"</f>
        <v>Объем: 0,3=(15+15)/100</v>
      </c>
      <c r="L283"/>
    </row>
    <row r="284" spans="1:29" ht="14.25" hidden="1" x14ac:dyDescent="0.2">
      <c r="A284" s="19"/>
      <c r="B284" s="19"/>
      <c r="C284" s="19" t="s">
        <v>707</v>
      </c>
      <c r="D284" s="21"/>
      <c r="E284" s="20"/>
      <c r="F284" s="23">
        <f>Source!AO108</f>
        <v>1754.18</v>
      </c>
      <c r="G284" s="22" t="s">
        <v>91</v>
      </c>
      <c r="H284" s="20">
        <f>Source!AV109</f>
        <v>1.0669999999999999</v>
      </c>
      <c r="I284" s="23">
        <f>Source!S108</f>
        <v>673.82</v>
      </c>
      <c r="J284" s="20">
        <f>IF(Source!BA109&lt;&gt; 0, Source!BA109, 1)</f>
        <v>56.35</v>
      </c>
      <c r="K284" s="23">
        <f>Source!S109</f>
        <v>37969.760000000002</v>
      </c>
      <c r="L284"/>
    </row>
    <row r="285" spans="1:29" ht="14.25" hidden="1" x14ac:dyDescent="0.2">
      <c r="A285" s="19"/>
      <c r="B285" s="19"/>
      <c r="C285" s="19" t="s">
        <v>709</v>
      </c>
      <c r="D285" s="21"/>
      <c r="E285" s="20"/>
      <c r="F285" s="23">
        <f>Source!AM108</f>
        <v>513.47</v>
      </c>
      <c r="G285" s="22" t="s">
        <v>91</v>
      </c>
      <c r="H285" s="20">
        <f>Source!AV109</f>
        <v>1.0669999999999999</v>
      </c>
      <c r="I285" s="23">
        <f>Source!Q108</f>
        <v>197.23</v>
      </c>
      <c r="J285" s="20">
        <f>IF(Source!BB109&lt;&gt; 0, Source!BB109, 1)</f>
        <v>20.66</v>
      </c>
      <c r="K285" s="23">
        <f>Source!Q109</f>
        <v>4074.77</v>
      </c>
      <c r="L285"/>
    </row>
    <row r="286" spans="1:29" ht="14.25" hidden="1" x14ac:dyDescent="0.2">
      <c r="A286" s="19"/>
      <c r="B286" s="19"/>
      <c r="C286" s="19" t="s">
        <v>710</v>
      </c>
      <c r="D286" s="21"/>
      <c r="E286" s="20"/>
      <c r="F286" s="23">
        <f>Source!AN108</f>
        <v>101.46</v>
      </c>
      <c r="G286" s="22" t="s">
        <v>91</v>
      </c>
      <c r="H286" s="20">
        <f>Source!AV109</f>
        <v>1.0669999999999999</v>
      </c>
      <c r="I286" s="24">
        <f>Source!R108</f>
        <v>38.97</v>
      </c>
      <c r="J286" s="20">
        <f>IF(Source!BS109&lt;&gt; 0, Source!BS109, 1)</f>
        <v>56.35</v>
      </c>
      <c r="K286" s="24">
        <f>Source!R109</f>
        <v>2195.96</v>
      </c>
      <c r="L286"/>
    </row>
    <row r="287" spans="1:29" ht="14.25" hidden="1" x14ac:dyDescent="0.2">
      <c r="A287" s="19"/>
      <c r="B287" s="19"/>
      <c r="C287" s="19" t="s">
        <v>711</v>
      </c>
      <c r="D287" s="21"/>
      <c r="E287" s="20"/>
      <c r="F287" s="23">
        <f>Source!AL108</f>
        <v>865</v>
      </c>
      <c r="G287" s="22"/>
      <c r="H287" s="20">
        <f>Source!AW109</f>
        <v>1.028</v>
      </c>
      <c r="I287" s="23">
        <f>Source!P108</f>
        <v>266.77</v>
      </c>
      <c r="J287" s="20">
        <f>IF(Source!BC109&lt;&gt; 0, Source!BC109, 1)</f>
        <v>2.19</v>
      </c>
      <c r="K287" s="23">
        <f>Source!P109</f>
        <v>584.23</v>
      </c>
      <c r="L287"/>
    </row>
    <row r="288" spans="1:29" ht="57" hidden="1" x14ac:dyDescent="0.2">
      <c r="A288" s="19" t="s">
        <v>216</v>
      </c>
      <c r="B288" s="19" t="str">
        <f>Source!F110</f>
        <v>1.12-1-55</v>
      </c>
      <c r="C288" s="19" t="s">
        <v>207</v>
      </c>
      <c r="D288" s="21" t="str">
        <f>Source!H110</f>
        <v>м</v>
      </c>
      <c r="E288" s="20">
        <f>Source!I110</f>
        <v>15.074999999999999</v>
      </c>
      <c r="F288" s="23">
        <f>Source!AK110</f>
        <v>51.28</v>
      </c>
      <c r="G288" s="35" t="s">
        <v>3</v>
      </c>
      <c r="H288" s="20">
        <f>Source!AW111</f>
        <v>1</v>
      </c>
      <c r="I288" s="23">
        <f>Source!O110</f>
        <v>773.05</v>
      </c>
      <c r="J288" s="20">
        <f>IF(Source!BC111&lt;&gt; 0, Source!BC111, 1)</f>
        <v>20.72</v>
      </c>
      <c r="K288" s="23">
        <f>Source!O111</f>
        <v>16017.6</v>
      </c>
      <c r="L288"/>
      <c r="Q288">
        <f>Source!X110</f>
        <v>0</v>
      </c>
      <c r="R288">
        <f>Source!X111</f>
        <v>0</v>
      </c>
      <c r="S288">
        <f>Source!Y110</f>
        <v>0</v>
      </c>
      <c r="T288">
        <f>Source!Y111</f>
        <v>0</v>
      </c>
      <c r="U288">
        <f>ROUND((175/100)*ROUND(Source!R110, 2), 2)</f>
        <v>0</v>
      </c>
      <c r="V288">
        <f>ROUND((0/100)*ROUND(Source!R111, 2), 2)</f>
        <v>0</v>
      </c>
      <c r="AC288">
        <v>3</v>
      </c>
    </row>
    <row r="289" spans="1:29" ht="57" hidden="1" x14ac:dyDescent="0.2">
      <c r="A289" s="19" t="s">
        <v>217</v>
      </c>
      <c r="B289" s="19" t="str">
        <f>Source!F112</f>
        <v>1.12-1-54</v>
      </c>
      <c r="C289" s="19" t="s">
        <v>210</v>
      </c>
      <c r="D289" s="21" t="str">
        <f>Source!H112</f>
        <v>м</v>
      </c>
      <c r="E289" s="20">
        <f>Source!I112</f>
        <v>15.074999999999999</v>
      </c>
      <c r="F289" s="23">
        <f>Source!AK112</f>
        <v>41.57</v>
      </c>
      <c r="G289" s="35" t="s">
        <v>3</v>
      </c>
      <c r="H289" s="20">
        <f>Source!AW113</f>
        <v>1</v>
      </c>
      <c r="I289" s="23">
        <f>Source!O112</f>
        <v>626.66999999999996</v>
      </c>
      <c r="J289" s="20">
        <f>IF(Source!BC113&lt;&gt; 0, Source!BC113, 1)</f>
        <v>16.55</v>
      </c>
      <c r="K289" s="23">
        <f>Source!O113</f>
        <v>10371.39</v>
      </c>
      <c r="L289"/>
      <c r="Q289">
        <f>Source!X112</f>
        <v>0</v>
      </c>
      <c r="R289">
        <f>Source!X113</f>
        <v>0</v>
      </c>
      <c r="S289">
        <f>Source!Y112</f>
        <v>0</v>
      </c>
      <c r="T289">
        <f>Source!Y113</f>
        <v>0</v>
      </c>
      <c r="U289">
        <f>ROUND((175/100)*ROUND(Source!R112, 2), 2)</f>
        <v>0</v>
      </c>
      <c r="V289">
        <f>ROUND((0/100)*ROUND(Source!R113, 2), 2)</f>
        <v>0</v>
      </c>
      <c r="AC289">
        <v>3</v>
      </c>
    </row>
    <row r="290" spans="1:29" ht="14.25" hidden="1" x14ac:dyDescent="0.2">
      <c r="A290" s="19"/>
      <c r="B290" s="19"/>
      <c r="C290" s="19" t="s">
        <v>713</v>
      </c>
      <c r="D290" s="21" t="s">
        <v>714</v>
      </c>
      <c r="E290" s="20">
        <f>Source!BZ109</f>
        <v>90</v>
      </c>
      <c r="F290" s="23"/>
      <c r="G290" s="22"/>
      <c r="H290" s="20"/>
      <c r="I290" s="23">
        <f>SUM(Q282:Q289)</f>
        <v>641.51</v>
      </c>
      <c r="J290" s="20">
        <f>Source!AT109</f>
        <v>90</v>
      </c>
      <c r="K290" s="23">
        <f>SUM(R282:R289)</f>
        <v>36149.15</v>
      </c>
      <c r="L290"/>
    </row>
    <row r="291" spans="1:29" ht="14.25" hidden="1" x14ac:dyDescent="0.2">
      <c r="A291" s="19"/>
      <c r="B291" s="19"/>
      <c r="C291" s="19" t="s">
        <v>715</v>
      </c>
      <c r="D291" s="21" t="s">
        <v>714</v>
      </c>
      <c r="E291" s="20">
        <f>Source!CA109</f>
        <v>46</v>
      </c>
      <c r="F291" s="23"/>
      <c r="G291" s="22"/>
      <c r="H291" s="20"/>
      <c r="I291" s="23">
        <f>SUM(S282:S290)</f>
        <v>327.88</v>
      </c>
      <c r="J291" s="20">
        <f>Source!AU109</f>
        <v>46</v>
      </c>
      <c r="K291" s="23">
        <f>SUM(T282:T290)</f>
        <v>18476.23</v>
      </c>
      <c r="L291"/>
    </row>
    <row r="292" spans="1:29" ht="14.25" hidden="1" x14ac:dyDescent="0.2">
      <c r="A292" s="25"/>
      <c r="B292" s="25"/>
      <c r="C292" s="25" t="s">
        <v>716</v>
      </c>
      <c r="D292" s="26" t="s">
        <v>717</v>
      </c>
      <c r="E292" s="27">
        <f>Source!AQ108</f>
        <v>139</v>
      </c>
      <c r="F292" s="28"/>
      <c r="G292" s="29" t="s">
        <v>91</v>
      </c>
      <c r="H292" s="27">
        <f>Source!AV109</f>
        <v>1.0669999999999999</v>
      </c>
      <c r="I292" s="28">
        <f>Source!U108</f>
        <v>53.392679999999991</v>
      </c>
      <c r="J292" s="27"/>
      <c r="K292" s="28"/>
      <c r="L292"/>
    </row>
    <row r="293" spans="1:29" ht="15" hidden="1" x14ac:dyDescent="0.2">
      <c r="C293" s="30" t="s">
        <v>718</v>
      </c>
      <c r="H293" s="42">
        <f>I284+I285+I287+I290+I291+SUM(I288:I289)-SUMIF(AC288:AC289, 5, I288:I289)-SUMIF(AC288:AC289, 6, I288:I289)</f>
        <v>3506.93</v>
      </c>
      <c r="I293" s="42"/>
      <c r="J293" s="42">
        <f>K284+K285+K287+K290+K291+SUM(K288:K289)-SUMIF(AC288:AC289, 5, K288:K289)-SUMIF(AC288:AC289, 6, K288:K289)</f>
        <v>123643.13</v>
      </c>
      <c r="K293" s="42"/>
      <c r="L293"/>
    </row>
    <row r="294" spans="1:29" ht="15" hidden="1" x14ac:dyDescent="0.2">
      <c r="C294" s="30" t="s">
        <v>719</v>
      </c>
      <c r="H294" s="43">
        <f>SUMIF(AC288:AC289, 5, I288:I289)+SUMIF(AC288:AC289, 6, I288:I289)</f>
        <v>0</v>
      </c>
      <c r="I294" s="43"/>
      <c r="J294" s="43">
        <f>SUMIF(AC288:AC289, 5, K288:K289)+SUMIF(AC288:AC289, 6, K288:K289)</f>
        <v>0</v>
      </c>
      <c r="K294" s="43"/>
      <c r="L294"/>
    </row>
    <row r="295" spans="1:29" ht="15" hidden="1" x14ac:dyDescent="0.2">
      <c r="C295" s="30" t="s">
        <v>720</v>
      </c>
      <c r="H295" s="43">
        <f>I284+I285+I287+I290+I291+SUM(I288:I289)</f>
        <v>3506.93</v>
      </c>
      <c r="I295" s="43"/>
      <c r="J295" s="43">
        <f>K284+K285+K287+K290+K291+SUM(K288:K289)</f>
        <v>123643.13</v>
      </c>
      <c r="K295" s="43"/>
      <c r="L295"/>
      <c r="O295" s="31">
        <f>I284+I285+I287+I290+I291+SUM(I288:I289)</f>
        <v>3506.93</v>
      </c>
      <c r="P295" s="31">
        <f>K284+K285+K287+K290+K291+SUM(K288:K289)</f>
        <v>123643.13</v>
      </c>
    </row>
    <row r="296" spans="1:29" hidden="1" x14ac:dyDescent="0.2">
      <c r="L296"/>
    </row>
    <row r="297" spans="1:29" ht="42.75" hidden="1" x14ac:dyDescent="0.2">
      <c r="A297" s="25">
        <v>22</v>
      </c>
      <c r="B297" s="25" t="str">
        <f>Source!F114</f>
        <v>1.6-1-312</v>
      </c>
      <c r="C297" s="25" t="s">
        <v>220</v>
      </c>
      <c r="D297" s="26" t="str">
        <f>Source!H114</f>
        <v>шт.</v>
      </c>
      <c r="E297" s="27">
        <f>Source!I114</f>
        <v>6</v>
      </c>
      <c r="F297" s="28">
        <f>Source!AL114</f>
        <v>38.18</v>
      </c>
      <c r="G297" s="29"/>
      <c r="H297" s="27">
        <f>Source!AW115</f>
        <v>1</v>
      </c>
      <c r="I297" s="28">
        <f>Source!P114</f>
        <v>229.08</v>
      </c>
      <c r="J297" s="27">
        <f>IF(Source!BC115&lt;&gt; 0, Source!BC115, 1)</f>
        <v>37.01</v>
      </c>
      <c r="K297" s="28">
        <f>Source!P115</f>
        <v>8478.25</v>
      </c>
      <c r="L297"/>
      <c r="Q297">
        <f>Source!X114</f>
        <v>0</v>
      </c>
      <c r="R297">
        <f>Source!X115</f>
        <v>0</v>
      </c>
      <c r="S297">
        <f>Source!Y114</f>
        <v>0</v>
      </c>
      <c r="T297">
        <f>Source!Y115</f>
        <v>0</v>
      </c>
      <c r="U297">
        <f>ROUND((175/100)*ROUND(Source!R114, 2), 2)</f>
        <v>0</v>
      </c>
      <c r="V297">
        <f>ROUND((0/100)*ROUND(Source!R115, 2), 2)</f>
        <v>0</v>
      </c>
      <c r="AC297">
        <v>3</v>
      </c>
    </row>
    <row r="298" spans="1:29" ht="15" hidden="1" x14ac:dyDescent="0.2">
      <c r="C298" s="30" t="s">
        <v>720</v>
      </c>
      <c r="H298" s="42">
        <f>I297+0</f>
        <v>229.08</v>
      </c>
      <c r="I298" s="42"/>
      <c r="J298" s="42">
        <f>K297+0</f>
        <v>8478.25</v>
      </c>
      <c r="K298" s="42"/>
      <c r="L298"/>
      <c r="O298" s="31">
        <f>I297+0</f>
        <v>229.08</v>
      </c>
      <c r="P298" s="31">
        <f>K297+0</f>
        <v>8478.25</v>
      </c>
    </row>
    <row r="299" spans="1:29" hidden="1" x14ac:dyDescent="0.2">
      <c r="L299"/>
    </row>
    <row r="300" spans="1:29" ht="42.75" hidden="1" x14ac:dyDescent="0.2">
      <c r="A300" s="25">
        <v>23</v>
      </c>
      <c r="B300" s="25" t="str">
        <f>Source!F116</f>
        <v>1.7-5-376</v>
      </c>
      <c r="C300" s="25" t="s">
        <v>227</v>
      </c>
      <c r="D300" s="26" t="str">
        <f>Source!H116</f>
        <v>шт.</v>
      </c>
      <c r="E300" s="27">
        <f>Source!I116</f>
        <v>6</v>
      </c>
      <c r="F300" s="28">
        <f>Source!AL116</f>
        <v>6.47</v>
      </c>
      <c r="G300" s="29"/>
      <c r="H300" s="27">
        <f>Source!AW117</f>
        <v>1</v>
      </c>
      <c r="I300" s="28">
        <f>Source!P116</f>
        <v>38.82</v>
      </c>
      <c r="J300" s="27">
        <f>IF(Source!BC117&lt;&gt; 0, Source!BC117, 1)</f>
        <v>11.29</v>
      </c>
      <c r="K300" s="28">
        <f>Source!P117</f>
        <v>438.28</v>
      </c>
      <c r="L300"/>
      <c r="Q300">
        <f>Source!X116</f>
        <v>0</v>
      </c>
      <c r="R300">
        <f>Source!X117</f>
        <v>0</v>
      </c>
      <c r="S300">
        <f>Source!Y116</f>
        <v>0</v>
      </c>
      <c r="T300">
        <f>Source!Y117</f>
        <v>0</v>
      </c>
      <c r="U300">
        <f>ROUND((175/100)*ROUND(Source!R116, 2), 2)</f>
        <v>0</v>
      </c>
      <c r="V300">
        <f>ROUND((0/100)*ROUND(Source!R117, 2), 2)</f>
        <v>0</v>
      </c>
      <c r="AC300">
        <v>3</v>
      </c>
    </row>
    <row r="301" spans="1:29" ht="15" hidden="1" x14ac:dyDescent="0.2">
      <c r="C301" s="30" t="s">
        <v>720</v>
      </c>
      <c r="H301" s="42">
        <f>I300+0</f>
        <v>38.82</v>
      </c>
      <c r="I301" s="42"/>
      <c r="J301" s="42">
        <f>K300+0</f>
        <v>438.28</v>
      </c>
      <c r="K301" s="42"/>
      <c r="L301"/>
      <c r="O301" s="31">
        <f>I300+0</f>
        <v>38.82</v>
      </c>
      <c r="P301" s="31">
        <f>K300+0</f>
        <v>438.28</v>
      </c>
    </row>
    <row r="302" spans="1:29" hidden="1" x14ac:dyDescent="0.2">
      <c r="L302"/>
    </row>
    <row r="303" spans="1:29" ht="42.75" hidden="1" x14ac:dyDescent="0.2">
      <c r="A303" s="25">
        <v>24</v>
      </c>
      <c r="B303" s="25" t="str">
        <f>Source!F118</f>
        <v>1.7-5-375</v>
      </c>
      <c r="C303" s="25" t="s">
        <v>231</v>
      </c>
      <c r="D303" s="26" t="str">
        <f>Source!H118</f>
        <v>шт.</v>
      </c>
      <c r="E303" s="27">
        <f>Source!I118</f>
        <v>15</v>
      </c>
      <c r="F303" s="28">
        <f>Source!AL118</f>
        <v>4.38</v>
      </c>
      <c r="G303" s="29"/>
      <c r="H303" s="27">
        <f>Source!AW119</f>
        <v>1</v>
      </c>
      <c r="I303" s="28">
        <f>Source!P118</f>
        <v>65.7</v>
      </c>
      <c r="J303" s="27">
        <f>IF(Source!BC119&lt;&gt; 0, Source!BC119, 1)</f>
        <v>11.29</v>
      </c>
      <c r="K303" s="28">
        <f>Source!P119</f>
        <v>741.75</v>
      </c>
      <c r="L303"/>
      <c r="Q303">
        <f>Source!X118</f>
        <v>0</v>
      </c>
      <c r="R303">
        <f>Source!X119</f>
        <v>0</v>
      </c>
      <c r="S303">
        <f>Source!Y118</f>
        <v>0</v>
      </c>
      <c r="T303">
        <f>Source!Y119</f>
        <v>0</v>
      </c>
      <c r="U303">
        <f>ROUND((175/100)*ROUND(Source!R118, 2), 2)</f>
        <v>0</v>
      </c>
      <c r="V303">
        <f>ROUND((0/100)*ROUND(Source!R119, 2), 2)</f>
        <v>0</v>
      </c>
      <c r="AC303">
        <v>3</v>
      </c>
    </row>
    <row r="304" spans="1:29" ht="15" hidden="1" x14ac:dyDescent="0.2">
      <c r="C304" s="30" t="s">
        <v>720</v>
      </c>
      <c r="H304" s="42">
        <f>I303+0</f>
        <v>65.7</v>
      </c>
      <c r="I304" s="42"/>
      <c r="J304" s="42">
        <f>K303+0</f>
        <v>741.75</v>
      </c>
      <c r="K304" s="42"/>
      <c r="L304"/>
      <c r="O304" s="31">
        <f>I303+0</f>
        <v>65.7</v>
      </c>
      <c r="P304" s="31">
        <f>K303+0</f>
        <v>741.75</v>
      </c>
    </row>
    <row r="305" spans="1:29" hidden="1" x14ac:dyDescent="0.2">
      <c r="L305"/>
    </row>
    <row r="306" spans="1:29" ht="71.25" hidden="1" x14ac:dyDescent="0.2">
      <c r="A306" s="25">
        <v>25</v>
      </c>
      <c r="B306" s="25" t="str">
        <f>Source!F120</f>
        <v>1.12-10-156</v>
      </c>
      <c r="C306" s="25" t="s">
        <v>235</v>
      </c>
      <c r="D306" s="26" t="str">
        <f>Source!H120</f>
        <v>шт.</v>
      </c>
      <c r="E306" s="27">
        <f>Source!I120</f>
        <v>10</v>
      </c>
      <c r="F306" s="28">
        <f>Source!AL120</f>
        <v>15.42</v>
      </c>
      <c r="G306" s="29"/>
      <c r="H306" s="27">
        <f>Source!AW121</f>
        <v>1</v>
      </c>
      <c r="I306" s="28">
        <f>Source!P120</f>
        <v>154.19999999999999</v>
      </c>
      <c r="J306" s="27">
        <f>IF(Source!BC121&lt;&gt; 0, Source!BC121, 1)</f>
        <v>5.29</v>
      </c>
      <c r="K306" s="28">
        <f>Source!P121</f>
        <v>815.72</v>
      </c>
      <c r="L306"/>
      <c r="Q306">
        <f>Source!X120</f>
        <v>0</v>
      </c>
      <c r="R306">
        <f>Source!X121</f>
        <v>0</v>
      </c>
      <c r="S306">
        <f>Source!Y120</f>
        <v>0</v>
      </c>
      <c r="T306">
        <f>Source!Y121</f>
        <v>0</v>
      </c>
      <c r="U306">
        <f>ROUND((175/100)*ROUND(Source!R120, 2), 2)</f>
        <v>0</v>
      </c>
      <c r="V306">
        <f>ROUND((0/100)*ROUND(Source!R121, 2), 2)</f>
        <v>0</v>
      </c>
      <c r="AC306">
        <v>3</v>
      </c>
    </row>
    <row r="307" spans="1:29" ht="15" hidden="1" x14ac:dyDescent="0.2">
      <c r="C307" s="30" t="s">
        <v>720</v>
      </c>
      <c r="H307" s="42">
        <f>I306+0</f>
        <v>154.19999999999999</v>
      </c>
      <c r="I307" s="42"/>
      <c r="J307" s="42">
        <f>K306+0</f>
        <v>815.72</v>
      </c>
      <c r="K307" s="42"/>
      <c r="L307"/>
      <c r="O307" s="31">
        <f>I306+0</f>
        <v>154.19999999999999</v>
      </c>
      <c r="P307" s="31">
        <f>K306+0</f>
        <v>815.72</v>
      </c>
    </row>
    <row r="308" spans="1:29" hidden="1" x14ac:dyDescent="0.2">
      <c r="L308"/>
    </row>
    <row r="309" spans="1:29" ht="28.5" hidden="1" x14ac:dyDescent="0.2">
      <c r="A309" s="19">
        <v>26</v>
      </c>
      <c r="B309" s="19" t="str">
        <f>Source!F122</f>
        <v>3.70-41-2</v>
      </c>
      <c r="C309" s="19" t="s">
        <v>239</v>
      </c>
      <c r="D309" s="21" t="str">
        <f>Source!H122</f>
        <v>100 шт.</v>
      </c>
      <c r="E309" s="20">
        <f>Source!I122</f>
        <v>0.9</v>
      </c>
      <c r="F309" s="23"/>
      <c r="G309" s="22"/>
      <c r="H309" s="20"/>
      <c r="I309" s="23"/>
      <c r="J309" s="20"/>
      <c r="K309" s="23"/>
      <c r="L309"/>
      <c r="Q309">
        <f>Source!X122</f>
        <v>328.24</v>
      </c>
      <c r="R309">
        <f>Source!X123</f>
        <v>18496.53</v>
      </c>
      <c r="S309">
        <f>Source!Y122</f>
        <v>218.83</v>
      </c>
      <c r="T309">
        <f>Source!Y123</f>
        <v>12331.02</v>
      </c>
      <c r="U309">
        <f>ROUND((175/100)*ROUND(Source!R122, 2), 2)</f>
        <v>0.98</v>
      </c>
      <c r="V309">
        <f>ROUND((0/100)*ROUND(Source!R123, 2), 2)</f>
        <v>0</v>
      </c>
      <c r="AC309">
        <v>0</v>
      </c>
    </row>
    <row r="310" spans="1:29" hidden="1" x14ac:dyDescent="0.2">
      <c r="C310" s="32" t="str">
        <f>"Объем: "&amp;Source!I122&amp;"=(45+"&amp;"45)/"&amp;"100"</f>
        <v>Объем: 0,9=(45+45)/100</v>
      </c>
      <c r="L310"/>
    </row>
    <row r="311" spans="1:29" ht="14.25" hidden="1" x14ac:dyDescent="0.2">
      <c r="A311" s="19"/>
      <c r="B311" s="19"/>
      <c r="C311" s="19" t="s">
        <v>707</v>
      </c>
      <c r="D311" s="21"/>
      <c r="E311" s="20"/>
      <c r="F311" s="23">
        <f>Source!AO122</f>
        <v>261.02</v>
      </c>
      <c r="G311" s="22" t="s">
        <v>721</v>
      </c>
      <c r="H311" s="20">
        <f>Source!AV123</f>
        <v>1.087</v>
      </c>
      <c r="I311" s="23">
        <f>Source!S122</f>
        <v>352.39</v>
      </c>
      <c r="J311" s="20">
        <f>IF(Source!BA123&lt;&gt; 0, Source!BA123, 1)</f>
        <v>56.35</v>
      </c>
      <c r="K311" s="23">
        <f>Source!S123</f>
        <v>19857.18</v>
      </c>
      <c r="L311"/>
    </row>
    <row r="312" spans="1:29" ht="14.25" hidden="1" x14ac:dyDescent="0.2">
      <c r="A312" s="19"/>
      <c r="B312" s="19"/>
      <c r="C312" s="19" t="s">
        <v>709</v>
      </c>
      <c r="D312" s="21"/>
      <c r="E312" s="20"/>
      <c r="F312" s="23">
        <f>Source!AM122</f>
        <v>2.4900000000000002</v>
      </c>
      <c r="G312" s="22" t="s">
        <v>723</v>
      </c>
      <c r="H312" s="20">
        <f>Source!AV123</f>
        <v>1.087</v>
      </c>
      <c r="I312" s="23">
        <f>Source!Q122</f>
        <v>3.65</v>
      </c>
      <c r="J312" s="20">
        <f>IF(Source!BB123&lt;&gt; 0, Source!BB123, 1)</f>
        <v>17.09</v>
      </c>
      <c r="K312" s="23">
        <f>Source!Q123</f>
        <v>62.38</v>
      </c>
      <c r="L312"/>
    </row>
    <row r="313" spans="1:29" ht="14.25" hidden="1" x14ac:dyDescent="0.2">
      <c r="A313" s="19"/>
      <c r="B313" s="19"/>
      <c r="C313" s="19" t="s">
        <v>710</v>
      </c>
      <c r="D313" s="21"/>
      <c r="E313" s="20"/>
      <c r="F313" s="23">
        <f>Source!AN122</f>
        <v>0.38</v>
      </c>
      <c r="G313" s="22" t="s">
        <v>723</v>
      </c>
      <c r="H313" s="20">
        <f>Source!AV123</f>
        <v>1.087</v>
      </c>
      <c r="I313" s="24">
        <f>Source!R122</f>
        <v>0.56000000000000005</v>
      </c>
      <c r="J313" s="20">
        <f>IF(Source!BS123&lt;&gt; 0, Source!BS123, 1)</f>
        <v>56.35</v>
      </c>
      <c r="K313" s="24">
        <f>Source!R123</f>
        <v>31.56</v>
      </c>
      <c r="L313"/>
    </row>
    <row r="314" spans="1:29" ht="42.75" hidden="1" x14ac:dyDescent="0.2">
      <c r="A314" s="19" t="s">
        <v>244</v>
      </c>
      <c r="B314" s="19" t="str">
        <f>Source!F124</f>
        <v>1.3-4-176</v>
      </c>
      <c r="C314" s="19" t="s">
        <v>246</v>
      </c>
      <c r="D314" s="21" t="str">
        <f>Source!H124</f>
        <v>шт.</v>
      </c>
      <c r="E314" s="20">
        <f>Source!I124</f>
        <v>45</v>
      </c>
      <c r="F314" s="23">
        <f>Source!AK124</f>
        <v>13.23</v>
      </c>
      <c r="G314" s="35" t="s">
        <v>3</v>
      </c>
      <c r="H314" s="20">
        <f>Source!AW125</f>
        <v>1</v>
      </c>
      <c r="I314" s="23">
        <f>Source!O124</f>
        <v>595.35</v>
      </c>
      <c r="J314" s="20">
        <f>IF(Source!BC125&lt;&gt; 0, Source!BC125, 1)</f>
        <v>14.46</v>
      </c>
      <c r="K314" s="23">
        <f>Source!O125</f>
        <v>8608.76</v>
      </c>
      <c r="L314"/>
      <c r="Q314">
        <f>Source!X124</f>
        <v>0</v>
      </c>
      <c r="R314">
        <f>Source!X125</f>
        <v>0</v>
      </c>
      <c r="S314">
        <f>Source!Y124</f>
        <v>0</v>
      </c>
      <c r="T314">
        <f>Source!Y125</f>
        <v>0</v>
      </c>
      <c r="U314">
        <f>ROUND((175/100)*ROUND(Source!R124, 2), 2)</f>
        <v>0</v>
      </c>
      <c r="V314">
        <f>ROUND((0/100)*ROUND(Source!R125, 2), 2)</f>
        <v>0</v>
      </c>
      <c r="AC314">
        <v>3</v>
      </c>
    </row>
    <row r="315" spans="1:29" ht="42.75" hidden="1" x14ac:dyDescent="0.2">
      <c r="A315" s="19" t="s">
        <v>249</v>
      </c>
      <c r="B315" s="19" t="str">
        <f>Source!F126</f>
        <v>1.7-5-262</v>
      </c>
      <c r="C315" s="19" t="s">
        <v>251</v>
      </c>
      <c r="D315" s="21" t="str">
        <f>Source!H126</f>
        <v>100 шт.</v>
      </c>
      <c r="E315" s="20">
        <f>Source!I126</f>
        <v>0.45</v>
      </c>
      <c r="F315" s="23">
        <f>Source!AK126</f>
        <v>328.5</v>
      </c>
      <c r="G315" s="35" t="s">
        <v>3</v>
      </c>
      <c r="H315" s="20">
        <f>Source!AW127</f>
        <v>1</v>
      </c>
      <c r="I315" s="23">
        <f>Source!O126</f>
        <v>147.83000000000001</v>
      </c>
      <c r="J315" s="20">
        <f>IF(Source!BC127&lt;&gt; 0, Source!BC127, 1)</f>
        <v>16.09</v>
      </c>
      <c r="K315" s="23">
        <f>Source!O127</f>
        <v>2378.58</v>
      </c>
      <c r="L315"/>
      <c r="Q315">
        <f>Source!X126</f>
        <v>0</v>
      </c>
      <c r="R315">
        <f>Source!X127</f>
        <v>0</v>
      </c>
      <c r="S315">
        <f>Source!Y126</f>
        <v>0</v>
      </c>
      <c r="T315">
        <f>Source!Y127</f>
        <v>0</v>
      </c>
      <c r="U315">
        <f>ROUND((175/100)*ROUND(Source!R126, 2), 2)</f>
        <v>0</v>
      </c>
      <c r="V315">
        <f>ROUND((0/100)*ROUND(Source!R127, 2), 2)</f>
        <v>0</v>
      </c>
      <c r="AC315">
        <v>3</v>
      </c>
    </row>
    <row r="316" spans="1:29" ht="14.25" hidden="1" x14ac:dyDescent="0.2">
      <c r="A316" s="19"/>
      <c r="B316" s="19"/>
      <c r="C316" s="19" t="s">
        <v>713</v>
      </c>
      <c r="D316" s="21" t="s">
        <v>714</v>
      </c>
      <c r="E316" s="20">
        <f>Source!BZ123</f>
        <v>93</v>
      </c>
      <c r="F316" s="23"/>
      <c r="G316" s="22"/>
      <c r="H316" s="20"/>
      <c r="I316" s="23">
        <f>SUM(Q309:Q315)</f>
        <v>328.24</v>
      </c>
      <c r="J316" s="20">
        <f>Source!AT123</f>
        <v>93</v>
      </c>
      <c r="K316" s="23">
        <f>SUM(R309:R315)</f>
        <v>18496.53</v>
      </c>
      <c r="L316"/>
    </row>
    <row r="317" spans="1:29" ht="14.25" hidden="1" x14ac:dyDescent="0.2">
      <c r="A317" s="19"/>
      <c r="B317" s="19"/>
      <c r="C317" s="19" t="s">
        <v>715</v>
      </c>
      <c r="D317" s="21" t="s">
        <v>714</v>
      </c>
      <c r="E317" s="20">
        <f>Source!CA123</f>
        <v>62</v>
      </c>
      <c r="F317" s="23"/>
      <c r="G317" s="22"/>
      <c r="H317" s="20"/>
      <c r="I317" s="23">
        <f>SUM(S309:S316)</f>
        <v>218.83</v>
      </c>
      <c r="J317" s="20">
        <f>Source!AU123</f>
        <v>62</v>
      </c>
      <c r="K317" s="23">
        <f>SUM(T309:T316)</f>
        <v>12331.02</v>
      </c>
      <c r="L317"/>
    </row>
    <row r="318" spans="1:29" ht="14.25" hidden="1" x14ac:dyDescent="0.2">
      <c r="A318" s="25"/>
      <c r="B318" s="25"/>
      <c r="C318" s="25" t="s">
        <v>716</v>
      </c>
      <c r="D318" s="26" t="s">
        <v>717</v>
      </c>
      <c r="E318" s="27">
        <f>Source!AQ122</f>
        <v>13.4</v>
      </c>
      <c r="F318" s="28"/>
      <c r="G318" s="29" t="s">
        <v>721</v>
      </c>
      <c r="H318" s="27">
        <f>Source!AV123</f>
        <v>1.087</v>
      </c>
      <c r="I318" s="28">
        <f>Source!U122</f>
        <v>18.090723599999997</v>
      </c>
      <c r="J318" s="27"/>
      <c r="K318" s="28"/>
      <c r="L318"/>
    </row>
    <row r="319" spans="1:29" ht="15" hidden="1" x14ac:dyDescent="0.2">
      <c r="C319" s="30" t="s">
        <v>718</v>
      </c>
      <c r="H319" s="42">
        <f>I311+I312+I316+I317+SUM(I314:I315)-SUMIF(AC314:AC315, 5, I314:I315)-SUMIF(AC314:AC315, 6, I314:I315)</f>
        <v>1646.29</v>
      </c>
      <c r="I319" s="42"/>
      <c r="J319" s="42">
        <f>K311+K312+K316+K317+SUM(K314:K315)-SUMIF(AC314:AC315, 5, K314:K315)-SUMIF(AC314:AC315, 6, K314:K315)</f>
        <v>61734.45</v>
      </c>
      <c r="K319" s="42"/>
      <c r="L319"/>
    </row>
    <row r="320" spans="1:29" ht="15" hidden="1" x14ac:dyDescent="0.2">
      <c r="C320" s="30" t="s">
        <v>719</v>
      </c>
      <c r="H320" s="43">
        <f>SUMIF(AC314:AC315, 5, I314:I315)+SUMIF(AC314:AC315, 6, I314:I315)</f>
        <v>0</v>
      </c>
      <c r="I320" s="43"/>
      <c r="J320" s="43">
        <f>SUMIF(AC314:AC315, 5, K314:K315)+SUMIF(AC314:AC315, 6, K314:K315)</f>
        <v>0</v>
      </c>
      <c r="K320" s="43"/>
      <c r="L320"/>
    </row>
    <row r="321" spans="1:29" ht="15" hidden="1" x14ac:dyDescent="0.2">
      <c r="C321" s="30" t="s">
        <v>720</v>
      </c>
      <c r="H321" s="43">
        <f>I311+I312+I316+I317+SUM(I314:I315)</f>
        <v>1646.29</v>
      </c>
      <c r="I321" s="43"/>
      <c r="J321" s="43">
        <f>K311+K312+K316+K317+SUM(K314:K315)</f>
        <v>61734.45</v>
      </c>
      <c r="K321" s="43"/>
      <c r="L321"/>
      <c r="O321" s="31">
        <f>I311+I312+I316+I317+SUM(I314:I315)</f>
        <v>1646.29</v>
      </c>
      <c r="P321" s="31">
        <f>K311+K312+K316+K317+SUM(K314:K315)</f>
        <v>61734.45</v>
      </c>
    </row>
    <row r="322" spans="1:29" hidden="1" x14ac:dyDescent="0.2">
      <c r="L322"/>
    </row>
    <row r="323" spans="1:29" ht="42.75" hidden="1" x14ac:dyDescent="0.2">
      <c r="A323" s="19">
        <v>27</v>
      </c>
      <c r="B323" s="19" t="str">
        <f>Source!F128</f>
        <v>3.70-370-2</v>
      </c>
      <c r="C323" s="19" t="s">
        <v>255</v>
      </c>
      <c r="D323" s="21" t="str">
        <f>Source!H128</f>
        <v>100 м2</v>
      </c>
      <c r="E323" s="20">
        <f>Source!I128</f>
        <v>0.64800000000000002</v>
      </c>
      <c r="F323" s="23"/>
      <c r="G323" s="22"/>
      <c r="H323" s="20"/>
      <c r="I323" s="23"/>
      <c r="J323" s="20"/>
      <c r="K323" s="23"/>
      <c r="L323"/>
      <c r="Q323">
        <f>Source!X128</f>
        <v>175.32</v>
      </c>
      <c r="R323">
        <f>Source!X129</f>
        <v>9879.25</v>
      </c>
      <c r="S323">
        <f>Source!Y128</f>
        <v>95.12</v>
      </c>
      <c r="T323">
        <f>Source!Y129</f>
        <v>5360.02</v>
      </c>
      <c r="U323">
        <f>ROUND((175/100)*ROUND(Source!R128, 2), 2)</f>
        <v>0.89</v>
      </c>
      <c r="V323">
        <f>ROUND((0/100)*ROUND(Source!R129, 2), 2)</f>
        <v>0</v>
      </c>
      <c r="AC323">
        <v>0</v>
      </c>
    </row>
    <row r="324" spans="1:29" ht="38.25" hidden="1" x14ac:dyDescent="0.2">
      <c r="C324" s="32" t="str">
        <f>"Объем: "&amp;Source!I128&amp;"=(20*"&amp;"0,72+"&amp;"40*"&amp;"0,48+"&amp;"60*"&amp;"0,37+"&amp;"15*"&amp;"0,26+"&amp;"15*"&amp;"0,18+"&amp;"15*"&amp;"0,16)/"&amp;"100"</f>
        <v>Объем: 0,648=(20*0,72+40*0,48+60*0,37+15*0,26+15*0,18+15*0,16)/100</v>
      </c>
      <c r="L324"/>
    </row>
    <row r="325" spans="1:29" ht="28.5" hidden="1" x14ac:dyDescent="0.2">
      <c r="A325" s="19"/>
      <c r="B325" s="19"/>
      <c r="C325" s="19" t="s">
        <v>707</v>
      </c>
      <c r="D325" s="21"/>
      <c r="E325" s="20"/>
      <c r="F325" s="23">
        <f>Source!AO128</f>
        <v>99.33</v>
      </c>
      <c r="G325" s="22" t="s">
        <v>724</v>
      </c>
      <c r="H325" s="20">
        <f>Source!AV129</f>
        <v>1.0469999999999999</v>
      </c>
      <c r="I325" s="23">
        <f>Source!S128</f>
        <v>186</v>
      </c>
      <c r="J325" s="20">
        <f>IF(Source!BA129&lt;&gt; 0, Source!BA129, 1)</f>
        <v>56.35</v>
      </c>
      <c r="K325" s="23">
        <f>Source!S129</f>
        <v>10481.1</v>
      </c>
      <c r="L325"/>
    </row>
    <row r="326" spans="1:29" ht="28.5" hidden="1" x14ac:dyDescent="0.2">
      <c r="A326" s="19"/>
      <c r="B326" s="19"/>
      <c r="C326" s="19" t="s">
        <v>709</v>
      </c>
      <c r="D326" s="21"/>
      <c r="E326" s="20"/>
      <c r="F326" s="23">
        <f>Source!AM128</f>
        <v>13.64</v>
      </c>
      <c r="G326" s="22" t="s">
        <v>725</v>
      </c>
      <c r="H326" s="20">
        <f>Source!AV129</f>
        <v>1.0469999999999999</v>
      </c>
      <c r="I326" s="23">
        <f>Source!Q128</f>
        <v>27.76</v>
      </c>
      <c r="J326" s="20">
        <f>IF(Source!BB129&lt;&gt; 0, Source!BB129, 1)</f>
        <v>11.86</v>
      </c>
      <c r="K326" s="23">
        <f>Source!Q129</f>
        <v>329.23</v>
      </c>
      <c r="L326"/>
    </row>
    <row r="327" spans="1:29" ht="28.5" hidden="1" x14ac:dyDescent="0.2">
      <c r="A327" s="19"/>
      <c r="B327" s="19"/>
      <c r="C327" s="19" t="s">
        <v>710</v>
      </c>
      <c r="D327" s="21"/>
      <c r="E327" s="20"/>
      <c r="F327" s="23">
        <f>Source!AN128</f>
        <v>0.25</v>
      </c>
      <c r="G327" s="22" t="s">
        <v>725</v>
      </c>
      <c r="H327" s="20">
        <f>Source!AV129</f>
        <v>1.0469999999999999</v>
      </c>
      <c r="I327" s="24">
        <f>Source!R128</f>
        <v>0.51</v>
      </c>
      <c r="J327" s="20">
        <f>IF(Source!BS129&lt;&gt; 0, Source!BS129, 1)</f>
        <v>56.35</v>
      </c>
      <c r="K327" s="24">
        <f>Source!R129</f>
        <v>28.74</v>
      </c>
      <c r="L327"/>
    </row>
    <row r="328" spans="1:29" ht="14.25" hidden="1" x14ac:dyDescent="0.2">
      <c r="A328" s="19"/>
      <c r="B328" s="19"/>
      <c r="C328" s="19" t="s">
        <v>711</v>
      </c>
      <c r="D328" s="21"/>
      <c r="E328" s="20"/>
      <c r="F328" s="23">
        <f>Source!AL128</f>
        <v>9.44</v>
      </c>
      <c r="G328" s="22">
        <v>2</v>
      </c>
      <c r="H328" s="20">
        <f>Source!AW129</f>
        <v>1</v>
      </c>
      <c r="I328" s="23">
        <f>Source!P128</f>
        <v>12.23</v>
      </c>
      <c r="J328" s="20">
        <f>IF(Source!BC129&lt;&gt; 0, Source!BC129, 1)</f>
        <v>34.81</v>
      </c>
      <c r="K328" s="23">
        <f>Source!P129</f>
        <v>425.73</v>
      </c>
      <c r="L328"/>
    </row>
    <row r="329" spans="1:29" ht="14.25" hidden="1" x14ac:dyDescent="0.2">
      <c r="A329" s="19" t="s">
        <v>263</v>
      </c>
      <c r="B329" s="19" t="str">
        <f>Source!F130</f>
        <v>1.1-1-165</v>
      </c>
      <c r="C329" s="19" t="s">
        <v>265</v>
      </c>
      <c r="D329" s="21" t="str">
        <f>Source!H130</f>
        <v>т</v>
      </c>
      <c r="E329" s="20">
        <f>Source!I130</f>
        <v>1.1664000000000002E-2</v>
      </c>
      <c r="F329" s="23">
        <f>Source!AK130</f>
        <v>18653.07</v>
      </c>
      <c r="G329" s="35" t="s">
        <v>726</v>
      </c>
      <c r="H329" s="20">
        <f>Source!AW131</f>
        <v>1</v>
      </c>
      <c r="I329" s="23">
        <f>Source!O130</f>
        <v>217.57</v>
      </c>
      <c r="J329" s="20">
        <f>IF(Source!BC131&lt;&gt; 0, Source!BC131, 1)</f>
        <v>3.59</v>
      </c>
      <c r="K329" s="23">
        <f>Source!O131</f>
        <v>781.08</v>
      </c>
      <c r="L329"/>
      <c r="Q329">
        <f>Source!X130</f>
        <v>0</v>
      </c>
      <c r="R329">
        <f>Source!X131</f>
        <v>0</v>
      </c>
      <c r="S329">
        <f>Source!Y130</f>
        <v>0</v>
      </c>
      <c r="T329">
        <f>Source!Y131</f>
        <v>0</v>
      </c>
      <c r="U329">
        <f>ROUND((175/100)*ROUND(Source!R130, 2), 2)</f>
        <v>0</v>
      </c>
      <c r="V329">
        <f>ROUND((0/100)*ROUND(Source!R131, 2), 2)</f>
        <v>0</v>
      </c>
      <c r="AC329">
        <v>3</v>
      </c>
    </row>
    <row r="330" spans="1:29" ht="14.25" hidden="1" x14ac:dyDescent="0.2">
      <c r="A330" s="19"/>
      <c r="B330" s="19"/>
      <c r="C330" s="19" t="s">
        <v>713</v>
      </c>
      <c r="D330" s="21" t="s">
        <v>714</v>
      </c>
      <c r="E330" s="20">
        <f>Source!BZ129</f>
        <v>94</v>
      </c>
      <c r="F330" s="23"/>
      <c r="G330" s="22"/>
      <c r="H330" s="20"/>
      <c r="I330" s="23">
        <f>SUM(Q323:Q329)</f>
        <v>175.32</v>
      </c>
      <c r="J330" s="20">
        <f>Source!AT129</f>
        <v>94</v>
      </c>
      <c r="K330" s="23">
        <f>SUM(R323:R329)</f>
        <v>9879.25</v>
      </c>
      <c r="L330"/>
    </row>
    <row r="331" spans="1:29" ht="14.25" hidden="1" x14ac:dyDescent="0.2">
      <c r="A331" s="19"/>
      <c r="B331" s="19"/>
      <c r="C331" s="19" t="s">
        <v>715</v>
      </c>
      <c r="D331" s="21" t="s">
        <v>714</v>
      </c>
      <c r="E331" s="20">
        <f>Source!CA129</f>
        <v>51</v>
      </c>
      <c r="F331" s="23"/>
      <c r="G331" s="22"/>
      <c r="H331" s="20"/>
      <c r="I331" s="23">
        <f>SUM(S323:S330)</f>
        <v>95.12</v>
      </c>
      <c r="J331" s="20">
        <f>Source!AU129</f>
        <v>51</v>
      </c>
      <c r="K331" s="23">
        <f>SUM(T323:T330)</f>
        <v>5360.02</v>
      </c>
      <c r="L331"/>
    </row>
    <row r="332" spans="1:29" ht="28.5" hidden="1" x14ac:dyDescent="0.2">
      <c r="A332" s="25"/>
      <c r="B332" s="25"/>
      <c r="C332" s="25" t="s">
        <v>716</v>
      </c>
      <c r="D332" s="26" t="s">
        <v>717</v>
      </c>
      <c r="E332" s="27">
        <f>Source!AQ128</f>
        <v>5.31</v>
      </c>
      <c r="F332" s="28"/>
      <c r="G332" s="29" t="s">
        <v>724</v>
      </c>
      <c r="H332" s="27">
        <f>Source!AV129</f>
        <v>1.0469999999999999</v>
      </c>
      <c r="I332" s="28">
        <f>Source!U128</f>
        <v>9.9431797535999973</v>
      </c>
      <c r="J332" s="27"/>
      <c r="K332" s="28"/>
      <c r="L332"/>
    </row>
    <row r="333" spans="1:29" ht="15" hidden="1" x14ac:dyDescent="0.2">
      <c r="C333" s="30" t="s">
        <v>718</v>
      </c>
      <c r="H333" s="42">
        <f>I325+I326+I328+I330+I331+SUM(I329:I329)-SUMIF(AC329:AC329, 5, I329:I329)-SUMIF(AC329:AC329, 6, I329:I329)</f>
        <v>714</v>
      </c>
      <c r="I333" s="42"/>
      <c r="J333" s="42">
        <f>K325+K326+K328+K330+K331+SUM(K329:K329)-SUMIF(AC329:AC329, 5, K329:K329)-SUMIF(AC329:AC329, 6, K329:K329)</f>
        <v>27256.41</v>
      </c>
      <c r="K333" s="42"/>
      <c r="L333"/>
    </row>
    <row r="334" spans="1:29" ht="15" hidden="1" x14ac:dyDescent="0.2">
      <c r="C334" s="30" t="s">
        <v>719</v>
      </c>
      <c r="H334" s="43">
        <f>SUMIF(AC329:AC329, 5, I329:I329)+SUMIF(AC329:AC329, 6, I329:I329)</f>
        <v>0</v>
      </c>
      <c r="I334" s="43"/>
      <c r="J334" s="43">
        <f>SUMIF(AC329:AC329, 5, K329:K329)+SUMIF(AC329:AC329, 6, K329:K329)</f>
        <v>0</v>
      </c>
      <c r="K334" s="43"/>
      <c r="L334"/>
    </row>
    <row r="335" spans="1:29" ht="15" hidden="1" x14ac:dyDescent="0.2">
      <c r="C335" s="30" t="s">
        <v>720</v>
      </c>
      <c r="H335" s="43">
        <f>I325+I326+I328+I330+I331+SUM(I329:I329)</f>
        <v>714</v>
      </c>
      <c r="I335" s="43"/>
      <c r="J335" s="43">
        <f>K325+K326+K328+K330+K331+SUM(K329:K329)</f>
        <v>27256.41</v>
      </c>
      <c r="K335" s="43"/>
      <c r="L335"/>
      <c r="O335" s="31">
        <f>I325+I326+I328+I330+I331+SUM(I329:I329)</f>
        <v>714</v>
      </c>
      <c r="P335" s="31">
        <f>K325+K326+K328+K330+K331+SUM(K329:K329)</f>
        <v>27256.41</v>
      </c>
    </row>
    <row r="336" spans="1:29" hidden="1" x14ac:dyDescent="0.2">
      <c r="L336"/>
    </row>
    <row r="337" spans="1:29" ht="28.5" hidden="1" x14ac:dyDescent="0.2">
      <c r="A337" s="19">
        <v>28</v>
      </c>
      <c r="B337" s="19" t="str">
        <f>Source!F132</f>
        <v>3.70-357-8</v>
      </c>
      <c r="C337" s="19" t="s">
        <v>270</v>
      </c>
      <c r="D337" s="21" t="str">
        <f>Source!H132</f>
        <v>100 м2</v>
      </c>
      <c r="E337" s="20">
        <f>Source!I132</f>
        <v>0.64800000000000002</v>
      </c>
      <c r="F337" s="23"/>
      <c r="G337" s="22"/>
      <c r="H337" s="20"/>
      <c r="I337" s="23"/>
      <c r="J337" s="20"/>
      <c r="K337" s="23"/>
      <c r="L337"/>
      <c r="Q337">
        <f>Source!X132</f>
        <v>30.14</v>
      </c>
      <c r="R337">
        <f>Source!X133</f>
        <v>1698.19</v>
      </c>
      <c r="S337">
        <f>Source!Y132</f>
        <v>16.350000000000001</v>
      </c>
      <c r="T337">
        <f>Source!Y133</f>
        <v>921.36</v>
      </c>
      <c r="U337">
        <f>ROUND((175/100)*ROUND(Source!R132, 2), 2)</f>
        <v>0.44</v>
      </c>
      <c r="V337">
        <f>ROUND((0/100)*ROUND(Source!R133, 2), 2)</f>
        <v>0</v>
      </c>
      <c r="AC337">
        <v>0</v>
      </c>
    </row>
    <row r="338" spans="1:29" hidden="1" x14ac:dyDescent="0.2">
      <c r="C338" s="32" t="str">
        <f>"Объем: "&amp;Source!I132&amp;"=(64,8)/"&amp;"100"</f>
        <v>Объем: 0,648=(64,8)/100</v>
      </c>
      <c r="L338"/>
    </row>
    <row r="339" spans="1:29" ht="14.25" hidden="1" x14ac:dyDescent="0.2">
      <c r="A339" s="19"/>
      <c r="B339" s="19"/>
      <c r="C339" s="19" t="s">
        <v>707</v>
      </c>
      <c r="D339" s="21"/>
      <c r="E339" s="20"/>
      <c r="F339" s="23">
        <f>Source!AO132</f>
        <v>33.97</v>
      </c>
      <c r="G339" s="22" t="s">
        <v>721</v>
      </c>
      <c r="H339" s="20">
        <f>Source!AV133</f>
        <v>1.0469999999999999</v>
      </c>
      <c r="I339" s="23">
        <f>Source!S132</f>
        <v>31.81</v>
      </c>
      <c r="J339" s="20">
        <f>IF(Source!BA133&lt;&gt; 0, Source!BA133, 1)</f>
        <v>56.35</v>
      </c>
      <c r="K339" s="23">
        <f>Source!S133</f>
        <v>1792.49</v>
      </c>
      <c r="L339"/>
    </row>
    <row r="340" spans="1:29" ht="14.25" hidden="1" x14ac:dyDescent="0.2">
      <c r="A340" s="19"/>
      <c r="B340" s="19"/>
      <c r="C340" s="19" t="s">
        <v>709</v>
      </c>
      <c r="D340" s="21"/>
      <c r="E340" s="20"/>
      <c r="F340" s="23">
        <f>Source!AM132</f>
        <v>1.98</v>
      </c>
      <c r="G340" s="22" t="s">
        <v>723</v>
      </c>
      <c r="H340" s="20">
        <f>Source!AV133</f>
        <v>1.0469999999999999</v>
      </c>
      <c r="I340" s="23">
        <f>Source!Q132</f>
        <v>2.02</v>
      </c>
      <c r="J340" s="20">
        <f>IF(Source!BB133&lt;&gt; 0, Source!BB133, 1)</f>
        <v>16.54</v>
      </c>
      <c r="K340" s="23">
        <f>Source!Q133</f>
        <v>33.409999999999997</v>
      </c>
      <c r="L340"/>
    </row>
    <row r="341" spans="1:29" ht="14.25" hidden="1" x14ac:dyDescent="0.2">
      <c r="A341" s="19"/>
      <c r="B341" s="19"/>
      <c r="C341" s="19" t="s">
        <v>710</v>
      </c>
      <c r="D341" s="21"/>
      <c r="E341" s="20"/>
      <c r="F341" s="23">
        <f>Source!AN132</f>
        <v>0.25</v>
      </c>
      <c r="G341" s="22" t="s">
        <v>723</v>
      </c>
      <c r="H341" s="20">
        <f>Source!AV133</f>
        <v>1.0469999999999999</v>
      </c>
      <c r="I341" s="24">
        <f>Source!R132</f>
        <v>0.25</v>
      </c>
      <c r="J341" s="20">
        <f>IF(Source!BS133&lt;&gt; 0, Source!BS133, 1)</f>
        <v>56.35</v>
      </c>
      <c r="K341" s="24">
        <f>Source!R133</f>
        <v>14.09</v>
      </c>
      <c r="L341"/>
    </row>
    <row r="342" spans="1:29" ht="14.25" hidden="1" x14ac:dyDescent="0.2">
      <c r="A342" s="19"/>
      <c r="B342" s="19"/>
      <c r="C342" s="19" t="s">
        <v>711</v>
      </c>
      <c r="D342" s="21"/>
      <c r="E342" s="20"/>
      <c r="F342" s="23">
        <f>Source!AL132</f>
        <v>287.54000000000002</v>
      </c>
      <c r="G342" s="22"/>
      <c r="H342" s="20">
        <f>Source!AW133</f>
        <v>1</v>
      </c>
      <c r="I342" s="23">
        <f>Source!P132</f>
        <v>186.33</v>
      </c>
      <c r="J342" s="20">
        <f>IF(Source!BC133&lt;&gt; 0, Source!BC133, 1)</f>
        <v>3.45</v>
      </c>
      <c r="K342" s="23">
        <f>Source!P133</f>
        <v>642.84</v>
      </c>
      <c r="L342"/>
    </row>
    <row r="343" spans="1:29" ht="14.25" hidden="1" x14ac:dyDescent="0.2">
      <c r="A343" s="19"/>
      <c r="B343" s="19"/>
      <c r="C343" s="19" t="s">
        <v>713</v>
      </c>
      <c r="D343" s="21" t="s">
        <v>714</v>
      </c>
      <c r="E343" s="20">
        <f>Source!BZ133</f>
        <v>94</v>
      </c>
      <c r="F343" s="23"/>
      <c r="G343" s="22"/>
      <c r="H343" s="20"/>
      <c r="I343" s="23">
        <f>SUM(Q337:Q342)</f>
        <v>30.14</v>
      </c>
      <c r="J343" s="20">
        <f>Source!AT133</f>
        <v>94</v>
      </c>
      <c r="K343" s="23">
        <f>SUM(R337:R342)</f>
        <v>1698.19</v>
      </c>
      <c r="L343"/>
    </row>
    <row r="344" spans="1:29" ht="14.25" hidden="1" x14ac:dyDescent="0.2">
      <c r="A344" s="19"/>
      <c r="B344" s="19"/>
      <c r="C344" s="19" t="s">
        <v>715</v>
      </c>
      <c r="D344" s="21" t="s">
        <v>714</v>
      </c>
      <c r="E344" s="20">
        <f>Source!CA133</f>
        <v>51</v>
      </c>
      <c r="F344" s="23"/>
      <c r="G344" s="22"/>
      <c r="H344" s="20"/>
      <c r="I344" s="23">
        <f>SUM(S337:S343)</f>
        <v>16.350000000000001</v>
      </c>
      <c r="J344" s="20">
        <f>Source!AU133</f>
        <v>51</v>
      </c>
      <c r="K344" s="23">
        <f>SUM(T337:T343)</f>
        <v>921.36</v>
      </c>
      <c r="L344"/>
    </row>
    <row r="345" spans="1:29" ht="14.25" hidden="1" x14ac:dyDescent="0.2">
      <c r="A345" s="25"/>
      <c r="B345" s="25"/>
      <c r="C345" s="25" t="s">
        <v>716</v>
      </c>
      <c r="D345" s="26" t="s">
        <v>717</v>
      </c>
      <c r="E345" s="27">
        <f>Source!AQ132</f>
        <v>2.13</v>
      </c>
      <c r="F345" s="28"/>
      <c r="G345" s="29" t="s">
        <v>721</v>
      </c>
      <c r="H345" s="27">
        <f>Source!AV133</f>
        <v>1.0469999999999999</v>
      </c>
      <c r="I345" s="28">
        <f>Source!U132</f>
        <v>1.9942535663999996</v>
      </c>
      <c r="J345" s="27"/>
      <c r="K345" s="28"/>
      <c r="L345"/>
    </row>
    <row r="346" spans="1:29" ht="15" hidden="1" x14ac:dyDescent="0.2">
      <c r="C346" s="30" t="s">
        <v>718</v>
      </c>
      <c r="H346" s="42">
        <f>I339+I340+I342+I343+I344+0-0-0</f>
        <v>266.65000000000003</v>
      </c>
      <c r="I346" s="42"/>
      <c r="J346" s="42">
        <f>K339+K340+K342+K343+K344+0-0-0</f>
        <v>5088.29</v>
      </c>
      <c r="K346" s="42"/>
      <c r="L346"/>
    </row>
    <row r="347" spans="1:29" ht="15" hidden="1" x14ac:dyDescent="0.2">
      <c r="C347" s="30" t="s">
        <v>719</v>
      </c>
      <c r="H347" s="43">
        <f>0+0</f>
        <v>0</v>
      </c>
      <c r="I347" s="43"/>
      <c r="J347" s="43">
        <f>0+0</f>
        <v>0</v>
      </c>
      <c r="K347" s="43"/>
      <c r="L347"/>
    </row>
    <row r="348" spans="1:29" ht="15" hidden="1" x14ac:dyDescent="0.2">
      <c r="C348" s="30" t="s">
        <v>720</v>
      </c>
      <c r="H348" s="43">
        <f>I339+I340+I342+I343+I344+0</f>
        <v>266.65000000000003</v>
      </c>
      <c r="I348" s="43"/>
      <c r="J348" s="43">
        <f>K339+K340+K342+K343+K344+0</f>
        <v>5088.29</v>
      </c>
      <c r="K348" s="43"/>
      <c r="L348"/>
      <c r="O348" s="31">
        <f>I339+I340+I342+I343+I344+0</f>
        <v>266.65000000000003</v>
      </c>
      <c r="P348" s="31">
        <f>K339+K340+K342+K343+K344+0</f>
        <v>5088.29</v>
      </c>
    </row>
    <row r="349" spans="1:29" hidden="1" x14ac:dyDescent="0.2">
      <c r="L349"/>
    </row>
    <row r="350" spans="1:29" ht="57" hidden="1" x14ac:dyDescent="0.2">
      <c r="A350" s="19">
        <v>29</v>
      </c>
      <c r="B350" s="19" t="str">
        <f>Source!F134</f>
        <v>4.12-53-10</v>
      </c>
      <c r="C350" s="19" t="s">
        <v>274</v>
      </c>
      <c r="D350" s="21" t="str">
        <f>Source!H134</f>
        <v>1  ШТ.</v>
      </c>
      <c r="E350" s="20">
        <f>Source!I134</f>
        <v>1</v>
      </c>
      <c r="F350" s="23"/>
      <c r="G350" s="22"/>
      <c r="H350" s="20"/>
      <c r="I350" s="23"/>
      <c r="J350" s="20"/>
      <c r="K350" s="23"/>
      <c r="L350"/>
      <c r="Q350">
        <f>Source!X134</f>
        <v>124.06</v>
      </c>
      <c r="R350">
        <f>Source!X135</f>
        <v>6990.55</v>
      </c>
      <c r="S350">
        <f>Source!Y134</f>
        <v>63.41</v>
      </c>
      <c r="T350">
        <f>Source!Y135</f>
        <v>3572.95</v>
      </c>
      <c r="U350">
        <f>ROUND((175/100)*ROUND(Source!R134, 2), 2)</f>
        <v>0.86</v>
      </c>
      <c r="V350">
        <f>ROUND((0/100)*ROUND(Source!R135, 2), 2)</f>
        <v>0</v>
      </c>
      <c r="AC350">
        <v>0</v>
      </c>
    </row>
    <row r="351" spans="1:29" ht="14.25" hidden="1" x14ac:dyDescent="0.2">
      <c r="A351" s="19"/>
      <c r="B351" s="19"/>
      <c r="C351" s="19" t="s">
        <v>707</v>
      </c>
      <c r="D351" s="21"/>
      <c r="E351" s="20"/>
      <c r="F351" s="23">
        <f>Source!AO134</f>
        <v>107.27</v>
      </c>
      <c r="G351" s="22" t="s">
        <v>91</v>
      </c>
      <c r="H351" s="20">
        <f>Source!AV135</f>
        <v>1.0669999999999999</v>
      </c>
      <c r="I351" s="23">
        <f>Source!S134</f>
        <v>137.35</v>
      </c>
      <c r="J351" s="20">
        <f>IF(Source!BA135&lt;&gt; 0, Source!BA135, 1)</f>
        <v>56.35</v>
      </c>
      <c r="K351" s="23">
        <f>Source!S135</f>
        <v>7739.67</v>
      </c>
      <c r="L351"/>
    </row>
    <row r="352" spans="1:29" ht="14.25" hidden="1" x14ac:dyDescent="0.2">
      <c r="A352" s="19"/>
      <c r="B352" s="19"/>
      <c r="C352" s="19" t="s">
        <v>709</v>
      </c>
      <c r="D352" s="21"/>
      <c r="E352" s="20"/>
      <c r="F352" s="23">
        <f>Source!AM134</f>
        <v>11.74</v>
      </c>
      <c r="G352" s="22" t="s">
        <v>91</v>
      </c>
      <c r="H352" s="20">
        <f>Source!AV135</f>
        <v>1.0669999999999999</v>
      </c>
      <c r="I352" s="23">
        <f>Source!Q134</f>
        <v>15.03</v>
      </c>
      <c r="J352" s="20">
        <f>IF(Source!BB135&lt;&gt; 0, Source!BB135, 1)</f>
        <v>14.22</v>
      </c>
      <c r="K352" s="23">
        <f>Source!Q135</f>
        <v>213.73</v>
      </c>
      <c r="L352"/>
    </row>
    <row r="353" spans="1:29" ht="14.25" hidden="1" x14ac:dyDescent="0.2">
      <c r="A353" s="19"/>
      <c r="B353" s="19"/>
      <c r="C353" s="19" t="s">
        <v>710</v>
      </c>
      <c r="D353" s="21"/>
      <c r="E353" s="20"/>
      <c r="F353" s="23">
        <f>Source!AN134</f>
        <v>0.38</v>
      </c>
      <c r="G353" s="22" t="s">
        <v>91</v>
      </c>
      <c r="H353" s="20">
        <f>Source!AV135</f>
        <v>1.0669999999999999</v>
      </c>
      <c r="I353" s="24">
        <f>Source!R134</f>
        <v>0.49</v>
      </c>
      <c r="J353" s="20">
        <f>IF(Source!BS135&lt;&gt; 0, Source!BS135, 1)</f>
        <v>56.35</v>
      </c>
      <c r="K353" s="24">
        <f>Source!R135</f>
        <v>27.61</v>
      </c>
      <c r="L353"/>
    </row>
    <row r="354" spans="1:29" ht="14.25" hidden="1" x14ac:dyDescent="0.2">
      <c r="A354" s="19"/>
      <c r="B354" s="19"/>
      <c r="C354" s="19" t="s">
        <v>711</v>
      </c>
      <c r="D354" s="21"/>
      <c r="E354" s="20"/>
      <c r="F354" s="23">
        <f>Source!AL134</f>
        <v>4.33</v>
      </c>
      <c r="G354" s="22"/>
      <c r="H354" s="20">
        <f>Source!AW135</f>
        <v>1.028</v>
      </c>
      <c r="I354" s="23">
        <f>Source!P134</f>
        <v>4.45</v>
      </c>
      <c r="J354" s="20">
        <f>IF(Source!BC135&lt;&gt; 0, Source!BC135, 1)</f>
        <v>10.59</v>
      </c>
      <c r="K354" s="23">
        <f>Source!P135</f>
        <v>47.13</v>
      </c>
      <c r="L354"/>
    </row>
    <row r="355" spans="1:29" ht="39.75" hidden="1" x14ac:dyDescent="0.2">
      <c r="A355" s="19" t="s">
        <v>276</v>
      </c>
      <c r="B355" s="19" t="str">
        <f>Source!F136</f>
        <v>КА. п. 3</v>
      </c>
      <c r="C355" s="19" t="s">
        <v>727</v>
      </c>
      <c r="D355" s="21" t="str">
        <f>Source!H136</f>
        <v>шт.</v>
      </c>
      <c r="E355" s="20">
        <f>Source!I136</f>
        <v>1</v>
      </c>
      <c r="F355" s="23">
        <f>Source!AK136</f>
        <v>2638.17</v>
      </c>
      <c r="G355" s="35" t="s">
        <v>3</v>
      </c>
      <c r="H355" s="20">
        <f>Source!AW137</f>
        <v>1</v>
      </c>
      <c r="I355" s="23">
        <f>Source!O136</f>
        <v>2638.17</v>
      </c>
      <c r="J355" s="20">
        <f>IF(Source!BC137&lt;&gt; 0, Source!BC137, 1)</f>
        <v>9.84</v>
      </c>
      <c r="K355" s="23">
        <f>Source!O137</f>
        <v>25959.59</v>
      </c>
      <c r="L355"/>
      <c r="Q355">
        <f>Source!X136</f>
        <v>0</v>
      </c>
      <c r="R355">
        <f>Source!X137</f>
        <v>0</v>
      </c>
      <c r="S355">
        <f>Source!Y136</f>
        <v>0</v>
      </c>
      <c r="T355">
        <f>Source!Y137</f>
        <v>0</v>
      </c>
      <c r="U355">
        <f>ROUND((175/100)*ROUND(Source!R136, 2), 2)</f>
        <v>0</v>
      </c>
      <c r="V355">
        <f>ROUND((0/100)*ROUND(Source!R137, 2), 2)</f>
        <v>0</v>
      </c>
      <c r="AC355">
        <v>3</v>
      </c>
    </row>
    <row r="356" spans="1:29" ht="14.25" hidden="1" x14ac:dyDescent="0.2">
      <c r="A356" s="19"/>
      <c r="B356" s="19"/>
      <c r="C356" s="19" t="s">
        <v>713</v>
      </c>
      <c r="D356" s="21" t="s">
        <v>714</v>
      </c>
      <c r="E356" s="20">
        <f>Source!BZ135</f>
        <v>90</v>
      </c>
      <c r="F356" s="23"/>
      <c r="G356" s="22"/>
      <c r="H356" s="20"/>
      <c r="I356" s="23">
        <f>SUM(Q350:Q355)</f>
        <v>124.06</v>
      </c>
      <c r="J356" s="20">
        <f>Source!AT135</f>
        <v>90</v>
      </c>
      <c r="K356" s="23">
        <f>SUM(R350:R355)</f>
        <v>6990.55</v>
      </c>
      <c r="L356"/>
    </row>
    <row r="357" spans="1:29" ht="14.25" hidden="1" x14ac:dyDescent="0.2">
      <c r="A357" s="19"/>
      <c r="B357" s="19"/>
      <c r="C357" s="19" t="s">
        <v>715</v>
      </c>
      <c r="D357" s="21" t="s">
        <v>714</v>
      </c>
      <c r="E357" s="20">
        <f>Source!CA135</f>
        <v>46</v>
      </c>
      <c r="F357" s="23"/>
      <c r="G357" s="22"/>
      <c r="H357" s="20"/>
      <c r="I357" s="23">
        <f>SUM(S350:S356)</f>
        <v>63.41</v>
      </c>
      <c r="J357" s="20">
        <f>Source!AU135</f>
        <v>46</v>
      </c>
      <c r="K357" s="23">
        <f>SUM(T350:T356)</f>
        <v>3572.95</v>
      </c>
      <c r="L357"/>
    </row>
    <row r="358" spans="1:29" ht="14.25" hidden="1" x14ac:dyDescent="0.2">
      <c r="A358" s="25"/>
      <c r="B358" s="25"/>
      <c r="C358" s="25" t="s">
        <v>716</v>
      </c>
      <c r="D358" s="26" t="s">
        <v>717</v>
      </c>
      <c r="E358" s="27">
        <f>Source!AQ134</f>
        <v>8.5</v>
      </c>
      <c r="F358" s="28"/>
      <c r="G358" s="29" t="s">
        <v>91</v>
      </c>
      <c r="H358" s="27">
        <f>Source!AV135</f>
        <v>1.0669999999999999</v>
      </c>
      <c r="I358" s="28">
        <f>Source!U134</f>
        <v>10.883399999999998</v>
      </c>
      <c r="J358" s="27"/>
      <c r="K358" s="28"/>
      <c r="L358"/>
    </row>
    <row r="359" spans="1:29" ht="15" hidden="1" x14ac:dyDescent="0.2">
      <c r="C359" s="30" t="s">
        <v>718</v>
      </c>
      <c r="H359" s="42">
        <f>I351+I352+I354+I356+I357+SUM(I355:I355)-SUMIF(AC355:AC355, 5, I355:I355)-SUMIF(AC355:AC355, 6, I355:I355)</f>
        <v>2982.4700000000003</v>
      </c>
      <c r="I359" s="42"/>
      <c r="J359" s="42">
        <f>K351+K352+K354+K356+K357+SUM(K355:K355)-SUMIF(AC355:AC355, 5, K355:K355)-SUMIF(AC355:AC355, 6, K355:K355)</f>
        <v>44523.619999999995</v>
      </c>
      <c r="K359" s="42"/>
      <c r="L359"/>
    </row>
    <row r="360" spans="1:29" ht="15" hidden="1" x14ac:dyDescent="0.2">
      <c r="C360" s="30" t="s">
        <v>719</v>
      </c>
      <c r="H360" s="43">
        <f>SUMIF(AC355:AC355, 5, I355:I355)+SUMIF(AC355:AC355, 6, I355:I355)</f>
        <v>0</v>
      </c>
      <c r="I360" s="43"/>
      <c r="J360" s="43">
        <f>SUMIF(AC355:AC355, 5, K355:K355)+SUMIF(AC355:AC355, 6, K355:K355)</f>
        <v>0</v>
      </c>
      <c r="K360" s="43"/>
      <c r="L360"/>
    </row>
    <row r="361" spans="1:29" ht="15" hidden="1" x14ac:dyDescent="0.2">
      <c r="C361" s="30" t="s">
        <v>720</v>
      </c>
      <c r="H361" s="43">
        <f>I351+I352+I354+I356+I357+SUM(I355:I355)</f>
        <v>2982.4700000000003</v>
      </c>
      <c r="I361" s="43"/>
      <c r="J361" s="43">
        <f>K351+K352+K354+K356+K357+SUM(K355:K355)</f>
        <v>44523.619999999995</v>
      </c>
      <c r="K361" s="43"/>
      <c r="L361"/>
      <c r="O361" s="31">
        <f>I351+I352+I354+I356+I357+SUM(I355:I355)</f>
        <v>2982.4700000000003</v>
      </c>
      <c r="P361" s="31">
        <f>K351+K352+K354+K356+K357+SUM(K355:K355)</f>
        <v>44523.619999999995</v>
      </c>
    </row>
    <row r="362" spans="1:29" hidden="1" x14ac:dyDescent="0.2">
      <c r="L362"/>
    </row>
    <row r="363" spans="1:29" hidden="1" x14ac:dyDescent="0.2">
      <c r="L363"/>
    </row>
    <row r="364" spans="1:29" ht="15" hidden="1" x14ac:dyDescent="0.25">
      <c r="A364" s="46" t="str">
        <f>CONCATENATE("Итого по разделу: ",IF(Source!G139&lt;&gt;"Новый раздел", Source!G139, ""))</f>
        <v>Итого по разделу: Насосная установка.</v>
      </c>
      <c r="B364" s="46"/>
      <c r="C364" s="46"/>
      <c r="D364" s="46"/>
      <c r="E364" s="46"/>
      <c r="F364" s="46"/>
      <c r="G364" s="46"/>
      <c r="H364" s="43">
        <f>SUM(O29:O363)</f>
        <v>331796.92</v>
      </c>
      <c r="I364" s="45"/>
      <c r="J364" s="43">
        <f>SUM(P29:P363)</f>
        <v>3863907.93</v>
      </c>
      <c r="K364" s="45"/>
      <c r="L364"/>
    </row>
    <row r="365" spans="1:29" hidden="1" x14ac:dyDescent="0.2">
      <c r="A365" t="s">
        <v>728</v>
      </c>
      <c r="I365">
        <f>SUM(W29:W364)</f>
        <v>0</v>
      </c>
      <c r="J365">
        <f>SUM(X29:X364)</f>
        <v>0</v>
      </c>
      <c r="L365"/>
    </row>
    <row r="366" spans="1:29" hidden="1" x14ac:dyDescent="0.2">
      <c r="A366" t="s">
        <v>729</v>
      </c>
      <c r="I366">
        <f>SUM(Y29:Y365)</f>
        <v>0</v>
      </c>
      <c r="J366">
        <f>SUM(Z29:Z365)</f>
        <v>0</v>
      </c>
      <c r="L366"/>
    </row>
    <row r="367" spans="1:29" hidden="1" x14ac:dyDescent="0.2">
      <c r="L367"/>
    </row>
    <row r="368" spans="1:29" ht="16.5" hidden="1" x14ac:dyDescent="0.2">
      <c r="A368" s="40" t="str">
        <f>CONCATENATE("Раздел: ",IF(Source!G169&lt;&gt;"Новый раздел", Source!G169, ""))</f>
        <v>Раздел: Автоматическая установка водяного пожаротушения.</v>
      </c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/>
    </row>
    <row r="369" spans="1:29" ht="57" hidden="1" x14ac:dyDescent="0.2">
      <c r="A369" s="19">
        <v>30</v>
      </c>
      <c r="B369" s="19" t="str">
        <f>Source!F173</f>
        <v>4.12-35-14</v>
      </c>
      <c r="C369" s="19" t="s">
        <v>338</v>
      </c>
      <c r="D369" s="21" t="str">
        <f>Source!H173</f>
        <v>100 шт.</v>
      </c>
      <c r="E369" s="20">
        <f>Source!I173</f>
        <v>7.78</v>
      </c>
      <c r="F369" s="23"/>
      <c r="G369" s="22"/>
      <c r="H369" s="20"/>
      <c r="I369" s="23"/>
      <c r="J369" s="20"/>
      <c r="K369" s="23"/>
      <c r="L369"/>
      <c r="Q369">
        <f>Source!X173</f>
        <v>5671.85</v>
      </c>
      <c r="R369">
        <f>Source!X174</f>
        <v>319608.46000000002</v>
      </c>
      <c r="S369">
        <f>Source!Y173</f>
        <v>2898.94</v>
      </c>
      <c r="T369">
        <f>Source!Y174</f>
        <v>163355.43</v>
      </c>
      <c r="U369">
        <f>ROUND((175/100)*ROUND(Source!R173, 2), 2)</f>
        <v>26.32</v>
      </c>
      <c r="V369">
        <f>ROUND((0/100)*ROUND(Source!R174, 2), 2)</f>
        <v>0</v>
      </c>
      <c r="AC369">
        <v>0</v>
      </c>
    </row>
    <row r="370" spans="1:29" hidden="1" x14ac:dyDescent="0.2">
      <c r="C370" s="32" t="str">
        <f>"Объем: "&amp;Source!I173&amp;"=(778)/"&amp;"100"</f>
        <v>Объем: 7,78=(778)/100</v>
      </c>
      <c r="L370"/>
    </row>
    <row r="371" spans="1:29" ht="14.25" hidden="1" x14ac:dyDescent="0.2">
      <c r="A371" s="19"/>
      <c r="B371" s="19"/>
      <c r="C371" s="19" t="s">
        <v>707</v>
      </c>
      <c r="D371" s="21"/>
      <c r="E371" s="20"/>
      <c r="F371" s="23">
        <f>Source!AO173</f>
        <v>631.13</v>
      </c>
      <c r="G371" s="22" t="s">
        <v>91</v>
      </c>
      <c r="H371" s="20">
        <f>Source!AV174</f>
        <v>1.0669999999999999</v>
      </c>
      <c r="I371" s="23">
        <f>Source!S173</f>
        <v>6287.01</v>
      </c>
      <c r="J371" s="20">
        <f>IF(Source!BA174&lt;&gt; 0, Source!BA174, 1)</f>
        <v>56.35</v>
      </c>
      <c r="K371" s="23">
        <f>Source!S174</f>
        <v>354273.01</v>
      </c>
      <c r="L371"/>
    </row>
    <row r="372" spans="1:29" ht="14.25" hidden="1" x14ac:dyDescent="0.2">
      <c r="A372" s="19"/>
      <c r="B372" s="19"/>
      <c r="C372" s="19" t="s">
        <v>709</v>
      </c>
      <c r="D372" s="21"/>
      <c r="E372" s="20"/>
      <c r="F372" s="23">
        <f>Source!AM173</f>
        <v>10.130000000000001</v>
      </c>
      <c r="G372" s="22" t="s">
        <v>91</v>
      </c>
      <c r="H372" s="20">
        <f>Source!AV174</f>
        <v>1.0669999999999999</v>
      </c>
      <c r="I372" s="23">
        <f>Source!Q173</f>
        <v>100.91</v>
      </c>
      <c r="J372" s="20">
        <f>IF(Source!BB174&lt;&gt; 0, Source!BB174, 1)</f>
        <v>16.95</v>
      </c>
      <c r="K372" s="23">
        <f>Source!Q174</f>
        <v>1710.42</v>
      </c>
      <c r="L372"/>
    </row>
    <row r="373" spans="1:29" ht="14.25" hidden="1" x14ac:dyDescent="0.2">
      <c r="A373" s="19"/>
      <c r="B373" s="19"/>
      <c r="C373" s="19" t="s">
        <v>710</v>
      </c>
      <c r="D373" s="21"/>
      <c r="E373" s="20"/>
      <c r="F373" s="23">
        <f>Source!AN173</f>
        <v>1.51</v>
      </c>
      <c r="G373" s="22" t="s">
        <v>91</v>
      </c>
      <c r="H373" s="20">
        <f>Source!AV174</f>
        <v>1.0669999999999999</v>
      </c>
      <c r="I373" s="24">
        <f>Source!R173</f>
        <v>15.04</v>
      </c>
      <c r="J373" s="20">
        <f>IF(Source!BS174&lt;&gt; 0, Source!BS174, 1)</f>
        <v>56.35</v>
      </c>
      <c r="K373" s="24">
        <f>Source!R174</f>
        <v>847.5</v>
      </c>
      <c r="L373"/>
    </row>
    <row r="374" spans="1:29" ht="14.25" hidden="1" x14ac:dyDescent="0.2">
      <c r="A374" s="19"/>
      <c r="B374" s="19"/>
      <c r="C374" s="19" t="s">
        <v>711</v>
      </c>
      <c r="D374" s="21"/>
      <c r="E374" s="20"/>
      <c r="F374" s="23">
        <f>Source!AL173</f>
        <v>2794.24</v>
      </c>
      <c r="G374" s="22"/>
      <c r="H374" s="20">
        <f>Source!AW174</f>
        <v>1.028</v>
      </c>
      <c r="I374" s="23">
        <f>Source!P173</f>
        <v>22347.88</v>
      </c>
      <c r="J374" s="20">
        <f>IF(Source!BC174&lt;&gt; 0, Source!BC174, 1)</f>
        <v>9.69</v>
      </c>
      <c r="K374" s="23">
        <f>Source!P174</f>
        <v>216550.96</v>
      </c>
      <c r="L374"/>
    </row>
    <row r="375" spans="1:29" ht="57" hidden="1" x14ac:dyDescent="0.2">
      <c r="A375" s="19" t="s">
        <v>340</v>
      </c>
      <c r="B375" s="19" t="str">
        <f>Source!F175</f>
        <v>1.12-7-211</v>
      </c>
      <c r="C375" s="19" t="s">
        <v>342</v>
      </c>
      <c r="D375" s="21" t="str">
        <f>Source!H175</f>
        <v>м</v>
      </c>
      <c r="E375" s="20">
        <f>Source!I175</f>
        <v>603.10559999999998</v>
      </c>
      <c r="F375" s="23">
        <f>Source!AK175</f>
        <v>10.8</v>
      </c>
      <c r="G375" s="35" t="s">
        <v>3</v>
      </c>
      <c r="H375" s="20">
        <f>Source!AW176</f>
        <v>1</v>
      </c>
      <c r="I375" s="23">
        <f>Source!O175</f>
        <v>6513.54</v>
      </c>
      <c r="J375" s="20">
        <f>IF(Source!BC176&lt;&gt; 0, Source!BC176, 1)</f>
        <v>9.75</v>
      </c>
      <c r="K375" s="23">
        <f>Source!O176</f>
        <v>63507.02</v>
      </c>
      <c r="L375"/>
      <c r="Q375">
        <f>Source!X175</f>
        <v>0</v>
      </c>
      <c r="R375">
        <f>Source!X176</f>
        <v>0</v>
      </c>
      <c r="S375">
        <f>Source!Y175</f>
        <v>0</v>
      </c>
      <c r="T375">
        <f>Source!Y176</f>
        <v>0</v>
      </c>
      <c r="U375">
        <f>ROUND((175/100)*ROUND(Source!R175, 2), 2)</f>
        <v>0</v>
      </c>
      <c r="V375">
        <f>ROUND((0/100)*ROUND(Source!R176, 2), 2)</f>
        <v>0</v>
      </c>
      <c r="AC375">
        <v>3</v>
      </c>
    </row>
    <row r="376" spans="1:29" ht="71.25" hidden="1" x14ac:dyDescent="0.2">
      <c r="A376" s="19" t="s">
        <v>344</v>
      </c>
      <c r="B376" s="19" t="str">
        <f>Source!F177</f>
        <v>1.12-10-231</v>
      </c>
      <c r="C376" s="19" t="s">
        <v>346</v>
      </c>
      <c r="D376" s="21" t="str">
        <f>Source!H177</f>
        <v>шт.</v>
      </c>
      <c r="E376" s="20">
        <f>Source!I177</f>
        <v>778</v>
      </c>
      <c r="F376" s="23">
        <f>Source!AK177</f>
        <v>20.51</v>
      </c>
      <c r="G376" s="35" t="s">
        <v>3</v>
      </c>
      <c r="H376" s="20">
        <f>Source!AW178</f>
        <v>1</v>
      </c>
      <c r="I376" s="23">
        <f>Source!O177</f>
        <v>15956.78</v>
      </c>
      <c r="J376" s="20">
        <f>IF(Source!BC178&lt;&gt; 0, Source!BC178, 1)</f>
        <v>7.01</v>
      </c>
      <c r="K376" s="23">
        <f>Source!O178</f>
        <v>111857.03</v>
      </c>
      <c r="L376"/>
      <c r="Q376">
        <f>Source!X177</f>
        <v>0</v>
      </c>
      <c r="R376">
        <f>Source!X178</f>
        <v>0</v>
      </c>
      <c r="S376">
        <f>Source!Y177</f>
        <v>0</v>
      </c>
      <c r="T376">
        <f>Source!Y178</f>
        <v>0</v>
      </c>
      <c r="U376">
        <f>ROUND((175/100)*ROUND(Source!R177, 2), 2)</f>
        <v>0</v>
      </c>
      <c r="V376">
        <f>ROUND((0/100)*ROUND(Source!R178, 2), 2)</f>
        <v>0</v>
      </c>
      <c r="AC376">
        <v>3</v>
      </c>
    </row>
    <row r="377" spans="1:29" ht="71.25" hidden="1" x14ac:dyDescent="0.2">
      <c r="A377" s="19" t="s">
        <v>348</v>
      </c>
      <c r="B377" s="19" t="str">
        <f>Source!F179</f>
        <v>1.12-10-232</v>
      </c>
      <c r="C377" s="19" t="s">
        <v>350</v>
      </c>
      <c r="D377" s="21" t="str">
        <f>Source!H179</f>
        <v>шт.</v>
      </c>
      <c r="E377" s="20">
        <f>Source!I179</f>
        <v>778</v>
      </c>
      <c r="F377" s="23">
        <f>Source!AK179</f>
        <v>18.940000000000001</v>
      </c>
      <c r="G377" s="35" t="s">
        <v>3</v>
      </c>
      <c r="H377" s="20">
        <f>Source!AW180</f>
        <v>1</v>
      </c>
      <c r="I377" s="23">
        <f>Source!O179</f>
        <v>14735.32</v>
      </c>
      <c r="J377" s="20">
        <f>IF(Source!BC180&lt;&gt; 0, Source!BC180, 1)</f>
        <v>7.01</v>
      </c>
      <c r="K377" s="23">
        <f>Source!O180</f>
        <v>103294.59</v>
      </c>
      <c r="L377"/>
      <c r="Q377">
        <f>Source!X179</f>
        <v>0</v>
      </c>
      <c r="R377">
        <f>Source!X180</f>
        <v>0</v>
      </c>
      <c r="S377">
        <f>Source!Y179</f>
        <v>0</v>
      </c>
      <c r="T377">
        <f>Source!Y180</f>
        <v>0</v>
      </c>
      <c r="U377">
        <f>ROUND((175/100)*ROUND(Source!R179, 2), 2)</f>
        <v>0</v>
      </c>
      <c r="V377">
        <f>ROUND((0/100)*ROUND(Source!R180, 2), 2)</f>
        <v>0</v>
      </c>
      <c r="AC377">
        <v>3</v>
      </c>
    </row>
    <row r="378" spans="1:29" ht="85.5" hidden="1" x14ac:dyDescent="0.2">
      <c r="A378" s="19" t="s">
        <v>352</v>
      </c>
      <c r="B378" s="19" t="str">
        <f>Source!F181</f>
        <v>1.17-7-51</v>
      </c>
      <c r="C378" s="19" t="s">
        <v>354</v>
      </c>
      <c r="D378" s="21" t="str">
        <f>Source!H181</f>
        <v>шт.</v>
      </c>
      <c r="E378" s="20">
        <f>Source!I181</f>
        <v>778</v>
      </c>
      <c r="F378" s="23">
        <f>Source!AK181</f>
        <v>38.21</v>
      </c>
      <c r="G378" s="35" t="s">
        <v>3</v>
      </c>
      <c r="H378" s="20">
        <f>Source!AW182</f>
        <v>1</v>
      </c>
      <c r="I378" s="23">
        <f>Source!O181</f>
        <v>29727.38</v>
      </c>
      <c r="J378" s="20">
        <f>IF(Source!BC182&lt;&gt; 0, Source!BC182, 1)</f>
        <v>24.6</v>
      </c>
      <c r="K378" s="23">
        <f>Source!O182</f>
        <v>731293.55</v>
      </c>
      <c r="L378"/>
      <c r="Q378">
        <f>Source!X181</f>
        <v>0</v>
      </c>
      <c r="R378">
        <f>Source!X182</f>
        <v>0</v>
      </c>
      <c r="S378">
        <f>Source!Y181</f>
        <v>0</v>
      </c>
      <c r="T378">
        <f>Source!Y182</f>
        <v>0</v>
      </c>
      <c r="U378">
        <f>ROUND((175/100)*ROUND(Source!R181, 2), 2)</f>
        <v>0</v>
      </c>
      <c r="V378">
        <f>ROUND((0/100)*ROUND(Source!R182, 2), 2)</f>
        <v>0</v>
      </c>
      <c r="AC378">
        <v>3</v>
      </c>
    </row>
    <row r="379" spans="1:29" ht="14.25" hidden="1" x14ac:dyDescent="0.2">
      <c r="A379" s="19"/>
      <c r="B379" s="19"/>
      <c r="C379" s="19" t="s">
        <v>713</v>
      </c>
      <c r="D379" s="21" t="s">
        <v>714</v>
      </c>
      <c r="E379" s="20">
        <f>Source!BZ174</f>
        <v>90</v>
      </c>
      <c r="F379" s="23"/>
      <c r="G379" s="22"/>
      <c r="H379" s="20"/>
      <c r="I379" s="23">
        <f>SUM(Q369:Q378)</f>
        <v>5671.85</v>
      </c>
      <c r="J379" s="20">
        <f>Source!AT174</f>
        <v>90</v>
      </c>
      <c r="K379" s="23">
        <f>SUM(R369:R378)</f>
        <v>319608.46000000002</v>
      </c>
      <c r="L379"/>
    </row>
    <row r="380" spans="1:29" ht="14.25" hidden="1" x14ac:dyDescent="0.2">
      <c r="A380" s="19"/>
      <c r="B380" s="19"/>
      <c r="C380" s="19" t="s">
        <v>715</v>
      </c>
      <c r="D380" s="21" t="s">
        <v>714</v>
      </c>
      <c r="E380" s="20">
        <f>Source!CA174</f>
        <v>46</v>
      </c>
      <c r="F380" s="23"/>
      <c r="G380" s="22"/>
      <c r="H380" s="20"/>
      <c r="I380" s="23">
        <f>SUM(S369:S379)</f>
        <v>2898.94</v>
      </c>
      <c r="J380" s="20">
        <f>Source!AU174</f>
        <v>46</v>
      </c>
      <c r="K380" s="23">
        <f>SUM(T369:T379)</f>
        <v>163355.43</v>
      </c>
      <c r="L380"/>
    </row>
    <row r="381" spans="1:29" ht="14.25" hidden="1" x14ac:dyDescent="0.2">
      <c r="A381" s="25"/>
      <c r="B381" s="25"/>
      <c r="C381" s="25" t="s">
        <v>716</v>
      </c>
      <c r="D381" s="26" t="s">
        <v>717</v>
      </c>
      <c r="E381" s="27">
        <f>Source!AQ173</f>
        <v>55.11</v>
      </c>
      <c r="F381" s="28"/>
      <c r="G381" s="29" t="s">
        <v>91</v>
      </c>
      <c r="H381" s="27">
        <f>Source!AV174</f>
        <v>1.0669999999999999</v>
      </c>
      <c r="I381" s="28">
        <f>Source!U173</f>
        <v>548.97892631999991</v>
      </c>
      <c r="J381" s="27"/>
      <c r="K381" s="28"/>
      <c r="L381"/>
    </row>
    <row r="382" spans="1:29" ht="15" hidden="1" x14ac:dyDescent="0.2">
      <c r="C382" s="30" t="s">
        <v>718</v>
      </c>
      <c r="H382" s="42">
        <f>I371+I372+I374+I379+I380+SUM(I375:I378)-SUMIF(AC375:AC378, 5, I375:I378)-SUMIF(AC375:AC378, 6, I375:I378)</f>
        <v>104239.61000000002</v>
      </c>
      <c r="I382" s="42"/>
      <c r="J382" s="42">
        <f>K371+K372+K374+K379+K380+SUM(K375:K378)-SUMIF(AC375:AC378, 5, K375:K378)-SUMIF(AC375:AC378, 6, K375:K378)</f>
        <v>2065450.4700000002</v>
      </c>
      <c r="K382" s="42"/>
      <c r="L382"/>
    </row>
    <row r="383" spans="1:29" ht="15" hidden="1" x14ac:dyDescent="0.2">
      <c r="C383" s="30" t="s">
        <v>719</v>
      </c>
      <c r="H383" s="43">
        <f>SUMIF(AC375:AC378, 5, I375:I378)+SUMIF(AC375:AC378, 6, I375:I378)</f>
        <v>0</v>
      </c>
      <c r="I383" s="43"/>
      <c r="J383" s="43">
        <f>SUMIF(AC375:AC378, 5, K375:K378)+SUMIF(AC375:AC378, 6, K375:K378)</f>
        <v>0</v>
      </c>
      <c r="K383" s="43"/>
      <c r="L383"/>
    </row>
    <row r="384" spans="1:29" ht="15" hidden="1" x14ac:dyDescent="0.2">
      <c r="C384" s="30" t="s">
        <v>720</v>
      </c>
      <c r="H384" s="43">
        <f>I371+I372+I374+I379+I380+SUM(I375:I378)</f>
        <v>104239.61000000002</v>
      </c>
      <c r="I384" s="43"/>
      <c r="J384" s="43">
        <f>K371+K372+K374+K379+K380+SUM(K375:K378)</f>
        <v>2065450.4700000002</v>
      </c>
      <c r="K384" s="43"/>
      <c r="L384"/>
      <c r="O384" s="31">
        <f>I371+I372+I374+I379+I380+SUM(I375:I378)</f>
        <v>104239.61000000002</v>
      </c>
      <c r="P384" s="31">
        <f>K371+K372+K374+K379+K380+SUM(K375:K378)</f>
        <v>2065450.4700000002</v>
      </c>
    </row>
    <row r="385" spans="1:29" hidden="1" x14ac:dyDescent="0.2">
      <c r="L385"/>
    </row>
    <row r="386" spans="1:29" ht="57" hidden="1" x14ac:dyDescent="0.2">
      <c r="A386" s="19">
        <v>31</v>
      </c>
      <c r="B386" s="19" t="str">
        <f>Source!F183</f>
        <v>4.12-56-7</v>
      </c>
      <c r="C386" s="19" t="s">
        <v>358</v>
      </c>
      <c r="D386" s="21" t="str">
        <f>Source!H183</f>
        <v>1  ШТ.</v>
      </c>
      <c r="E386" s="20">
        <f>Source!I183</f>
        <v>12</v>
      </c>
      <c r="F386" s="23"/>
      <c r="G386" s="22"/>
      <c r="H386" s="20"/>
      <c r="I386" s="23"/>
      <c r="J386" s="20"/>
      <c r="K386" s="23"/>
      <c r="L386"/>
      <c r="Q386">
        <f>Source!X183</f>
        <v>1204.17</v>
      </c>
      <c r="R386">
        <f>Source!X184</f>
        <v>67855.149999999994</v>
      </c>
      <c r="S386">
        <f>Source!Y183</f>
        <v>615.47</v>
      </c>
      <c r="T386">
        <f>Source!Y184</f>
        <v>34681.519999999997</v>
      </c>
      <c r="U386">
        <f>ROUND((175/100)*ROUND(Source!R183, 2), 2)</f>
        <v>0</v>
      </c>
      <c r="V386">
        <f>ROUND((0/100)*ROUND(Source!R184, 2), 2)</f>
        <v>0</v>
      </c>
      <c r="AC386">
        <v>0</v>
      </c>
    </row>
    <row r="387" spans="1:29" ht="14.25" hidden="1" x14ac:dyDescent="0.2">
      <c r="A387" s="19"/>
      <c r="B387" s="19"/>
      <c r="C387" s="19" t="s">
        <v>707</v>
      </c>
      <c r="D387" s="21"/>
      <c r="E387" s="20"/>
      <c r="F387" s="23">
        <f>Source!AO183</f>
        <v>87.08</v>
      </c>
      <c r="G387" s="22" t="s">
        <v>91</v>
      </c>
      <c r="H387" s="20">
        <f>Source!AV184</f>
        <v>1.0669999999999999</v>
      </c>
      <c r="I387" s="23">
        <f>Source!S183</f>
        <v>1337.97</v>
      </c>
      <c r="J387" s="20">
        <f>IF(Source!BA184&lt;&gt; 0, Source!BA184, 1)</f>
        <v>56.35</v>
      </c>
      <c r="K387" s="23">
        <f>Source!S184</f>
        <v>75394.61</v>
      </c>
      <c r="L387"/>
    </row>
    <row r="388" spans="1:29" ht="14.25" hidden="1" x14ac:dyDescent="0.2">
      <c r="A388" s="19"/>
      <c r="B388" s="19"/>
      <c r="C388" s="19" t="s">
        <v>709</v>
      </c>
      <c r="D388" s="21"/>
      <c r="E388" s="20"/>
      <c r="F388" s="23">
        <f>Source!AM183</f>
        <v>4.2699999999999996</v>
      </c>
      <c r="G388" s="22" t="s">
        <v>91</v>
      </c>
      <c r="H388" s="20">
        <f>Source!AV184</f>
        <v>1.0669999999999999</v>
      </c>
      <c r="I388" s="23">
        <f>Source!Q183</f>
        <v>65.61</v>
      </c>
      <c r="J388" s="20">
        <f>IF(Source!BB184&lt;&gt; 0, Source!BB184, 1)</f>
        <v>13.45</v>
      </c>
      <c r="K388" s="23">
        <f>Source!Q184</f>
        <v>882.45</v>
      </c>
      <c r="L388"/>
    </row>
    <row r="389" spans="1:29" ht="14.25" hidden="1" x14ac:dyDescent="0.2">
      <c r="A389" s="19"/>
      <c r="B389" s="19"/>
      <c r="C389" s="19" t="s">
        <v>711</v>
      </c>
      <c r="D389" s="21"/>
      <c r="E389" s="20"/>
      <c r="F389" s="23">
        <f>Source!AL183</f>
        <v>3.59</v>
      </c>
      <c r="G389" s="22"/>
      <c r="H389" s="20">
        <f>Source!AW184</f>
        <v>1.028</v>
      </c>
      <c r="I389" s="23">
        <f>Source!P183</f>
        <v>44.29</v>
      </c>
      <c r="J389" s="20">
        <f>IF(Source!BC184&lt;&gt; 0, Source!BC184, 1)</f>
        <v>10.32</v>
      </c>
      <c r="K389" s="23">
        <f>Source!P184</f>
        <v>457.07</v>
      </c>
      <c r="L389"/>
    </row>
    <row r="390" spans="1:29" ht="85.5" hidden="1" x14ac:dyDescent="0.2">
      <c r="A390" s="19" t="s">
        <v>360</v>
      </c>
      <c r="B390" s="19" t="str">
        <f>Source!F185</f>
        <v>1.13-4-66</v>
      </c>
      <c r="C390" s="19" t="s">
        <v>362</v>
      </c>
      <c r="D390" s="21" t="str">
        <f>Source!H185</f>
        <v>шт.</v>
      </c>
      <c r="E390" s="20">
        <f>Source!I185</f>
        <v>12</v>
      </c>
      <c r="F390" s="23">
        <f>Source!AK185</f>
        <v>254.98</v>
      </c>
      <c r="G390" s="35" t="s">
        <v>3</v>
      </c>
      <c r="H390" s="20">
        <f>Source!AW186</f>
        <v>1</v>
      </c>
      <c r="I390" s="23">
        <f>Source!O185</f>
        <v>3059.76</v>
      </c>
      <c r="J390" s="20">
        <f>IF(Source!BC186&lt;&gt; 0, Source!BC186, 1)</f>
        <v>20.18</v>
      </c>
      <c r="K390" s="23">
        <f>Source!O186</f>
        <v>61745.96</v>
      </c>
      <c r="L390"/>
      <c r="Q390">
        <f>Source!X185</f>
        <v>0</v>
      </c>
      <c r="R390">
        <f>Source!X186</f>
        <v>0</v>
      </c>
      <c r="S390">
        <f>Source!Y185</f>
        <v>0</v>
      </c>
      <c r="T390">
        <f>Source!Y186</f>
        <v>0</v>
      </c>
      <c r="U390">
        <f>ROUND((175/100)*ROUND(Source!R185, 2), 2)</f>
        <v>0</v>
      </c>
      <c r="V390">
        <f>ROUND((0/100)*ROUND(Source!R186, 2), 2)</f>
        <v>0</v>
      </c>
      <c r="AC390">
        <v>3</v>
      </c>
    </row>
    <row r="391" spans="1:29" ht="57" hidden="1" x14ac:dyDescent="0.2">
      <c r="A391" s="19" t="s">
        <v>364</v>
      </c>
      <c r="B391" s="19" t="str">
        <f>Source!F187</f>
        <v>1.17-7-44</v>
      </c>
      <c r="C391" s="19" t="s">
        <v>366</v>
      </c>
      <c r="D391" s="21" t="str">
        <f>Source!H187</f>
        <v>шт.</v>
      </c>
      <c r="E391" s="20">
        <f>Source!I187</f>
        <v>12</v>
      </c>
      <c r="F391" s="23">
        <f>Source!AK187</f>
        <v>24.84</v>
      </c>
      <c r="G391" s="35" t="s">
        <v>3</v>
      </c>
      <c r="H391" s="20">
        <f>Source!AW188</f>
        <v>1</v>
      </c>
      <c r="I391" s="23">
        <f>Source!O187</f>
        <v>298.08</v>
      </c>
      <c r="J391" s="20">
        <f>IF(Source!BC188&lt;&gt; 0, Source!BC188, 1)</f>
        <v>3.14</v>
      </c>
      <c r="K391" s="23">
        <f>Source!O188</f>
        <v>935.97</v>
      </c>
      <c r="L391"/>
      <c r="Q391">
        <f>Source!X187</f>
        <v>0</v>
      </c>
      <c r="R391">
        <f>Source!X188</f>
        <v>0</v>
      </c>
      <c r="S391">
        <f>Source!Y187</f>
        <v>0</v>
      </c>
      <c r="T391">
        <f>Source!Y188</f>
        <v>0</v>
      </c>
      <c r="U391">
        <f>ROUND((175/100)*ROUND(Source!R187, 2), 2)</f>
        <v>0</v>
      </c>
      <c r="V391">
        <f>ROUND((0/100)*ROUND(Source!R188, 2), 2)</f>
        <v>0</v>
      </c>
      <c r="AC391">
        <v>3</v>
      </c>
    </row>
    <row r="392" spans="1:29" ht="14.25" hidden="1" x14ac:dyDescent="0.2">
      <c r="A392" s="19"/>
      <c r="B392" s="19"/>
      <c r="C392" s="19" t="s">
        <v>713</v>
      </c>
      <c r="D392" s="21" t="s">
        <v>714</v>
      </c>
      <c r="E392" s="20">
        <f>Source!BZ184</f>
        <v>90</v>
      </c>
      <c r="F392" s="23"/>
      <c r="G392" s="22"/>
      <c r="H392" s="20"/>
      <c r="I392" s="23">
        <f>SUM(Q386:Q391)</f>
        <v>1204.17</v>
      </c>
      <c r="J392" s="20">
        <f>Source!AT184</f>
        <v>90</v>
      </c>
      <c r="K392" s="23">
        <f>SUM(R386:R391)</f>
        <v>67855.149999999994</v>
      </c>
      <c r="L392"/>
    </row>
    <row r="393" spans="1:29" ht="14.25" hidden="1" x14ac:dyDescent="0.2">
      <c r="A393" s="19"/>
      <c r="B393" s="19"/>
      <c r="C393" s="19" t="s">
        <v>715</v>
      </c>
      <c r="D393" s="21" t="s">
        <v>714</v>
      </c>
      <c r="E393" s="20">
        <f>Source!CA184</f>
        <v>46</v>
      </c>
      <c r="F393" s="23"/>
      <c r="G393" s="22"/>
      <c r="H393" s="20"/>
      <c r="I393" s="23">
        <f>SUM(S386:S392)</f>
        <v>615.47</v>
      </c>
      <c r="J393" s="20">
        <f>Source!AU184</f>
        <v>46</v>
      </c>
      <c r="K393" s="23">
        <f>SUM(T386:T392)</f>
        <v>34681.519999999997</v>
      </c>
      <c r="L393"/>
    </row>
    <row r="394" spans="1:29" ht="14.25" hidden="1" x14ac:dyDescent="0.2">
      <c r="A394" s="25"/>
      <c r="B394" s="25"/>
      <c r="C394" s="25" t="s">
        <v>716</v>
      </c>
      <c r="D394" s="26" t="s">
        <v>717</v>
      </c>
      <c r="E394" s="27">
        <f>Source!AQ183</f>
        <v>6.9</v>
      </c>
      <c r="F394" s="28"/>
      <c r="G394" s="29" t="s">
        <v>91</v>
      </c>
      <c r="H394" s="27">
        <f>Source!AV184</f>
        <v>1.0669999999999999</v>
      </c>
      <c r="I394" s="28">
        <f>Source!U183</f>
        <v>106.01711999999999</v>
      </c>
      <c r="J394" s="27"/>
      <c r="K394" s="28"/>
      <c r="L394"/>
    </row>
    <row r="395" spans="1:29" ht="15" hidden="1" x14ac:dyDescent="0.2">
      <c r="C395" s="30" t="s">
        <v>718</v>
      </c>
      <c r="H395" s="42">
        <f>I387+I388+I389+I392+I393+SUM(I390:I391)-SUMIF(AC390:AC391, 5, I390:I391)-SUMIF(AC390:AC391, 6, I390:I391)</f>
        <v>6625.35</v>
      </c>
      <c r="I395" s="42"/>
      <c r="J395" s="42">
        <f>K387+K388+K389+K392+K393+SUM(K390:K391)-SUMIF(AC390:AC391, 5, K390:K391)-SUMIF(AC390:AC391, 6, K390:K391)</f>
        <v>241952.72999999998</v>
      </c>
      <c r="K395" s="42"/>
      <c r="L395"/>
    </row>
    <row r="396" spans="1:29" ht="15" hidden="1" x14ac:dyDescent="0.2">
      <c r="C396" s="30" t="s">
        <v>719</v>
      </c>
      <c r="H396" s="43">
        <f>SUMIF(AC390:AC391, 5, I390:I391)+SUMIF(AC390:AC391, 6, I390:I391)</f>
        <v>0</v>
      </c>
      <c r="I396" s="43"/>
      <c r="J396" s="43">
        <f>SUMIF(AC390:AC391, 5, K390:K391)+SUMIF(AC390:AC391, 6, K390:K391)</f>
        <v>0</v>
      </c>
      <c r="K396" s="43"/>
      <c r="L396"/>
    </row>
    <row r="397" spans="1:29" ht="15" hidden="1" x14ac:dyDescent="0.2">
      <c r="C397" s="30" t="s">
        <v>720</v>
      </c>
      <c r="H397" s="43">
        <f>I387+I388+I389+I392+I393+SUM(I390:I391)</f>
        <v>6625.35</v>
      </c>
      <c r="I397" s="43"/>
      <c r="J397" s="43">
        <f>K387+K388+K389+K392+K393+SUM(K390:K391)</f>
        <v>241952.72999999998</v>
      </c>
      <c r="K397" s="43"/>
      <c r="L397"/>
      <c r="O397" s="31">
        <f>I387+I388+I389+I392+I393+SUM(I390:I391)</f>
        <v>6625.35</v>
      </c>
      <c r="P397" s="31">
        <f>K387+K388+K389+K392+K393+SUM(K390:K391)</f>
        <v>241952.72999999998</v>
      </c>
    </row>
    <row r="398" spans="1:29" hidden="1" x14ac:dyDescent="0.2">
      <c r="L398"/>
    </row>
    <row r="399" spans="1:29" ht="42.75" hidden="1" x14ac:dyDescent="0.2">
      <c r="A399" s="19">
        <v>32</v>
      </c>
      <c r="B399" s="19" t="str">
        <f>Source!F189</f>
        <v>4.12-39-1</v>
      </c>
      <c r="C399" s="19" t="s">
        <v>370</v>
      </c>
      <c r="D399" s="21" t="str">
        <f>Source!H189</f>
        <v>100 шт.</v>
      </c>
      <c r="E399" s="20">
        <f>Source!I189</f>
        <v>0.12</v>
      </c>
      <c r="F399" s="23"/>
      <c r="G399" s="22"/>
      <c r="H399" s="20"/>
      <c r="I399" s="23"/>
      <c r="J399" s="20"/>
      <c r="K399" s="23"/>
      <c r="L399"/>
      <c r="Q399">
        <f>Source!X189</f>
        <v>104.72</v>
      </c>
      <c r="R399">
        <f>Source!X190</f>
        <v>5901.2</v>
      </c>
      <c r="S399">
        <f>Source!Y189</f>
        <v>53.53</v>
      </c>
      <c r="T399">
        <f>Source!Y190</f>
        <v>3016.17</v>
      </c>
      <c r="U399">
        <f>ROUND((175/100)*ROUND(Source!R189, 2), 2)</f>
        <v>0.04</v>
      </c>
      <c r="V399">
        <f>ROUND((0/100)*ROUND(Source!R190, 2), 2)</f>
        <v>0</v>
      </c>
      <c r="AC399">
        <v>0</v>
      </c>
    </row>
    <row r="400" spans="1:29" hidden="1" x14ac:dyDescent="0.2">
      <c r="C400" s="32" t="str">
        <f>"Объем: "&amp;Source!I189&amp;"=(12)/"&amp;"100"</f>
        <v>Объем: 0,12=(12)/100</v>
      </c>
      <c r="L400"/>
    </row>
    <row r="401" spans="1:29" ht="14.25" hidden="1" x14ac:dyDescent="0.2">
      <c r="A401" s="19"/>
      <c r="B401" s="19"/>
      <c r="C401" s="19" t="s">
        <v>707</v>
      </c>
      <c r="D401" s="21"/>
      <c r="E401" s="20"/>
      <c r="F401" s="23">
        <f>Source!AO189</f>
        <v>757.2</v>
      </c>
      <c r="G401" s="22" t="s">
        <v>91</v>
      </c>
      <c r="H401" s="20">
        <f>Source!AV190</f>
        <v>1.0669999999999999</v>
      </c>
      <c r="I401" s="23">
        <f>Source!S189</f>
        <v>116.34</v>
      </c>
      <c r="J401" s="20">
        <f>IF(Source!BA190&lt;&gt; 0, Source!BA190, 1)</f>
        <v>56.35</v>
      </c>
      <c r="K401" s="23">
        <f>Source!S190</f>
        <v>6555.76</v>
      </c>
      <c r="L401"/>
    </row>
    <row r="402" spans="1:29" ht="14.25" hidden="1" x14ac:dyDescent="0.2">
      <c r="A402" s="19"/>
      <c r="B402" s="19"/>
      <c r="C402" s="19" t="s">
        <v>709</v>
      </c>
      <c r="D402" s="21"/>
      <c r="E402" s="20"/>
      <c r="F402" s="23">
        <f>Source!AM189</f>
        <v>336.42</v>
      </c>
      <c r="G402" s="22" t="s">
        <v>91</v>
      </c>
      <c r="H402" s="20">
        <f>Source!AV190</f>
        <v>1.0669999999999999</v>
      </c>
      <c r="I402" s="23">
        <f>Source!Q189</f>
        <v>51.69</v>
      </c>
      <c r="J402" s="20">
        <f>IF(Source!BB190&lt;&gt; 0, Source!BB190, 1)</f>
        <v>13.47</v>
      </c>
      <c r="K402" s="23">
        <f>Source!Q190</f>
        <v>696.26</v>
      </c>
      <c r="L402"/>
    </row>
    <row r="403" spans="1:29" ht="14.25" hidden="1" x14ac:dyDescent="0.2">
      <c r="A403" s="19"/>
      <c r="B403" s="19"/>
      <c r="C403" s="19" t="s">
        <v>710</v>
      </c>
      <c r="D403" s="21"/>
      <c r="E403" s="20"/>
      <c r="F403" s="23">
        <f>Source!AN189</f>
        <v>0.13</v>
      </c>
      <c r="G403" s="22" t="s">
        <v>91</v>
      </c>
      <c r="H403" s="20">
        <f>Source!AV190</f>
        <v>1.0669999999999999</v>
      </c>
      <c r="I403" s="24">
        <f>Source!R189</f>
        <v>0.02</v>
      </c>
      <c r="J403" s="20">
        <f>IF(Source!BS190&lt;&gt; 0, Source!BS190, 1)</f>
        <v>56.35</v>
      </c>
      <c r="K403" s="24">
        <f>Source!R190</f>
        <v>1.1299999999999999</v>
      </c>
      <c r="L403"/>
    </row>
    <row r="404" spans="1:29" ht="14.25" hidden="1" x14ac:dyDescent="0.2">
      <c r="A404" s="19"/>
      <c r="B404" s="19"/>
      <c r="C404" s="19" t="s">
        <v>711</v>
      </c>
      <c r="D404" s="21"/>
      <c r="E404" s="20"/>
      <c r="F404" s="23">
        <f>Source!AL189</f>
        <v>3462.2</v>
      </c>
      <c r="G404" s="22"/>
      <c r="H404" s="20">
        <f>Source!AW190</f>
        <v>1.028</v>
      </c>
      <c r="I404" s="23">
        <f>Source!P189</f>
        <v>427.1</v>
      </c>
      <c r="J404" s="20">
        <f>IF(Source!BC190&lt;&gt; 0, Source!BC190, 1)</f>
        <v>8.51</v>
      </c>
      <c r="K404" s="23">
        <f>Source!P190</f>
        <v>3634.62</v>
      </c>
      <c r="L404"/>
    </row>
    <row r="405" spans="1:29" ht="85.5" hidden="1" x14ac:dyDescent="0.2">
      <c r="A405" s="19" t="s">
        <v>372</v>
      </c>
      <c r="B405" s="19" t="str">
        <f>Source!F191</f>
        <v>1.12-10-23</v>
      </c>
      <c r="C405" s="19" t="s">
        <v>374</v>
      </c>
      <c r="D405" s="21" t="str">
        <f>Source!H191</f>
        <v>КОМПЛЕКТ</v>
      </c>
      <c r="E405" s="20">
        <f>Source!I191</f>
        <v>6</v>
      </c>
      <c r="F405" s="23">
        <f>Source!AK191</f>
        <v>21.41</v>
      </c>
      <c r="G405" s="35" t="s">
        <v>3</v>
      </c>
      <c r="H405" s="20">
        <f>Source!AW192</f>
        <v>1</v>
      </c>
      <c r="I405" s="23">
        <f>Source!O191</f>
        <v>128.46</v>
      </c>
      <c r="J405" s="20">
        <f>IF(Source!BC192&lt;&gt; 0, Source!BC192, 1)</f>
        <v>20.97</v>
      </c>
      <c r="K405" s="23">
        <f>Source!O192</f>
        <v>2693.81</v>
      </c>
      <c r="L405"/>
      <c r="Q405">
        <f>Source!X191</f>
        <v>0</v>
      </c>
      <c r="R405">
        <f>Source!X192</f>
        <v>0</v>
      </c>
      <c r="S405">
        <f>Source!Y191</f>
        <v>0</v>
      </c>
      <c r="T405">
        <f>Source!Y192</f>
        <v>0</v>
      </c>
      <c r="U405">
        <f>ROUND((175/100)*ROUND(Source!R191, 2), 2)</f>
        <v>0</v>
      </c>
      <c r="V405">
        <f>ROUND((0/100)*ROUND(Source!R192, 2), 2)</f>
        <v>0</v>
      </c>
      <c r="AC405">
        <v>3</v>
      </c>
    </row>
    <row r="406" spans="1:29" ht="14.25" hidden="1" x14ac:dyDescent="0.2">
      <c r="A406" s="19"/>
      <c r="B406" s="19"/>
      <c r="C406" s="19" t="s">
        <v>713</v>
      </c>
      <c r="D406" s="21" t="s">
        <v>714</v>
      </c>
      <c r="E406" s="20">
        <f>Source!BZ190</f>
        <v>90</v>
      </c>
      <c r="F406" s="23"/>
      <c r="G406" s="22"/>
      <c r="H406" s="20"/>
      <c r="I406" s="23">
        <f>SUM(Q399:Q405)</f>
        <v>104.72</v>
      </c>
      <c r="J406" s="20">
        <f>Source!AT190</f>
        <v>90</v>
      </c>
      <c r="K406" s="23">
        <f>SUM(R399:R405)</f>
        <v>5901.2</v>
      </c>
      <c r="L406"/>
    </row>
    <row r="407" spans="1:29" ht="14.25" hidden="1" x14ac:dyDescent="0.2">
      <c r="A407" s="19"/>
      <c r="B407" s="19"/>
      <c r="C407" s="19" t="s">
        <v>715</v>
      </c>
      <c r="D407" s="21" t="s">
        <v>714</v>
      </c>
      <c r="E407" s="20">
        <f>Source!CA190</f>
        <v>46</v>
      </c>
      <c r="F407" s="23"/>
      <c r="G407" s="22"/>
      <c r="H407" s="20"/>
      <c r="I407" s="23">
        <f>SUM(S399:S406)</f>
        <v>53.53</v>
      </c>
      <c r="J407" s="20">
        <f>Source!AU190</f>
        <v>46</v>
      </c>
      <c r="K407" s="23">
        <f>SUM(T399:T406)</f>
        <v>3016.17</v>
      </c>
      <c r="L407"/>
    </row>
    <row r="408" spans="1:29" ht="14.25" hidden="1" x14ac:dyDescent="0.2">
      <c r="A408" s="25"/>
      <c r="B408" s="25"/>
      <c r="C408" s="25" t="s">
        <v>716</v>
      </c>
      <c r="D408" s="26" t="s">
        <v>717</v>
      </c>
      <c r="E408" s="27">
        <f>Source!AQ189</f>
        <v>60</v>
      </c>
      <c r="F408" s="28"/>
      <c r="G408" s="29" t="s">
        <v>91</v>
      </c>
      <c r="H408" s="27">
        <f>Source!AV190</f>
        <v>1.0669999999999999</v>
      </c>
      <c r="I408" s="28">
        <f>Source!U189</f>
        <v>9.2188799999999986</v>
      </c>
      <c r="J408" s="27"/>
      <c r="K408" s="28"/>
      <c r="L408"/>
    </row>
    <row r="409" spans="1:29" ht="15" hidden="1" x14ac:dyDescent="0.2">
      <c r="C409" s="30" t="s">
        <v>718</v>
      </c>
      <c r="H409" s="42">
        <f>I401+I402+I404+I406+I407+SUM(I405:I405)-SUMIF(AC405:AC405, 5, I405:I405)-SUMIF(AC405:AC405, 6, I405:I405)</f>
        <v>881.84</v>
      </c>
      <c r="I409" s="42"/>
      <c r="J409" s="42">
        <f>K401+K402+K404+K406+K407+SUM(K405:K405)-SUMIF(AC405:AC405, 5, K405:K405)-SUMIF(AC405:AC405, 6, K405:K405)</f>
        <v>22497.820000000003</v>
      </c>
      <c r="K409" s="42"/>
      <c r="L409"/>
    </row>
    <row r="410" spans="1:29" ht="15" hidden="1" x14ac:dyDescent="0.2">
      <c r="C410" s="30" t="s">
        <v>719</v>
      </c>
      <c r="H410" s="43">
        <f>SUMIF(AC405:AC405, 5, I405:I405)+SUMIF(AC405:AC405, 6, I405:I405)</f>
        <v>0</v>
      </c>
      <c r="I410" s="43"/>
      <c r="J410" s="43">
        <f>SUMIF(AC405:AC405, 5, K405:K405)+SUMIF(AC405:AC405, 6, K405:K405)</f>
        <v>0</v>
      </c>
      <c r="K410" s="43"/>
      <c r="L410"/>
    </row>
    <row r="411" spans="1:29" ht="15" hidden="1" x14ac:dyDescent="0.2">
      <c r="C411" s="30" t="s">
        <v>720</v>
      </c>
      <c r="H411" s="43">
        <f>I401+I402+I404+I406+I407+SUM(I405:I405)</f>
        <v>881.84</v>
      </c>
      <c r="I411" s="43"/>
      <c r="J411" s="43">
        <f>K401+K402+K404+K406+K407+SUM(K405:K405)</f>
        <v>22497.820000000003</v>
      </c>
      <c r="K411" s="43"/>
      <c r="L411"/>
      <c r="O411" s="31">
        <f>I401+I402+I404+I406+I407+SUM(I405:I405)</f>
        <v>881.84</v>
      </c>
      <c r="P411" s="31">
        <f>K401+K402+K404+K406+K407+SUM(K405:K405)</f>
        <v>22497.820000000003</v>
      </c>
    </row>
    <row r="412" spans="1:29" hidden="1" x14ac:dyDescent="0.2">
      <c r="L412"/>
    </row>
    <row r="413" spans="1:29" ht="14.25" hidden="1" x14ac:dyDescent="0.2">
      <c r="A413" s="19">
        <v>33</v>
      </c>
      <c r="B413" s="19" t="str">
        <f>Source!F193</f>
        <v>3.18-21-1</v>
      </c>
      <c r="C413" s="19" t="s">
        <v>379</v>
      </c>
      <c r="D413" s="21" t="str">
        <f>Source!H193</f>
        <v>1  ШТ.</v>
      </c>
      <c r="E413" s="20">
        <f>Source!I193</f>
        <v>12</v>
      </c>
      <c r="F413" s="23"/>
      <c r="G413" s="22"/>
      <c r="H413" s="20"/>
      <c r="I413" s="23"/>
      <c r="J413" s="20"/>
      <c r="K413" s="23"/>
      <c r="L413"/>
      <c r="Q413">
        <f>Source!X193</f>
        <v>444.61</v>
      </c>
      <c r="R413">
        <f>Source!X194</f>
        <v>25054.03</v>
      </c>
      <c r="S413">
        <f>Source!Y193</f>
        <v>264.56</v>
      </c>
      <c r="T413">
        <f>Source!Y194</f>
        <v>14908.18</v>
      </c>
      <c r="U413">
        <f>ROUND((175/100)*ROUND(Source!R193, 2), 2)</f>
        <v>36.979999999999997</v>
      </c>
      <c r="V413">
        <f>ROUND((0/100)*ROUND(Source!R194, 2), 2)</f>
        <v>0</v>
      </c>
      <c r="AC413">
        <v>0</v>
      </c>
    </row>
    <row r="414" spans="1:29" ht="14.25" hidden="1" x14ac:dyDescent="0.2">
      <c r="A414" s="19"/>
      <c r="B414" s="19"/>
      <c r="C414" s="19" t="s">
        <v>707</v>
      </c>
      <c r="D414" s="21"/>
      <c r="E414" s="20"/>
      <c r="F414" s="23">
        <f>Source!AO193</f>
        <v>19.600000000000001</v>
      </c>
      <c r="G414" s="22" t="s">
        <v>721</v>
      </c>
      <c r="H414" s="20">
        <f>Source!AV194</f>
        <v>1.0669999999999999</v>
      </c>
      <c r="I414" s="23">
        <f>Source!S193</f>
        <v>346.32</v>
      </c>
      <c r="J414" s="20">
        <f>IF(Source!BA194&lt;&gt; 0, Source!BA194, 1)</f>
        <v>56.35</v>
      </c>
      <c r="K414" s="23">
        <f>Source!S194</f>
        <v>19515.13</v>
      </c>
      <c r="L414"/>
    </row>
    <row r="415" spans="1:29" ht="14.25" hidden="1" x14ac:dyDescent="0.2">
      <c r="A415" s="19"/>
      <c r="B415" s="19"/>
      <c r="C415" s="19" t="s">
        <v>709</v>
      </c>
      <c r="D415" s="21"/>
      <c r="E415" s="20"/>
      <c r="F415" s="23">
        <f>Source!AM193</f>
        <v>8.57</v>
      </c>
      <c r="G415" s="22" t="s">
        <v>723</v>
      </c>
      <c r="H415" s="20">
        <f>Source!AV194</f>
        <v>1.0669999999999999</v>
      </c>
      <c r="I415" s="23">
        <f>Source!Q193</f>
        <v>164.6</v>
      </c>
      <c r="J415" s="20">
        <f>IF(Source!BB194&lt;&gt; 0, Source!BB194, 1)</f>
        <v>15.96</v>
      </c>
      <c r="K415" s="23">
        <f>Source!Q194</f>
        <v>2627.02</v>
      </c>
      <c r="L415"/>
    </row>
    <row r="416" spans="1:29" ht="14.25" hidden="1" x14ac:dyDescent="0.2">
      <c r="A416" s="19"/>
      <c r="B416" s="19"/>
      <c r="C416" s="19" t="s">
        <v>710</v>
      </c>
      <c r="D416" s="21"/>
      <c r="E416" s="20"/>
      <c r="F416" s="23">
        <f>Source!AN193</f>
        <v>1.1000000000000001</v>
      </c>
      <c r="G416" s="22" t="s">
        <v>723</v>
      </c>
      <c r="H416" s="20">
        <f>Source!AV194</f>
        <v>1.0669999999999999</v>
      </c>
      <c r="I416" s="24">
        <f>Source!R193</f>
        <v>21.13</v>
      </c>
      <c r="J416" s="20">
        <f>IF(Source!BS194&lt;&gt; 0, Source!BS194, 1)</f>
        <v>56.35</v>
      </c>
      <c r="K416" s="24">
        <f>Source!R194</f>
        <v>1190.68</v>
      </c>
      <c r="L416"/>
    </row>
    <row r="417" spans="1:29" ht="14.25" hidden="1" x14ac:dyDescent="0.2">
      <c r="A417" s="19"/>
      <c r="B417" s="19"/>
      <c r="C417" s="19" t="s">
        <v>711</v>
      </c>
      <c r="D417" s="21"/>
      <c r="E417" s="20"/>
      <c r="F417" s="23">
        <f>Source!AL193</f>
        <v>3.61</v>
      </c>
      <c r="G417" s="22"/>
      <c r="H417" s="20">
        <f>Source!AW194</f>
        <v>1</v>
      </c>
      <c r="I417" s="23">
        <f>Source!P193</f>
        <v>43.32</v>
      </c>
      <c r="J417" s="20">
        <f>IF(Source!BC194&lt;&gt; 0, Source!BC194, 1)</f>
        <v>6.55</v>
      </c>
      <c r="K417" s="23">
        <f>Source!P194</f>
        <v>283.75</v>
      </c>
      <c r="L417"/>
    </row>
    <row r="418" spans="1:29" ht="85.5" hidden="1" x14ac:dyDescent="0.2">
      <c r="A418" s="19" t="s">
        <v>381</v>
      </c>
      <c r="B418" s="19" t="str">
        <f>Source!F195</f>
        <v>1.18-6-143</v>
      </c>
      <c r="C418" s="19" t="s">
        <v>383</v>
      </c>
      <c r="D418" s="21" t="str">
        <f>Source!H195</f>
        <v>шт.</v>
      </c>
      <c r="E418" s="20">
        <f>Source!I195</f>
        <v>12</v>
      </c>
      <c r="F418" s="23">
        <f>Source!AK195</f>
        <v>132.38</v>
      </c>
      <c r="G418" s="35" t="s">
        <v>3</v>
      </c>
      <c r="H418" s="20">
        <f>Source!AW196</f>
        <v>1</v>
      </c>
      <c r="I418" s="23">
        <f>Source!O195</f>
        <v>1588.56</v>
      </c>
      <c r="J418" s="20">
        <f>IF(Source!BC196&lt;&gt; 0, Source!BC196, 1)</f>
        <v>6.32</v>
      </c>
      <c r="K418" s="23">
        <f>Source!O196</f>
        <v>10039.700000000001</v>
      </c>
      <c r="L418"/>
      <c r="Q418">
        <f>Source!X195</f>
        <v>0</v>
      </c>
      <c r="R418">
        <f>Source!X196</f>
        <v>0</v>
      </c>
      <c r="S418">
        <f>Source!Y195</f>
        <v>0</v>
      </c>
      <c r="T418">
        <f>Source!Y196</f>
        <v>0</v>
      </c>
      <c r="U418">
        <f>ROUND((175/100)*ROUND(Source!R195, 2), 2)</f>
        <v>0</v>
      </c>
      <c r="V418">
        <f>ROUND((0/100)*ROUND(Source!R196, 2), 2)</f>
        <v>0</v>
      </c>
      <c r="AC418">
        <v>3</v>
      </c>
    </row>
    <row r="419" spans="1:29" ht="14.25" hidden="1" x14ac:dyDescent="0.2">
      <c r="A419" s="19"/>
      <c r="B419" s="19"/>
      <c r="C419" s="19" t="s">
        <v>713</v>
      </c>
      <c r="D419" s="21" t="s">
        <v>714</v>
      </c>
      <c r="E419" s="20">
        <f>Source!BZ194</f>
        <v>121</v>
      </c>
      <c r="F419" s="23"/>
      <c r="G419" s="22"/>
      <c r="H419" s="20"/>
      <c r="I419" s="23">
        <f>SUM(Q413:Q418)</f>
        <v>444.61</v>
      </c>
      <c r="J419" s="20">
        <f>Source!AT194</f>
        <v>121</v>
      </c>
      <c r="K419" s="23">
        <f>SUM(R413:R418)</f>
        <v>25054.03</v>
      </c>
      <c r="L419"/>
    </row>
    <row r="420" spans="1:29" ht="14.25" hidden="1" x14ac:dyDescent="0.2">
      <c r="A420" s="19"/>
      <c r="B420" s="19"/>
      <c r="C420" s="19" t="s">
        <v>715</v>
      </c>
      <c r="D420" s="21" t="s">
        <v>714</v>
      </c>
      <c r="E420" s="20">
        <f>Source!CA194</f>
        <v>72</v>
      </c>
      <c r="F420" s="23"/>
      <c r="G420" s="22"/>
      <c r="H420" s="20"/>
      <c r="I420" s="23">
        <f>SUM(S413:S419)</f>
        <v>264.56</v>
      </c>
      <c r="J420" s="20">
        <f>Source!AU194</f>
        <v>72</v>
      </c>
      <c r="K420" s="23">
        <f>SUM(T413:T419)</f>
        <v>14908.18</v>
      </c>
      <c r="L420"/>
    </row>
    <row r="421" spans="1:29" ht="14.25" hidden="1" x14ac:dyDescent="0.2">
      <c r="A421" s="25"/>
      <c r="B421" s="25"/>
      <c r="C421" s="25" t="s">
        <v>716</v>
      </c>
      <c r="D421" s="26" t="s">
        <v>717</v>
      </c>
      <c r="E421" s="27">
        <f>Source!AQ193</f>
        <v>1.59</v>
      </c>
      <c r="F421" s="28"/>
      <c r="G421" s="29" t="s">
        <v>721</v>
      </c>
      <c r="H421" s="27">
        <f>Source!AV194</f>
        <v>1.0669999999999999</v>
      </c>
      <c r="I421" s="28">
        <f>Source!U193</f>
        <v>28.094536799999997</v>
      </c>
      <c r="J421" s="27"/>
      <c r="K421" s="28"/>
      <c r="L421"/>
    </row>
    <row r="422" spans="1:29" ht="15" hidden="1" x14ac:dyDescent="0.2">
      <c r="C422" s="30" t="s">
        <v>718</v>
      </c>
      <c r="H422" s="42">
        <f>I414+I415+I417+I419+I420+SUM(I418:I418)-SUMIF(AC418:AC418, 5, I418:I418)-SUMIF(AC418:AC418, 6, I418:I418)</f>
        <v>2851.9700000000003</v>
      </c>
      <c r="I422" s="42"/>
      <c r="J422" s="42">
        <f>K414+K415+K417+K419+K420+SUM(K418:K418)-SUMIF(AC418:AC418, 5, K418:K418)-SUMIF(AC418:AC418, 6, K418:K418)</f>
        <v>72427.81</v>
      </c>
      <c r="K422" s="42"/>
      <c r="L422"/>
    </row>
    <row r="423" spans="1:29" ht="15" hidden="1" x14ac:dyDescent="0.2">
      <c r="C423" s="30" t="s">
        <v>719</v>
      </c>
      <c r="H423" s="43">
        <f>SUMIF(AC418:AC418, 5, I418:I418)+SUMIF(AC418:AC418, 6, I418:I418)</f>
        <v>0</v>
      </c>
      <c r="I423" s="43"/>
      <c r="J423" s="43">
        <f>SUMIF(AC418:AC418, 5, K418:K418)+SUMIF(AC418:AC418, 6, K418:K418)</f>
        <v>0</v>
      </c>
      <c r="K423" s="43"/>
      <c r="L423"/>
    </row>
    <row r="424" spans="1:29" ht="15" hidden="1" x14ac:dyDescent="0.2">
      <c r="C424" s="30" t="s">
        <v>720</v>
      </c>
      <c r="H424" s="43">
        <f>I414+I415+I417+I419+I420+SUM(I418:I418)</f>
        <v>2851.9700000000003</v>
      </c>
      <c r="I424" s="43"/>
      <c r="J424" s="43">
        <f>K414+K415+K417+K419+K420+SUM(K418:K418)</f>
        <v>72427.81</v>
      </c>
      <c r="K424" s="43"/>
      <c r="L424"/>
      <c r="O424" s="31">
        <f>I414+I415+I417+I419+I420+SUM(I418:I418)</f>
        <v>2851.9700000000003</v>
      </c>
      <c r="P424" s="31">
        <f>K414+K415+K417+K419+K420+SUM(K418:K418)</f>
        <v>72427.81</v>
      </c>
    </row>
    <row r="425" spans="1:29" hidden="1" x14ac:dyDescent="0.2">
      <c r="L425"/>
    </row>
    <row r="426" spans="1:29" ht="57" hidden="1" x14ac:dyDescent="0.2">
      <c r="A426" s="19">
        <v>34</v>
      </c>
      <c r="B426" s="19" t="str">
        <f>Source!F197</f>
        <v>3.16-15-1</v>
      </c>
      <c r="C426" s="19" t="s">
        <v>387</v>
      </c>
      <c r="D426" s="21" t="str">
        <f>Source!H197</f>
        <v>1  ШТ.</v>
      </c>
      <c r="E426" s="20">
        <f>Source!I197</f>
        <v>12</v>
      </c>
      <c r="F426" s="23"/>
      <c r="G426" s="22"/>
      <c r="H426" s="20"/>
      <c r="I426" s="23"/>
      <c r="J426" s="20"/>
      <c r="K426" s="23"/>
      <c r="L426"/>
      <c r="Q426">
        <f>Source!X197</f>
        <v>376.96</v>
      </c>
      <c r="R426">
        <f>Source!X198</f>
        <v>21241.89</v>
      </c>
      <c r="S426">
        <f>Source!Y197</f>
        <v>224.31</v>
      </c>
      <c r="T426">
        <f>Source!Y198</f>
        <v>12639.8</v>
      </c>
      <c r="U426">
        <f>ROUND((175/100)*ROUND(Source!R197, 2), 2)</f>
        <v>4.38</v>
      </c>
      <c r="V426">
        <f>ROUND((0/100)*ROUND(Source!R198, 2), 2)</f>
        <v>0</v>
      </c>
      <c r="AC426">
        <v>0</v>
      </c>
    </row>
    <row r="427" spans="1:29" ht="14.25" hidden="1" x14ac:dyDescent="0.2">
      <c r="A427" s="19"/>
      <c r="B427" s="19"/>
      <c r="C427" s="19" t="s">
        <v>707</v>
      </c>
      <c r="D427" s="21"/>
      <c r="E427" s="20"/>
      <c r="F427" s="23">
        <f>Source!AO197</f>
        <v>17.489999999999998</v>
      </c>
      <c r="G427" s="22" t="s">
        <v>721</v>
      </c>
      <c r="H427" s="20">
        <f>Source!AV198</f>
        <v>1.0669999999999999</v>
      </c>
      <c r="I427" s="23">
        <f>Source!S197</f>
        <v>309.04000000000002</v>
      </c>
      <c r="J427" s="20">
        <f>IF(Source!BA198&lt;&gt; 0, Source!BA198, 1)</f>
        <v>56.35</v>
      </c>
      <c r="K427" s="23">
        <f>Source!S198</f>
        <v>17414.400000000001</v>
      </c>
      <c r="L427"/>
    </row>
    <row r="428" spans="1:29" ht="14.25" hidden="1" x14ac:dyDescent="0.2">
      <c r="A428" s="19"/>
      <c r="B428" s="19"/>
      <c r="C428" s="19" t="s">
        <v>709</v>
      </c>
      <c r="D428" s="21"/>
      <c r="E428" s="20"/>
      <c r="F428" s="23">
        <f>Source!AM197</f>
        <v>3.32</v>
      </c>
      <c r="G428" s="22" t="s">
        <v>723</v>
      </c>
      <c r="H428" s="20">
        <f>Source!AV198</f>
        <v>1.0669999999999999</v>
      </c>
      <c r="I428" s="23">
        <f>Source!Q197</f>
        <v>63.76</v>
      </c>
      <c r="J428" s="20">
        <f>IF(Source!BB198&lt;&gt; 0, Source!BB198, 1)</f>
        <v>14.36</v>
      </c>
      <c r="K428" s="23">
        <f>Source!Q198</f>
        <v>915.59</v>
      </c>
      <c r="L428"/>
    </row>
    <row r="429" spans="1:29" ht="14.25" hidden="1" x14ac:dyDescent="0.2">
      <c r="A429" s="19"/>
      <c r="B429" s="19"/>
      <c r="C429" s="19" t="s">
        <v>710</v>
      </c>
      <c r="D429" s="21"/>
      <c r="E429" s="20"/>
      <c r="F429" s="23">
        <f>Source!AN197</f>
        <v>0.13</v>
      </c>
      <c r="G429" s="22" t="s">
        <v>723</v>
      </c>
      <c r="H429" s="20">
        <f>Source!AV198</f>
        <v>1.0669999999999999</v>
      </c>
      <c r="I429" s="24">
        <f>Source!R197</f>
        <v>2.5</v>
      </c>
      <c r="J429" s="20">
        <f>IF(Source!BS198&lt;&gt; 0, Source!BS198, 1)</f>
        <v>56.35</v>
      </c>
      <c r="K429" s="24">
        <f>Source!R198</f>
        <v>140.88</v>
      </c>
      <c r="L429"/>
    </row>
    <row r="430" spans="1:29" ht="14.25" hidden="1" x14ac:dyDescent="0.2">
      <c r="A430" s="19"/>
      <c r="B430" s="19"/>
      <c r="C430" s="19" t="s">
        <v>711</v>
      </c>
      <c r="D430" s="21"/>
      <c r="E430" s="20"/>
      <c r="F430" s="23">
        <f>Source!AL197</f>
        <v>21.42</v>
      </c>
      <c r="G430" s="22"/>
      <c r="H430" s="20">
        <f>Source!AW198</f>
        <v>1</v>
      </c>
      <c r="I430" s="23">
        <f>Source!P197</f>
        <v>257.04000000000002</v>
      </c>
      <c r="J430" s="20">
        <f>IF(Source!BC198&lt;&gt; 0, Source!BC198, 1)</f>
        <v>7.9</v>
      </c>
      <c r="K430" s="23">
        <f>Source!P198</f>
        <v>2030.62</v>
      </c>
      <c r="L430"/>
    </row>
    <row r="431" spans="1:29" ht="57" hidden="1" x14ac:dyDescent="0.2">
      <c r="A431" s="19" t="s">
        <v>391</v>
      </c>
      <c r="B431" s="19" t="str">
        <f>Source!F199</f>
        <v>1.13-3-33</v>
      </c>
      <c r="C431" s="19" t="s">
        <v>393</v>
      </c>
      <c r="D431" s="21" t="str">
        <f>Source!H199</f>
        <v>шт.</v>
      </c>
      <c r="E431" s="20">
        <f>Source!I199</f>
        <v>12</v>
      </c>
      <c r="F431" s="23">
        <f>Source!AK199</f>
        <v>54.24</v>
      </c>
      <c r="G431" s="35" t="s">
        <v>3</v>
      </c>
      <c r="H431" s="20">
        <f>Source!AW200</f>
        <v>1</v>
      </c>
      <c r="I431" s="23">
        <f>Source!O199</f>
        <v>650.88</v>
      </c>
      <c r="J431" s="20">
        <f>IF(Source!BC200&lt;&gt; 0, Source!BC200, 1)</f>
        <v>3.14</v>
      </c>
      <c r="K431" s="23">
        <f>Source!O200</f>
        <v>2043.76</v>
      </c>
      <c r="L431"/>
      <c r="Q431">
        <f>Source!X199</f>
        <v>0</v>
      </c>
      <c r="R431">
        <f>Source!X200</f>
        <v>0</v>
      </c>
      <c r="S431">
        <f>Source!Y199</f>
        <v>0</v>
      </c>
      <c r="T431">
        <f>Source!Y200</f>
        <v>0</v>
      </c>
      <c r="U431">
        <f>ROUND((175/100)*ROUND(Source!R199, 2), 2)</f>
        <v>0</v>
      </c>
      <c r="V431">
        <f>ROUND((0/100)*ROUND(Source!R200, 2), 2)</f>
        <v>0</v>
      </c>
      <c r="AC431">
        <v>3</v>
      </c>
    </row>
    <row r="432" spans="1:29" ht="14.25" hidden="1" x14ac:dyDescent="0.2">
      <c r="A432" s="19"/>
      <c r="B432" s="19"/>
      <c r="C432" s="19" t="s">
        <v>713</v>
      </c>
      <c r="D432" s="21" t="s">
        <v>714</v>
      </c>
      <c r="E432" s="20">
        <f>Source!BZ198</f>
        <v>121</v>
      </c>
      <c r="F432" s="23"/>
      <c r="G432" s="22"/>
      <c r="H432" s="20"/>
      <c r="I432" s="23">
        <f>SUM(Q426:Q431)</f>
        <v>376.96</v>
      </c>
      <c r="J432" s="20">
        <f>Source!AT198</f>
        <v>121</v>
      </c>
      <c r="K432" s="23">
        <f>SUM(R426:R431)</f>
        <v>21241.89</v>
      </c>
      <c r="L432"/>
    </row>
    <row r="433" spans="1:29" ht="14.25" hidden="1" x14ac:dyDescent="0.2">
      <c r="A433" s="19"/>
      <c r="B433" s="19"/>
      <c r="C433" s="19" t="s">
        <v>715</v>
      </c>
      <c r="D433" s="21" t="s">
        <v>714</v>
      </c>
      <c r="E433" s="20">
        <f>Source!CA198</f>
        <v>72</v>
      </c>
      <c r="F433" s="23"/>
      <c r="G433" s="22"/>
      <c r="H433" s="20"/>
      <c r="I433" s="23">
        <f>SUM(S426:S432)</f>
        <v>224.31</v>
      </c>
      <c r="J433" s="20">
        <f>Source!AU198</f>
        <v>72</v>
      </c>
      <c r="K433" s="23">
        <f>SUM(T426:T432)</f>
        <v>12639.8</v>
      </c>
      <c r="L433"/>
    </row>
    <row r="434" spans="1:29" ht="14.25" hidden="1" x14ac:dyDescent="0.2">
      <c r="A434" s="25"/>
      <c r="B434" s="25"/>
      <c r="C434" s="25" t="s">
        <v>716</v>
      </c>
      <c r="D434" s="26" t="s">
        <v>717</v>
      </c>
      <c r="E434" s="27">
        <f>Source!AQ197</f>
        <v>1.47</v>
      </c>
      <c r="F434" s="28"/>
      <c r="G434" s="29" t="s">
        <v>721</v>
      </c>
      <c r="H434" s="27">
        <f>Source!AV198</f>
        <v>1.0669999999999999</v>
      </c>
      <c r="I434" s="28">
        <f>Source!U197</f>
        <v>25.974194400000002</v>
      </c>
      <c r="J434" s="27"/>
      <c r="K434" s="28"/>
      <c r="L434"/>
    </row>
    <row r="435" spans="1:29" ht="15" hidden="1" x14ac:dyDescent="0.2">
      <c r="C435" s="30" t="s">
        <v>718</v>
      </c>
      <c r="H435" s="42">
        <f>I427+I428+I430+I432+I433+SUM(I431:I431)-SUMIF(AC431:AC431, 5, I431:I431)-SUMIF(AC431:AC431, 6, I431:I431)</f>
        <v>1881.9899999999998</v>
      </c>
      <c r="I435" s="42"/>
      <c r="J435" s="42">
        <f>K427+K428+K430+K432+K433+SUM(K431:K431)-SUMIF(AC431:AC431, 5, K431:K431)-SUMIF(AC431:AC431, 6, K431:K431)</f>
        <v>56286.060000000005</v>
      </c>
      <c r="K435" s="42"/>
      <c r="L435"/>
    </row>
    <row r="436" spans="1:29" ht="15" hidden="1" x14ac:dyDescent="0.2">
      <c r="C436" s="30" t="s">
        <v>719</v>
      </c>
      <c r="H436" s="43">
        <f>SUMIF(AC431:AC431, 5, I431:I431)+SUMIF(AC431:AC431, 6, I431:I431)</f>
        <v>0</v>
      </c>
      <c r="I436" s="43"/>
      <c r="J436" s="43">
        <f>SUMIF(AC431:AC431, 5, K431:K431)+SUMIF(AC431:AC431, 6, K431:K431)</f>
        <v>0</v>
      </c>
      <c r="K436" s="43"/>
      <c r="L436"/>
    </row>
    <row r="437" spans="1:29" ht="15" hidden="1" x14ac:dyDescent="0.2">
      <c r="C437" s="30" t="s">
        <v>720</v>
      </c>
      <c r="H437" s="43">
        <f>I427+I428+I430+I432+I433+SUM(I431:I431)</f>
        <v>1881.9899999999998</v>
      </c>
      <c r="I437" s="43"/>
      <c r="J437" s="43">
        <f>K427+K428+K430+K432+K433+SUM(K431:K431)</f>
        <v>56286.060000000005</v>
      </c>
      <c r="K437" s="43"/>
      <c r="L437"/>
      <c r="O437" s="31">
        <f>I427+I428+I430+I432+I433+SUM(I431:I431)</f>
        <v>1881.9899999999998</v>
      </c>
      <c r="P437" s="31">
        <f>K427+K428+K430+K432+K433+SUM(K431:K431)</f>
        <v>56286.060000000005</v>
      </c>
    </row>
    <row r="438" spans="1:29" hidden="1" x14ac:dyDescent="0.2">
      <c r="L438"/>
    </row>
    <row r="439" spans="1:29" ht="42.75" hidden="1" x14ac:dyDescent="0.2">
      <c r="A439" s="19">
        <v>35</v>
      </c>
      <c r="B439" s="19" t="str">
        <f>Source!F201</f>
        <v>4.12-39-1</v>
      </c>
      <c r="C439" s="19" t="s">
        <v>370</v>
      </c>
      <c r="D439" s="21" t="str">
        <f>Source!H201</f>
        <v>100 шт.</v>
      </c>
      <c r="E439" s="20">
        <f>Source!I201</f>
        <v>7.78</v>
      </c>
      <c r="F439" s="23"/>
      <c r="G439" s="22"/>
      <c r="H439" s="20"/>
      <c r="I439" s="23"/>
      <c r="J439" s="20"/>
      <c r="K439" s="23"/>
      <c r="L439"/>
      <c r="Q439">
        <f>Source!X201</f>
        <v>6789.74</v>
      </c>
      <c r="R439">
        <f>Source!X202</f>
        <v>382601.57</v>
      </c>
      <c r="S439">
        <f>Source!Y201</f>
        <v>3470.31</v>
      </c>
      <c r="T439">
        <f>Source!Y202</f>
        <v>195551.91</v>
      </c>
      <c r="U439">
        <f>ROUND((175/100)*ROUND(Source!R201, 2), 2)</f>
        <v>2.2599999999999998</v>
      </c>
      <c r="V439">
        <f>ROUND((0/100)*ROUND(Source!R202, 2), 2)</f>
        <v>0</v>
      </c>
      <c r="AC439">
        <v>0</v>
      </c>
    </row>
    <row r="440" spans="1:29" hidden="1" x14ac:dyDescent="0.2">
      <c r="C440" s="32" t="str">
        <f>"Объем: "&amp;Source!I201&amp;"=778/"&amp;"100"</f>
        <v>Объем: 7,78=778/100</v>
      </c>
      <c r="L440"/>
    </row>
    <row r="441" spans="1:29" ht="14.25" hidden="1" x14ac:dyDescent="0.2">
      <c r="A441" s="19"/>
      <c r="B441" s="19"/>
      <c r="C441" s="19" t="s">
        <v>707</v>
      </c>
      <c r="D441" s="21"/>
      <c r="E441" s="20"/>
      <c r="F441" s="23">
        <f>Source!AO201</f>
        <v>757.2</v>
      </c>
      <c r="G441" s="22" t="s">
        <v>91</v>
      </c>
      <c r="H441" s="20">
        <f>Source!AV202</f>
        <v>1.0669999999999999</v>
      </c>
      <c r="I441" s="23">
        <f>Source!S201</f>
        <v>7542.86</v>
      </c>
      <c r="J441" s="20">
        <f>IF(Source!BA202&lt;&gt; 0, Source!BA202, 1)</f>
        <v>56.35</v>
      </c>
      <c r="K441" s="23">
        <f>Source!S202</f>
        <v>425040.16</v>
      </c>
      <c r="L441"/>
    </row>
    <row r="442" spans="1:29" ht="14.25" hidden="1" x14ac:dyDescent="0.2">
      <c r="A442" s="19"/>
      <c r="B442" s="19"/>
      <c r="C442" s="19" t="s">
        <v>709</v>
      </c>
      <c r="D442" s="21"/>
      <c r="E442" s="20"/>
      <c r="F442" s="23">
        <f>Source!AM201</f>
        <v>336.42</v>
      </c>
      <c r="G442" s="22" t="s">
        <v>91</v>
      </c>
      <c r="H442" s="20">
        <f>Source!AV202</f>
        <v>1.0669999999999999</v>
      </c>
      <c r="I442" s="23">
        <f>Source!Q201</f>
        <v>3351.25</v>
      </c>
      <c r="J442" s="20">
        <f>IF(Source!BB202&lt;&gt; 0, Source!BB202, 1)</f>
        <v>13.47</v>
      </c>
      <c r="K442" s="23">
        <f>Source!Q202</f>
        <v>45141.34</v>
      </c>
      <c r="L442"/>
    </row>
    <row r="443" spans="1:29" ht="14.25" hidden="1" x14ac:dyDescent="0.2">
      <c r="A443" s="19"/>
      <c r="B443" s="19"/>
      <c r="C443" s="19" t="s">
        <v>710</v>
      </c>
      <c r="D443" s="21"/>
      <c r="E443" s="20"/>
      <c r="F443" s="23">
        <f>Source!AN201</f>
        <v>0.13</v>
      </c>
      <c r="G443" s="22" t="s">
        <v>91</v>
      </c>
      <c r="H443" s="20">
        <f>Source!AV202</f>
        <v>1.0669999999999999</v>
      </c>
      <c r="I443" s="24">
        <f>Source!R201</f>
        <v>1.29</v>
      </c>
      <c r="J443" s="20">
        <f>IF(Source!BS202&lt;&gt; 0, Source!BS202, 1)</f>
        <v>56.35</v>
      </c>
      <c r="K443" s="24">
        <f>Source!R202</f>
        <v>72.69</v>
      </c>
      <c r="L443"/>
    </row>
    <row r="444" spans="1:29" ht="14.25" hidden="1" x14ac:dyDescent="0.2">
      <c r="A444" s="19"/>
      <c r="B444" s="19"/>
      <c r="C444" s="19" t="s">
        <v>711</v>
      </c>
      <c r="D444" s="21"/>
      <c r="E444" s="20"/>
      <c r="F444" s="23">
        <f>Source!AL201</f>
        <v>3462.2</v>
      </c>
      <c r="G444" s="22"/>
      <c r="H444" s="20">
        <f>Source!AW202</f>
        <v>1.028</v>
      </c>
      <c r="I444" s="23">
        <f>Source!P201</f>
        <v>27690.12</v>
      </c>
      <c r="J444" s="20">
        <f>IF(Source!BC202&lt;&gt; 0, Source!BC202, 1)</f>
        <v>8.51</v>
      </c>
      <c r="K444" s="23">
        <f>Source!P202</f>
        <v>235642.92</v>
      </c>
      <c r="L444"/>
    </row>
    <row r="445" spans="1:29" ht="28.5" hidden="1" x14ac:dyDescent="0.2">
      <c r="A445" s="19" t="s">
        <v>396</v>
      </c>
      <c r="B445" s="19" t="str">
        <f>Source!F203</f>
        <v>1.12-10-126</v>
      </c>
      <c r="C445" s="19" t="s">
        <v>398</v>
      </c>
      <c r="D445" s="21" t="str">
        <f>Source!H203</f>
        <v>шт.</v>
      </c>
      <c r="E445" s="20">
        <f>Source!I203</f>
        <v>778</v>
      </c>
      <c r="F445" s="23">
        <f>Source!AK203</f>
        <v>31.64</v>
      </c>
      <c r="G445" s="35" t="s">
        <v>3</v>
      </c>
      <c r="H445" s="20">
        <f>Source!AW204</f>
        <v>1</v>
      </c>
      <c r="I445" s="23">
        <f>Source!O203</f>
        <v>24615.919999999998</v>
      </c>
      <c r="J445" s="20">
        <f>IF(Source!BC204&lt;&gt; 0, Source!BC204, 1)</f>
        <v>6.45</v>
      </c>
      <c r="K445" s="23">
        <f>Source!O204</f>
        <v>158772.68</v>
      </c>
      <c r="L445"/>
      <c r="Q445">
        <f>Source!X203</f>
        <v>0</v>
      </c>
      <c r="R445">
        <f>Source!X204</f>
        <v>0</v>
      </c>
      <c r="S445">
        <f>Source!Y203</f>
        <v>0</v>
      </c>
      <c r="T445">
        <f>Source!Y204</f>
        <v>0</v>
      </c>
      <c r="U445">
        <f>ROUND((175/100)*ROUND(Source!R203, 2), 2)</f>
        <v>0</v>
      </c>
      <c r="V445">
        <f>ROUND((0/100)*ROUND(Source!R204, 2), 2)</f>
        <v>0</v>
      </c>
      <c r="AC445">
        <v>3</v>
      </c>
    </row>
    <row r="446" spans="1:29" ht="14.25" hidden="1" x14ac:dyDescent="0.2">
      <c r="A446" s="19"/>
      <c r="B446" s="19"/>
      <c r="C446" s="19" t="s">
        <v>713</v>
      </c>
      <c r="D446" s="21" t="s">
        <v>714</v>
      </c>
      <c r="E446" s="20">
        <f>Source!BZ202</f>
        <v>90</v>
      </c>
      <c r="F446" s="23"/>
      <c r="G446" s="22"/>
      <c r="H446" s="20"/>
      <c r="I446" s="23">
        <f>SUM(Q439:Q445)</f>
        <v>6789.74</v>
      </c>
      <c r="J446" s="20">
        <f>Source!AT202</f>
        <v>90</v>
      </c>
      <c r="K446" s="23">
        <f>SUM(R439:R445)</f>
        <v>382601.57</v>
      </c>
      <c r="L446"/>
    </row>
    <row r="447" spans="1:29" ht="14.25" hidden="1" x14ac:dyDescent="0.2">
      <c r="A447" s="19"/>
      <c r="B447" s="19"/>
      <c r="C447" s="19" t="s">
        <v>715</v>
      </c>
      <c r="D447" s="21" t="s">
        <v>714</v>
      </c>
      <c r="E447" s="20">
        <f>Source!CA202</f>
        <v>46</v>
      </c>
      <c r="F447" s="23"/>
      <c r="G447" s="22"/>
      <c r="H447" s="20"/>
      <c r="I447" s="23">
        <f>SUM(S439:S446)</f>
        <v>3470.31</v>
      </c>
      <c r="J447" s="20">
        <f>Source!AU202</f>
        <v>46</v>
      </c>
      <c r="K447" s="23">
        <f>SUM(T439:T446)</f>
        <v>195551.91</v>
      </c>
      <c r="L447"/>
    </row>
    <row r="448" spans="1:29" ht="14.25" hidden="1" x14ac:dyDescent="0.2">
      <c r="A448" s="25"/>
      <c r="B448" s="25"/>
      <c r="C448" s="25" t="s">
        <v>716</v>
      </c>
      <c r="D448" s="26" t="s">
        <v>717</v>
      </c>
      <c r="E448" s="27">
        <f>Source!AQ201</f>
        <v>60</v>
      </c>
      <c r="F448" s="28"/>
      <c r="G448" s="29" t="s">
        <v>91</v>
      </c>
      <c r="H448" s="27">
        <f>Source!AV202</f>
        <v>1.0669999999999999</v>
      </c>
      <c r="I448" s="28">
        <f>Source!U201</f>
        <v>597.69072000000006</v>
      </c>
      <c r="J448" s="27"/>
      <c r="K448" s="28"/>
      <c r="L448"/>
    </row>
    <row r="449" spans="1:29" ht="15" hidden="1" x14ac:dyDescent="0.2">
      <c r="C449" s="30" t="s">
        <v>718</v>
      </c>
      <c r="H449" s="42">
        <f>I441+I442+I444+I446+I447+SUM(I445:I445)-SUMIF(AC445:AC445, 5, I445:I445)-SUMIF(AC445:AC445, 6, I445:I445)</f>
        <v>73460.199999999983</v>
      </c>
      <c r="I449" s="42"/>
      <c r="J449" s="42">
        <f>K441+K442+K444+K446+K447+SUM(K445:K445)-SUMIF(AC445:AC445, 5, K445:K445)-SUMIF(AC445:AC445, 6, K445:K445)</f>
        <v>1442750.5799999998</v>
      </c>
      <c r="K449" s="42"/>
      <c r="L449"/>
    </row>
    <row r="450" spans="1:29" ht="15" hidden="1" x14ac:dyDescent="0.2">
      <c r="C450" s="30" t="s">
        <v>719</v>
      </c>
      <c r="H450" s="43">
        <f>SUMIF(AC445:AC445, 5, I445:I445)+SUMIF(AC445:AC445, 6, I445:I445)</f>
        <v>0</v>
      </c>
      <c r="I450" s="43"/>
      <c r="J450" s="43">
        <f>SUMIF(AC445:AC445, 5, K445:K445)+SUMIF(AC445:AC445, 6, K445:K445)</f>
        <v>0</v>
      </c>
      <c r="K450" s="43"/>
      <c r="L450"/>
    </row>
    <row r="451" spans="1:29" ht="15" hidden="1" x14ac:dyDescent="0.2">
      <c r="C451" s="30" t="s">
        <v>720</v>
      </c>
      <c r="H451" s="43">
        <f>I441+I442+I444+I446+I447+SUM(I445:I445)</f>
        <v>73460.199999999983</v>
      </c>
      <c r="I451" s="43"/>
      <c r="J451" s="43">
        <f>K441+K442+K444+K446+K447+SUM(K445:K445)</f>
        <v>1442750.5799999998</v>
      </c>
      <c r="K451" s="43"/>
      <c r="L451"/>
      <c r="O451" s="31">
        <f>I441+I442+I444+I446+I447+SUM(I445:I445)</f>
        <v>73460.199999999983</v>
      </c>
      <c r="P451" s="31">
        <f>K441+K442+K444+K446+K447+SUM(K445:K445)</f>
        <v>1442750.5799999998</v>
      </c>
    </row>
    <row r="452" spans="1:29" hidden="1" x14ac:dyDescent="0.2">
      <c r="L452"/>
    </row>
    <row r="453" spans="1:29" ht="85.5" hidden="1" x14ac:dyDescent="0.2">
      <c r="A453" s="19">
        <v>36</v>
      </c>
      <c r="B453" s="19" t="str">
        <f>Source!F205</f>
        <v>4.12-32-3</v>
      </c>
      <c r="C453" s="19" t="s">
        <v>183</v>
      </c>
      <c r="D453" s="21" t="str">
        <f>Source!H205</f>
        <v>100 м</v>
      </c>
      <c r="E453" s="20">
        <f>Source!I205</f>
        <v>5.9</v>
      </c>
      <c r="F453" s="23"/>
      <c r="G453" s="22"/>
      <c r="H453" s="20"/>
      <c r="I453" s="23"/>
      <c r="J453" s="20"/>
      <c r="K453" s="23"/>
      <c r="L453"/>
      <c r="Q453">
        <f>Source!X205</f>
        <v>14591.58</v>
      </c>
      <c r="R453">
        <f>Source!X206</f>
        <v>822235.7</v>
      </c>
      <c r="S453">
        <f>Source!Y205</f>
        <v>7457.92</v>
      </c>
      <c r="T453">
        <f>Source!Y206</f>
        <v>420253.8</v>
      </c>
      <c r="U453">
        <f>ROUND((175/100)*ROUND(Source!R205, 2), 2)</f>
        <v>1845.27</v>
      </c>
      <c r="V453">
        <f>ROUND((0/100)*ROUND(Source!R206, 2), 2)</f>
        <v>0</v>
      </c>
      <c r="AC453">
        <v>0</v>
      </c>
    </row>
    <row r="454" spans="1:29" hidden="1" x14ac:dyDescent="0.2">
      <c r="C454" s="32" t="str">
        <f>"Объем: "&amp;Source!I205&amp;"=(590)/"&amp;"100"</f>
        <v>Объем: 5,9=(590)/100</v>
      </c>
      <c r="L454"/>
    </row>
    <row r="455" spans="1:29" ht="14.25" hidden="1" x14ac:dyDescent="0.2">
      <c r="A455" s="19"/>
      <c r="B455" s="19"/>
      <c r="C455" s="19" t="s">
        <v>707</v>
      </c>
      <c r="D455" s="21"/>
      <c r="E455" s="20"/>
      <c r="F455" s="23">
        <f>Source!AO205</f>
        <v>2006.58</v>
      </c>
      <c r="G455" s="22" t="s">
        <v>91</v>
      </c>
      <c r="H455" s="20">
        <f>Source!AV206</f>
        <v>1.0669999999999999</v>
      </c>
      <c r="I455" s="23">
        <f>Source!S205</f>
        <v>15158.43</v>
      </c>
      <c r="J455" s="20">
        <f>IF(Source!BA206&lt;&gt; 0, Source!BA206, 1)</f>
        <v>56.35</v>
      </c>
      <c r="K455" s="23">
        <f>Source!S206</f>
        <v>854177.53</v>
      </c>
      <c r="L455"/>
    </row>
    <row r="456" spans="1:29" ht="14.25" hidden="1" x14ac:dyDescent="0.2">
      <c r="A456" s="19"/>
      <c r="B456" s="19"/>
      <c r="C456" s="19" t="s">
        <v>709</v>
      </c>
      <c r="D456" s="21"/>
      <c r="E456" s="20"/>
      <c r="F456" s="23">
        <f>Source!AM205</f>
        <v>820.65</v>
      </c>
      <c r="G456" s="22" t="s">
        <v>91</v>
      </c>
      <c r="H456" s="20">
        <f>Source!AV206</f>
        <v>1.0669999999999999</v>
      </c>
      <c r="I456" s="23">
        <f>Source!Q205</f>
        <v>6199.49</v>
      </c>
      <c r="J456" s="20">
        <f>IF(Source!BB206&lt;&gt; 0, Source!BB206, 1)</f>
        <v>19.46</v>
      </c>
      <c r="K456" s="23">
        <f>Source!Q206</f>
        <v>120642.08</v>
      </c>
      <c r="L456"/>
    </row>
    <row r="457" spans="1:29" ht="14.25" hidden="1" x14ac:dyDescent="0.2">
      <c r="A457" s="19"/>
      <c r="B457" s="19"/>
      <c r="C457" s="19" t="s">
        <v>710</v>
      </c>
      <c r="D457" s="21"/>
      <c r="E457" s="20"/>
      <c r="F457" s="23">
        <f>Source!AN205</f>
        <v>139.58000000000001</v>
      </c>
      <c r="G457" s="22" t="s">
        <v>91</v>
      </c>
      <c r="H457" s="20">
        <f>Source!AV206</f>
        <v>1.0669999999999999</v>
      </c>
      <c r="I457" s="24">
        <f>Source!R205</f>
        <v>1054.44</v>
      </c>
      <c r="J457" s="20">
        <f>IF(Source!BS206&lt;&gt; 0, Source!BS206, 1)</f>
        <v>56.35</v>
      </c>
      <c r="K457" s="24">
        <f>Source!R206</f>
        <v>59417.69</v>
      </c>
      <c r="L457"/>
    </row>
    <row r="458" spans="1:29" ht="14.25" hidden="1" x14ac:dyDescent="0.2">
      <c r="A458" s="19"/>
      <c r="B458" s="19"/>
      <c r="C458" s="19" t="s">
        <v>711</v>
      </c>
      <c r="D458" s="21"/>
      <c r="E458" s="20"/>
      <c r="F458" s="23">
        <f>Source!AL205</f>
        <v>126.03</v>
      </c>
      <c r="G458" s="22"/>
      <c r="H458" s="20">
        <f>Source!AW206</f>
        <v>1.028</v>
      </c>
      <c r="I458" s="23">
        <f>Source!P205</f>
        <v>764.4</v>
      </c>
      <c r="J458" s="20">
        <f>IF(Source!BC206&lt;&gt; 0, Source!BC206, 1)</f>
        <v>10.26</v>
      </c>
      <c r="K458" s="23">
        <f>Source!P206</f>
        <v>7842.74</v>
      </c>
      <c r="L458"/>
    </row>
    <row r="459" spans="1:29" ht="57" hidden="1" x14ac:dyDescent="0.2">
      <c r="A459" s="19" t="s">
        <v>401</v>
      </c>
      <c r="B459" s="19" t="str">
        <f>Source!F207</f>
        <v>1.12-6-31</v>
      </c>
      <c r="C459" s="19" t="s">
        <v>187</v>
      </c>
      <c r="D459" s="21" t="str">
        <f>Source!H207</f>
        <v>м</v>
      </c>
      <c r="E459" s="20">
        <f>Source!I207</f>
        <v>592.95000000000005</v>
      </c>
      <c r="F459" s="23">
        <f>Source!AK207</f>
        <v>80.59</v>
      </c>
      <c r="G459" s="35" t="s">
        <v>3</v>
      </c>
      <c r="H459" s="20">
        <f>Source!AW208</f>
        <v>1</v>
      </c>
      <c r="I459" s="23">
        <f>Source!O207</f>
        <v>47785.84</v>
      </c>
      <c r="J459" s="20">
        <f>IF(Source!BC208&lt;&gt; 0, Source!BC208, 1)</f>
        <v>4.59</v>
      </c>
      <c r="K459" s="23">
        <f>Source!O208</f>
        <v>219337.01</v>
      </c>
      <c r="L459"/>
      <c r="Q459">
        <f>Source!X207</f>
        <v>0</v>
      </c>
      <c r="R459">
        <f>Source!X208</f>
        <v>0</v>
      </c>
      <c r="S459">
        <f>Source!Y207</f>
        <v>0</v>
      </c>
      <c r="T459">
        <f>Source!Y208</f>
        <v>0</v>
      </c>
      <c r="U459">
        <f>ROUND((175/100)*ROUND(Source!R207, 2), 2)</f>
        <v>0</v>
      </c>
      <c r="V459">
        <f>ROUND((0/100)*ROUND(Source!R208, 2), 2)</f>
        <v>0</v>
      </c>
      <c r="AC459">
        <v>3</v>
      </c>
    </row>
    <row r="460" spans="1:29" ht="14.25" hidden="1" x14ac:dyDescent="0.2">
      <c r="A460" s="19"/>
      <c r="B460" s="19"/>
      <c r="C460" s="19" t="s">
        <v>713</v>
      </c>
      <c r="D460" s="21" t="s">
        <v>714</v>
      </c>
      <c r="E460" s="20">
        <f>Source!BZ206</f>
        <v>90</v>
      </c>
      <c r="F460" s="23"/>
      <c r="G460" s="22"/>
      <c r="H460" s="20"/>
      <c r="I460" s="23">
        <f>SUM(Q453:Q459)</f>
        <v>14591.58</v>
      </c>
      <c r="J460" s="20">
        <f>Source!AT206</f>
        <v>90</v>
      </c>
      <c r="K460" s="23">
        <f>SUM(R453:R459)</f>
        <v>822235.7</v>
      </c>
      <c r="L460"/>
    </row>
    <row r="461" spans="1:29" ht="14.25" hidden="1" x14ac:dyDescent="0.2">
      <c r="A461" s="19"/>
      <c r="B461" s="19"/>
      <c r="C461" s="19" t="s">
        <v>715</v>
      </c>
      <c r="D461" s="21" t="s">
        <v>714</v>
      </c>
      <c r="E461" s="20">
        <f>Source!CA206</f>
        <v>46</v>
      </c>
      <c r="F461" s="23"/>
      <c r="G461" s="22"/>
      <c r="H461" s="20"/>
      <c r="I461" s="23">
        <f>SUM(S453:S460)</f>
        <v>7457.92</v>
      </c>
      <c r="J461" s="20">
        <f>Source!AU206</f>
        <v>46</v>
      </c>
      <c r="K461" s="23">
        <f>SUM(T453:T460)</f>
        <v>420253.8</v>
      </c>
      <c r="L461"/>
    </row>
    <row r="462" spans="1:29" ht="14.25" hidden="1" x14ac:dyDescent="0.2">
      <c r="A462" s="25"/>
      <c r="B462" s="25"/>
      <c r="C462" s="25" t="s">
        <v>716</v>
      </c>
      <c r="D462" s="26" t="s">
        <v>717</v>
      </c>
      <c r="E462" s="27">
        <f>Source!AQ205</f>
        <v>159</v>
      </c>
      <c r="F462" s="28"/>
      <c r="G462" s="29" t="s">
        <v>91</v>
      </c>
      <c r="H462" s="27">
        <f>Source!AV206</f>
        <v>1.0669999999999999</v>
      </c>
      <c r="I462" s="28">
        <f>Source!U205</f>
        <v>1201.1432399999999</v>
      </c>
      <c r="J462" s="27"/>
      <c r="K462" s="28"/>
      <c r="L462"/>
    </row>
    <row r="463" spans="1:29" ht="15" hidden="1" x14ac:dyDescent="0.2">
      <c r="C463" s="30" t="s">
        <v>718</v>
      </c>
      <c r="H463" s="42">
        <f>I455+I456+I458+I460+I461+SUM(I459:I459)-SUMIF(AC459:AC459, 5, I459:I459)-SUMIF(AC459:AC459, 6, I459:I459)</f>
        <v>91957.66</v>
      </c>
      <c r="I463" s="42"/>
      <c r="J463" s="42">
        <f>K455+K456+K458+K460+K461+SUM(K459:K459)-SUMIF(AC459:AC459, 5, K459:K459)-SUMIF(AC459:AC459, 6, K459:K459)</f>
        <v>2444488.8599999994</v>
      </c>
      <c r="K463" s="42"/>
      <c r="L463"/>
    </row>
    <row r="464" spans="1:29" ht="15" hidden="1" x14ac:dyDescent="0.2">
      <c r="C464" s="30" t="s">
        <v>719</v>
      </c>
      <c r="H464" s="43">
        <f>SUMIF(AC459:AC459, 5, I459:I459)+SUMIF(AC459:AC459, 6, I459:I459)</f>
        <v>0</v>
      </c>
      <c r="I464" s="43"/>
      <c r="J464" s="43">
        <f>SUMIF(AC459:AC459, 5, K459:K459)+SUMIF(AC459:AC459, 6, K459:K459)</f>
        <v>0</v>
      </c>
      <c r="K464" s="43"/>
      <c r="L464"/>
    </row>
    <row r="465" spans="1:29" ht="15" hidden="1" x14ac:dyDescent="0.2">
      <c r="C465" s="30" t="s">
        <v>720</v>
      </c>
      <c r="H465" s="43">
        <f>I455+I456+I458+I460+I461+SUM(I459:I459)</f>
        <v>91957.66</v>
      </c>
      <c r="I465" s="43"/>
      <c r="J465" s="43">
        <f>K455+K456+K458+K460+K461+SUM(K459:K459)</f>
        <v>2444488.8599999994</v>
      </c>
      <c r="K465" s="43"/>
      <c r="L465"/>
      <c r="O465" s="31">
        <f>I455+I456+I458+I460+I461+SUM(I459:I459)</f>
        <v>91957.66</v>
      </c>
      <c r="P465" s="31">
        <f>K455+K456+K458+K460+K461+SUM(K459:K459)</f>
        <v>2444488.8599999994</v>
      </c>
    </row>
    <row r="466" spans="1:29" hidden="1" x14ac:dyDescent="0.2">
      <c r="L466"/>
    </row>
    <row r="467" spans="1:29" ht="57" hidden="1" x14ac:dyDescent="0.2">
      <c r="A467" s="19">
        <v>37</v>
      </c>
      <c r="B467" s="19" t="str">
        <f>Source!F209</f>
        <v>4.12-52-10</v>
      </c>
      <c r="C467" s="19" t="s">
        <v>129</v>
      </c>
      <c r="D467" s="21" t="str">
        <f>Source!H209</f>
        <v>1  ШТ.</v>
      </c>
      <c r="E467" s="20">
        <f>Source!I209</f>
        <v>24</v>
      </c>
      <c r="F467" s="23"/>
      <c r="G467" s="22"/>
      <c r="H467" s="20"/>
      <c r="I467" s="23"/>
      <c r="J467" s="20"/>
      <c r="K467" s="23"/>
      <c r="L467"/>
      <c r="Q467">
        <f>Source!X209</f>
        <v>1891.71</v>
      </c>
      <c r="R467">
        <f>Source!X210</f>
        <v>106597.86</v>
      </c>
      <c r="S467">
        <f>Source!Y209</f>
        <v>966.87</v>
      </c>
      <c r="T467">
        <f>Source!Y210</f>
        <v>54483.35</v>
      </c>
      <c r="U467">
        <f>ROUND((175/100)*ROUND(Source!R209, 2), 2)</f>
        <v>13.44</v>
      </c>
      <c r="V467">
        <f>ROUND((0/100)*ROUND(Source!R210, 2), 2)</f>
        <v>0</v>
      </c>
      <c r="AC467">
        <v>0</v>
      </c>
    </row>
    <row r="468" spans="1:29" hidden="1" x14ac:dyDescent="0.2">
      <c r="C468" s="32" t="str">
        <f>"Объем: "&amp;Source!I209&amp;"=20+"&amp;"4"</f>
        <v>Объем: 24=20+4</v>
      </c>
      <c r="L468"/>
    </row>
    <row r="469" spans="1:29" ht="14.25" hidden="1" x14ac:dyDescent="0.2">
      <c r="A469" s="19"/>
      <c r="B469" s="19"/>
      <c r="C469" s="19" t="s">
        <v>707</v>
      </c>
      <c r="D469" s="21"/>
      <c r="E469" s="20"/>
      <c r="F469" s="23">
        <f>Source!AO209</f>
        <v>68.150000000000006</v>
      </c>
      <c r="G469" s="22" t="s">
        <v>91</v>
      </c>
      <c r="H469" s="20">
        <f>Source!AV210</f>
        <v>1.0669999999999999</v>
      </c>
      <c r="I469" s="23">
        <f>Source!S209</f>
        <v>2094.2199999999998</v>
      </c>
      <c r="J469" s="20">
        <f>IF(Source!BA210&lt;&gt; 0, Source!BA210, 1)</f>
        <v>56.35</v>
      </c>
      <c r="K469" s="23">
        <f>Source!S210</f>
        <v>118009.3</v>
      </c>
      <c r="L469"/>
    </row>
    <row r="470" spans="1:29" ht="14.25" hidden="1" x14ac:dyDescent="0.2">
      <c r="A470" s="19"/>
      <c r="B470" s="19"/>
      <c r="C470" s="19" t="s">
        <v>709</v>
      </c>
      <c r="D470" s="21"/>
      <c r="E470" s="20"/>
      <c r="F470" s="23">
        <f>Source!AM209</f>
        <v>8.06</v>
      </c>
      <c r="G470" s="22" t="s">
        <v>91</v>
      </c>
      <c r="H470" s="20">
        <f>Source!AV210</f>
        <v>1.0669999999999999</v>
      </c>
      <c r="I470" s="23">
        <f>Source!Q209</f>
        <v>247.68</v>
      </c>
      <c r="J470" s="20">
        <f>IF(Source!BB210&lt;&gt; 0, Source!BB210, 1)</f>
        <v>14.21</v>
      </c>
      <c r="K470" s="23">
        <f>Source!Q210</f>
        <v>3519.53</v>
      </c>
      <c r="L470"/>
    </row>
    <row r="471" spans="1:29" ht="14.25" hidden="1" x14ac:dyDescent="0.2">
      <c r="A471" s="19"/>
      <c r="B471" s="19"/>
      <c r="C471" s="19" t="s">
        <v>710</v>
      </c>
      <c r="D471" s="21"/>
      <c r="E471" s="20"/>
      <c r="F471" s="23">
        <f>Source!AN209</f>
        <v>0.25</v>
      </c>
      <c r="G471" s="22" t="s">
        <v>91</v>
      </c>
      <c r="H471" s="20">
        <f>Source!AV210</f>
        <v>1.0669999999999999</v>
      </c>
      <c r="I471" s="24">
        <f>Source!R209</f>
        <v>7.68</v>
      </c>
      <c r="J471" s="20">
        <f>IF(Source!BS210&lt;&gt; 0, Source!BS210, 1)</f>
        <v>56.35</v>
      </c>
      <c r="K471" s="24">
        <f>Source!R210</f>
        <v>432.77</v>
      </c>
      <c r="L471"/>
    </row>
    <row r="472" spans="1:29" ht="14.25" hidden="1" x14ac:dyDescent="0.2">
      <c r="A472" s="19"/>
      <c r="B472" s="19"/>
      <c r="C472" s="19" t="s">
        <v>711</v>
      </c>
      <c r="D472" s="21"/>
      <c r="E472" s="20"/>
      <c r="F472" s="23">
        <f>Source!AL209</f>
        <v>4.33</v>
      </c>
      <c r="G472" s="22"/>
      <c r="H472" s="20">
        <f>Source!AW210</f>
        <v>1.028</v>
      </c>
      <c r="I472" s="23">
        <f>Source!P209</f>
        <v>106.83</v>
      </c>
      <c r="J472" s="20">
        <f>IF(Source!BC210&lt;&gt; 0, Source!BC210, 1)</f>
        <v>10.59</v>
      </c>
      <c r="K472" s="23">
        <f>Source!P210</f>
        <v>1131.33</v>
      </c>
      <c r="L472"/>
    </row>
    <row r="473" spans="1:29" ht="57" hidden="1" x14ac:dyDescent="0.2">
      <c r="A473" s="19" t="s">
        <v>403</v>
      </c>
      <c r="B473" s="19" t="str">
        <f>Source!F211</f>
        <v>1.12-11-48</v>
      </c>
      <c r="C473" s="19" t="s">
        <v>137</v>
      </c>
      <c r="D473" s="21" t="str">
        <f>Source!H211</f>
        <v>шт.</v>
      </c>
      <c r="E473" s="20">
        <f>Source!I211</f>
        <v>20</v>
      </c>
      <c r="F473" s="23">
        <f>Source!AK211</f>
        <v>130.07</v>
      </c>
      <c r="G473" s="35" t="s">
        <v>3</v>
      </c>
      <c r="H473" s="20">
        <f>Source!AW212</f>
        <v>1</v>
      </c>
      <c r="I473" s="23">
        <f>Source!O211</f>
        <v>2601.4</v>
      </c>
      <c r="J473" s="20">
        <f>IF(Source!BC212&lt;&gt; 0, Source!BC212, 1)</f>
        <v>4.82</v>
      </c>
      <c r="K473" s="23">
        <f>Source!O212</f>
        <v>12538.75</v>
      </c>
      <c r="L473"/>
      <c r="Q473">
        <f>Source!X211</f>
        <v>0</v>
      </c>
      <c r="R473">
        <f>Source!X212</f>
        <v>0</v>
      </c>
      <c r="S473">
        <f>Source!Y211</f>
        <v>0</v>
      </c>
      <c r="T473">
        <f>Source!Y212</f>
        <v>0</v>
      </c>
      <c r="U473">
        <f>ROUND((175/100)*ROUND(Source!R211, 2), 2)</f>
        <v>0</v>
      </c>
      <c r="V473">
        <f>ROUND((0/100)*ROUND(Source!R212, 2), 2)</f>
        <v>0</v>
      </c>
      <c r="AC473">
        <v>3</v>
      </c>
    </row>
    <row r="474" spans="1:29" ht="28.5" hidden="1" x14ac:dyDescent="0.2">
      <c r="A474" s="19" t="s">
        <v>404</v>
      </c>
      <c r="B474" s="19" t="str">
        <f>Source!F213</f>
        <v>1.12-11-104</v>
      </c>
      <c r="C474" s="19" t="s">
        <v>406</v>
      </c>
      <c r="D474" s="21" t="str">
        <f>Source!H213</f>
        <v>шт.</v>
      </c>
      <c r="E474" s="20">
        <f>Source!I213</f>
        <v>4</v>
      </c>
      <c r="F474" s="23">
        <f>Source!AK213</f>
        <v>296.99</v>
      </c>
      <c r="G474" s="35" t="s">
        <v>3</v>
      </c>
      <c r="H474" s="20">
        <f>Source!AW214</f>
        <v>1</v>
      </c>
      <c r="I474" s="23">
        <f>Source!O213</f>
        <v>1187.96</v>
      </c>
      <c r="J474" s="20">
        <f>IF(Source!BC214&lt;&gt; 0, Source!BC214, 1)</f>
        <v>3.04</v>
      </c>
      <c r="K474" s="23">
        <f>Source!O214</f>
        <v>3611.4</v>
      </c>
      <c r="L474"/>
      <c r="Q474">
        <f>Source!X213</f>
        <v>0</v>
      </c>
      <c r="R474">
        <f>Source!X214</f>
        <v>0</v>
      </c>
      <c r="S474">
        <f>Source!Y213</f>
        <v>0</v>
      </c>
      <c r="T474">
        <f>Source!Y214</f>
        <v>0</v>
      </c>
      <c r="U474">
        <f>ROUND((175/100)*ROUND(Source!R213, 2), 2)</f>
        <v>0</v>
      </c>
      <c r="V474">
        <f>ROUND((0/100)*ROUND(Source!R214, 2), 2)</f>
        <v>0</v>
      </c>
      <c r="AC474">
        <v>3</v>
      </c>
    </row>
    <row r="475" spans="1:29" ht="14.25" hidden="1" x14ac:dyDescent="0.2">
      <c r="A475" s="19"/>
      <c r="B475" s="19"/>
      <c r="C475" s="19" t="s">
        <v>713</v>
      </c>
      <c r="D475" s="21" t="s">
        <v>714</v>
      </c>
      <c r="E475" s="20">
        <f>Source!BZ210</f>
        <v>90</v>
      </c>
      <c r="F475" s="23"/>
      <c r="G475" s="22"/>
      <c r="H475" s="20"/>
      <c r="I475" s="23">
        <f>SUM(Q467:Q474)</f>
        <v>1891.71</v>
      </c>
      <c r="J475" s="20">
        <f>Source!AT210</f>
        <v>90</v>
      </c>
      <c r="K475" s="23">
        <f>SUM(R467:R474)</f>
        <v>106597.86</v>
      </c>
      <c r="L475"/>
    </row>
    <row r="476" spans="1:29" ht="14.25" hidden="1" x14ac:dyDescent="0.2">
      <c r="A476" s="19"/>
      <c r="B476" s="19"/>
      <c r="C476" s="19" t="s">
        <v>715</v>
      </c>
      <c r="D476" s="21" t="s">
        <v>714</v>
      </c>
      <c r="E476" s="20">
        <f>Source!CA210</f>
        <v>46</v>
      </c>
      <c r="F476" s="23"/>
      <c r="G476" s="22"/>
      <c r="H476" s="20"/>
      <c r="I476" s="23">
        <f>SUM(S467:S475)</f>
        <v>966.87</v>
      </c>
      <c r="J476" s="20">
        <f>Source!AU210</f>
        <v>46</v>
      </c>
      <c r="K476" s="23">
        <f>SUM(T467:T475)</f>
        <v>54483.35</v>
      </c>
      <c r="L476"/>
    </row>
    <row r="477" spans="1:29" ht="14.25" hidden="1" x14ac:dyDescent="0.2">
      <c r="A477" s="25"/>
      <c r="B477" s="25"/>
      <c r="C477" s="25" t="s">
        <v>716</v>
      </c>
      <c r="D477" s="26" t="s">
        <v>717</v>
      </c>
      <c r="E477" s="27">
        <f>Source!AQ209</f>
        <v>5.4</v>
      </c>
      <c r="F477" s="28"/>
      <c r="G477" s="29" t="s">
        <v>91</v>
      </c>
      <c r="H477" s="27">
        <f>Source!AV210</f>
        <v>1.0669999999999999</v>
      </c>
      <c r="I477" s="28">
        <f>Source!U209</f>
        <v>165.93984</v>
      </c>
      <c r="J477" s="27"/>
      <c r="K477" s="28"/>
      <c r="L477"/>
    </row>
    <row r="478" spans="1:29" ht="15" hidden="1" x14ac:dyDescent="0.2">
      <c r="C478" s="30" t="s">
        <v>718</v>
      </c>
      <c r="H478" s="42">
        <f>I469+I470+I472+I475+I476+SUM(I473:I474)-SUMIF(AC473:AC474, 5, I473:I474)-SUMIF(AC473:AC474, 6, I473:I474)</f>
        <v>9096.67</v>
      </c>
      <c r="I478" s="42"/>
      <c r="J478" s="42">
        <f>K469+K470+K472+K475+K476+SUM(K473:K474)-SUMIF(AC473:AC474, 5, K473:K474)-SUMIF(AC473:AC474, 6, K473:K474)</f>
        <v>299891.52</v>
      </c>
      <c r="K478" s="42"/>
      <c r="L478"/>
    </row>
    <row r="479" spans="1:29" ht="15" hidden="1" x14ac:dyDescent="0.2">
      <c r="C479" s="30" t="s">
        <v>719</v>
      </c>
      <c r="H479" s="43">
        <f>SUMIF(AC473:AC474, 5, I473:I474)+SUMIF(AC473:AC474, 6, I473:I474)</f>
        <v>0</v>
      </c>
      <c r="I479" s="43"/>
      <c r="J479" s="43">
        <f>SUMIF(AC473:AC474, 5, K473:K474)+SUMIF(AC473:AC474, 6, K473:K474)</f>
        <v>0</v>
      </c>
      <c r="K479" s="43"/>
      <c r="L479"/>
    </row>
    <row r="480" spans="1:29" ht="15" hidden="1" x14ac:dyDescent="0.2">
      <c r="C480" s="30" t="s">
        <v>720</v>
      </c>
      <c r="H480" s="43">
        <f>I469+I470+I472+I475+I476+SUM(I473:I474)</f>
        <v>9096.67</v>
      </c>
      <c r="I480" s="43"/>
      <c r="J480" s="43">
        <f>K469+K470+K472+K475+K476+SUM(K473:K474)</f>
        <v>299891.52</v>
      </c>
      <c r="K480" s="43"/>
      <c r="L480"/>
      <c r="O480" s="31">
        <f>I469+I470+I472+I475+I476+SUM(I473:I474)</f>
        <v>9096.67</v>
      </c>
      <c r="P480" s="31">
        <f>K469+K470+K472+K475+K476+SUM(K473:K474)</f>
        <v>299891.52</v>
      </c>
    </row>
    <row r="481" spans="1:29" hidden="1" x14ac:dyDescent="0.2">
      <c r="L481"/>
    </row>
    <row r="482" spans="1:29" ht="85.5" hidden="1" x14ac:dyDescent="0.2">
      <c r="A482" s="19">
        <v>38</v>
      </c>
      <c r="B482" s="19" t="str">
        <f>Source!F223</f>
        <v>4.12-32-1</v>
      </c>
      <c r="C482" s="19" t="s">
        <v>214</v>
      </c>
      <c r="D482" s="21" t="str">
        <f>Source!H223</f>
        <v>100 м</v>
      </c>
      <c r="E482" s="20">
        <f>Source!I223</f>
        <v>19</v>
      </c>
      <c r="F482" s="23"/>
      <c r="G482" s="22"/>
      <c r="H482" s="20"/>
      <c r="I482" s="23"/>
      <c r="J482" s="20"/>
      <c r="K482" s="23"/>
      <c r="L482"/>
      <c r="Q482">
        <f>Source!X223</f>
        <v>40628.94</v>
      </c>
      <c r="R482">
        <f>Source!X224</f>
        <v>2289440.94</v>
      </c>
      <c r="S482">
        <f>Source!Y223</f>
        <v>20765.900000000001</v>
      </c>
      <c r="T482">
        <f>Source!Y224</f>
        <v>1170158.7</v>
      </c>
      <c r="U482">
        <f>ROUND((175/100)*ROUND(Source!R223, 2), 2)</f>
        <v>4319.49</v>
      </c>
      <c r="V482">
        <f>ROUND((0/100)*ROUND(Source!R224, 2), 2)</f>
        <v>0</v>
      </c>
      <c r="AC482">
        <v>0</v>
      </c>
    </row>
    <row r="483" spans="1:29" hidden="1" x14ac:dyDescent="0.2">
      <c r="C483" s="32" t="str">
        <f>"Объем: "&amp;Source!I223&amp;"=(800+"&amp;"900+"&amp;"200)/"&amp;"100"</f>
        <v>Объем: 19=(800+900+200)/100</v>
      </c>
      <c r="L483"/>
    </row>
    <row r="484" spans="1:29" ht="14.25" hidden="1" x14ac:dyDescent="0.2">
      <c r="A484" s="19"/>
      <c r="B484" s="19"/>
      <c r="C484" s="19" t="s">
        <v>707</v>
      </c>
      <c r="D484" s="21"/>
      <c r="E484" s="20"/>
      <c r="F484" s="23">
        <f>Source!AO223</f>
        <v>1754.18</v>
      </c>
      <c r="G484" s="22" t="s">
        <v>91</v>
      </c>
      <c r="H484" s="20">
        <f>Source!AV224</f>
        <v>1.0669999999999999</v>
      </c>
      <c r="I484" s="23">
        <f>Source!S223</f>
        <v>42674.99</v>
      </c>
      <c r="J484" s="20">
        <f>IF(Source!BA224&lt;&gt; 0, Source!BA224, 1)</f>
        <v>56.35</v>
      </c>
      <c r="K484" s="23">
        <f>Source!S224</f>
        <v>2404735.69</v>
      </c>
      <c r="L484"/>
    </row>
    <row r="485" spans="1:29" ht="14.25" hidden="1" x14ac:dyDescent="0.2">
      <c r="A485" s="19"/>
      <c r="B485" s="19"/>
      <c r="C485" s="19" t="s">
        <v>709</v>
      </c>
      <c r="D485" s="21"/>
      <c r="E485" s="20"/>
      <c r="F485" s="23">
        <f>Source!AM223</f>
        <v>513.47</v>
      </c>
      <c r="G485" s="22" t="s">
        <v>91</v>
      </c>
      <c r="H485" s="20">
        <f>Source!AV224</f>
        <v>1.0669999999999999</v>
      </c>
      <c r="I485" s="23">
        <f>Source!Q223</f>
        <v>12491.49</v>
      </c>
      <c r="J485" s="20">
        <f>IF(Source!BB224&lt;&gt; 0, Source!BB224, 1)</f>
        <v>20.66</v>
      </c>
      <c r="K485" s="23">
        <f>Source!Q224</f>
        <v>258074.18</v>
      </c>
      <c r="L485"/>
    </row>
    <row r="486" spans="1:29" ht="14.25" hidden="1" x14ac:dyDescent="0.2">
      <c r="A486" s="19"/>
      <c r="B486" s="19"/>
      <c r="C486" s="19" t="s">
        <v>710</v>
      </c>
      <c r="D486" s="21"/>
      <c r="E486" s="20"/>
      <c r="F486" s="23">
        <f>Source!AN223</f>
        <v>101.46</v>
      </c>
      <c r="G486" s="22" t="s">
        <v>91</v>
      </c>
      <c r="H486" s="20">
        <f>Source!AV224</f>
        <v>1.0669999999999999</v>
      </c>
      <c r="I486" s="24">
        <f>Source!R223</f>
        <v>2468.2800000000002</v>
      </c>
      <c r="J486" s="20">
        <f>IF(Source!BS224&lt;&gt; 0, Source!BS224, 1)</f>
        <v>56.35</v>
      </c>
      <c r="K486" s="24">
        <f>Source!R224</f>
        <v>139087.57999999999</v>
      </c>
      <c r="L486"/>
    </row>
    <row r="487" spans="1:29" ht="14.25" hidden="1" x14ac:dyDescent="0.2">
      <c r="A487" s="19"/>
      <c r="B487" s="19"/>
      <c r="C487" s="19" t="s">
        <v>711</v>
      </c>
      <c r="D487" s="21"/>
      <c r="E487" s="20"/>
      <c r="F487" s="23">
        <f>Source!AL223</f>
        <v>865</v>
      </c>
      <c r="G487" s="22"/>
      <c r="H487" s="20">
        <f>Source!AW224</f>
        <v>1.028</v>
      </c>
      <c r="I487" s="23">
        <f>Source!P223</f>
        <v>16895.18</v>
      </c>
      <c r="J487" s="20">
        <f>IF(Source!BC224&lt;&gt; 0, Source!BC224, 1)</f>
        <v>2.19</v>
      </c>
      <c r="K487" s="23">
        <f>Source!P224</f>
        <v>37000.44</v>
      </c>
      <c r="L487"/>
    </row>
    <row r="488" spans="1:29" ht="57" hidden="1" x14ac:dyDescent="0.2">
      <c r="A488" s="19" t="s">
        <v>412</v>
      </c>
      <c r="B488" s="19" t="str">
        <f>Source!F225</f>
        <v>1.12-1-56</v>
      </c>
      <c r="C488" s="19" t="s">
        <v>409</v>
      </c>
      <c r="D488" s="21" t="str">
        <f>Source!H225</f>
        <v>м</v>
      </c>
      <c r="E488" s="20">
        <f>Source!I225</f>
        <v>804</v>
      </c>
      <c r="F488" s="23">
        <f>Source!AK225</f>
        <v>61.58</v>
      </c>
      <c r="G488" s="35" t="s">
        <v>3</v>
      </c>
      <c r="H488" s="20">
        <f>Source!AW226</f>
        <v>1</v>
      </c>
      <c r="I488" s="23">
        <f>Source!O225</f>
        <v>49510.32</v>
      </c>
      <c r="J488" s="20">
        <f>IF(Source!BC226&lt;&gt; 0, Source!BC226, 1)</f>
        <v>11.89</v>
      </c>
      <c r="K488" s="23">
        <f>Source!O226</f>
        <v>588677.69999999995</v>
      </c>
      <c r="L488"/>
      <c r="Q488">
        <f>Source!X225</f>
        <v>0</v>
      </c>
      <c r="R488">
        <f>Source!X226</f>
        <v>0</v>
      </c>
      <c r="S488">
        <f>Source!Y225</f>
        <v>0</v>
      </c>
      <c r="T488">
        <f>Source!Y226</f>
        <v>0</v>
      </c>
      <c r="U488">
        <f>ROUND((175/100)*ROUND(Source!R225, 2), 2)</f>
        <v>0</v>
      </c>
      <c r="V488">
        <f>ROUND((0/100)*ROUND(Source!R226, 2), 2)</f>
        <v>0</v>
      </c>
      <c r="AC488">
        <v>3</v>
      </c>
    </row>
    <row r="489" spans="1:29" ht="57" hidden="1" x14ac:dyDescent="0.2">
      <c r="A489" s="19" t="s">
        <v>413</v>
      </c>
      <c r="B489" s="19" t="str">
        <f>Source!F227</f>
        <v>1.12-1-55</v>
      </c>
      <c r="C489" s="19" t="s">
        <v>207</v>
      </c>
      <c r="D489" s="21" t="str">
        <f>Source!H227</f>
        <v>м</v>
      </c>
      <c r="E489" s="20">
        <f>Source!I227</f>
        <v>904.5</v>
      </c>
      <c r="F489" s="23">
        <f>Source!AK227</f>
        <v>51.28</v>
      </c>
      <c r="G489" s="35" t="s">
        <v>3</v>
      </c>
      <c r="H489" s="20">
        <f>Source!AW228</f>
        <v>1</v>
      </c>
      <c r="I489" s="23">
        <f>Source!O227</f>
        <v>46382.76</v>
      </c>
      <c r="J489" s="20">
        <f>IF(Source!BC228&lt;&gt; 0, Source!BC228, 1)</f>
        <v>20.72</v>
      </c>
      <c r="K489" s="23">
        <f>Source!O228</f>
        <v>961050.79</v>
      </c>
      <c r="L489"/>
      <c r="Q489">
        <f>Source!X227</f>
        <v>0</v>
      </c>
      <c r="R489">
        <f>Source!X228</f>
        <v>0</v>
      </c>
      <c r="S489">
        <f>Source!Y227</f>
        <v>0</v>
      </c>
      <c r="T489">
        <f>Source!Y228</f>
        <v>0</v>
      </c>
      <c r="U489">
        <f>ROUND((175/100)*ROUND(Source!R227, 2), 2)</f>
        <v>0</v>
      </c>
      <c r="V489">
        <f>ROUND((0/100)*ROUND(Source!R228, 2), 2)</f>
        <v>0</v>
      </c>
      <c r="AC489">
        <v>3</v>
      </c>
    </row>
    <row r="490" spans="1:29" ht="57" hidden="1" x14ac:dyDescent="0.2">
      <c r="A490" s="19" t="s">
        <v>414</v>
      </c>
      <c r="B490" s="19" t="str">
        <f>Source!F229</f>
        <v>1.12-1-53</v>
      </c>
      <c r="C490" s="19" t="s">
        <v>416</v>
      </c>
      <c r="D490" s="21" t="str">
        <f>Source!H229</f>
        <v>м</v>
      </c>
      <c r="E490" s="20">
        <f>Source!I229</f>
        <v>201</v>
      </c>
      <c r="F490" s="23">
        <f>Source!AK229</f>
        <v>31.41</v>
      </c>
      <c r="G490" s="35" t="s">
        <v>3</v>
      </c>
      <c r="H490" s="20">
        <f>Source!AW230</f>
        <v>1</v>
      </c>
      <c r="I490" s="23">
        <f>Source!O229</f>
        <v>6313.41</v>
      </c>
      <c r="J490" s="20">
        <f>IF(Source!BC230&lt;&gt; 0, Source!BC230, 1)</f>
        <v>18.510000000000002</v>
      </c>
      <c r="K490" s="23">
        <f>Source!O230</f>
        <v>116861.22</v>
      </c>
      <c r="L490"/>
      <c r="Q490">
        <f>Source!X229</f>
        <v>0</v>
      </c>
      <c r="R490">
        <f>Source!X230</f>
        <v>0</v>
      </c>
      <c r="S490">
        <f>Source!Y229</f>
        <v>0</v>
      </c>
      <c r="T490">
        <f>Source!Y230</f>
        <v>0</v>
      </c>
      <c r="U490">
        <f>ROUND((175/100)*ROUND(Source!R229, 2), 2)</f>
        <v>0</v>
      </c>
      <c r="V490">
        <f>ROUND((0/100)*ROUND(Source!R230, 2), 2)</f>
        <v>0</v>
      </c>
      <c r="AC490">
        <v>3</v>
      </c>
    </row>
    <row r="491" spans="1:29" ht="14.25" hidden="1" x14ac:dyDescent="0.2">
      <c r="A491" s="19"/>
      <c r="B491" s="19"/>
      <c r="C491" s="19" t="s">
        <v>713</v>
      </c>
      <c r="D491" s="21" t="s">
        <v>714</v>
      </c>
      <c r="E491" s="20">
        <f>Source!BZ224</f>
        <v>90</v>
      </c>
      <c r="F491" s="23"/>
      <c r="G491" s="22"/>
      <c r="H491" s="20"/>
      <c r="I491" s="23">
        <f>SUM(Q482:Q490)</f>
        <v>40628.94</v>
      </c>
      <c r="J491" s="20">
        <f>Source!AT224</f>
        <v>90</v>
      </c>
      <c r="K491" s="23">
        <f>SUM(R482:R490)</f>
        <v>2289440.94</v>
      </c>
      <c r="L491"/>
    </row>
    <row r="492" spans="1:29" ht="14.25" hidden="1" x14ac:dyDescent="0.2">
      <c r="A492" s="19"/>
      <c r="B492" s="19"/>
      <c r="C492" s="19" t="s">
        <v>715</v>
      </c>
      <c r="D492" s="21" t="s">
        <v>714</v>
      </c>
      <c r="E492" s="20">
        <f>Source!CA224</f>
        <v>46</v>
      </c>
      <c r="F492" s="23"/>
      <c r="G492" s="22"/>
      <c r="H492" s="20"/>
      <c r="I492" s="23">
        <f>SUM(S482:S491)</f>
        <v>20765.900000000001</v>
      </c>
      <c r="J492" s="20">
        <f>Source!AU224</f>
        <v>46</v>
      </c>
      <c r="K492" s="23">
        <f>SUM(T482:T491)</f>
        <v>1170158.7</v>
      </c>
      <c r="L492"/>
    </row>
    <row r="493" spans="1:29" ht="14.25" hidden="1" x14ac:dyDescent="0.2">
      <c r="A493" s="25"/>
      <c r="B493" s="25"/>
      <c r="C493" s="25" t="s">
        <v>716</v>
      </c>
      <c r="D493" s="26" t="s">
        <v>717</v>
      </c>
      <c r="E493" s="27">
        <f>Source!AQ223</f>
        <v>139</v>
      </c>
      <c r="F493" s="28"/>
      <c r="G493" s="29" t="s">
        <v>91</v>
      </c>
      <c r="H493" s="27">
        <f>Source!AV224</f>
        <v>1.0669999999999999</v>
      </c>
      <c r="I493" s="28">
        <f>Source!U223</f>
        <v>3381.5364</v>
      </c>
      <c r="J493" s="27"/>
      <c r="K493" s="28"/>
      <c r="L493"/>
    </row>
    <row r="494" spans="1:29" ht="15" hidden="1" x14ac:dyDescent="0.2">
      <c r="C494" s="30" t="s">
        <v>718</v>
      </c>
      <c r="H494" s="42">
        <f>I484+I485+I487+I491+I492+SUM(I488:I490)-SUMIF(AC488:AC490, 5, I488:I490)-SUMIF(AC488:AC490, 6, I488:I490)</f>
        <v>235662.99</v>
      </c>
      <c r="I494" s="42"/>
      <c r="J494" s="42">
        <f>K484+K485+K487+K491+K492+SUM(K488:K490)-SUMIF(AC488:AC490, 5, K488:K490)-SUMIF(AC488:AC490, 6, K488:K490)</f>
        <v>7825999.6600000001</v>
      </c>
      <c r="K494" s="42"/>
      <c r="L494"/>
    </row>
    <row r="495" spans="1:29" ht="15" hidden="1" x14ac:dyDescent="0.2">
      <c r="C495" s="30" t="s">
        <v>719</v>
      </c>
      <c r="H495" s="43">
        <f>SUMIF(AC488:AC490, 5, I488:I490)+SUMIF(AC488:AC490, 6, I488:I490)</f>
        <v>0</v>
      </c>
      <c r="I495" s="43"/>
      <c r="J495" s="43">
        <f>SUMIF(AC488:AC490, 5, K488:K490)+SUMIF(AC488:AC490, 6, K488:K490)</f>
        <v>0</v>
      </c>
      <c r="K495" s="43"/>
      <c r="L495"/>
    </row>
    <row r="496" spans="1:29" ht="15" hidden="1" x14ac:dyDescent="0.2">
      <c r="C496" s="30" t="s">
        <v>720</v>
      </c>
      <c r="H496" s="43">
        <f>I484+I485+I487+I491+I492+SUM(I488:I490)</f>
        <v>235662.99</v>
      </c>
      <c r="I496" s="43"/>
      <c r="J496" s="43">
        <f>K484+K485+K487+K491+K492+SUM(K488:K490)</f>
        <v>7825999.6600000001</v>
      </c>
      <c r="K496" s="43"/>
      <c r="L496"/>
      <c r="O496" s="31">
        <f>I484+I485+I487+I491+I492+SUM(I488:I490)</f>
        <v>235662.99</v>
      </c>
      <c r="P496" s="31">
        <f>K484+K485+K487+K491+K492+SUM(K488:K490)</f>
        <v>7825999.6600000001</v>
      </c>
    </row>
    <row r="497" spans="1:29" hidden="1" x14ac:dyDescent="0.2">
      <c r="L497"/>
    </row>
    <row r="498" spans="1:29" ht="28.5" hidden="1" x14ac:dyDescent="0.2">
      <c r="A498" s="19">
        <v>39</v>
      </c>
      <c r="B498" s="19" t="str">
        <f>Source!F231</f>
        <v>6.65-47-1</v>
      </c>
      <c r="C498" s="19" t="s">
        <v>420</v>
      </c>
      <c r="D498" s="21" t="str">
        <f>Source!H231</f>
        <v>100 заглушек</v>
      </c>
      <c r="E498" s="20">
        <f>Source!I231</f>
        <v>1.65</v>
      </c>
      <c r="F498" s="23"/>
      <c r="G498" s="22"/>
      <c r="H498" s="20"/>
      <c r="I498" s="23"/>
      <c r="J498" s="20"/>
      <c r="K498" s="23"/>
      <c r="L498"/>
      <c r="Q498">
        <f>Source!X231</f>
        <v>2829.54</v>
      </c>
      <c r="R498">
        <f>Source!X232</f>
        <v>159444.79999999999</v>
      </c>
      <c r="S498">
        <f>Source!Y231</f>
        <v>1428.51</v>
      </c>
      <c r="T498">
        <f>Source!Y232</f>
        <v>80496.41</v>
      </c>
      <c r="U498">
        <f>ROUND((175/100)*ROUND(Source!R231, 2), 2)</f>
        <v>0</v>
      </c>
      <c r="V498">
        <f>ROUND((0/100)*ROUND(Source!R232, 2), 2)</f>
        <v>0</v>
      </c>
      <c r="AC498">
        <v>0</v>
      </c>
    </row>
    <row r="499" spans="1:29" hidden="1" x14ac:dyDescent="0.2">
      <c r="C499" s="32" t="str">
        <f>"Объем: "&amp;Source!I231&amp;"=(165)/"&amp;"100"</f>
        <v>Объем: 1,65=(165)/100</v>
      </c>
      <c r="L499"/>
    </row>
    <row r="500" spans="1:29" ht="14.25" hidden="1" x14ac:dyDescent="0.2">
      <c r="A500" s="19"/>
      <c r="B500" s="19"/>
      <c r="C500" s="19" t="s">
        <v>707</v>
      </c>
      <c r="D500" s="21"/>
      <c r="E500" s="20"/>
      <c r="F500" s="23">
        <f>Source!AO231</f>
        <v>1300.32</v>
      </c>
      <c r="G500" s="22" t="s">
        <v>91</v>
      </c>
      <c r="H500" s="20">
        <f>Source!AV232</f>
        <v>1.0669999999999999</v>
      </c>
      <c r="I500" s="23">
        <f>Source!S231</f>
        <v>2747.13</v>
      </c>
      <c r="J500" s="20">
        <f>IF(Source!BA232&lt;&gt; 0, Source!BA232, 1)</f>
        <v>56.35</v>
      </c>
      <c r="K500" s="23">
        <f>Source!S232</f>
        <v>154800.78</v>
      </c>
      <c r="L500"/>
    </row>
    <row r="501" spans="1:29" ht="14.25" hidden="1" x14ac:dyDescent="0.2">
      <c r="A501" s="19"/>
      <c r="B501" s="19"/>
      <c r="C501" s="19" t="s">
        <v>711</v>
      </c>
      <c r="D501" s="21"/>
      <c r="E501" s="20"/>
      <c r="F501" s="23">
        <f>Source!AL231</f>
        <v>2484.21</v>
      </c>
      <c r="G501" s="22"/>
      <c r="H501" s="20">
        <f>Source!AW232</f>
        <v>1</v>
      </c>
      <c r="I501" s="23">
        <f>Source!P231</f>
        <v>4098.95</v>
      </c>
      <c r="J501" s="20">
        <f>IF(Source!BC232&lt;&gt; 0, Source!BC232, 1)</f>
        <v>6.44</v>
      </c>
      <c r="K501" s="23">
        <f>Source!P232</f>
        <v>26397.24</v>
      </c>
      <c r="L501"/>
    </row>
    <row r="502" spans="1:29" ht="14.25" hidden="1" x14ac:dyDescent="0.2">
      <c r="A502" s="19"/>
      <c r="B502" s="19"/>
      <c r="C502" s="19" t="s">
        <v>713</v>
      </c>
      <c r="D502" s="21" t="s">
        <v>714</v>
      </c>
      <c r="E502" s="20">
        <f>Source!BZ232</f>
        <v>103</v>
      </c>
      <c r="F502" s="23"/>
      <c r="G502" s="22"/>
      <c r="H502" s="20"/>
      <c r="I502" s="23">
        <f>SUM(Q498:Q501)</f>
        <v>2829.54</v>
      </c>
      <c r="J502" s="20">
        <f>Source!AT232</f>
        <v>103</v>
      </c>
      <c r="K502" s="23">
        <f>SUM(R498:R501)</f>
        <v>159444.79999999999</v>
      </c>
      <c r="L502"/>
    </row>
    <row r="503" spans="1:29" ht="14.25" hidden="1" x14ac:dyDescent="0.2">
      <c r="A503" s="19"/>
      <c r="B503" s="19"/>
      <c r="C503" s="19" t="s">
        <v>715</v>
      </c>
      <c r="D503" s="21" t="s">
        <v>714</v>
      </c>
      <c r="E503" s="20">
        <f>Source!CA232</f>
        <v>52</v>
      </c>
      <c r="F503" s="23"/>
      <c r="G503" s="22"/>
      <c r="H503" s="20"/>
      <c r="I503" s="23">
        <f>SUM(S498:S502)</f>
        <v>1428.51</v>
      </c>
      <c r="J503" s="20">
        <f>Source!AU232</f>
        <v>52</v>
      </c>
      <c r="K503" s="23">
        <f>SUM(T498:T502)</f>
        <v>80496.41</v>
      </c>
      <c r="L503"/>
    </row>
    <row r="504" spans="1:29" ht="14.25" hidden="1" x14ac:dyDescent="0.2">
      <c r="A504" s="25"/>
      <c r="B504" s="25"/>
      <c r="C504" s="25" t="s">
        <v>716</v>
      </c>
      <c r="D504" s="26" t="s">
        <v>717</v>
      </c>
      <c r="E504" s="27">
        <f>Source!AQ231</f>
        <v>112</v>
      </c>
      <c r="F504" s="28"/>
      <c r="G504" s="29" t="s">
        <v>91</v>
      </c>
      <c r="H504" s="27">
        <f>Source!AV232</f>
        <v>1.0669999999999999</v>
      </c>
      <c r="I504" s="28">
        <f>Source!U231</f>
        <v>236.61791999999997</v>
      </c>
      <c r="J504" s="27"/>
      <c r="K504" s="28"/>
      <c r="L504"/>
    </row>
    <row r="505" spans="1:29" ht="15" hidden="1" x14ac:dyDescent="0.2">
      <c r="C505" s="30" t="s">
        <v>718</v>
      </c>
      <c r="H505" s="42">
        <f>I500+I501+I502+I503+0-0-0</f>
        <v>11104.13</v>
      </c>
      <c r="I505" s="42"/>
      <c r="J505" s="42">
        <f>K500+K501+K502+K503+0-0-0</f>
        <v>421139.23</v>
      </c>
      <c r="K505" s="42"/>
      <c r="L505"/>
    </row>
    <row r="506" spans="1:29" ht="15" hidden="1" x14ac:dyDescent="0.2">
      <c r="C506" s="30" t="s">
        <v>719</v>
      </c>
      <c r="H506" s="43">
        <f>0+0</f>
        <v>0</v>
      </c>
      <c r="I506" s="43"/>
      <c r="J506" s="43">
        <f>0+0</f>
        <v>0</v>
      </c>
      <c r="K506" s="43"/>
      <c r="L506"/>
    </row>
    <row r="507" spans="1:29" ht="15" hidden="1" x14ac:dyDescent="0.2">
      <c r="C507" s="30" t="s">
        <v>720</v>
      </c>
      <c r="H507" s="43">
        <f>I500+I501+I502+I503+0</f>
        <v>11104.13</v>
      </c>
      <c r="I507" s="43"/>
      <c r="J507" s="43">
        <f>K500+K501+K502+K503+0</f>
        <v>421139.23</v>
      </c>
      <c r="K507" s="43"/>
      <c r="L507"/>
      <c r="O507" s="31">
        <f>I500+I501+I502+I503+0</f>
        <v>11104.13</v>
      </c>
      <c r="P507" s="31">
        <f>K500+K501+K502+K503+0</f>
        <v>421139.23</v>
      </c>
    </row>
    <row r="508" spans="1:29" hidden="1" x14ac:dyDescent="0.2">
      <c r="L508"/>
    </row>
    <row r="509" spans="1:29" ht="57" hidden="1" x14ac:dyDescent="0.2">
      <c r="A509" s="19">
        <v>40</v>
      </c>
      <c r="B509" s="19" t="str">
        <f>Source!F233</f>
        <v>4.12-48-10</v>
      </c>
      <c r="C509" s="19" t="s">
        <v>103</v>
      </c>
      <c r="D509" s="21" t="str">
        <f>Source!H233</f>
        <v>1  ШТ.</v>
      </c>
      <c r="E509" s="20">
        <f>Source!I233</f>
        <v>8</v>
      </c>
      <c r="F509" s="23"/>
      <c r="G509" s="22"/>
      <c r="H509" s="20"/>
      <c r="I509" s="23"/>
      <c r="J509" s="20"/>
      <c r="K509" s="23"/>
      <c r="L509"/>
      <c r="Q509">
        <f>Source!X233</f>
        <v>480.48</v>
      </c>
      <c r="R509">
        <f>Source!X234</f>
        <v>27075.21</v>
      </c>
      <c r="S509">
        <f>Source!Y233</f>
        <v>245.58</v>
      </c>
      <c r="T509">
        <f>Source!Y234</f>
        <v>13838.44</v>
      </c>
      <c r="U509">
        <f>ROUND((175/100)*ROUND(Source!R233, 2), 2)</f>
        <v>6.81</v>
      </c>
      <c r="V509">
        <f>ROUND((0/100)*ROUND(Source!R234, 2), 2)</f>
        <v>0</v>
      </c>
      <c r="AC509">
        <v>0</v>
      </c>
    </row>
    <row r="510" spans="1:29" ht="14.25" hidden="1" x14ac:dyDescent="0.2">
      <c r="A510" s="19"/>
      <c r="B510" s="19"/>
      <c r="C510" s="19" t="s">
        <v>707</v>
      </c>
      <c r="D510" s="21"/>
      <c r="E510" s="20"/>
      <c r="F510" s="23">
        <f>Source!AO233</f>
        <v>51.74</v>
      </c>
      <c r="G510" s="22" t="s">
        <v>91</v>
      </c>
      <c r="H510" s="20">
        <f>Source!AV234</f>
        <v>1.0669999999999999</v>
      </c>
      <c r="I510" s="23">
        <f>Source!S233</f>
        <v>529.98</v>
      </c>
      <c r="J510" s="20">
        <f>IF(Source!BA234&lt;&gt; 0, Source!BA234, 1)</f>
        <v>56.35</v>
      </c>
      <c r="K510" s="23">
        <f>Source!S234</f>
        <v>29864.37</v>
      </c>
      <c r="L510"/>
    </row>
    <row r="511" spans="1:29" ht="14.25" hidden="1" x14ac:dyDescent="0.2">
      <c r="A511" s="19"/>
      <c r="B511" s="19"/>
      <c r="C511" s="19" t="s">
        <v>709</v>
      </c>
      <c r="D511" s="21"/>
      <c r="E511" s="20"/>
      <c r="F511" s="23">
        <f>Source!AM233</f>
        <v>2.4900000000000002</v>
      </c>
      <c r="G511" s="22" t="s">
        <v>91</v>
      </c>
      <c r="H511" s="20">
        <f>Source!AV234</f>
        <v>1.0669999999999999</v>
      </c>
      <c r="I511" s="23">
        <f>Source!Q233</f>
        <v>25.51</v>
      </c>
      <c r="J511" s="20">
        <f>IF(Source!BB234&lt;&gt; 0, Source!BB234, 1)</f>
        <v>17.09</v>
      </c>
      <c r="K511" s="23">
        <f>Source!Q234</f>
        <v>435.97</v>
      </c>
      <c r="L511"/>
    </row>
    <row r="512" spans="1:29" ht="14.25" hidden="1" x14ac:dyDescent="0.2">
      <c r="A512" s="19"/>
      <c r="B512" s="19"/>
      <c r="C512" s="19" t="s">
        <v>710</v>
      </c>
      <c r="D512" s="21"/>
      <c r="E512" s="20"/>
      <c r="F512" s="23">
        <f>Source!AN233</f>
        <v>0.38</v>
      </c>
      <c r="G512" s="22" t="s">
        <v>91</v>
      </c>
      <c r="H512" s="20">
        <f>Source!AV234</f>
        <v>1.0669999999999999</v>
      </c>
      <c r="I512" s="24">
        <f>Source!R233</f>
        <v>3.89</v>
      </c>
      <c r="J512" s="20">
        <f>IF(Source!BS234&lt;&gt; 0, Source!BS234, 1)</f>
        <v>56.35</v>
      </c>
      <c r="K512" s="24">
        <f>Source!R234</f>
        <v>219.2</v>
      </c>
      <c r="L512"/>
    </row>
    <row r="513" spans="1:29" ht="14.25" hidden="1" x14ac:dyDescent="0.2">
      <c r="A513" s="19"/>
      <c r="B513" s="19"/>
      <c r="C513" s="19" t="s">
        <v>711</v>
      </c>
      <c r="D513" s="21"/>
      <c r="E513" s="20"/>
      <c r="F513" s="23">
        <f>Source!AL233</f>
        <v>3.93</v>
      </c>
      <c r="G513" s="22"/>
      <c r="H513" s="20">
        <f>Source!AW234</f>
        <v>1.028</v>
      </c>
      <c r="I513" s="23">
        <f>Source!P233</f>
        <v>32.32</v>
      </c>
      <c r="J513" s="20">
        <f>IF(Source!BC234&lt;&gt; 0, Source!BC234, 1)</f>
        <v>4.49</v>
      </c>
      <c r="K513" s="23">
        <f>Source!P234</f>
        <v>145.12</v>
      </c>
      <c r="L513"/>
    </row>
    <row r="514" spans="1:29" ht="71.25" hidden="1" x14ac:dyDescent="0.2">
      <c r="A514" s="19" t="s">
        <v>427</v>
      </c>
      <c r="B514" s="19" t="str">
        <f>Source!F235</f>
        <v>1.13-5-40</v>
      </c>
      <c r="C514" s="19" t="s">
        <v>107</v>
      </c>
      <c r="D514" s="21" t="str">
        <f>Source!H235</f>
        <v>шт.</v>
      </c>
      <c r="E514" s="20">
        <f>Source!I235</f>
        <v>8</v>
      </c>
      <c r="F514" s="23">
        <f>Source!AK235</f>
        <v>2177.9299999999998</v>
      </c>
      <c r="G514" s="35" t="s">
        <v>3</v>
      </c>
      <c r="H514" s="20">
        <f>Source!AW236</f>
        <v>1</v>
      </c>
      <c r="I514" s="23">
        <f>Source!O235</f>
        <v>17423.439999999999</v>
      </c>
      <c r="J514" s="20">
        <f>IF(Source!BC236&lt;&gt; 0, Source!BC236, 1)</f>
        <v>3.11</v>
      </c>
      <c r="K514" s="23">
        <f>Source!O236</f>
        <v>54186.9</v>
      </c>
      <c r="L514"/>
      <c r="Q514">
        <f>Source!X235</f>
        <v>0</v>
      </c>
      <c r="R514">
        <f>Source!X236</f>
        <v>0</v>
      </c>
      <c r="S514">
        <f>Source!Y235</f>
        <v>0</v>
      </c>
      <c r="T514">
        <f>Source!Y236</f>
        <v>0</v>
      </c>
      <c r="U514">
        <f>ROUND((175/100)*ROUND(Source!R235, 2), 2)</f>
        <v>0</v>
      </c>
      <c r="V514">
        <f>ROUND((0/100)*ROUND(Source!R236, 2), 2)</f>
        <v>0</v>
      </c>
      <c r="AC514">
        <v>3</v>
      </c>
    </row>
    <row r="515" spans="1:29" ht="14.25" hidden="1" x14ac:dyDescent="0.2">
      <c r="A515" s="19"/>
      <c r="B515" s="19"/>
      <c r="C515" s="19" t="s">
        <v>713</v>
      </c>
      <c r="D515" s="21" t="s">
        <v>714</v>
      </c>
      <c r="E515" s="20">
        <f>Source!BZ234</f>
        <v>90</v>
      </c>
      <c r="F515" s="23"/>
      <c r="G515" s="22"/>
      <c r="H515" s="20"/>
      <c r="I515" s="23">
        <f>SUM(Q509:Q514)</f>
        <v>480.48</v>
      </c>
      <c r="J515" s="20">
        <f>Source!AT234</f>
        <v>90</v>
      </c>
      <c r="K515" s="23">
        <f>SUM(R509:R514)</f>
        <v>27075.21</v>
      </c>
      <c r="L515"/>
    </row>
    <row r="516" spans="1:29" ht="14.25" hidden="1" x14ac:dyDescent="0.2">
      <c r="A516" s="19"/>
      <c r="B516" s="19"/>
      <c r="C516" s="19" t="s">
        <v>715</v>
      </c>
      <c r="D516" s="21" t="s">
        <v>714</v>
      </c>
      <c r="E516" s="20">
        <f>Source!CA234</f>
        <v>46</v>
      </c>
      <c r="F516" s="23"/>
      <c r="G516" s="22"/>
      <c r="H516" s="20"/>
      <c r="I516" s="23">
        <f>SUM(S509:S515)</f>
        <v>245.58</v>
      </c>
      <c r="J516" s="20">
        <f>Source!AU234</f>
        <v>46</v>
      </c>
      <c r="K516" s="23">
        <f>SUM(T509:T515)</f>
        <v>13838.44</v>
      </c>
      <c r="L516"/>
    </row>
    <row r="517" spans="1:29" ht="14.25" hidden="1" x14ac:dyDescent="0.2">
      <c r="A517" s="25"/>
      <c r="B517" s="25"/>
      <c r="C517" s="25" t="s">
        <v>716</v>
      </c>
      <c r="D517" s="26" t="s">
        <v>717</v>
      </c>
      <c r="E517" s="27">
        <f>Source!AQ233</f>
        <v>4.0999999999999996</v>
      </c>
      <c r="F517" s="28"/>
      <c r="G517" s="29" t="s">
        <v>91</v>
      </c>
      <c r="H517" s="27">
        <f>Source!AV234</f>
        <v>1.0669999999999999</v>
      </c>
      <c r="I517" s="28">
        <f>Source!U233</f>
        <v>41.997119999999988</v>
      </c>
      <c r="J517" s="27"/>
      <c r="K517" s="28"/>
      <c r="L517"/>
    </row>
    <row r="518" spans="1:29" ht="15" hidden="1" x14ac:dyDescent="0.2">
      <c r="C518" s="30" t="s">
        <v>718</v>
      </c>
      <c r="H518" s="42">
        <f>I510+I511+I513+I515+I516+SUM(I514:I514)-SUMIF(AC514:AC514, 5, I514:I514)-SUMIF(AC514:AC514, 6, I514:I514)</f>
        <v>18737.309999999998</v>
      </c>
      <c r="I518" s="42"/>
      <c r="J518" s="42">
        <f>K510+K511+K513+K515+K516+SUM(K514:K514)-SUMIF(AC514:AC514, 5, K514:K514)-SUMIF(AC514:AC514, 6, K514:K514)</f>
        <v>125546.01000000001</v>
      </c>
      <c r="K518" s="42"/>
      <c r="L518"/>
    </row>
    <row r="519" spans="1:29" ht="15" hidden="1" x14ac:dyDescent="0.2">
      <c r="C519" s="30" t="s">
        <v>719</v>
      </c>
      <c r="H519" s="43">
        <f>SUMIF(AC514:AC514, 5, I514:I514)+SUMIF(AC514:AC514, 6, I514:I514)</f>
        <v>0</v>
      </c>
      <c r="I519" s="43"/>
      <c r="J519" s="43">
        <f>SUMIF(AC514:AC514, 5, K514:K514)+SUMIF(AC514:AC514, 6, K514:K514)</f>
        <v>0</v>
      </c>
      <c r="K519" s="43"/>
      <c r="L519"/>
    </row>
    <row r="520" spans="1:29" ht="15" hidden="1" x14ac:dyDescent="0.2">
      <c r="C520" s="30" t="s">
        <v>720</v>
      </c>
      <c r="H520" s="43">
        <f>I510+I511+I513+I515+I516+SUM(I514:I514)</f>
        <v>18737.309999999998</v>
      </c>
      <c r="I520" s="43"/>
      <c r="J520" s="43">
        <f>K510+K511+K513+K515+K516+SUM(K514:K514)</f>
        <v>125546.01000000001</v>
      </c>
      <c r="K520" s="43"/>
      <c r="L520"/>
      <c r="O520" s="31">
        <f>I510+I511+I513+I515+I516+SUM(I514:I514)</f>
        <v>18737.309999999998</v>
      </c>
      <c r="P520" s="31">
        <f>K510+K511+K513+K515+K516+SUM(K514:K514)</f>
        <v>125546.01000000001</v>
      </c>
    </row>
    <row r="521" spans="1:29" hidden="1" x14ac:dyDescent="0.2">
      <c r="L521"/>
    </row>
    <row r="522" spans="1:29" ht="57" hidden="1" x14ac:dyDescent="0.2">
      <c r="A522" s="19">
        <v>41</v>
      </c>
      <c r="B522" s="19" t="str">
        <f>Source!F237</f>
        <v>4.12-52-10</v>
      </c>
      <c r="C522" s="19" t="s">
        <v>129</v>
      </c>
      <c r="D522" s="21" t="str">
        <f>Source!H237</f>
        <v>1  ШТ.</v>
      </c>
      <c r="E522" s="20">
        <f>Source!I237</f>
        <v>8</v>
      </c>
      <c r="F522" s="23"/>
      <c r="G522" s="22"/>
      <c r="H522" s="20"/>
      <c r="I522" s="23"/>
      <c r="J522" s="20"/>
      <c r="K522" s="23"/>
      <c r="L522"/>
      <c r="Q522">
        <f>Source!X237</f>
        <v>630.57000000000005</v>
      </c>
      <c r="R522">
        <f>Source!X238</f>
        <v>35532.449999999997</v>
      </c>
      <c r="S522">
        <f>Source!Y237</f>
        <v>322.29000000000002</v>
      </c>
      <c r="T522">
        <f>Source!Y238</f>
        <v>18161.03</v>
      </c>
      <c r="U522">
        <f>ROUND((175/100)*ROUND(Source!R237, 2), 2)</f>
        <v>4.4800000000000004</v>
      </c>
      <c r="V522">
        <f>ROUND((0/100)*ROUND(Source!R238, 2), 2)</f>
        <v>0</v>
      </c>
      <c r="AC522">
        <v>0</v>
      </c>
    </row>
    <row r="523" spans="1:29" ht="14.25" hidden="1" x14ac:dyDescent="0.2">
      <c r="A523" s="19"/>
      <c r="B523" s="19"/>
      <c r="C523" s="19" t="s">
        <v>707</v>
      </c>
      <c r="D523" s="21"/>
      <c r="E523" s="20"/>
      <c r="F523" s="23">
        <f>Source!AO237</f>
        <v>68.150000000000006</v>
      </c>
      <c r="G523" s="22" t="s">
        <v>91</v>
      </c>
      <c r="H523" s="20">
        <f>Source!AV238</f>
        <v>1.0669999999999999</v>
      </c>
      <c r="I523" s="23">
        <f>Source!S237</f>
        <v>698.07</v>
      </c>
      <c r="J523" s="20">
        <f>IF(Source!BA238&lt;&gt; 0, Source!BA238, 1)</f>
        <v>56.35</v>
      </c>
      <c r="K523" s="23">
        <f>Source!S238</f>
        <v>39336.239999999998</v>
      </c>
      <c r="L523"/>
    </row>
    <row r="524" spans="1:29" ht="14.25" hidden="1" x14ac:dyDescent="0.2">
      <c r="A524" s="19"/>
      <c r="B524" s="19"/>
      <c r="C524" s="19" t="s">
        <v>709</v>
      </c>
      <c r="D524" s="21"/>
      <c r="E524" s="20"/>
      <c r="F524" s="23">
        <f>Source!AM237</f>
        <v>8.06</v>
      </c>
      <c r="G524" s="22" t="s">
        <v>91</v>
      </c>
      <c r="H524" s="20">
        <f>Source!AV238</f>
        <v>1.0669999999999999</v>
      </c>
      <c r="I524" s="23">
        <f>Source!Q237</f>
        <v>82.56</v>
      </c>
      <c r="J524" s="20">
        <f>IF(Source!BB238&lt;&gt; 0, Source!BB238, 1)</f>
        <v>14.21</v>
      </c>
      <c r="K524" s="23">
        <f>Source!Q238</f>
        <v>1173.18</v>
      </c>
      <c r="L524"/>
    </row>
    <row r="525" spans="1:29" ht="14.25" hidden="1" x14ac:dyDescent="0.2">
      <c r="A525" s="19"/>
      <c r="B525" s="19"/>
      <c r="C525" s="19" t="s">
        <v>710</v>
      </c>
      <c r="D525" s="21"/>
      <c r="E525" s="20"/>
      <c r="F525" s="23">
        <f>Source!AN237</f>
        <v>0.25</v>
      </c>
      <c r="G525" s="22" t="s">
        <v>91</v>
      </c>
      <c r="H525" s="20">
        <f>Source!AV238</f>
        <v>1.0669999999999999</v>
      </c>
      <c r="I525" s="24">
        <f>Source!R237</f>
        <v>2.56</v>
      </c>
      <c r="J525" s="20">
        <f>IF(Source!BS238&lt;&gt; 0, Source!BS238, 1)</f>
        <v>56.35</v>
      </c>
      <c r="K525" s="24">
        <f>Source!R238</f>
        <v>144.26</v>
      </c>
      <c r="L525"/>
    </row>
    <row r="526" spans="1:29" ht="14.25" hidden="1" x14ac:dyDescent="0.2">
      <c r="A526" s="19"/>
      <c r="B526" s="19"/>
      <c r="C526" s="19" t="s">
        <v>711</v>
      </c>
      <c r="D526" s="21"/>
      <c r="E526" s="20"/>
      <c r="F526" s="23">
        <f>Source!AL237</f>
        <v>4.33</v>
      </c>
      <c r="G526" s="22"/>
      <c r="H526" s="20">
        <f>Source!AW238</f>
        <v>1.028</v>
      </c>
      <c r="I526" s="23">
        <f>Source!P237</f>
        <v>35.61</v>
      </c>
      <c r="J526" s="20">
        <f>IF(Source!BC238&lt;&gt; 0, Source!BC238, 1)</f>
        <v>10.59</v>
      </c>
      <c r="K526" s="23">
        <f>Source!P238</f>
        <v>377.11</v>
      </c>
      <c r="L526"/>
    </row>
    <row r="527" spans="1:29" ht="71.25" hidden="1" x14ac:dyDescent="0.2">
      <c r="A527" s="19" t="s">
        <v>429</v>
      </c>
      <c r="B527" s="19" t="str">
        <f>Source!F239</f>
        <v>1.12-9-21</v>
      </c>
      <c r="C527" s="19" t="s">
        <v>133</v>
      </c>
      <c r="D527" s="21" t="str">
        <f>Source!H239</f>
        <v>шт.</v>
      </c>
      <c r="E527" s="20">
        <f>Source!I239</f>
        <v>16</v>
      </c>
      <c r="F527" s="23">
        <f>Source!AK239</f>
        <v>107.23</v>
      </c>
      <c r="G527" s="35" t="s">
        <v>3</v>
      </c>
      <c r="H527" s="20">
        <f>Source!AW240</f>
        <v>1</v>
      </c>
      <c r="I527" s="23">
        <f>Source!O239</f>
        <v>1715.68</v>
      </c>
      <c r="J527" s="20">
        <f>IF(Source!BC240&lt;&gt; 0, Source!BC240, 1)</f>
        <v>6.94</v>
      </c>
      <c r="K527" s="23">
        <f>Source!O240</f>
        <v>11906.82</v>
      </c>
      <c r="L527"/>
      <c r="Q527">
        <f>Source!X239</f>
        <v>0</v>
      </c>
      <c r="R527">
        <f>Source!X240</f>
        <v>0</v>
      </c>
      <c r="S527">
        <f>Source!Y239</f>
        <v>0</v>
      </c>
      <c r="T527">
        <f>Source!Y240</f>
        <v>0</v>
      </c>
      <c r="U527">
        <f>ROUND((175/100)*ROUND(Source!R239, 2), 2)</f>
        <v>0</v>
      </c>
      <c r="V527">
        <f>ROUND((0/100)*ROUND(Source!R240, 2), 2)</f>
        <v>0</v>
      </c>
      <c r="AC527">
        <v>3</v>
      </c>
    </row>
    <row r="528" spans="1:29" ht="14.25" hidden="1" x14ac:dyDescent="0.2">
      <c r="A528" s="19"/>
      <c r="B528" s="19"/>
      <c r="C528" s="19" t="s">
        <v>713</v>
      </c>
      <c r="D528" s="21" t="s">
        <v>714</v>
      </c>
      <c r="E528" s="20">
        <f>Source!BZ238</f>
        <v>90</v>
      </c>
      <c r="F528" s="23"/>
      <c r="G528" s="22"/>
      <c r="H528" s="20"/>
      <c r="I528" s="23">
        <f>SUM(Q522:Q527)</f>
        <v>630.57000000000005</v>
      </c>
      <c r="J528" s="20">
        <f>Source!AT238</f>
        <v>90</v>
      </c>
      <c r="K528" s="23">
        <f>SUM(R522:R527)</f>
        <v>35532.449999999997</v>
      </c>
      <c r="L528"/>
    </row>
    <row r="529" spans="1:29" ht="14.25" hidden="1" x14ac:dyDescent="0.2">
      <c r="A529" s="19"/>
      <c r="B529" s="19"/>
      <c r="C529" s="19" t="s">
        <v>715</v>
      </c>
      <c r="D529" s="21" t="s">
        <v>714</v>
      </c>
      <c r="E529" s="20">
        <f>Source!CA238</f>
        <v>46</v>
      </c>
      <c r="F529" s="23"/>
      <c r="G529" s="22"/>
      <c r="H529" s="20"/>
      <c r="I529" s="23">
        <f>SUM(S522:S528)</f>
        <v>322.29000000000002</v>
      </c>
      <c r="J529" s="20">
        <f>Source!AU238</f>
        <v>46</v>
      </c>
      <c r="K529" s="23">
        <f>SUM(T522:T528)</f>
        <v>18161.03</v>
      </c>
      <c r="L529"/>
    </row>
    <row r="530" spans="1:29" ht="14.25" hidden="1" x14ac:dyDescent="0.2">
      <c r="A530" s="25"/>
      <c r="B530" s="25"/>
      <c r="C530" s="25" t="s">
        <v>716</v>
      </c>
      <c r="D530" s="26" t="s">
        <v>717</v>
      </c>
      <c r="E530" s="27">
        <f>Source!AQ237</f>
        <v>5.4</v>
      </c>
      <c r="F530" s="28"/>
      <c r="G530" s="29" t="s">
        <v>91</v>
      </c>
      <c r="H530" s="27">
        <f>Source!AV238</f>
        <v>1.0669999999999999</v>
      </c>
      <c r="I530" s="28">
        <f>Source!U237</f>
        <v>55.313279999999999</v>
      </c>
      <c r="J530" s="27"/>
      <c r="K530" s="28"/>
      <c r="L530"/>
    </row>
    <row r="531" spans="1:29" ht="15" hidden="1" x14ac:dyDescent="0.2">
      <c r="C531" s="30" t="s">
        <v>718</v>
      </c>
      <c r="H531" s="42">
        <f>I523+I524+I526+I528+I529+SUM(I527:I527)-SUMIF(AC527:AC527, 5, I527:I527)-SUMIF(AC527:AC527, 6, I527:I527)</f>
        <v>3484.78</v>
      </c>
      <c r="I531" s="42"/>
      <c r="J531" s="42">
        <f>K523+K524+K526+K528+K529+SUM(K527:K527)-SUMIF(AC527:AC527, 5, K527:K527)-SUMIF(AC527:AC527, 6, K527:K527)</f>
        <v>106486.82999999999</v>
      </c>
      <c r="K531" s="42"/>
      <c r="L531"/>
    </row>
    <row r="532" spans="1:29" ht="15" hidden="1" x14ac:dyDescent="0.2">
      <c r="C532" s="30" t="s">
        <v>719</v>
      </c>
      <c r="H532" s="43">
        <f>SUMIF(AC527:AC527, 5, I527:I527)+SUMIF(AC527:AC527, 6, I527:I527)</f>
        <v>0</v>
      </c>
      <c r="I532" s="43"/>
      <c r="J532" s="43">
        <f>SUMIF(AC527:AC527, 5, K527:K527)+SUMIF(AC527:AC527, 6, K527:K527)</f>
        <v>0</v>
      </c>
      <c r="K532" s="43"/>
      <c r="L532"/>
    </row>
    <row r="533" spans="1:29" ht="15" hidden="1" x14ac:dyDescent="0.2">
      <c r="C533" s="30" t="s">
        <v>720</v>
      </c>
      <c r="H533" s="43">
        <f>I523+I524+I526+I528+I529+SUM(I527:I527)</f>
        <v>3484.78</v>
      </c>
      <c r="I533" s="43"/>
      <c r="J533" s="43">
        <f>K523+K524+K526+K528+K529+SUM(K527:K527)</f>
        <v>106486.82999999999</v>
      </c>
      <c r="K533" s="43"/>
      <c r="L533"/>
      <c r="O533" s="31">
        <f>I523+I524+I526+I528+I529+SUM(I527:I527)</f>
        <v>3484.78</v>
      </c>
      <c r="P533" s="31">
        <f>K523+K524+K526+K528+K529+SUM(K527:K527)</f>
        <v>106486.82999999999</v>
      </c>
    </row>
    <row r="534" spans="1:29" hidden="1" x14ac:dyDescent="0.2">
      <c r="L534"/>
    </row>
    <row r="535" spans="1:29" ht="28.5" hidden="1" x14ac:dyDescent="0.2">
      <c r="A535" s="19">
        <v>42</v>
      </c>
      <c r="B535" s="19" t="str">
        <f>Source!F241</f>
        <v>4.11-2-1</v>
      </c>
      <c r="C535" s="19" t="s">
        <v>432</v>
      </c>
      <c r="D535" s="21" t="str">
        <f>Source!H241</f>
        <v>1  ШТ.</v>
      </c>
      <c r="E535" s="20">
        <f>Source!I241</f>
        <v>1</v>
      </c>
      <c r="F535" s="23"/>
      <c r="G535" s="22"/>
      <c r="H535" s="20"/>
      <c r="I535" s="23"/>
      <c r="J535" s="20"/>
      <c r="K535" s="23"/>
      <c r="L535"/>
      <c r="Q535">
        <f>Source!X241</f>
        <v>4.41</v>
      </c>
      <c r="R535">
        <f>Source!X242</f>
        <v>248.51</v>
      </c>
      <c r="S535">
        <f>Source!Y241</f>
        <v>2.25</v>
      </c>
      <c r="T535">
        <f>Source!Y242</f>
        <v>127.02</v>
      </c>
      <c r="U535">
        <f>ROUND((175/100)*ROUND(Source!R241, 2), 2)</f>
        <v>0</v>
      </c>
      <c r="V535">
        <f>ROUND((0/100)*ROUND(Source!R242, 2), 2)</f>
        <v>0</v>
      </c>
      <c r="AC535">
        <v>0</v>
      </c>
    </row>
    <row r="536" spans="1:29" ht="14.25" hidden="1" x14ac:dyDescent="0.2">
      <c r="A536" s="19"/>
      <c r="B536" s="19"/>
      <c r="C536" s="19" t="s">
        <v>707</v>
      </c>
      <c r="D536" s="21"/>
      <c r="E536" s="20"/>
      <c r="F536" s="23">
        <f>Source!AO241</f>
        <v>3.9</v>
      </c>
      <c r="G536" s="22" t="s">
        <v>91</v>
      </c>
      <c r="H536" s="20">
        <f>Source!AV242</f>
        <v>1.0469999999999999</v>
      </c>
      <c r="I536" s="23">
        <f>Source!S241</f>
        <v>4.9000000000000004</v>
      </c>
      <c r="J536" s="20">
        <f>IF(Source!BA242&lt;&gt; 0, Source!BA242, 1)</f>
        <v>56.35</v>
      </c>
      <c r="K536" s="23">
        <f>Source!S242</f>
        <v>276.12</v>
      </c>
      <c r="L536"/>
    </row>
    <row r="537" spans="1:29" ht="14.25" hidden="1" x14ac:dyDescent="0.2">
      <c r="A537" s="19"/>
      <c r="B537" s="19"/>
      <c r="C537" s="19" t="s">
        <v>711</v>
      </c>
      <c r="D537" s="21"/>
      <c r="E537" s="20"/>
      <c r="F537" s="23">
        <f>Source!AL241</f>
        <v>0.81</v>
      </c>
      <c r="G537" s="22"/>
      <c r="H537" s="20">
        <f>Source!AW242</f>
        <v>1</v>
      </c>
      <c r="I537" s="23">
        <f>Source!P241</f>
        <v>0.81</v>
      </c>
      <c r="J537" s="20">
        <f>IF(Source!BC242&lt;&gt; 0, Source!BC242, 1)</f>
        <v>17.27</v>
      </c>
      <c r="K537" s="23">
        <f>Source!P242</f>
        <v>13.99</v>
      </c>
      <c r="L537"/>
    </row>
    <row r="538" spans="1:29" ht="82.5" x14ac:dyDescent="0.2">
      <c r="A538" s="72" t="s">
        <v>436</v>
      </c>
      <c r="B538" s="72" t="str">
        <f>Source!F243</f>
        <v>КА. п. 4</v>
      </c>
      <c r="C538" s="72" t="s">
        <v>736</v>
      </c>
      <c r="D538" s="73" t="str">
        <f>Source!H243</f>
        <v>шт.</v>
      </c>
      <c r="E538" s="74">
        <f>Source!I243</f>
        <v>1</v>
      </c>
      <c r="F538" s="75">
        <f>Source!AK243</f>
        <v>1798.9699999999998</v>
      </c>
      <c r="G538" s="76" t="s">
        <v>3</v>
      </c>
      <c r="H538" s="74">
        <f>Source!AW244</f>
        <v>1</v>
      </c>
      <c r="I538" s="75">
        <f>Source!O243</f>
        <v>1798.97</v>
      </c>
      <c r="J538" s="74">
        <f>IF(Source!BC244&lt;&gt; 0, Source!BC244, 1)</f>
        <v>7.57</v>
      </c>
      <c r="K538" s="75">
        <f>Source!O244</f>
        <v>13618.2</v>
      </c>
      <c r="L538" s="77" t="s">
        <v>737</v>
      </c>
      <c r="Q538">
        <f>Source!X243</f>
        <v>0</v>
      </c>
      <c r="R538">
        <f>Source!X244</f>
        <v>0</v>
      </c>
      <c r="S538">
        <f>Source!Y243</f>
        <v>0</v>
      </c>
      <c r="T538">
        <f>Source!Y244</f>
        <v>0</v>
      </c>
      <c r="U538">
        <f>ROUND((175/100)*ROUND(Source!R243, 2), 2)</f>
        <v>0</v>
      </c>
      <c r="V538">
        <f>ROUND((0/100)*ROUND(Source!R244, 2), 2)</f>
        <v>0</v>
      </c>
      <c r="AC538">
        <v>5</v>
      </c>
    </row>
    <row r="539" spans="1:29" ht="14.25" hidden="1" x14ac:dyDescent="0.2">
      <c r="A539" s="19"/>
      <c r="B539" s="19"/>
      <c r="C539" s="19" t="s">
        <v>713</v>
      </c>
      <c r="D539" s="21" t="s">
        <v>714</v>
      </c>
      <c r="E539" s="20">
        <f>Source!BZ242</f>
        <v>90</v>
      </c>
      <c r="F539" s="23"/>
      <c r="G539" s="22"/>
      <c r="H539" s="20"/>
      <c r="I539" s="23">
        <f>SUM(Q535:Q538)</f>
        <v>4.41</v>
      </c>
      <c r="J539" s="20">
        <f>Source!AT242</f>
        <v>90</v>
      </c>
      <c r="K539" s="23">
        <f>SUM(R535:R538)</f>
        <v>248.51</v>
      </c>
      <c r="L539"/>
    </row>
    <row r="540" spans="1:29" ht="14.25" hidden="1" x14ac:dyDescent="0.2">
      <c r="A540" s="19"/>
      <c r="B540" s="19"/>
      <c r="C540" s="19" t="s">
        <v>715</v>
      </c>
      <c r="D540" s="21" t="s">
        <v>714</v>
      </c>
      <c r="E540" s="20">
        <f>Source!CA242</f>
        <v>46</v>
      </c>
      <c r="F540" s="23"/>
      <c r="G540" s="22"/>
      <c r="H540" s="20"/>
      <c r="I540" s="23">
        <f>SUM(S535:S539)</f>
        <v>2.25</v>
      </c>
      <c r="J540" s="20">
        <f>Source!AU242</f>
        <v>46</v>
      </c>
      <c r="K540" s="23">
        <f>SUM(T535:T539)</f>
        <v>127.02</v>
      </c>
      <c r="L540"/>
    </row>
    <row r="541" spans="1:29" ht="14.25" hidden="1" x14ac:dyDescent="0.2">
      <c r="A541" s="25"/>
      <c r="B541" s="25"/>
      <c r="C541" s="25" t="s">
        <v>716</v>
      </c>
      <c r="D541" s="26" t="s">
        <v>717</v>
      </c>
      <c r="E541" s="27">
        <f>Source!AQ241</f>
        <v>0.3</v>
      </c>
      <c r="F541" s="28"/>
      <c r="G541" s="29" t="s">
        <v>91</v>
      </c>
      <c r="H541" s="27">
        <f>Source!AV242</f>
        <v>1.0469999999999999</v>
      </c>
      <c r="I541" s="28">
        <f>Source!U241</f>
        <v>0.37691999999999998</v>
      </c>
      <c r="J541" s="27"/>
      <c r="K541" s="28"/>
      <c r="L541"/>
    </row>
    <row r="542" spans="1:29" ht="15" hidden="1" x14ac:dyDescent="0.2">
      <c r="C542" s="30" t="s">
        <v>718</v>
      </c>
      <c r="H542" s="42">
        <f>I536+I537+I539+I540+SUM(I538:I538)-SUMIF(AC538:AC538, 5, I538:I538)-SUMIF(AC538:AC538, 6, I538:I538)</f>
        <v>12.369999999999891</v>
      </c>
      <c r="I542" s="42"/>
      <c r="J542" s="42">
        <f>K536+K537+K539+K540+SUM(K538:K538)-SUMIF(AC538:AC538, 5, K538:K538)-SUMIF(AC538:AC538, 6, K538:K538)</f>
        <v>665.63999999999942</v>
      </c>
      <c r="K542" s="42"/>
      <c r="L542"/>
    </row>
    <row r="543" spans="1:29" ht="15" hidden="1" x14ac:dyDescent="0.2">
      <c r="C543" s="30" t="s">
        <v>719</v>
      </c>
      <c r="H543" s="43">
        <f>SUMIF(AC538:AC538, 5, I538:I538)+SUMIF(AC538:AC538, 6, I538:I538)</f>
        <v>1798.97</v>
      </c>
      <c r="I543" s="43"/>
      <c r="J543" s="43">
        <f>SUMIF(AC538:AC538, 5, K538:K538)+SUMIF(AC538:AC538, 6, K538:K538)</f>
        <v>13618.2</v>
      </c>
      <c r="K543" s="43"/>
      <c r="L543"/>
    </row>
    <row r="544" spans="1:29" ht="15" hidden="1" x14ac:dyDescent="0.2">
      <c r="C544" s="30" t="s">
        <v>720</v>
      </c>
      <c r="H544" s="43">
        <f>I536+I537+I539+I540+SUM(I538:I538)</f>
        <v>1811.34</v>
      </c>
      <c r="I544" s="43"/>
      <c r="J544" s="43">
        <f>K536+K537+K539+K540+SUM(K538:K538)</f>
        <v>14283.84</v>
      </c>
      <c r="K544" s="43"/>
      <c r="L544"/>
      <c r="O544" s="31">
        <f>I536+I537+I539+I540+SUM(I538:I538)</f>
        <v>1811.34</v>
      </c>
      <c r="P544" s="31">
        <f>K536+K537+K539+K540+SUM(K538:K538)</f>
        <v>14283.84</v>
      </c>
    </row>
    <row r="545" spans="1:29" hidden="1" x14ac:dyDescent="0.2">
      <c r="L545"/>
    </row>
    <row r="546" spans="1:29" ht="42.75" hidden="1" x14ac:dyDescent="0.2">
      <c r="A546" s="25">
        <v>43</v>
      </c>
      <c r="B546" s="25" t="str">
        <f>Source!F245</f>
        <v>1.7-5-376</v>
      </c>
      <c r="C546" s="25" t="s">
        <v>227</v>
      </c>
      <c r="D546" s="26" t="str">
        <f>Source!H245</f>
        <v>шт.</v>
      </c>
      <c r="E546" s="27">
        <f>Source!I245</f>
        <v>90</v>
      </c>
      <c r="F546" s="28">
        <f>Source!AL245</f>
        <v>6.47</v>
      </c>
      <c r="G546" s="29"/>
      <c r="H546" s="27">
        <f>Source!AW246</f>
        <v>1</v>
      </c>
      <c r="I546" s="28">
        <f>Source!P245</f>
        <v>582.29999999999995</v>
      </c>
      <c r="J546" s="27">
        <f>IF(Source!BC246&lt;&gt; 0, Source!BC246, 1)</f>
        <v>11.29</v>
      </c>
      <c r="K546" s="28">
        <f>Source!P246</f>
        <v>6574.17</v>
      </c>
      <c r="L546"/>
      <c r="Q546">
        <f>Source!X245</f>
        <v>0</v>
      </c>
      <c r="R546">
        <f>Source!X246</f>
        <v>0</v>
      </c>
      <c r="S546">
        <f>Source!Y245</f>
        <v>0</v>
      </c>
      <c r="T546">
        <f>Source!Y246</f>
        <v>0</v>
      </c>
      <c r="U546">
        <f>ROUND((175/100)*ROUND(Source!R245, 2), 2)</f>
        <v>0</v>
      </c>
      <c r="V546">
        <f>ROUND((0/100)*ROUND(Source!R246, 2), 2)</f>
        <v>0</v>
      </c>
      <c r="AC546">
        <v>3</v>
      </c>
    </row>
    <row r="547" spans="1:29" ht="15" hidden="1" x14ac:dyDescent="0.2">
      <c r="C547" s="30" t="s">
        <v>720</v>
      </c>
      <c r="H547" s="42">
        <f>I546+0</f>
        <v>582.29999999999995</v>
      </c>
      <c r="I547" s="42"/>
      <c r="J547" s="42">
        <f>K546+0</f>
        <v>6574.17</v>
      </c>
      <c r="K547" s="42"/>
      <c r="L547"/>
      <c r="O547" s="31">
        <f>I546+0</f>
        <v>582.29999999999995</v>
      </c>
      <c r="P547" s="31">
        <f>K546+0</f>
        <v>6574.17</v>
      </c>
    </row>
    <row r="548" spans="1:29" hidden="1" x14ac:dyDescent="0.2">
      <c r="L548"/>
    </row>
    <row r="549" spans="1:29" ht="42.75" hidden="1" x14ac:dyDescent="0.2">
      <c r="A549" s="25">
        <v>44</v>
      </c>
      <c r="B549" s="25" t="str">
        <f>Source!F247</f>
        <v>1.7-5-371</v>
      </c>
      <c r="C549" s="25" t="s">
        <v>443</v>
      </c>
      <c r="D549" s="26" t="str">
        <f>Source!H247</f>
        <v>шт.</v>
      </c>
      <c r="E549" s="27">
        <f>Source!I247</f>
        <v>430</v>
      </c>
      <c r="F549" s="28">
        <f>Source!AL247</f>
        <v>1.65</v>
      </c>
      <c r="G549" s="29"/>
      <c r="H549" s="27">
        <f>Source!AW248</f>
        <v>1</v>
      </c>
      <c r="I549" s="28">
        <f>Source!P247</f>
        <v>709.5</v>
      </c>
      <c r="J549" s="27">
        <f>IF(Source!BC248&lt;&gt; 0, Source!BC248, 1)</f>
        <v>11.27</v>
      </c>
      <c r="K549" s="28">
        <f>Source!P248</f>
        <v>7996.07</v>
      </c>
      <c r="L549"/>
      <c r="Q549">
        <f>Source!X247</f>
        <v>0</v>
      </c>
      <c r="R549">
        <f>Source!X248</f>
        <v>0</v>
      </c>
      <c r="S549">
        <f>Source!Y247</f>
        <v>0</v>
      </c>
      <c r="T549">
        <f>Source!Y248</f>
        <v>0</v>
      </c>
      <c r="U549">
        <f>ROUND((175/100)*ROUND(Source!R247, 2), 2)</f>
        <v>0</v>
      </c>
      <c r="V549">
        <f>ROUND((0/100)*ROUND(Source!R248, 2), 2)</f>
        <v>0</v>
      </c>
      <c r="AC549">
        <v>3</v>
      </c>
    </row>
    <row r="550" spans="1:29" ht="15" hidden="1" x14ac:dyDescent="0.2">
      <c r="C550" s="30" t="s">
        <v>720</v>
      </c>
      <c r="H550" s="42">
        <f>I549+0</f>
        <v>709.5</v>
      </c>
      <c r="I550" s="42"/>
      <c r="J550" s="42">
        <f>K549+0</f>
        <v>7996.07</v>
      </c>
      <c r="K550" s="42"/>
      <c r="L550"/>
      <c r="O550" s="31">
        <f>I549+0</f>
        <v>709.5</v>
      </c>
      <c r="P550" s="31">
        <f>K549+0</f>
        <v>7996.07</v>
      </c>
    </row>
    <row r="551" spans="1:29" hidden="1" x14ac:dyDescent="0.2">
      <c r="L551"/>
    </row>
    <row r="552" spans="1:29" ht="42.75" hidden="1" x14ac:dyDescent="0.2">
      <c r="A552" s="19">
        <v>45</v>
      </c>
      <c r="B552" s="19" t="str">
        <f>Source!F249</f>
        <v>3.70-370-2</v>
      </c>
      <c r="C552" s="19" t="s">
        <v>255</v>
      </c>
      <c r="D552" s="21" t="str">
        <f>Source!H249</f>
        <v>100 м2</v>
      </c>
      <c r="E552" s="20">
        <f>Source!I249</f>
        <v>6.3920000000000003</v>
      </c>
      <c r="F552" s="23"/>
      <c r="G552" s="22"/>
      <c r="H552" s="20"/>
      <c r="I552" s="23"/>
      <c r="J552" s="20"/>
      <c r="K552" s="23"/>
      <c r="L552"/>
      <c r="Q552">
        <f>Source!X249</f>
        <v>1729.37</v>
      </c>
      <c r="R552">
        <f>Source!X250</f>
        <v>97449.72</v>
      </c>
      <c r="S552">
        <f>Source!Y249</f>
        <v>938.27</v>
      </c>
      <c r="T552">
        <f>Source!Y250</f>
        <v>52871.66</v>
      </c>
      <c r="U552">
        <f>ROUND((175/100)*ROUND(Source!R249, 2), 2)</f>
        <v>8.7899999999999991</v>
      </c>
      <c r="V552">
        <f>ROUND((0/100)*ROUND(Source!R250, 2), 2)</f>
        <v>0</v>
      </c>
      <c r="AC552">
        <v>0</v>
      </c>
    </row>
    <row r="553" spans="1:29" ht="38.25" hidden="1" x14ac:dyDescent="0.2">
      <c r="C553" s="32" t="str">
        <f>"Объем: "&amp;Source!I249&amp;"=(590*"&amp;"0,48+"&amp;"800*"&amp;"0,21+"&amp;"900*"&amp;"0,18+"&amp;"200*"&amp;"0,13)/"&amp;"100"</f>
        <v>Объем: 6,392=(590*0,48+800*0,21+900*0,18+200*0,13)/100</v>
      </c>
      <c r="L553"/>
    </row>
    <row r="554" spans="1:29" ht="28.5" hidden="1" x14ac:dyDescent="0.2">
      <c r="A554" s="19"/>
      <c r="B554" s="19"/>
      <c r="C554" s="19" t="s">
        <v>707</v>
      </c>
      <c r="D554" s="21"/>
      <c r="E554" s="20"/>
      <c r="F554" s="23">
        <f>Source!AO249</f>
        <v>99.33</v>
      </c>
      <c r="G554" s="22" t="s">
        <v>724</v>
      </c>
      <c r="H554" s="20">
        <f>Source!AV250</f>
        <v>1.0469999999999999</v>
      </c>
      <c r="I554" s="23">
        <f>Source!S249</f>
        <v>1834.73</v>
      </c>
      <c r="J554" s="20">
        <f>IF(Source!BA250&lt;&gt; 0, Source!BA250, 1)</f>
        <v>56.35</v>
      </c>
      <c r="K554" s="23">
        <f>Source!S250</f>
        <v>103387.04</v>
      </c>
      <c r="L554"/>
    </row>
    <row r="555" spans="1:29" ht="28.5" hidden="1" x14ac:dyDescent="0.2">
      <c r="A555" s="19"/>
      <c r="B555" s="19"/>
      <c r="C555" s="19" t="s">
        <v>709</v>
      </c>
      <c r="D555" s="21"/>
      <c r="E555" s="20"/>
      <c r="F555" s="23">
        <f>Source!AM249</f>
        <v>13.64</v>
      </c>
      <c r="G555" s="22" t="s">
        <v>725</v>
      </c>
      <c r="H555" s="20">
        <f>Source!AV250</f>
        <v>1.0469999999999999</v>
      </c>
      <c r="I555" s="23">
        <f>Source!Q249</f>
        <v>273.85000000000002</v>
      </c>
      <c r="J555" s="20">
        <f>IF(Source!BB250&lt;&gt; 0, Source!BB250, 1)</f>
        <v>11.86</v>
      </c>
      <c r="K555" s="23">
        <f>Source!Q250</f>
        <v>3247.86</v>
      </c>
      <c r="L555"/>
    </row>
    <row r="556" spans="1:29" ht="28.5" hidden="1" x14ac:dyDescent="0.2">
      <c r="A556" s="19"/>
      <c r="B556" s="19"/>
      <c r="C556" s="19" t="s">
        <v>710</v>
      </c>
      <c r="D556" s="21"/>
      <c r="E556" s="20"/>
      <c r="F556" s="23">
        <f>Source!AN249</f>
        <v>0.25</v>
      </c>
      <c r="G556" s="22" t="s">
        <v>725</v>
      </c>
      <c r="H556" s="20">
        <f>Source!AV250</f>
        <v>1.0469999999999999</v>
      </c>
      <c r="I556" s="24">
        <f>Source!R249</f>
        <v>5.0199999999999996</v>
      </c>
      <c r="J556" s="20">
        <f>IF(Source!BS250&lt;&gt; 0, Source!BS250, 1)</f>
        <v>56.35</v>
      </c>
      <c r="K556" s="24">
        <f>Source!R250</f>
        <v>282.88</v>
      </c>
      <c r="L556"/>
    </row>
    <row r="557" spans="1:29" ht="14.25" hidden="1" x14ac:dyDescent="0.2">
      <c r="A557" s="19"/>
      <c r="B557" s="19"/>
      <c r="C557" s="19" t="s">
        <v>711</v>
      </c>
      <c r="D557" s="21"/>
      <c r="E557" s="20"/>
      <c r="F557" s="23">
        <f>Source!AL249</f>
        <v>9.44</v>
      </c>
      <c r="G557" s="22">
        <v>2</v>
      </c>
      <c r="H557" s="20">
        <f>Source!AW250</f>
        <v>1</v>
      </c>
      <c r="I557" s="23">
        <f>Source!P249</f>
        <v>120.68</v>
      </c>
      <c r="J557" s="20">
        <f>IF(Source!BC250&lt;&gt; 0, Source!BC250, 1)</f>
        <v>34.81</v>
      </c>
      <c r="K557" s="23">
        <f>Source!P250</f>
        <v>4200.87</v>
      </c>
      <c r="L557"/>
    </row>
    <row r="558" spans="1:29" ht="14.25" hidden="1" x14ac:dyDescent="0.2">
      <c r="A558" s="19" t="s">
        <v>446</v>
      </c>
      <c r="B558" s="19" t="str">
        <f>Source!F251</f>
        <v>1.1-1-165</v>
      </c>
      <c r="C558" s="19" t="s">
        <v>265</v>
      </c>
      <c r="D558" s="21" t="str">
        <f>Source!H251</f>
        <v>т</v>
      </c>
      <c r="E558" s="20">
        <f>Source!I251</f>
        <v>0.11505599999999999</v>
      </c>
      <c r="F558" s="23">
        <f>Source!AK251</f>
        <v>18653.07</v>
      </c>
      <c r="G558" s="35" t="s">
        <v>726</v>
      </c>
      <c r="H558" s="20">
        <f>Source!AW252</f>
        <v>1</v>
      </c>
      <c r="I558" s="23">
        <f>Source!O251</f>
        <v>2146.15</v>
      </c>
      <c r="J558" s="20">
        <f>IF(Source!BC252&lt;&gt; 0, Source!BC252, 1)</f>
        <v>3.59</v>
      </c>
      <c r="K558" s="23">
        <f>Source!O252</f>
        <v>7704.68</v>
      </c>
      <c r="L558"/>
      <c r="Q558">
        <f>Source!X251</f>
        <v>0</v>
      </c>
      <c r="R558">
        <f>Source!X252</f>
        <v>0</v>
      </c>
      <c r="S558">
        <f>Source!Y251</f>
        <v>0</v>
      </c>
      <c r="T558">
        <f>Source!Y252</f>
        <v>0</v>
      </c>
      <c r="U558">
        <f>ROUND((175/100)*ROUND(Source!R251, 2), 2)</f>
        <v>0</v>
      </c>
      <c r="V558">
        <f>ROUND((0/100)*ROUND(Source!R252, 2), 2)</f>
        <v>0</v>
      </c>
      <c r="AC558">
        <v>3</v>
      </c>
    </row>
    <row r="559" spans="1:29" ht="14.25" hidden="1" x14ac:dyDescent="0.2">
      <c r="A559" s="19"/>
      <c r="B559" s="19"/>
      <c r="C559" s="19" t="s">
        <v>713</v>
      </c>
      <c r="D559" s="21" t="s">
        <v>714</v>
      </c>
      <c r="E559" s="20">
        <f>Source!BZ250</f>
        <v>94</v>
      </c>
      <c r="F559" s="23"/>
      <c r="G559" s="22"/>
      <c r="H559" s="20"/>
      <c r="I559" s="23">
        <f>SUM(Q552:Q558)</f>
        <v>1729.37</v>
      </c>
      <c r="J559" s="20">
        <f>Source!AT250</f>
        <v>94</v>
      </c>
      <c r="K559" s="23">
        <f>SUM(R552:R558)</f>
        <v>97449.72</v>
      </c>
      <c r="L559"/>
    </row>
    <row r="560" spans="1:29" ht="14.25" hidden="1" x14ac:dyDescent="0.2">
      <c r="A560" s="19"/>
      <c r="B560" s="19"/>
      <c r="C560" s="19" t="s">
        <v>715</v>
      </c>
      <c r="D560" s="21" t="s">
        <v>714</v>
      </c>
      <c r="E560" s="20">
        <f>Source!CA250</f>
        <v>51</v>
      </c>
      <c r="F560" s="23"/>
      <c r="G560" s="22"/>
      <c r="H560" s="20"/>
      <c r="I560" s="23">
        <f>SUM(S552:S559)</f>
        <v>938.27</v>
      </c>
      <c r="J560" s="20">
        <f>Source!AU250</f>
        <v>51</v>
      </c>
      <c r="K560" s="23">
        <f>SUM(T552:T559)</f>
        <v>52871.66</v>
      </c>
      <c r="L560"/>
    </row>
    <row r="561" spans="1:29" ht="28.5" hidden="1" x14ac:dyDescent="0.2">
      <c r="A561" s="25"/>
      <c r="B561" s="25"/>
      <c r="C561" s="25" t="s">
        <v>716</v>
      </c>
      <c r="D561" s="26" t="s">
        <v>717</v>
      </c>
      <c r="E561" s="27">
        <f>Source!AQ249</f>
        <v>5.31</v>
      </c>
      <c r="F561" s="28"/>
      <c r="G561" s="29" t="s">
        <v>724</v>
      </c>
      <c r="H561" s="27">
        <f>Source!AV250</f>
        <v>1.0469999999999999</v>
      </c>
      <c r="I561" s="28">
        <f>Source!U249</f>
        <v>98.081489174399977</v>
      </c>
      <c r="J561" s="27"/>
      <c r="K561" s="28"/>
      <c r="L561"/>
    </row>
    <row r="562" spans="1:29" ht="15" hidden="1" x14ac:dyDescent="0.2">
      <c r="C562" s="30" t="s">
        <v>718</v>
      </c>
      <c r="H562" s="42">
        <f>I554+I555+I557+I559+I560+SUM(I558:I558)-SUMIF(AC558:AC558, 5, I558:I558)-SUMIF(AC558:AC558, 6, I558:I558)</f>
        <v>7043.0499999999993</v>
      </c>
      <c r="I562" s="42"/>
      <c r="J562" s="42">
        <f>K554+K555+K557+K559+K560+SUM(K558:K558)-SUMIF(AC558:AC558, 5, K558:K558)-SUMIF(AC558:AC558, 6, K558:K558)</f>
        <v>268861.83</v>
      </c>
      <c r="K562" s="42"/>
      <c r="L562"/>
    </row>
    <row r="563" spans="1:29" ht="15" hidden="1" x14ac:dyDescent="0.2">
      <c r="C563" s="30" t="s">
        <v>719</v>
      </c>
      <c r="H563" s="43">
        <f>SUMIF(AC558:AC558, 5, I558:I558)+SUMIF(AC558:AC558, 6, I558:I558)</f>
        <v>0</v>
      </c>
      <c r="I563" s="43"/>
      <c r="J563" s="43">
        <f>SUMIF(AC558:AC558, 5, K558:K558)+SUMIF(AC558:AC558, 6, K558:K558)</f>
        <v>0</v>
      </c>
      <c r="K563" s="43"/>
      <c r="L563"/>
    </row>
    <row r="564" spans="1:29" ht="15" hidden="1" x14ac:dyDescent="0.2">
      <c r="C564" s="30" t="s">
        <v>720</v>
      </c>
      <c r="H564" s="43">
        <f>I554+I555+I557+I559+I560+SUM(I558:I558)</f>
        <v>7043.0499999999993</v>
      </c>
      <c r="I564" s="43"/>
      <c r="J564" s="43">
        <f>K554+K555+K557+K559+K560+SUM(K558:K558)</f>
        <v>268861.83</v>
      </c>
      <c r="K564" s="43"/>
      <c r="L564"/>
      <c r="O564" s="31">
        <f>I554+I555+I557+I559+I560+SUM(I558:I558)</f>
        <v>7043.0499999999993</v>
      </c>
      <c r="P564" s="31">
        <f>K554+K555+K557+K559+K560+SUM(K558:K558)</f>
        <v>268861.83</v>
      </c>
    </row>
    <row r="565" spans="1:29" hidden="1" x14ac:dyDescent="0.2">
      <c r="L565"/>
    </row>
    <row r="566" spans="1:29" ht="28.5" hidden="1" x14ac:dyDescent="0.2">
      <c r="A566" s="19">
        <v>46</v>
      </c>
      <c r="B566" s="19" t="str">
        <f>Source!F253</f>
        <v>3.70-357-8</v>
      </c>
      <c r="C566" s="19" t="s">
        <v>270</v>
      </c>
      <c r="D566" s="21" t="str">
        <f>Source!H253</f>
        <v>100 м2</v>
      </c>
      <c r="E566" s="20">
        <f>Source!I253</f>
        <v>6.3920000000000003</v>
      </c>
      <c r="F566" s="23"/>
      <c r="G566" s="22"/>
      <c r="H566" s="20"/>
      <c r="I566" s="23"/>
      <c r="J566" s="20"/>
      <c r="K566" s="23"/>
      <c r="L566"/>
      <c r="Q566">
        <f>Source!X253</f>
        <v>297.27</v>
      </c>
      <c r="R566">
        <f>Source!X254</f>
        <v>16750.919999999998</v>
      </c>
      <c r="S566">
        <f>Source!Y253</f>
        <v>161.28</v>
      </c>
      <c r="T566">
        <f>Source!Y254</f>
        <v>9088.27</v>
      </c>
      <c r="U566">
        <f>ROUND((175/100)*ROUND(Source!R253, 2), 2)</f>
        <v>4.3899999999999997</v>
      </c>
      <c r="V566">
        <f>ROUND((0/100)*ROUND(Source!R254, 2), 2)</f>
        <v>0</v>
      </c>
      <c r="AC566">
        <v>0</v>
      </c>
    </row>
    <row r="567" spans="1:29" hidden="1" x14ac:dyDescent="0.2">
      <c r="C567" s="32" t="str">
        <f>"Объем: "&amp;Source!I253&amp;"=(639,2)/"&amp;"100"</f>
        <v>Объем: 6,392=(639,2)/100</v>
      </c>
      <c r="L567"/>
    </row>
    <row r="568" spans="1:29" ht="14.25" hidden="1" x14ac:dyDescent="0.2">
      <c r="A568" s="19"/>
      <c r="B568" s="19"/>
      <c r="C568" s="19" t="s">
        <v>707</v>
      </c>
      <c r="D568" s="21"/>
      <c r="E568" s="20"/>
      <c r="F568" s="23">
        <f>Source!AO253</f>
        <v>33.97</v>
      </c>
      <c r="G568" s="22" t="s">
        <v>721</v>
      </c>
      <c r="H568" s="20">
        <f>Source!AV254</f>
        <v>1.0469999999999999</v>
      </c>
      <c r="I568" s="23">
        <f>Source!S253</f>
        <v>313.73</v>
      </c>
      <c r="J568" s="20">
        <f>IF(Source!BA254&lt;&gt; 0, Source!BA254, 1)</f>
        <v>56.35</v>
      </c>
      <c r="K568" s="23">
        <f>Source!S254</f>
        <v>17678.689999999999</v>
      </c>
      <c r="L568"/>
    </row>
    <row r="569" spans="1:29" ht="14.25" hidden="1" x14ac:dyDescent="0.2">
      <c r="A569" s="19"/>
      <c r="B569" s="19"/>
      <c r="C569" s="19" t="s">
        <v>709</v>
      </c>
      <c r="D569" s="21"/>
      <c r="E569" s="20"/>
      <c r="F569" s="23">
        <f>Source!AM253</f>
        <v>1.98</v>
      </c>
      <c r="G569" s="22" t="s">
        <v>723</v>
      </c>
      <c r="H569" s="20">
        <f>Source!AV254</f>
        <v>1.0469999999999999</v>
      </c>
      <c r="I569" s="23">
        <f>Source!Q253</f>
        <v>19.88</v>
      </c>
      <c r="J569" s="20">
        <f>IF(Source!BB254&lt;&gt; 0, Source!BB254, 1)</f>
        <v>16.54</v>
      </c>
      <c r="K569" s="23">
        <f>Source!Q254</f>
        <v>328.82</v>
      </c>
      <c r="L569"/>
    </row>
    <row r="570" spans="1:29" ht="14.25" hidden="1" x14ac:dyDescent="0.2">
      <c r="A570" s="19"/>
      <c r="B570" s="19"/>
      <c r="C570" s="19" t="s">
        <v>710</v>
      </c>
      <c r="D570" s="21"/>
      <c r="E570" s="20"/>
      <c r="F570" s="23">
        <f>Source!AN253</f>
        <v>0.25</v>
      </c>
      <c r="G570" s="22" t="s">
        <v>723</v>
      </c>
      <c r="H570" s="20">
        <f>Source!AV254</f>
        <v>1.0469999999999999</v>
      </c>
      <c r="I570" s="24">
        <f>Source!R253</f>
        <v>2.5099999999999998</v>
      </c>
      <c r="J570" s="20">
        <f>IF(Source!BS254&lt;&gt; 0, Source!BS254, 1)</f>
        <v>56.35</v>
      </c>
      <c r="K570" s="24">
        <f>Source!R254</f>
        <v>141.44</v>
      </c>
      <c r="L570"/>
    </row>
    <row r="571" spans="1:29" ht="14.25" hidden="1" x14ac:dyDescent="0.2">
      <c r="A571" s="19"/>
      <c r="B571" s="19"/>
      <c r="C571" s="19" t="s">
        <v>711</v>
      </c>
      <c r="D571" s="21"/>
      <c r="E571" s="20"/>
      <c r="F571" s="23">
        <f>Source!AL253</f>
        <v>287.54000000000002</v>
      </c>
      <c r="G571" s="22"/>
      <c r="H571" s="20">
        <f>Source!AW254</f>
        <v>1</v>
      </c>
      <c r="I571" s="23">
        <f>Source!P253</f>
        <v>1837.96</v>
      </c>
      <c r="J571" s="20">
        <f>IF(Source!BC254&lt;&gt; 0, Source!BC254, 1)</f>
        <v>3.45</v>
      </c>
      <c r="K571" s="23">
        <f>Source!P254</f>
        <v>6340.96</v>
      </c>
      <c r="L571"/>
    </row>
    <row r="572" spans="1:29" ht="14.25" hidden="1" x14ac:dyDescent="0.2">
      <c r="A572" s="19"/>
      <c r="B572" s="19"/>
      <c r="C572" s="19" t="s">
        <v>713</v>
      </c>
      <c r="D572" s="21" t="s">
        <v>714</v>
      </c>
      <c r="E572" s="20">
        <f>Source!BZ254</f>
        <v>94</v>
      </c>
      <c r="F572" s="23"/>
      <c r="G572" s="22"/>
      <c r="H572" s="20"/>
      <c r="I572" s="23">
        <f>SUM(Q566:Q571)</f>
        <v>297.27</v>
      </c>
      <c r="J572" s="20">
        <f>Source!AT254</f>
        <v>94</v>
      </c>
      <c r="K572" s="23">
        <f>SUM(R566:R571)</f>
        <v>16750.919999999998</v>
      </c>
      <c r="L572"/>
    </row>
    <row r="573" spans="1:29" ht="14.25" hidden="1" x14ac:dyDescent="0.2">
      <c r="A573" s="19"/>
      <c r="B573" s="19"/>
      <c r="C573" s="19" t="s">
        <v>715</v>
      </c>
      <c r="D573" s="21" t="s">
        <v>714</v>
      </c>
      <c r="E573" s="20">
        <f>Source!CA254</f>
        <v>51</v>
      </c>
      <c r="F573" s="23"/>
      <c r="G573" s="22"/>
      <c r="H573" s="20"/>
      <c r="I573" s="23">
        <f>SUM(S566:S572)</f>
        <v>161.28</v>
      </c>
      <c r="J573" s="20">
        <f>Source!AU254</f>
        <v>51</v>
      </c>
      <c r="K573" s="23">
        <f>SUM(T566:T572)</f>
        <v>9088.27</v>
      </c>
      <c r="L573"/>
    </row>
    <row r="574" spans="1:29" ht="14.25" hidden="1" x14ac:dyDescent="0.2">
      <c r="A574" s="25"/>
      <c r="B574" s="25"/>
      <c r="C574" s="25" t="s">
        <v>716</v>
      </c>
      <c r="D574" s="26" t="s">
        <v>717</v>
      </c>
      <c r="E574" s="27">
        <f>Source!AQ253</f>
        <v>2.13</v>
      </c>
      <c r="F574" s="28"/>
      <c r="G574" s="29" t="s">
        <v>721</v>
      </c>
      <c r="H574" s="27">
        <f>Source!AV254</f>
        <v>1.0469999999999999</v>
      </c>
      <c r="I574" s="28">
        <f>Source!U253</f>
        <v>19.671711105599996</v>
      </c>
      <c r="J574" s="27"/>
      <c r="K574" s="28"/>
      <c r="L574"/>
    </row>
    <row r="575" spans="1:29" ht="15" hidden="1" x14ac:dyDescent="0.2">
      <c r="C575" s="30" t="s">
        <v>718</v>
      </c>
      <c r="H575" s="42">
        <f>I568+I569+I571+I572+I573+0-0-0</f>
        <v>2630.1200000000003</v>
      </c>
      <c r="I575" s="42"/>
      <c r="J575" s="42">
        <f>K568+K569+K571+K572+K573+0-0-0</f>
        <v>50187.66</v>
      </c>
      <c r="K575" s="42"/>
      <c r="L575"/>
    </row>
    <row r="576" spans="1:29" ht="15" hidden="1" x14ac:dyDescent="0.2">
      <c r="C576" s="30" t="s">
        <v>719</v>
      </c>
      <c r="H576" s="43">
        <f>0+0</f>
        <v>0</v>
      </c>
      <c r="I576" s="43"/>
      <c r="J576" s="43">
        <f>0+0</f>
        <v>0</v>
      </c>
      <c r="K576" s="43"/>
      <c r="L576"/>
    </row>
    <row r="577" spans="1:43" ht="15" hidden="1" x14ac:dyDescent="0.2">
      <c r="C577" s="30" t="s">
        <v>720</v>
      </c>
      <c r="H577" s="43">
        <f>I568+I569+I571+I572+I573+0</f>
        <v>2630.1200000000003</v>
      </c>
      <c r="I577" s="43"/>
      <c r="J577" s="43">
        <f>K568+K569+K571+K572+K573+0</f>
        <v>50187.66</v>
      </c>
      <c r="K577" s="43"/>
      <c r="L577"/>
      <c r="O577" s="31">
        <f>I568+I569+I571+I572+I573+0</f>
        <v>2630.1200000000003</v>
      </c>
      <c r="P577" s="31">
        <f>K568+K569+K571+K572+K573+0</f>
        <v>50187.66</v>
      </c>
    </row>
    <row r="578" spans="1:43" hidden="1" x14ac:dyDescent="0.2">
      <c r="L578"/>
    </row>
    <row r="579" spans="1:43" hidden="1" x14ac:dyDescent="0.2">
      <c r="L579"/>
    </row>
    <row r="580" spans="1:43" ht="15" hidden="1" x14ac:dyDescent="0.25">
      <c r="A580" s="46" t="str">
        <f>CONCATENATE("Итого по разделу: ",IF(Source!G256&lt;&gt;"Новый раздел", Source!G256, ""))</f>
        <v>Итого по разделу: Автоматическая установка водяного пожаротушения.</v>
      </c>
      <c r="B580" s="46"/>
      <c r="C580" s="46"/>
      <c r="D580" s="46"/>
      <c r="E580" s="46"/>
      <c r="F580" s="46"/>
      <c r="G580" s="46"/>
      <c r="H580" s="43">
        <f>SUM(O368:O579)</f>
        <v>572760.81000000006</v>
      </c>
      <c r="I580" s="45"/>
      <c r="J580" s="43">
        <f>SUM(P368:P579)</f>
        <v>15472821.15</v>
      </c>
      <c r="K580" s="45"/>
      <c r="L580"/>
      <c r="AQ580" s="36" t="str">
        <f>CONCATENATE("Итого по разделу: ",IF(Source!G256&lt;&gt;"Новый раздел", Source!G256, ""))</f>
        <v>Итого по разделу: Автоматическая установка водяного пожаротушения.</v>
      </c>
    </row>
    <row r="581" spans="1:43" hidden="1" x14ac:dyDescent="0.2">
      <c r="A581" t="s">
        <v>728</v>
      </c>
      <c r="I581">
        <f>SUM(W368:W580)</f>
        <v>0</v>
      </c>
      <c r="J581">
        <f>SUM(X368:X580)</f>
        <v>0</v>
      </c>
      <c r="L581"/>
    </row>
    <row r="582" spans="1:43" hidden="1" x14ac:dyDescent="0.2">
      <c r="A582" t="s">
        <v>729</v>
      </c>
      <c r="I582">
        <f>SUM(Y368:Y581)</f>
        <v>0</v>
      </c>
      <c r="J582">
        <f>SUM(Z368:Z581)</f>
        <v>0</v>
      </c>
      <c r="L582"/>
    </row>
    <row r="583" spans="1:43" hidden="1" x14ac:dyDescent="0.2">
      <c r="L583"/>
    </row>
    <row r="584" spans="1:43" ht="15" hidden="1" x14ac:dyDescent="0.25">
      <c r="A584" s="46" t="str">
        <f>CONCATENATE("Итого по локальной смете: ",IF(Source!G286&lt;&gt;"Новая локальная смета", Source!G286, ""))</f>
        <v>Итого по локальной смете: Спринклерное пожаротушение.</v>
      </c>
      <c r="B584" s="46"/>
      <c r="C584" s="46"/>
      <c r="D584" s="46"/>
      <c r="E584" s="46"/>
      <c r="F584" s="46"/>
      <c r="G584" s="46"/>
      <c r="H584" s="43">
        <f>SUM(O28:O583)</f>
        <v>904557.73000000021</v>
      </c>
      <c r="I584" s="45"/>
      <c r="J584" s="43">
        <f>SUM(P28:P583)</f>
        <v>19336729.079999998</v>
      </c>
      <c r="K584" s="45"/>
      <c r="L584"/>
    </row>
    <row r="585" spans="1:43" hidden="1" x14ac:dyDescent="0.2">
      <c r="A585" t="s">
        <v>728</v>
      </c>
      <c r="I585">
        <f>SUM(W28:W584)</f>
        <v>0</v>
      </c>
      <c r="J585">
        <f>SUM(X28:X584)</f>
        <v>0</v>
      </c>
      <c r="L585"/>
    </row>
    <row r="586" spans="1:43" hidden="1" x14ac:dyDescent="0.2">
      <c r="A586" t="s">
        <v>729</v>
      </c>
      <c r="I586">
        <f>SUM(Y28:Y585)</f>
        <v>0</v>
      </c>
      <c r="J586">
        <f>SUM(Z28:Z585)</f>
        <v>0</v>
      </c>
      <c r="L586"/>
    </row>
    <row r="587" spans="1:43" hidden="1" x14ac:dyDescent="0.2">
      <c r="L587"/>
    </row>
    <row r="588" spans="1:43" hidden="1" x14ac:dyDescent="0.2">
      <c r="L588"/>
    </row>
    <row r="589" spans="1:43" ht="14.25" hidden="1" x14ac:dyDescent="0.2">
      <c r="A589" s="47" t="s">
        <v>731</v>
      </c>
      <c r="B589" s="47"/>
      <c r="C589" s="37" t="str">
        <f>IF(Source!AC12&lt;&gt;"", Source!AC12," ")</f>
        <v xml:space="preserve"> </v>
      </c>
      <c r="D589" s="37"/>
      <c r="E589" s="37"/>
      <c r="F589" s="37"/>
      <c r="G589" s="37"/>
      <c r="H589" s="38" t="str">
        <f>IF(Source!AB12&lt;&gt;"", Source!AB12," ")</f>
        <v xml:space="preserve"> </v>
      </c>
      <c r="I589" s="38"/>
      <c r="J589" s="38"/>
      <c r="K589" s="38"/>
      <c r="L589"/>
    </row>
    <row r="590" spans="1:43" ht="14.25" hidden="1" x14ac:dyDescent="0.2">
      <c r="A590" s="16"/>
      <c r="B590" s="16"/>
      <c r="C590" s="41" t="s">
        <v>732</v>
      </c>
      <c r="D590" s="41"/>
      <c r="E590" s="41"/>
      <c r="F590" s="41"/>
      <c r="G590" s="41"/>
      <c r="H590" s="16"/>
      <c r="I590" s="16"/>
      <c r="J590" s="16"/>
      <c r="K590" s="16"/>
      <c r="L590"/>
    </row>
    <row r="591" spans="1:43" ht="14.25" hidden="1" x14ac:dyDescent="0.2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/>
    </row>
    <row r="592" spans="1:43" ht="14.25" hidden="1" x14ac:dyDescent="0.2">
      <c r="A592" s="47" t="s">
        <v>733</v>
      </c>
      <c r="B592" s="47"/>
      <c r="C592" s="37" t="str">
        <f>IF(Source!AE12&lt;&gt;"", Source!AE12," ")</f>
        <v xml:space="preserve"> </v>
      </c>
      <c r="D592" s="37"/>
      <c r="E592" s="37"/>
      <c r="F592" s="37"/>
      <c r="G592" s="37"/>
      <c r="H592" s="38" t="str">
        <f>IF(Source!AD12&lt;&gt;"", Source!AD12," ")</f>
        <v xml:space="preserve"> </v>
      </c>
      <c r="I592" s="38"/>
      <c r="J592" s="38"/>
      <c r="K592" s="38"/>
      <c r="L592"/>
    </row>
    <row r="593" spans="1:11" customFormat="1" ht="14.25" hidden="1" x14ac:dyDescent="0.2">
      <c r="A593" s="16"/>
      <c r="B593" s="16"/>
      <c r="C593" s="41" t="s">
        <v>732</v>
      </c>
      <c r="D593" s="41"/>
      <c r="E593" s="41"/>
      <c r="F593" s="41"/>
      <c r="G593" s="41"/>
      <c r="H593" s="16"/>
      <c r="I593" s="16"/>
      <c r="J593" s="16"/>
      <c r="K593" s="16"/>
    </row>
  </sheetData>
  <autoFilter ref="A1:AU593" xr:uid="{15710349-77D1-47FC-8CC7-FBC0E82E0441}">
    <filterColumn colId="10">
      <colorFilter dxfId="0"/>
    </filterColumn>
  </autoFilter>
  <mergeCells count="282">
    <mergeCell ref="A592:B592"/>
    <mergeCell ref="H592:K592"/>
    <mergeCell ref="C593:G593"/>
    <mergeCell ref="A589:B589"/>
    <mergeCell ref="H589:K589"/>
    <mergeCell ref="C590:G590"/>
    <mergeCell ref="J580:K580"/>
    <mergeCell ref="H580:I580"/>
    <mergeCell ref="A580:G580"/>
    <mergeCell ref="J584:K584"/>
    <mergeCell ref="H584:I584"/>
    <mergeCell ref="A584:G584"/>
    <mergeCell ref="H575:I575"/>
    <mergeCell ref="J575:K575"/>
    <mergeCell ref="H576:I576"/>
    <mergeCell ref="J576:K576"/>
    <mergeCell ref="H577:I577"/>
    <mergeCell ref="J577:K577"/>
    <mergeCell ref="H562:I562"/>
    <mergeCell ref="J562:K562"/>
    <mergeCell ref="H563:I563"/>
    <mergeCell ref="J563:K563"/>
    <mergeCell ref="H564:I564"/>
    <mergeCell ref="J564:K564"/>
    <mergeCell ref="H544:I544"/>
    <mergeCell ref="J544:K544"/>
    <mergeCell ref="H547:I547"/>
    <mergeCell ref="J547:K547"/>
    <mergeCell ref="H550:I550"/>
    <mergeCell ref="J550:K550"/>
    <mergeCell ref="H533:I533"/>
    <mergeCell ref="J533:K533"/>
    <mergeCell ref="H542:I542"/>
    <mergeCell ref="J542:K542"/>
    <mergeCell ref="H543:I543"/>
    <mergeCell ref="J543:K543"/>
    <mergeCell ref="H520:I520"/>
    <mergeCell ref="J520:K520"/>
    <mergeCell ref="H531:I531"/>
    <mergeCell ref="J531:K531"/>
    <mergeCell ref="H532:I532"/>
    <mergeCell ref="J532:K532"/>
    <mergeCell ref="H507:I507"/>
    <mergeCell ref="J507:K507"/>
    <mergeCell ref="H518:I518"/>
    <mergeCell ref="J518:K518"/>
    <mergeCell ref="H519:I519"/>
    <mergeCell ref="J519:K519"/>
    <mergeCell ref="H496:I496"/>
    <mergeCell ref="J496:K496"/>
    <mergeCell ref="H505:I505"/>
    <mergeCell ref="J505:K505"/>
    <mergeCell ref="H506:I506"/>
    <mergeCell ref="J506:K506"/>
    <mergeCell ref="H480:I480"/>
    <mergeCell ref="J480:K480"/>
    <mergeCell ref="H494:I494"/>
    <mergeCell ref="J494:K494"/>
    <mergeCell ref="H495:I495"/>
    <mergeCell ref="J495:K495"/>
    <mergeCell ref="H465:I465"/>
    <mergeCell ref="J465:K465"/>
    <mergeCell ref="H478:I478"/>
    <mergeCell ref="J478:K478"/>
    <mergeCell ref="H479:I479"/>
    <mergeCell ref="J479:K479"/>
    <mergeCell ref="H451:I451"/>
    <mergeCell ref="J451:K451"/>
    <mergeCell ref="H463:I463"/>
    <mergeCell ref="J463:K463"/>
    <mergeCell ref="H464:I464"/>
    <mergeCell ref="J464:K464"/>
    <mergeCell ref="H437:I437"/>
    <mergeCell ref="J437:K437"/>
    <mergeCell ref="H449:I449"/>
    <mergeCell ref="J449:K449"/>
    <mergeCell ref="H450:I450"/>
    <mergeCell ref="J450:K450"/>
    <mergeCell ref="H424:I424"/>
    <mergeCell ref="J424:K424"/>
    <mergeCell ref="H435:I435"/>
    <mergeCell ref="J435:K435"/>
    <mergeCell ref="H436:I436"/>
    <mergeCell ref="J436:K436"/>
    <mergeCell ref="H411:I411"/>
    <mergeCell ref="J411:K411"/>
    <mergeCell ref="H422:I422"/>
    <mergeCell ref="J422:K422"/>
    <mergeCell ref="H423:I423"/>
    <mergeCell ref="J423:K423"/>
    <mergeCell ref="H397:I397"/>
    <mergeCell ref="J397:K397"/>
    <mergeCell ref="H409:I409"/>
    <mergeCell ref="J409:K409"/>
    <mergeCell ref="H410:I410"/>
    <mergeCell ref="J410:K410"/>
    <mergeCell ref="H384:I384"/>
    <mergeCell ref="J384:K384"/>
    <mergeCell ref="H395:I395"/>
    <mergeCell ref="J395:K395"/>
    <mergeCell ref="H396:I396"/>
    <mergeCell ref="J396:K396"/>
    <mergeCell ref="A364:G364"/>
    <mergeCell ref="A368:K368"/>
    <mergeCell ref="H382:I382"/>
    <mergeCell ref="J382:K382"/>
    <mergeCell ref="H383:I383"/>
    <mergeCell ref="J383:K383"/>
    <mergeCell ref="H360:I360"/>
    <mergeCell ref="J360:K360"/>
    <mergeCell ref="H361:I361"/>
    <mergeCell ref="J361:K361"/>
    <mergeCell ref="J364:K364"/>
    <mergeCell ref="H364:I364"/>
    <mergeCell ref="H347:I347"/>
    <mergeCell ref="J347:K347"/>
    <mergeCell ref="H348:I348"/>
    <mergeCell ref="J348:K348"/>
    <mergeCell ref="H359:I359"/>
    <mergeCell ref="J359:K359"/>
    <mergeCell ref="H334:I334"/>
    <mergeCell ref="J334:K334"/>
    <mergeCell ref="H335:I335"/>
    <mergeCell ref="J335:K335"/>
    <mergeCell ref="H346:I346"/>
    <mergeCell ref="J346:K346"/>
    <mergeCell ref="H320:I320"/>
    <mergeCell ref="J320:K320"/>
    <mergeCell ref="H321:I321"/>
    <mergeCell ref="J321:K321"/>
    <mergeCell ref="H333:I333"/>
    <mergeCell ref="J333:K333"/>
    <mergeCell ref="H304:I304"/>
    <mergeCell ref="J304:K304"/>
    <mergeCell ref="H307:I307"/>
    <mergeCell ref="J307:K307"/>
    <mergeCell ref="H319:I319"/>
    <mergeCell ref="J319:K319"/>
    <mergeCell ref="H295:I295"/>
    <mergeCell ref="J295:K295"/>
    <mergeCell ref="H298:I298"/>
    <mergeCell ref="J298:K298"/>
    <mergeCell ref="H301:I301"/>
    <mergeCell ref="J301:K301"/>
    <mergeCell ref="H280:I280"/>
    <mergeCell ref="J280:K280"/>
    <mergeCell ref="H293:I293"/>
    <mergeCell ref="J293:K293"/>
    <mergeCell ref="H294:I294"/>
    <mergeCell ref="J294:K294"/>
    <mergeCell ref="H266:I266"/>
    <mergeCell ref="J266:K266"/>
    <mergeCell ref="H278:I278"/>
    <mergeCell ref="J278:K278"/>
    <mergeCell ref="H279:I279"/>
    <mergeCell ref="J279:K279"/>
    <mergeCell ref="H251:I251"/>
    <mergeCell ref="J251:K251"/>
    <mergeCell ref="H264:I264"/>
    <mergeCell ref="J264:K264"/>
    <mergeCell ref="H265:I265"/>
    <mergeCell ref="J265:K265"/>
    <mergeCell ref="H237:I237"/>
    <mergeCell ref="J237:K237"/>
    <mergeCell ref="H249:I249"/>
    <mergeCell ref="J249:K249"/>
    <mergeCell ref="H250:I250"/>
    <mergeCell ref="J250:K250"/>
    <mergeCell ref="H223:I223"/>
    <mergeCell ref="J223:K223"/>
    <mergeCell ref="H235:I235"/>
    <mergeCell ref="J235:K235"/>
    <mergeCell ref="H236:I236"/>
    <mergeCell ref="J236:K236"/>
    <mergeCell ref="H210:I210"/>
    <mergeCell ref="J210:K210"/>
    <mergeCell ref="H221:I221"/>
    <mergeCell ref="J221:K221"/>
    <mergeCell ref="H222:I222"/>
    <mergeCell ref="J222:K222"/>
    <mergeCell ref="H195:I195"/>
    <mergeCell ref="J195:K195"/>
    <mergeCell ref="H208:I208"/>
    <mergeCell ref="J208:K208"/>
    <mergeCell ref="H209:I209"/>
    <mergeCell ref="J209:K209"/>
    <mergeCell ref="H180:I180"/>
    <mergeCell ref="J180:K180"/>
    <mergeCell ref="H193:I193"/>
    <mergeCell ref="J193:K193"/>
    <mergeCell ref="H194:I194"/>
    <mergeCell ref="J194:K194"/>
    <mergeCell ref="H167:I167"/>
    <mergeCell ref="J167:K167"/>
    <mergeCell ref="H178:I178"/>
    <mergeCell ref="J178:K178"/>
    <mergeCell ref="H179:I179"/>
    <mergeCell ref="J179:K179"/>
    <mergeCell ref="H152:I152"/>
    <mergeCell ref="J152:K152"/>
    <mergeCell ref="H165:I165"/>
    <mergeCell ref="J165:K165"/>
    <mergeCell ref="H166:I166"/>
    <mergeCell ref="J166:K166"/>
    <mergeCell ref="H139:I139"/>
    <mergeCell ref="J139:K139"/>
    <mergeCell ref="H150:I150"/>
    <mergeCell ref="J150:K150"/>
    <mergeCell ref="H151:I151"/>
    <mergeCell ref="J151:K151"/>
    <mergeCell ref="H126:I126"/>
    <mergeCell ref="J126:K126"/>
    <mergeCell ref="H137:I137"/>
    <mergeCell ref="J137:K137"/>
    <mergeCell ref="H138:I138"/>
    <mergeCell ref="J138:K138"/>
    <mergeCell ref="H121:I121"/>
    <mergeCell ref="J121:K121"/>
    <mergeCell ref="H122:I122"/>
    <mergeCell ref="J122:K122"/>
    <mergeCell ref="H123:I123"/>
    <mergeCell ref="J123:K123"/>
    <mergeCell ref="H110:I110"/>
    <mergeCell ref="J110:K110"/>
    <mergeCell ref="H111:I111"/>
    <mergeCell ref="J111:K111"/>
    <mergeCell ref="H112:I112"/>
    <mergeCell ref="J112:K112"/>
    <mergeCell ref="H99:I99"/>
    <mergeCell ref="J99:K99"/>
    <mergeCell ref="H100:I100"/>
    <mergeCell ref="J100:K100"/>
    <mergeCell ref="H101:I101"/>
    <mergeCell ref="J101:K101"/>
    <mergeCell ref="H87:I87"/>
    <mergeCell ref="J87:K87"/>
    <mergeCell ref="H88:I88"/>
    <mergeCell ref="J88:K88"/>
    <mergeCell ref="H89:I89"/>
    <mergeCell ref="J89:K89"/>
    <mergeCell ref="H74:I74"/>
    <mergeCell ref="J74:K74"/>
    <mergeCell ref="H75:I75"/>
    <mergeCell ref="J75:K75"/>
    <mergeCell ref="H76:I76"/>
    <mergeCell ref="J76:K76"/>
    <mergeCell ref="H62:I62"/>
    <mergeCell ref="J62:K62"/>
    <mergeCell ref="H63:I63"/>
    <mergeCell ref="J63:K63"/>
    <mergeCell ref="H64:I64"/>
    <mergeCell ref="J64:K64"/>
    <mergeCell ref="H50:I50"/>
    <mergeCell ref="J50:K50"/>
    <mergeCell ref="H51:I51"/>
    <mergeCell ref="J51:K51"/>
    <mergeCell ref="H52:I52"/>
    <mergeCell ref="J52:K52"/>
    <mergeCell ref="H38:I38"/>
    <mergeCell ref="J38:K38"/>
    <mergeCell ref="H39:I39"/>
    <mergeCell ref="J39:K39"/>
    <mergeCell ref="H40:I40"/>
    <mergeCell ref="J40:K40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69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369"/>
  <sheetViews>
    <sheetView workbookViewId="0">
      <selection activeCell="G4" sqref="G4"/>
    </sheetView>
  </sheetViews>
  <sheetFormatPr defaultColWidth="9.140625" defaultRowHeight="12.75" x14ac:dyDescent="0.2"/>
  <cols>
    <col min="1" max="256" width="9.140625" style="3" customWidth="1"/>
    <col min="257" max="16384" width="9.140625" style="3"/>
  </cols>
  <sheetData>
    <row r="1" spans="1:133" x14ac:dyDescent="0.2">
      <c r="A1" s="3">
        <v>0</v>
      </c>
      <c r="B1" s="3" t="s">
        <v>0</v>
      </c>
      <c r="D1" s="3" t="s">
        <v>1</v>
      </c>
      <c r="F1" s="3">
        <v>0</v>
      </c>
      <c r="G1" s="3">
        <v>0</v>
      </c>
      <c r="H1" s="3">
        <v>0</v>
      </c>
      <c r="I1" s="3" t="s">
        <v>2</v>
      </c>
      <c r="J1" s="3" t="s">
        <v>3</v>
      </c>
      <c r="K1" s="3">
        <v>1</v>
      </c>
      <c r="L1" s="3">
        <v>74600</v>
      </c>
      <c r="M1" s="3">
        <v>10</v>
      </c>
      <c r="N1" s="3">
        <v>12</v>
      </c>
      <c r="O1" s="3">
        <v>1</v>
      </c>
      <c r="P1" s="3">
        <v>0</v>
      </c>
      <c r="Q1" s="3">
        <v>1</v>
      </c>
    </row>
    <row r="4" spans="1:133" x14ac:dyDescent="0.2">
      <c r="A4" s="10">
        <v>8</v>
      </c>
      <c r="B4" s="10">
        <v>1</v>
      </c>
      <c r="C4" s="10">
        <v>-1</v>
      </c>
      <c r="D4" s="10"/>
      <c r="E4" s="10"/>
      <c r="F4" s="10"/>
      <c r="G4" s="10" t="s">
        <v>734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>
        <v>0</v>
      </c>
    </row>
    <row r="12" spans="1:133" x14ac:dyDescent="0.2">
      <c r="A12" s="10">
        <v>1</v>
      </c>
      <c r="B12" s="10">
        <v>361</v>
      </c>
      <c r="C12" s="10">
        <v>0</v>
      </c>
      <c r="D12" s="10">
        <f>ROW(A319)</f>
        <v>319</v>
      </c>
      <c r="E12" s="10">
        <v>0</v>
      </c>
      <c r="F12" s="10" t="s">
        <v>5</v>
      </c>
      <c r="G12" s="10" t="s">
        <v>6</v>
      </c>
      <c r="H12" s="10" t="s">
        <v>3</v>
      </c>
      <c r="I12" s="10">
        <v>0</v>
      </c>
      <c r="J12" s="10" t="s">
        <v>3</v>
      </c>
      <c r="K12" s="10">
        <v>0</v>
      </c>
      <c r="L12" s="10">
        <v>0</v>
      </c>
      <c r="M12" s="10">
        <v>4098</v>
      </c>
      <c r="N12" s="10"/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1</v>
      </c>
      <c r="U12" s="10" t="s">
        <v>3</v>
      </c>
      <c r="V12" s="10">
        <v>0</v>
      </c>
      <c r="W12" s="10" t="s">
        <v>3</v>
      </c>
      <c r="X12" s="10" t="s">
        <v>3</v>
      </c>
      <c r="Y12" s="10" t="s">
        <v>3</v>
      </c>
      <c r="Z12" s="10" t="s">
        <v>3</v>
      </c>
      <c r="AA12" s="10" t="s">
        <v>3</v>
      </c>
      <c r="AB12" s="10" t="s">
        <v>3</v>
      </c>
      <c r="AC12" s="10" t="s">
        <v>3</v>
      </c>
      <c r="AD12" s="10" t="s">
        <v>3</v>
      </c>
      <c r="AE12" s="10" t="s">
        <v>3</v>
      </c>
      <c r="AF12" s="10" t="s">
        <v>3</v>
      </c>
      <c r="AG12" s="10" t="s">
        <v>3</v>
      </c>
      <c r="AH12" s="10" t="s">
        <v>3</v>
      </c>
      <c r="AI12" s="10" t="s">
        <v>3</v>
      </c>
      <c r="AJ12" s="10" t="s">
        <v>3</v>
      </c>
      <c r="AK12" s="10"/>
      <c r="AL12" s="10" t="s">
        <v>3</v>
      </c>
      <c r="AM12" s="10" t="s">
        <v>3</v>
      </c>
      <c r="AN12" s="10" t="s">
        <v>3</v>
      </c>
      <c r="AO12" s="10"/>
      <c r="AP12" s="10" t="s">
        <v>3</v>
      </c>
      <c r="AQ12" s="10" t="s">
        <v>3</v>
      </c>
      <c r="AR12" s="10" t="s">
        <v>3</v>
      </c>
      <c r="AS12" s="10"/>
      <c r="AT12" s="10"/>
      <c r="AU12" s="10"/>
      <c r="AV12" s="10"/>
      <c r="AW12" s="10"/>
      <c r="AX12" s="10" t="s">
        <v>3</v>
      </c>
      <c r="AY12" s="10" t="s">
        <v>3</v>
      </c>
      <c r="AZ12" s="10" t="s">
        <v>3</v>
      </c>
      <c r="BA12" s="10"/>
      <c r="BB12" s="10">
        <v>0</v>
      </c>
      <c r="BC12" s="10"/>
      <c r="BD12" s="10"/>
      <c r="BE12" s="10"/>
      <c r="BF12" s="10"/>
      <c r="BG12" s="10"/>
      <c r="BH12" s="10" t="s">
        <v>7</v>
      </c>
      <c r="BI12" s="10" t="s">
        <v>8</v>
      </c>
      <c r="BJ12" s="10">
        <v>1</v>
      </c>
      <c r="BK12" s="10">
        <v>1</v>
      </c>
      <c r="BL12" s="10">
        <v>0</v>
      </c>
      <c r="BM12" s="10">
        <v>0</v>
      </c>
      <c r="BN12" s="10">
        <v>1</v>
      </c>
      <c r="BO12" s="10">
        <v>0</v>
      </c>
      <c r="BP12" s="10">
        <v>6</v>
      </c>
      <c r="BQ12" s="10">
        <v>2</v>
      </c>
      <c r="BR12" s="10">
        <v>1</v>
      </c>
      <c r="BS12" s="10">
        <v>1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 t="s">
        <v>9</v>
      </c>
      <c r="BZ12" s="10" t="s">
        <v>10</v>
      </c>
      <c r="CA12" s="10" t="s">
        <v>11</v>
      </c>
      <c r="CB12" s="10" t="s">
        <v>11</v>
      </c>
      <c r="CC12" s="10" t="s">
        <v>11</v>
      </c>
      <c r="CD12" s="10" t="s">
        <v>11</v>
      </c>
      <c r="CE12" s="10" t="s">
        <v>12</v>
      </c>
      <c r="CF12" s="10">
        <v>0</v>
      </c>
      <c r="CG12" s="10">
        <v>0</v>
      </c>
      <c r="CH12" s="10">
        <v>8200</v>
      </c>
      <c r="CI12" s="10" t="s">
        <v>3</v>
      </c>
      <c r="CJ12" s="10" t="s">
        <v>3</v>
      </c>
      <c r="CK12" s="10">
        <v>81</v>
      </c>
      <c r="CL12" s="10"/>
      <c r="CM12" s="10"/>
      <c r="CN12" s="10"/>
      <c r="CO12" s="10"/>
      <c r="CP12" s="10"/>
      <c r="CQ12" s="10" t="s">
        <v>13</v>
      </c>
      <c r="CR12" s="10" t="s">
        <v>14</v>
      </c>
      <c r="CS12" s="10">
        <v>41660</v>
      </c>
      <c r="CT12" s="10">
        <v>1</v>
      </c>
      <c r="CU12" s="10">
        <v>81</v>
      </c>
      <c r="CV12" s="10"/>
      <c r="CW12" s="10"/>
      <c r="CX12" s="10"/>
      <c r="CY12" s="10">
        <v>0</v>
      </c>
      <c r="CZ12" s="10" t="s">
        <v>3</v>
      </c>
      <c r="DA12" s="10" t="s">
        <v>3</v>
      </c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>
        <v>0</v>
      </c>
    </row>
    <row r="15" spans="1:133" x14ac:dyDescent="0.2">
      <c r="A15" s="10">
        <v>15</v>
      </c>
      <c r="B15" s="10">
        <v>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</row>
    <row r="18" spans="1:255" x14ac:dyDescent="0.2">
      <c r="A18" s="11">
        <v>52</v>
      </c>
      <c r="B18" s="11">
        <f t="shared" ref="B18:G18" si="0">B319</f>
        <v>361</v>
      </c>
      <c r="C18" s="11">
        <f t="shared" si="0"/>
        <v>1</v>
      </c>
      <c r="D18" s="11">
        <f t="shared" si="0"/>
        <v>12</v>
      </c>
      <c r="E18" s="11">
        <f t="shared" si="0"/>
        <v>0</v>
      </c>
      <c r="F18" s="11" t="str">
        <f t="shared" si="0"/>
        <v>Новый объект</v>
      </c>
      <c r="G18" s="11" t="str">
        <f t="shared" si="0"/>
        <v>Спринклерное пожаротушение</v>
      </c>
      <c r="H18" s="11"/>
      <c r="I18" s="11"/>
      <c r="J18" s="11"/>
      <c r="K18" s="11"/>
      <c r="L18" s="11"/>
      <c r="M18" s="11"/>
      <c r="N18" s="11"/>
      <c r="O18" s="11">
        <f t="shared" ref="O18:AT18" si="1">O319</f>
        <v>770382.96</v>
      </c>
      <c r="P18" s="11">
        <f t="shared" si="1"/>
        <v>651102.71</v>
      </c>
      <c r="Q18" s="11">
        <f t="shared" si="1"/>
        <v>25446.09</v>
      </c>
      <c r="R18" s="11">
        <f t="shared" si="1"/>
        <v>3914.94</v>
      </c>
      <c r="S18" s="11">
        <f t="shared" si="1"/>
        <v>93834.16</v>
      </c>
      <c r="T18" s="11">
        <f t="shared" si="1"/>
        <v>0</v>
      </c>
      <c r="U18" s="11">
        <f t="shared" si="1"/>
        <v>7442.2285615199999</v>
      </c>
      <c r="V18" s="11">
        <f t="shared" si="1"/>
        <v>0</v>
      </c>
      <c r="W18" s="11">
        <f t="shared" si="1"/>
        <v>0</v>
      </c>
      <c r="X18" s="11">
        <f t="shared" si="1"/>
        <v>88671.73</v>
      </c>
      <c r="Y18" s="11">
        <f t="shared" si="1"/>
        <v>45503.040000000001</v>
      </c>
      <c r="Z18" s="11">
        <f t="shared" si="1"/>
        <v>0</v>
      </c>
      <c r="AA18" s="11">
        <f t="shared" si="1"/>
        <v>0</v>
      </c>
      <c r="AB18" s="11">
        <f t="shared" si="1"/>
        <v>0</v>
      </c>
      <c r="AC18" s="11">
        <f t="shared" si="1"/>
        <v>0</v>
      </c>
      <c r="AD18" s="11">
        <f t="shared" si="1"/>
        <v>0</v>
      </c>
      <c r="AE18" s="11">
        <f t="shared" si="1"/>
        <v>0</v>
      </c>
      <c r="AF18" s="11">
        <f t="shared" si="1"/>
        <v>0</v>
      </c>
      <c r="AG18" s="11">
        <f t="shared" si="1"/>
        <v>0</v>
      </c>
      <c r="AH18" s="11">
        <f t="shared" si="1"/>
        <v>0</v>
      </c>
      <c r="AI18" s="11">
        <f t="shared" si="1"/>
        <v>0</v>
      </c>
      <c r="AJ18" s="11">
        <f t="shared" si="1"/>
        <v>0</v>
      </c>
      <c r="AK18" s="11">
        <f t="shared" si="1"/>
        <v>0</v>
      </c>
      <c r="AL18" s="11">
        <f t="shared" si="1"/>
        <v>0</v>
      </c>
      <c r="AM18" s="11">
        <f t="shared" si="1"/>
        <v>0</v>
      </c>
      <c r="AN18" s="11">
        <f t="shared" si="1"/>
        <v>0</v>
      </c>
      <c r="AO18" s="11">
        <f t="shared" si="1"/>
        <v>0</v>
      </c>
      <c r="AP18" s="11">
        <f t="shared" si="1"/>
        <v>237947.71</v>
      </c>
      <c r="AQ18" s="11">
        <f t="shared" si="1"/>
        <v>0</v>
      </c>
      <c r="AR18" s="11">
        <f t="shared" si="1"/>
        <v>904557.73</v>
      </c>
      <c r="AS18" s="11">
        <f t="shared" si="1"/>
        <v>30023.95</v>
      </c>
      <c r="AT18" s="11">
        <f t="shared" si="1"/>
        <v>636586.06999999995</v>
      </c>
      <c r="AU18" s="11">
        <f t="shared" ref="AU18:BZ18" si="2">AU319</f>
        <v>0</v>
      </c>
      <c r="AV18" s="11">
        <f t="shared" si="2"/>
        <v>651102.71</v>
      </c>
      <c r="AW18" s="11">
        <f t="shared" si="2"/>
        <v>413155</v>
      </c>
      <c r="AX18" s="11">
        <f t="shared" si="2"/>
        <v>0</v>
      </c>
      <c r="AY18" s="11">
        <f t="shared" si="2"/>
        <v>413155</v>
      </c>
      <c r="AZ18" s="11">
        <f t="shared" si="2"/>
        <v>237947.71</v>
      </c>
      <c r="BA18" s="11">
        <f t="shared" si="2"/>
        <v>0</v>
      </c>
      <c r="BB18" s="11">
        <f t="shared" si="2"/>
        <v>0</v>
      </c>
      <c r="BC18" s="11">
        <f t="shared" si="2"/>
        <v>0</v>
      </c>
      <c r="BD18" s="11">
        <f t="shared" si="2"/>
        <v>0</v>
      </c>
      <c r="BE18" s="11">
        <f t="shared" si="2"/>
        <v>0</v>
      </c>
      <c r="BF18" s="11">
        <f t="shared" si="2"/>
        <v>0</v>
      </c>
      <c r="BG18" s="11">
        <f t="shared" si="2"/>
        <v>0</v>
      </c>
      <c r="BH18" s="11">
        <f t="shared" si="2"/>
        <v>0</v>
      </c>
      <c r="BI18" s="11">
        <f t="shared" si="2"/>
        <v>0</v>
      </c>
      <c r="BJ18" s="11">
        <f t="shared" si="2"/>
        <v>0</v>
      </c>
      <c r="BK18" s="11">
        <f t="shared" si="2"/>
        <v>0</v>
      </c>
      <c r="BL18" s="11">
        <f t="shared" si="2"/>
        <v>0</v>
      </c>
      <c r="BM18" s="11">
        <f t="shared" si="2"/>
        <v>0</v>
      </c>
      <c r="BN18" s="11">
        <f t="shared" si="2"/>
        <v>0</v>
      </c>
      <c r="BO18" s="11">
        <f t="shared" si="2"/>
        <v>0</v>
      </c>
      <c r="BP18" s="11">
        <f t="shared" si="2"/>
        <v>0</v>
      </c>
      <c r="BQ18" s="11">
        <f t="shared" si="2"/>
        <v>0</v>
      </c>
      <c r="BR18" s="11">
        <f t="shared" si="2"/>
        <v>0</v>
      </c>
      <c r="BS18" s="11">
        <f t="shared" si="2"/>
        <v>0</v>
      </c>
      <c r="BT18" s="11">
        <f t="shared" si="2"/>
        <v>0</v>
      </c>
      <c r="BU18" s="11">
        <f t="shared" si="2"/>
        <v>0</v>
      </c>
      <c r="BV18" s="11">
        <f t="shared" si="2"/>
        <v>0</v>
      </c>
      <c r="BW18" s="11">
        <f t="shared" si="2"/>
        <v>0</v>
      </c>
      <c r="BX18" s="11">
        <f t="shared" si="2"/>
        <v>0</v>
      </c>
      <c r="BY18" s="11">
        <f t="shared" si="2"/>
        <v>0</v>
      </c>
      <c r="BZ18" s="11">
        <f t="shared" si="2"/>
        <v>0</v>
      </c>
      <c r="CA18" s="11">
        <f t="shared" ref="CA18:DF18" si="3">CA319</f>
        <v>0</v>
      </c>
      <c r="CB18" s="11">
        <f t="shared" si="3"/>
        <v>0</v>
      </c>
      <c r="CC18" s="11">
        <f t="shared" si="3"/>
        <v>0</v>
      </c>
      <c r="CD18" s="11">
        <f t="shared" si="3"/>
        <v>0</v>
      </c>
      <c r="CE18" s="11">
        <f t="shared" si="3"/>
        <v>0</v>
      </c>
      <c r="CF18" s="11">
        <f t="shared" si="3"/>
        <v>0</v>
      </c>
      <c r="CG18" s="11">
        <f t="shared" si="3"/>
        <v>0</v>
      </c>
      <c r="CH18" s="11">
        <f t="shared" si="3"/>
        <v>0</v>
      </c>
      <c r="CI18" s="11">
        <f t="shared" si="3"/>
        <v>0</v>
      </c>
      <c r="CJ18" s="11">
        <f t="shared" si="3"/>
        <v>0</v>
      </c>
      <c r="CK18" s="11">
        <f t="shared" si="3"/>
        <v>0</v>
      </c>
      <c r="CL18" s="11">
        <f t="shared" si="3"/>
        <v>0</v>
      </c>
      <c r="CM18" s="11">
        <f t="shared" si="3"/>
        <v>0</v>
      </c>
      <c r="CN18" s="11">
        <f t="shared" si="3"/>
        <v>0</v>
      </c>
      <c r="CO18" s="11">
        <f t="shared" si="3"/>
        <v>0</v>
      </c>
      <c r="CP18" s="11">
        <f t="shared" si="3"/>
        <v>0</v>
      </c>
      <c r="CQ18" s="11">
        <f t="shared" si="3"/>
        <v>0</v>
      </c>
      <c r="CR18" s="11">
        <f t="shared" si="3"/>
        <v>0</v>
      </c>
      <c r="CS18" s="11">
        <f t="shared" si="3"/>
        <v>0</v>
      </c>
      <c r="CT18" s="11">
        <f t="shared" si="3"/>
        <v>0</v>
      </c>
      <c r="CU18" s="11">
        <f t="shared" si="3"/>
        <v>0</v>
      </c>
      <c r="CV18" s="11">
        <f t="shared" si="3"/>
        <v>0</v>
      </c>
      <c r="CW18" s="11">
        <f t="shared" si="3"/>
        <v>0</v>
      </c>
      <c r="CX18" s="11">
        <f t="shared" si="3"/>
        <v>0</v>
      </c>
      <c r="CY18" s="11">
        <f t="shared" si="3"/>
        <v>0</v>
      </c>
      <c r="CZ18" s="11">
        <f t="shared" si="3"/>
        <v>0</v>
      </c>
      <c r="DA18" s="11">
        <f t="shared" si="3"/>
        <v>0</v>
      </c>
      <c r="DB18" s="11">
        <f t="shared" si="3"/>
        <v>0</v>
      </c>
      <c r="DC18" s="11">
        <f t="shared" si="3"/>
        <v>0</v>
      </c>
      <c r="DD18" s="11">
        <f t="shared" si="3"/>
        <v>0</v>
      </c>
      <c r="DE18" s="11">
        <f t="shared" si="3"/>
        <v>0</v>
      </c>
      <c r="DF18" s="11">
        <f t="shared" si="3"/>
        <v>0</v>
      </c>
      <c r="DG18" s="12">
        <f t="shared" ref="DG18:EL18" si="4">DG319</f>
        <v>11775980.48</v>
      </c>
      <c r="DH18" s="12">
        <f t="shared" si="4"/>
        <v>6006706.3799999999</v>
      </c>
      <c r="DI18" s="12">
        <f t="shared" si="4"/>
        <v>481719.19</v>
      </c>
      <c r="DJ18" s="12">
        <f t="shared" si="4"/>
        <v>220606.88</v>
      </c>
      <c r="DK18" s="12">
        <f t="shared" si="4"/>
        <v>5287554.91</v>
      </c>
      <c r="DL18" s="12">
        <f t="shared" si="4"/>
        <v>0</v>
      </c>
      <c r="DM18" s="12">
        <f t="shared" si="4"/>
        <v>7442.2285615199999</v>
      </c>
      <c r="DN18" s="12">
        <f t="shared" si="4"/>
        <v>0</v>
      </c>
      <c r="DO18" s="12">
        <f t="shared" si="4"/>
        <v>0</v>
      </c>
      <c r="DP18" s="12">
        <f t="shared" si="4"/>
        <v>4996651.29</v>
      </c>
      <c r="DQ18" s="12">
        <f t="shared" si="4"/>
        <v>2564097.31</v>
      </c>
      <c r="DR18" s="12">
        <f t="shared" si="4"/>
        <v>0</v>
      </c>
      <c r="DS18" s="12">
        <f t="shared" si="4"/>
        <v>0</v>
      </c>
      <c r="DT18" s="12">
        <f t="shared" si="4"/>
        <v>0</v>
      </c>
      <c r="DU18" s="12">
        <f t="shared" si="4"/>
        <v>0</v>
      </c>
      <c r="DV18" s="12">
        <f t="shared" si="4"/>
        <v>0</v>
      </c>
      <c r="DW18" s="12">
        <f t="shared" si="4"/>
        <v>0</v>
      </c>
      <c r="DX18" s="12">
        <f t="shared" si="4"/>
        <v>0</v>
      </c>
      <c r="DY18" s="12">
        <f t="shared" si="4"/>
        <v>0</v>
      </c>
      <c r="DZ18" s="12">
        <f t="shared" si="4"/>
        <v>0</v>
      </c>
      <c r="EA18" s="12">
        <f t="shared" si="4"/>
        <v>0</v>
      </c>
      <c r="EB18" s="12">
        <f t="shared" si="4"/>
        <v>0</v>
      </c>
      <c r="EC18" s="12">
        <f t="shared" si="4"/>
        <v>0</v>
      </c>
      <c r="ED18" s="12">
        <f t="shared" si="4"/>
        <v>0</v>
      </c>
      <c r="EE18" s="12">
        <f t="shared" si="4"/>
        <v>0</v>
      </c>
      <c r="EF18" s="12">
        <f t="shared" si="4"/>
        <v>0</v>
      </c>
      <c r="EG18" s="12">
        <f t="shared" si="4"/>
        <v>0</v>
      </c>
      <c r="EH18" s="12">
        <f t="shared" si="4"/>
        <v>1892000.3</v>
      </c>
      <c r="EI18" s="12">
        <f t="shared" si="4"/>
        <v>0</v>
      </c>
      <c r="EJ18" s="12">
        <f t="shared" si="4"/>
        <v>19336729.079999998</v>
      </c>
      <c r="EK18" s="12">
        <f t="shared" si="4"/>
        <v>993629.08</v>
      </c>
      <c r="EL18" s="12">
        <f t="shared" si="4"/>
        <v>16451099.699999999</v>
      </c>
      <c r="EM18" s="12">
        <f t="shared" ref="EM18:FR18" si="5">EM319</f>
        <v>0</v>
      </c>
      <c r="EN18" s="12">
        <f t="shared" si="5"/>
        <v>6006706.3799999999</v>
      </c>
      <c r="EO18" s="12">
        <f t="shared" si="5"/>
        <v>4114706.08</v>
      </c>
      <c r="EP18" s="12">
        <f t="shared" si="5"/>
        <v>0</v>
      </c>
      <c r="EQ18" s="12">
        <f t="shared" si="5"/>
        <v>4114706.08</v>
      </c>
      <c r="ER18" s="12">
        <f t="shared" si="5"/>
        <v>1892000.3</v>
      </c>
      <c r="ES18" s="12">
        <f t="shared" si="5"/>
        <v>0</v>
      </c>
      <c r="ET18" s="12">
        <f t="shared" si="5"/>
        <v>0</v>
      </c>
      <c r="EU18" s="12">
        <f t="shared" si="5"/>
        <v>0</v>
      </c>
      <c r="EV18" s="12">
        <f t="shared" si="5"/>
        <v>0</v>
      </c>
      <c r="EW18" s="12">
        <f t="shared" si="5"/>
        <v>0</v>
      </c>
      <c r="EX18" s="12">
        <f t="shared" si="5"/>
        <v>0</v>
      </c>
      <c r="EY18" s="12">
        <f t="shared" si="5"/>
        <v>0</v>
      </c>
      <c r="EZ18" s="12">
        <f t="shared" si="5"/>
        <v>0</v>
      </c>
      <c r="FA18" s="12">
        <f t="shared" si="5"/>
        <v>0</v>
      </c>
      <c r="FB18" s="12">
        <f t="shared" si="5"/>
        <v>0</v>
      </c>
      <c r="FC18" s="12">
        <f t="shared" si="5"/>
        <v>0</v>
      </c>
      <c r="FD18" s="12">
        <f t="shared" si="5"/>
        <v>0</v>
      </c>
      <c r="FE18" s="12">
        <f t="shared" si="5"/>
        <v>0</v>
      </c>
      <c r="FF18" s="12">
        <f t="shared" si="5"/>
        <v>0</v>
      </c>
      <c r="FG18" s="12">
        <f t="shared" si="5"/>
        <v>0</v>
      </c>
      <c r="FH18" s="12">
        <f t="shared" si="5"/>
        <v>0</v>
      </c>
      <c r="FI18" s="12">
        <f t="shared" si="5"/>
        <v>0</v>
      </c>
      <c r="FJ18" s="12">
        <f t="shared" si="5"/>
        <v>0</v>
      </c>
      <c r="FK18" s="12">
        <f t="shared" si="5"/>
        <v>0</v>
      </c>
      <c r="FL18" s="12">
        <f t="shared" si="5"/>
        <v>0</v>
      </c>
      <c r="FM18" s="12">
        <f t="shared" si="5"/>
        <v>0</v>
      </c>
      <c r="FN18" s="12">
        <f t="shared" si="5"/>
        <v>0</v>
      </c>
      <c r="FO18" s="12">
        <f t="shared" si="5"/>
        <v>0</v>
      </c>
      <c r="FP18" s="12">
        <f t="shared" si="5"/>
        <v>0</v>
      </c>
      <c r="FQ18" s="12">
        <f t="shared" si="5"/>
        <v>0</v>
      </c>
      <c r="FR18" s="12">
        <f t="shared" si="5"/>
        <v>0</v>
      </c>
      <c r="FS18" s="12">
        <f t="shared" ref="FS18:GX18" si="6">FS319</f>
        <v>0</v>
      </c>
      <c r="FT18" s="12">
        <f t="shared" si="6"/>
        <v>0</v>
      </c>
      <c r="FU18" s="12">
        <f t="shared" si="6"/>
        <v>0</v>
      </c>
      <c r="FV18" s="12">
        <f t="shared" si="6"/>
        <v>0</v>
      </c>
      <c r="FW18" s="12">
        <f t="shared" si="6"/>
        <v>0</v>
      </c>
      <c r="FX18" s="12">
        <f t="shared" si="6"/>
        <v>0</v>
      </c>
      <c r="FY18" s="12">
        <f t="shared" si="6"/>
        <v>0</v>
      </c>
      <c r="FZ18" s="12">
        <f t="shared" si="6"/>
        <v>0</v>
      </c>
      <c r="GA18" s="12">
        <f t="shared" si="6"/>
        <v>0</v>
      </c>
      <c r="GB18" s="12">
        <f t="shared" si="6"/>
        <v>0</v>
      </c>
      <c r="GC18" s="12">
        <f t="shared" si="6"/>
        <v>0</v>
      </c>
      <c r="GD18" s="12">
        <f t="shared" si="6"/>
        <v>0</v>
      </c>
      <c r="GE18" s="12">
        <f t="shared" si="6"/>
        <v>0</v>
      </c>
      <c r="GF18" s="12">
        <f t="shared" si="6"/>
        <v>0</v>
      </c>
      <c r="GG18" s="12">
        <f t="shared" si="6"/>
        <v>0</v>
      </c>
      <c r="GH18" s="12">
        <f t="shared" si="6"/>
        <v>0</v>
      </c>
      <c r="GI18" s="12">
        <f t="shared" si="6"/>
        <v>0</v>
      </c>
      <c r="GJ18" s="12">
        <f t="shared" si="6"/>
        <v>0</v>
      </c>
      <c r="GK18" s="12">
        <f t="shared" si="6"/>
        <v>0</v>
      </c>
      <c r="GL18" s="12">
        <f t="shared" si="6"/>
        <v>0</v>
      </c>
      <c r="GM18" s="12">
        <f t="shared" si="6"/>
        <v>0</v>
      </c>
      <c r="GN18" s="12">
        <f t="shared" si="6"/>
        <v>0</v>
      </c>
      <c r="GO18" s="12">
        <f t="shared" si="6"/>
        <v>0</v>
      </c>
      <c r="GP18" s="12">
        <f t="shared" si="6"/>
        <v>0</v>
      </c>
      <c r="GQ18" s="12">
        <f t="shared" si="6"/>
        <v>0</v>
      </c>
      <c r="GR18" s="12">
        <f t="shared" si="6"/>
        <v>0</v>
      </c>
      <c r="GS18" s="12">
        <f t="shared" si="6"/>
        <v>0</v>
      </c>
      <c r="GT18" s="12">
        <f t="shared" si="6"/>
        <v>0</v>
      </c>
      <c r="GU18" s="12">
        <f t="shared" si="6"/>
        <v>0</v>
      </c>
      <c r="GV18" s="12">
        <f t="shared" si="6"/>
        <v>0</v>
      </c>
      <c r="GW18" s="12">
        <f t="shared" si="6"/>
        <v>0</v>
      </c>
      <c r="GX18" s="12">
        <f t="shared" si="6"/>
        <v>0</v>
      </c>
    </row>
    <row r="20" spans="1:255" x14ac:dyDescent="0.2">
      <c r="A20" s="10">
        <v>3</v>
      </c>
      <c r="B20" s="10">
        <v>1</v>
      </c>
      <c r="C20" s="10"/>
      <c r="D20" s="10">
        <f>ROW(A286)</f>
        <v>286</v>
      </c>
      <c r="E20" s="10"/>
      <c r="F20" s="10" t="s">
        <v>15</v>
      </c>
      <c r="G20" s="10" t="s">
        <v>16</v>
      </c>
      <c r="H20" s="10" t="s">
        <v>3</v>
      </c>
      <c r="I20" s="10">
        <v>0</v>
      </c>
      <c r="J20" s="10" t="s">
        <v>17</v>
      </c>
      <c r="K20" s="10">
        <v>-1</v>
      </c>
      <c r="L20" s="10" t="s">
        <v>15</v>
      </c>
      <c r="M20" s="10" t="s">
        <v>3</v>
      </c>
      <c r="N20" s="10"/>
      <c r="O20" s="10"/>
      <c r="P20" s="10"/>
      <c r="Q20" s="10"/>
      <c r="R20" s="10"/>
      <c r="S20" s="10">
        <v>0</v>
      </c>
      <c r="T20" s="10">
        <v>0</v>
      </c>
      <c r="U20" s="10" t="s">
        <v>3</v>
      </c>
      <c r="V20" s="10">
        <v>2</v>
      </c>
      <c r="W20" s="10"/>
      <c r="X20" s="10"/>
      <c r="Y20" s="10"/>
      <c r="Z20" s="10"/>
      <c r="AA20" s="10"/>
      <c r="AB20" s="10" t="s">
        <v>3</v>
      </c>
      <c r="AC20" s="10" t="s">
        <v>3</v>
      </c>
      <c r="AD20" s="10" t="s">
        <v>3</v>
      </c>
      <c r="AE20" s="10" t="s">
        <v>3</v>
      </c>
      <c r="AF20" s="10" t="s">
        <v>3</v>
      </c>
      <c r="AG20" s="10" t="s">
        <v>3</v>
      </c>
      <c r="AH20" s="10"/>
      <c r="AI20" s="10"/>
      <c r="AJ20" s="10"/>
      <c r="AK20" s="10"/>
      <c r="AL20" s="10"/>
      <c r="AM20" s="10"/>
      <c r="AN20" s="10"/>
      <c r="AO20" s="10"/>
      <c r="AP20" s="10" t="s">
        <v>3</v>
      </c>
      <c r="AQ20" s="10" t="s">
        <v>3</v>
      </c>
      <c r="AR20" s="10" t="s">
        <v>3</v>
      </c>
      <c r="AS20" s="10"/>
      <c r="AT20" s="10"/>
      <c r="AU20" s="10"/>
      <c r="AV20" s="10"/>
      <c r="AW20" s="10"/>
      <c r="AX20" s="10"/>
      <c r="AY20" s="10"/>
      <c r="AZ20" s="10" t="s">
        <v>3</v>
      </c>
      <c r="BA20" s="10"/>
      <c r="BB20" s="10" t="s">
        <v>3</v>
      </c>
      <c r="BC20" s="10" t="s">
        <v>3</v>
      </c>
      <c r="BD20" s="10" t="s">
        <v>3</v>
      </c>
      <c r="BE20" s="10" t="s">
        <v>3</v>
      </c>
      <c r="BF20" s="10" t="s">
        <v>3</v>
      </c>
      <c r="BG20" s="10" t="s">
        <v>3</v>
      </c>
      <c r="BH20" s="10" t="s">
        <v>3</v>
      </c>
      <c r="BI20" s="10" t="s">
        <v>3</v>
      </c>
      <c r="BJ20" s="10" t="s">
        <v>3</v>
      </c>
      <c r="BK20" s="10" t="s">
        <v>3</v>
      </c>
      <c r="BL20" s="10" t="s">
        <v>3</v>
      </c>
      <c r="BM20" s="10" t="s">
        <v>3</v>
      </c>
      <c r="BN20" s="10" t="s">
        <v>3</v>
      </c>
      <c r="BO20" s="10" t="s">
        <v>3</v>
      </c>
      <c r="BP20" s="10" t="s">
        <v>3</v>
      </c>
      <c r="BQ20" s="10"/>
      <c r="BR20" s="10"/>
      <c r="BS20" s="10"/>
      <c r="BT20" s="10"/>
      <c r="BU20" s="10"/>
      <c r="BV20" s="10"/>
      <c r="BW20" s="10"/>
      <c r="BX20" s="10">
        <v>0</v>
      </c>
      <c r="BY20" s="10"/>
      <c r="BZ20" s="10"/>
      <c r="CA20" s="10"/>
      <c r="CB20" s="10"/>
      <c r="CC20" s="10"/>
      <c r="CD20" s="10"/>
      <c r="CE20" s="10"/>
      <c r="CF20" s="10">
        <v>0</v>
      </c>
      <c r="CG20" s="10">
        <v>0</v>
      </c>
      <c r="CH20" s="10"/>
      <c r="CI20" s="10" t="s">
        <v>3</v>
      </c>
      <c r="CJ20" s="10" t="s">
        <v>3</v>
      </c>
      <c r="CK20" s="3" t="s">
        <v>3</v>
      </c>
      <c r="CL20" s="3" t="s">
        <v>3</v>
      </c>
      <c r="CM20" s="3" t="s">
        <v>3</v>
      </c>
      <c r="CN20" s="3" t="s">
        <v>3</v>
      </c>
      <c r="CO20" s="3" t="s">
        <v>3</v>
      </c>
      <c r="CP20" s="3" t="s">
        <v>3</v>
      </c>
      <c r="CQ20" s="3" t="s">
        <v>3</v>
      </c>
    </row>
    <row r="22" spans="1:255" x14ac:dyDescent="0.2">
      <c r="A22" s="11">
        <v>52</v>
      </c>
      <c r="B22" s="11">
        <f t="shared" ref="B22:G22" si="7">B286</f>
        <v>1</v>
      </c>
      <c r="C22" s="11">
        <f t="shared" si="7"/>
        <v>3</v>
      </c>
      <c r="D22" s="11">
        <f t="shared" si="7"/>
        <v>20</v>
      </c>
      <c r="E22" s="11">
        <f t="shared" si="7"/>
        <v>0</v>
      </c>
      <c r="F22" s="11" t="str">
        <f t="shared" si="7"/>
        <v>02-01-21</v>
      </c>
      <c r="G22" s="11" t="str">
        <f t="shared" si="7"/>
        <v>Спринклерное пожаротушение.</v>
      </c>
      <c r="H22" s="11"/>
      <c r="I22" s="11"/>
      <c r="J22" s="11"/>
      <c r="K22" s="11"/>
      <c r="L22" s="11"/>
      <c r="M22" s="11"/>
      <c r="N22" s="11"/>
      <c r="O22" s="11">
        <f t="shared" ref="O22:AT22" si="8">O286</f>
        <v>770382.96</v>
      </c>
      <c r="P22" s="11">
        <f t="shared" si="8"/>
        <v>651102.71</v>
      </c>
      <c r="Q22" s="11">
        <f t="shared" si="8"/>
        <v>25446.09</v>
      </c>
      <c r="R22" s="11">
        <f t="shared" si="8"/>
        <v>3914.94</v>
      </c>
      <c r="S22" s="11">
        <f t="shared" si="8"/>
        <v>93834.16</v>
      </c>
      <c r="T22" s="11">
        <f t="shared" si="8"/>
        <v>0</v>
      </c>
      <c r="U22" s="11">
        <f t="shared" si="8"/>
        <v>7442.2285615199999</v>
      </c>
      <c r="V22" s="11">
        <f t="shared" si="8"/>
        <v>0</v>
      </c>
      <c r="W22" s="11">
        <f t="shared" si="8"/>
        <v>0</v>
      </c>
      <c r="X22" s="11">
        <f t="shared" si="8"/>
        <v>88671.73</v>
      </c>
      <c r="Y22" s="11">
        <f t="shared" si="8"/>
        <v>45503.040000000001</v>
      </c>
      <c r="Z22" s="11">
        <f t="shared" si="8"/>
        <v>0</v>
      </c>
      <c r="AA22" s="11">
        <f t="shared" si="8"/>
        <v>0</v>
      </c>
      <c r="AB22" s="11">
        <f t="shared" si="8"/>
        <v>0</v>
      </c>
      <c r="AC22" s="11">
        <f t="shared" si="8"/>
        <v>0</v>
      </c>
      <c r="AD22" s="11">
        <f t="shared" si="8"/>
        <v>0</v>
      </c>
      <c r="AE22" s="11">
        <f t="shared" si="8"/>
        <v>0</v>
      </c>
      <c r="AF22" s="11">
        <f t="shared" si="8"/>
        <v>0</v>
      </c>
      <c r="AG22" s="11">
        <f t="shared" si="8"/>
        <v>0</v>
      </c>
      <c r="AH22" s="11">
        <f t="shared" si="8"/>
        <v>0</v>
      </c>
      <c r="AI22" s="11">
        <f t="shared" si="8"/>
        <v>0</v>
      </c>
      <c r="AJ22" s="11">
        <f t="shared" si="8"/>
        <v>0</v>
      </c>
      <c r="AK22" s="11">
        <f t="shared" si="8"/>
        <v>0</v>
      </c>
      <c r="AL22" s="11">
        <f t="shared" si="8"/>
        <v>0</v>
      </c>
      <c r="AM22" s="11">
        <f t="shared" si="8"/>
        <v>0</v>
      </c>
      <c r="AN22" s="11">
        <f t="shared" si="8"/>
        <v>0</v>
      </c>
      <c r="AO22" s="11">
        <f t="shared" si="8"/>
        <v>0</v>
      </c>
      <c r="AP22" s="11">
        <f t="shared" si="8"/>
        <v>237947.71</v>
      </c>
      <c r="AQ22" s="11">
        <f t="shared" si="8"/>
        <v>0</v>
      </c>
      <c r="AR22" s="11">
        <f t="shared" si="8"/>
        <v>904557.73</v>
      </c>
      <c r="AS22" s="11">
        <f t="shared" si="8"/>
        <v>30023.95</v>
      </c>
      <c r="AT22" s="11">
        <f t="shared" si="8"/>
        <v>636586.06999999995</v>
      </c>
      <c r="AU22" s="11">
        <f t="shared" ref="AU22:BZ22" si="9">AU286</f>
        <v>0</v>
      </c>
      <c r="AV22" s="11">
        <f t="shared" si="9"/>
        <v>651102.71</v>
      </c>
      <c r="AW22" s="11">
        <f t="shared" si="9"/>
        <v>413155</v>
      </c>
      <c r="AX22" s="11">
        <f t="shared" si="9"/>
        <v>0</v>
      </c>
      <c r="AY22" s="11">
        <f t="shared" si="9"/>
        <v>413155</v>
      </c>
      <c r="AZ22" s="11">
        <f t="shared" si="9"/>
        <v>237947.71</v>
      </c>
      <c r="BA22" s="11">
        <f t="shared" si="9"/>
        <v>0</v>
      </c>
      <c r="BB22" s="11">
        <f t="shared" si="9"/>
        <v>0</v>
      </c>
      <c r="BC22" s="11">
        <f t="shared" si="9"/>
        <v>0</v>
      </c>
      <c r="BD22" s="11">
        <f t="shared" si="9"/>
        <v>0</v>
      </c>
      <c r="BE22" s="11">
        <f t="shared" si="9"/>
        <v>0</v>
      </c>
      <c r="BF22" s="11">
        <f t="shared" si="9"/>
        <v>0</v>
      </c>
      <c r="BG22" s="11">
        <f t="shared" si="9"/>
        <v>0</v>
      </c>
      <c r="BH22" s="11">
        <f t="shared" si="9"/>
        <v>0</v>
      </c>
      <c r="BI22" s="11">
        <f t="shared" si="9"/>
        <v>0</v>
      </c>
      <c r="BJ22" s="11">
        <f t="shared" si="9"/>
        <v>0</v>
      </c>
      <c r="BK22" s="11">
        <f t="shared" si="9"/>
        <v>0</v>
      </c>
      <c r="BL22" s="11">
        <f t="shared" si="9"/>
        <v>0</v>
      </c>
      <c r="BM22" s="11">
        <f t="shared" si="9"/>
        <v>0</v>
      </c>
      <c r="BN22" s="11">
        <f t="shared" si="9"/>
        <v>0</v>
      </c>
      <c r="BO22" s="11">
        <f t="shared" si="9"/>
        <v>0</v>
      </c>
      <c r="BP22" s="11">
        <f t="shared" si="9"/>
        <v>0</v>
      </c>
      <c r="BQ22" s="11">
        <f t="shared" si="9"/>
        <v>0</v>
      </c>
      <c r="BR22" s="11">
        <f t="shared" si="9"/>
        <v>0</v>
      </c>
      <c r="BS22" s="11">
        <f t="shared" si="9"/>
        <v>0</v>
      </c>
      <c r="BT22" s="11">
        <f t="shared" si="9"/>
        <v>0</v>
      </c>
      <c r="BU22" s="11">
        <f t="shared" si="9"/>
        <v>0</v>
      </c>
      <c r="BV22" s="11">
        <f t="shared" si="9"/>
        <v>0</v>
      </c>
      <c r="BW22" s="11">
        <f t="shared" si="9"/>
        <v>0</v>
      </c>
      <c r="BX22" s="11">
        <f t="shared" si="9"/>
        <v>0</v>
      </c>
      <c r="BY22" s="11">
        <f t="shared" si="9"/>
        <v>0</v>
      </c>
      <c r="BZ22" s="11">
        <f t="shared" si="9"/>
        <v>0</v>
      </c>
      <c r="CA22" s="11">
        <f t="shared" ref="CA22:DF22" si="10">CA286</f>
        <v>0</v>
      </c>
      <c r="CB22" s="11">
        <f t="shared" si="10"/>
        <v>0</v>
      </c>
      <c r="CC22" s="11">
        <f t="shared" si="10"/>
        <v>0</v>
      </c>
      <c r="CD22" s="11">
        <f t="shared" si="10"/>
        <v>0</v>
      </c>
      <c r="CE22" s="11">
        <f t="shared" si="10"/>
        <v>0</v>
      </c>
      <c r="CF22" s="11">
        <f t="shared" si="10"/>
        <v>0</v>
      </c>
      <c r="CG22" s="11">
        <f t="shared" si="10"/>
        <v>0</v>
      </c>
      <c r="CH22" s="11">
        <f t="shared" si="10"/>
        <v>0</v>
      </c>
      <c r="CI22" s="11">
        <f t="shared" si="10"/>
        <v>0</v>
      </c>
      <c r="CJ22" s="11">
        <f t="shared" si="10"/>
        <v>0</v>
      </c>
      <c r="CK22" s="11">
        <f t="shared" si="10"/>
        <v>0</v>
      </c>
      <c r="CL22" s="11">
        <f t="shared" si="10"/>
        <v>0</v>
      </c>
      <c r="CM22" s="11">
        <f t="shared" si="10"/>
        <v>0</v>
      </c>
      <c r="CN22" s="11">
        <f t="shared" si="10"/>
        <v>0</v>
      </c>
      <c r="CO22" s="11">
        <f t="shared" si="10"/>
        <v>0</v>
      </c>
      <c r="CP22" s="11">
        <f t="shared" si="10"/>
        <v>0</v>
      </c>
      <c r="CQ22" s="11">
        <f t="shared" si="10"/>
        <v>0</v>
      </c>
      <c r="CR22" s="11">
        <f t="shared" si="10"/>
        <v>0</v>
      </c>
      <c r="CS22" s="11">
        <f t="shared" si="10"/>
        <v>0</v>
      </c>
      <c r="CT22" s="11">
        <f t="shared" si="10"/>
        <v>0</v>
      </c>
      <c r="CU22" s="11">
        <f t="shared" si="10"/>
        <v>0</v>
      </c>
      <c r="CV22" s="11">
        <f t="shared" si="10"/>
        <v>0</v>
      </c>
      <c r="CW22" s="11">
        <f t="shared" si="10"/>
        <v>0</v>
      </c>
      <c r="CX22" s="11">
        <f t="shared" si="10"/>
        <v>0</v>
      </c>
      <c r="CY22" s="11">
        <f t="shared" si="10"/>
        <v>0</v>
      </c>
      <c r="CZ22" s="11">
        <f t="shared" si="10"/>
        <v>0</v>
      </c>
      <c r="DA22" s="11">
        <f t="shared" si="10"/>
        <v>0</v>
      </c>
      <c r="DB22" s="11">
        <f t="shared" si="10"/>
        <v>0</v>
      </c>
      <c r="DC22" s="11">
        <f t="shared" si="10"/>
        <v>0</v>
      </c>
      <c r="DD22" s="11">
        <f t="shared" si="10"/>
        <v>0</v>
      </c>
      <c r="DE22" s="11">
        <f t="shared" si="10"/>
        <v>0</v>
      </c>
      <c r="DF22" s="11">
        <f t="shared" si="10"/>
        <v>0</v>
      </c>
      <c r="DG22" s="12">
        <f t="shared" ref="DG22:EL22" si="11">DG286</f>
        <v>11775980.48</v>
      </c>
      <c r="DH22" s="12">
        <f t="shared" si="11"/>
        <v>6006706.3799999999</v>
      </c>
      <c r="DI22" s="12">
        <f t="shared" si="11"/>
        <v>481719.19</v>
      </c>
      <c r="DJ22" s="12">
        <f t="shared" si="11"/>
        <v>220606.88</v>
      </c>
      <c r="DK22" s="12">
        <f t="shared" si="11"/>
        <v>5287554.91</v>
      </c>
      <c r="DL22" s="12">
        <f t="shared" si="11"/>
        <v>0</v>
      </c>
      <c r="DM22" s="12">
        <f t="shared" si="11"/>
        <v>7442.2285615199999</v>
      </c>
      <c r="DN22" s="12">
        <f t="shared" si="11"/>
        <v>0</v>
      </c>
      <c r="DO22" s="12">
        <f t="shared" si="11"/>
        <v>0</v>
      </c>
      <c r="DP22" s="12">
        <f t="shared" si="11"/>
        <v>4996651.29</v>
      </c>
      <c r="DQ22" s="12">
        <f t="shared" si="11"/>
        <v>2564097.31</v>
      </c>
      <c r="DR22" s="12">
        <f t="shared" si="11"/>
        <v>0</v>
      </c>
      <c r="DS22" s="12">
        <f t="shared" si="11"/>
        <v>0</v>
      </c>
      <c r="DT22" s="12">
        <f t="shared" si="11"/>
        <v>0</v>
      </c>
      <c r="DU22" s="12">
        <f t="shared" si="11"/>
        <v>0</v>
      </c>
      <c r="DV22" s="12">
        <f t="shared" si="11"/>
        <v>0</v>
      </c>
      <c r="DW22" s="12">
        <f t="shared" si="11"/>
        <v>0</v>
      </c>
      <c r="DX22" s="12">
        <f t="shared" si="11"/>
        <v>0</v>
      </c>
      <c r="DY22" s="12">
        <f t="shared" si="11"/>
        <v>0</v>
      </c>
      <c r="DZ22" s="12">
        <f t="shared" si="11"/>
        <v>0</v>
      </c>
      <c r="EA22" s="12">
        <f t="shared" si="11"/>
        <v>0</v>
      </c>
      <c r="EB22" s="12">
        <f t="shared" si="11"/>
        <v>0</v>
      </c>
      <c r="EC22" s="12">
        <f t="shared" si="11"/>
        <v>0</v>
      </c>
      <c r="ED22" s="12">
        <f t="shared" si="11"/>
        <v>0</v>
      </c>
      <c r="EE22" s="12">
        <f t="shared" si="11"/>
        <v>0</v>
      </c>
      <c r="EF22" s="12">
        <f t="shared" si="11"/>
        <v>0</v>
      </c>
      <c r="EG22" s="12">
        <f t="shared" si="11"/>
        <v>0</v>
      </c>
      <c r="EH22" s="12">
        <f t="shared" si="11"/>
        <v>1892000.3</v>
      </c>
      <c r="EI22" s="12">
        <f t="shared" si="11"/>
        <v>0</v>
      </c>
      <c r="EJ22" s="12">
        <f t="shared" si="11"/>
        <v>19336729.079999998</v>
      </c>
      <c r="EK22" s="12">
        <f t="shared" si="11"/>
        <v>993629.08</v>
      </c>
      <c r="EL22" s="12">
        <f t="shared" si="11"/>
        <v>16451099.699999999</v>
      </c>
      <c r="EM22" s="12">
        <f t="shared" ref="EM22:FR22" si="12">EM286</f>
        <v>0</v>
      </c>
      <c r="EN22" s="12">
        <f t="shared" si="12"/>
        <v>6006706.3799999999</v>
      </c>
      <c r="EO22" s="12">
        <f t="shared" si="12"/>
        <v>4114706.08</v>
      </c>
      <c r="EP22" s="12">
        <f t="shared" si="12"/>
        <v>0</v>
      </c>
      <c r="EQ22" s="12">
        <f t="shared" si="12"/>
        <v>4114706.08</v>
      </c>
      <c r="ER22" s="12">
        <f t="shared" si="12"/>
        <v>1892000.3</v>
      </c>
      <c r="ES22" s="12">
        <f t="shared" si="12"/>
        <v>0</v>
      </c>
      <c r="ET22" s="12">
        <f t="shared" si="12"/>
        <v>0</v>
      </c>
      <c r="EU22" s="12">
        <f t="shared" si="12"/>
        <v>0</v>
      </c>
      <c r="EV22" s="12">
        <f t="shared" si="12"/>
        <v>0</v>
      </c>
      <c r="EW22" s="12">
        <f t="shared" si="12"/>
        <v>0</v>
      </c>
      <c r="EX22" s="12">
        <f t="shared" si="12"/>
        <v>0</v>
      </c>
      <c r="EY22" s="12">
        <f t="shared" si="12"/>
        <v>0</v>
      </c>
      <c r="EZ22" s="12">
        <f t="shared" si="12"/>
        <v>0</v>
      </c>
      <c r="FA22" s="12">
        <f t="shared" si="12"/>
        <v>0</v>
      </c>
      <c r="FB22" s="12">
        <f t="shared" si="12"/>
        <v>0</v>
      </c>
      <c r="FC22" s="12">
        <f t="shared" si="12"/>
        <v>0</v>
      </c>
      <c r="FD22" s="12">
        <f t="shared" si="12"/>
        <v>0</v>
      </c>
      <c r="FE22" s="12">
        <f t="shared" si="12"/>
        <v>0</v>
      </c>
      <c r="FF22" s="12">
        <f t="shared" si="12"/>
        <v>0</v>
      </c>
      <c r="FG22" s="12">
        <f t="shared" si="12"/>
        <v>0</v>
      </c>
      <c r="FH22" s="12">
        <f t="shared" si="12"/>
        <v>0</v>
      </c>
      <c r="FI22" s="12">
        <f t="shared" si="12"/>
        <v>0</v>
      </c>
      <c r="FJ22" s="12">
        <f t="shared" si="12"/>
        <v>0</v>
      </c>
      <c r="FK22" s="12">
        <f t="shared" si="12"/>
        <v>0</v>
      </c>
      <c r="FL22" s="12">
        <f t="shared" si="12"/>
        <v>0</v>
      </c>
      <c r="FM22" s="12">
        <f t="shared" si="12"/>
        <v>0</v>
      </c>
      <c r="FN22" s="12">
        <f t="shared" si="12"/>
        <v>0</v>
      </c>
      <c r="FO22" s="12">
        <f t="shared" si="12"/>
        <v>0</v>
      </c>
      <c r="FP22" s="12">
        <f t="shared" si="12"/>
        <v>0</v>
      </c>
      <c r="FQ22" s="12">
        <f t="shared" si="12"/>
        <v>0</v>
      </c>
      <c r="FR22" s="12">
        <f t="shared" si="12"/>
        <v>0</v>
      </c>
      <c r="FS22" s="12">
        <f t="shared" ref="FS22:GX22" si="13">FS286</f>
        <v>0</v>
      </c>
      <c r="FT22" s="12">
        <f t="shared" si="13"/>
        <v>0</v>
      </c>
      <c r="FU22" s="12">
        <f t="shared" si="13"/>
        <v>0</v>
      </c>
      <c r="FV22" s="12">
        <f t="shared" si="13"/>
        <v>0</v>
      </c>
      <c r="FW22" s="12">
        <f t="shared" si="13"/>
        <v>0</v>
      </c>
      <c r="FX22" s="12">
        <f t="shared" si="13"/>
        <v>0</v>
      </c>
      <c r="FY22" s="12">
        <f t="shared" si="13"/>
        <v>0</v>
      </c>
      <c r="FZ22" s="12">
        <f t="shared" si="13"/>
        <v>0</v>
      </c>
      <c r="GA22" s="12">
        <f t="shared" si="13"/>
        <v>0</v>
      </c>
      <c r="GB22" s="12">
        <f t="shared" si="13"/>
        <v>0</v>
      </c>
      <c r="GC22" s="12">
        <f t="shared" si="13"/>
        <v>0</v>
      </c>
      <c r="GD22" s="12">
        <f t="shared" si="13"/>
        <v>0</v>
      </c>
      <c r="GE22" s="12">
        <f t="shared" si="13"/>
        <v>0</v>
      </c>
      <c r="GF22" s="12">
        <f t="shared" si="13"/>
        <v>0</v>
      </c>
      <c r="GG22" s="12">
        <f t="shared" si="13"/>
        <v>0</v>
      </c>
      <c r="GH22" s="12">
        <f t="shared" si="13"/>
        <v>0</v>
      </c>
      <c r="GI22" s="12">
        <f t="shared" si="13"/>
        <v>0</v>
      </c>
      <c r="GJ22" s="12">
        <f t="shared" si="13"/>
        <v>0</v>
      </c>
      <c r="GK22" s="12">
        <f t="shared" si="13"/>
        <v>0</v>
      </c>
      <c r="GL22" s="12">
        <f t="shared" si="13"/>
        <v>0</v>
      </c>
      <c r="GM22" s="12">
        <f t="shared" si="13"/>
        <v>0</v>
      </c>
      <c r="GN22" s="12">
        <f t="shared" si="13"/>
        <v>0</v>
      </c>
      <c r="GO22" s="12">
        <f t="shared" si="13"/>
        <v>0</v>
      </c>
      <c r="GP22" s="12">
        <f t="shared" si="13"/>
        <v>0</v>
      </c>
      <c r="GQ22" s="12">
        <f t="shared" si="13"/>
        <v>0</v>
      </c>
      <c r="GR22" s="12">
        <f t="shared" si="13"/>
        <v>0</v>
      </c>
      <c r="GS22" s="12">
        <f t="shared" si="13"/>
        <v>0</v>
      </c>
      <c r="GT22" s="12">
        <f t="shared" si="13"/>
        <v>0</v>
      </c>
      <c r="GU22" s="12">
        <f t="shared" si="13"/>
        <v>0</v>
      </c>
      <c r="GV22" s="12">
        <f t="shared" si="13"/>
        <v>0</v>
      </c>
      <c r="GW22" s="12">
        <f t="shared" si="13"/>
        <v>0</v>
      </c>
      <c r="GX22" s="12">
        <f t="shared" si="13"/>
        <v>0</v>
      </c>
    </row>
    <row r="24" spans="1:255" x14ac:dyDescent="0.2">
      <c r="A24" s="10">
        <v>4</v>
      </c>
      <c r="B24" s="10">
        <v>1</v>
      </c>
      <c r="C24" s="10"/>
      <c r="D24" s="10">
        <f>ROW(A139)</f>
        <v>139</v>
      </c>
      <c r="E24" s="10"/>
      <c r="F24" s="10" t="s">
        <v>18</v>
      </c>
      <c r="G24" s="10" t="s">
        <v>19</v>
      </c>
      <c r="H24" s="10" t="s">
        <v>3</v>
      </c>
      <c r="I24" s="10">
        <v>0</v>
      </c>
      <c r="J24" s="10"/>
      <c r="K24" s="10">
        <v>0</v>
      </c>
      <c r="L24" s="10"/>
      <c r="M24" s="10" t="s">
        <v>3</v>
      </c>
      <c r="N24" s="10"/>
      <c r="O24" s="10"/>
      <c r="P24" s="10"/>
      <c r="Q24" s="10"/>
      <c r="R24" s="10"/>
      <c r="S24" s="10">
        <v>0</v>
      </c>
      <c r="T24" s="10">
        <v>0</v>
      </c>
      <c r="U24" s="10" t="s">
        <v>3</v>
      </c>
      <c r="V24" s="10">
        <v>2</v>
      </c>
      <c r="W24" s="10"/>
      <c r="X24" s="10"/>
      <c r="Y24" s="10"/>
      <c r="Z24" s="10"/>
      <c r="AA24" s="10"/>
      <c r="AB24" s="10" t="s">
        <v>3</v>
      </c>
      <c r="AC24" s="10" t="s">
        <v>3</v>
      </c>
      <c r="AD24" s="10" t="s">
        <v>3</v>
      </c>
      <c r="AE24" s="10" t="s">
        <v>3</v>
      </c>
      <c r="AF24" s="10" t="s">
        <v>3</v>
      </c>
      <c r="AG24" s="10" t="s">
        <v>3</v>
      </c>
      <c r="AH24" s="10"/>
      <c r="AI24" s="10"/>
      <c r="AJ24" s="10"/>
      <c r="AK24" s="10"/>
      <c r="AL24" s="10"/>
      <c r="AM24" s="10"/>
      <c r="AN24" s="10"/>
      <c r="AO24" s="10"/>
      <c r="AP24" s="10" t="s">
        <v>3</v>
      </c>
      <c r="AQ24" s="10" t="s">
        <v>3</v>
      </c>
      <c r="AR24" s="10" t="s">
        <v>3</v>
      </c>
      <c r="AS24" s="10"/>
      <c r="AT24" s="10"/>
      <c r="AU24" s="10"/>
      <c r="AV24" s="10"/>
      <c r="AW24" s="10"/>
      <c r="AX24" s="10"/>
      <c r="AY24" s="10"/>
      <c r="AZ24" s="10" t="s">
        <v>3</v>
      </c>
      <c r="BA24" s="10"/>
      <c r="BB24" s="10" t="s">
        <v>3</v>
      </c>
      <c r="BC24" s="10" t="s">
        <v>3</v>
      </c>
      <c r="BD24" s="10" t="s">
        <v>3</v>
      </c>
      <c r="BE24" s="10" t="s">
        <v>3</v>
      </c>
      <c r="BF24" s="10" t="s">
        <v>3</v>
      </c>
      <c r="BG24" s="10" t="s">
        <v>3</v>
      </c>
      <c r="BH24" s="10" t="s">
        <v>3</v>
      </c>
      <c r="BI24" s="10" t="s">
        <v>3</v>
      </c>
      <c r="BJ24" s="10" t="s">
        <v>3</v>
      </c>
      <c r="BK24" s="10" t="s">
        <v>3</v>
      </c>
      <c r="BL24" s="10" t="s">
        <v>3</v>
      </c>
      <c r="BM24" s="10" t="s">
        <v>3</v>
      </c>
      <c r="BN24" s="10" t="s">
        <v>3</v>
      </c>
      <c r="BO24" s="10" t="s">
        <v>3</v>
      </c>
      <c r="BP24" s="10" t="s">
        <v>3</v>
      </c>
      <c r="BQ24" s="10"/>
      <c r="BR24" s="10"/>
      <c r="BS24" s="10"/>
      <c r="BT24" s="10"/>
      <c r="BU24" s="10"/>
      <c r="BV24" s="10"/>
      <c r="BW24" s="10"/>
      <c r="BX24" s="10">
        <v>0</v>
      </c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>
        <v>0</v>
      </c>
    </row>
    <row r="26" spans="1:255" x14ac:dyDescent="0.2">
      <c r="A26" s="11">
        <v>52</v>
      </c>
      <c r="B26" s="11">
        <f t="shared" ref="B26:G26" si="14">B139</f>
        <v>1</v>
      </c>
      <c r="C26" s="11">
        <f t="shared" si="14"/>
        <v>4</v>
      </c>
      <c r="D26" s="11">
        <f t="shared" si="14"/>
        <v>24</v>
      </c>
      <c r="E26" s="11">
        <f t="shared" si="14"/>
        <v>0</v>
      </c>
      <c r="F26" s="11" t="str">
        <f t="shared" si="14"/>
        <v>Новый раздел</v>
      </c>
      <c r="G26" s="11" t="str">
        <f t="shared" si="14"/>
        <v>Насосная установка.</v>
      </c>
      <c r="H26" s="11"/>
      <c r="I26" s="11"/>
      <c r="J26" s="11"/>
      <c r="K26" s="11"/>
      <c r="L26" s="11"/>
      <c r="M26" s="11"/>
      <c r="N26" s="11"/>
      <c r="O26" s="11">
        <f t="shared" ref="O26:AT26" si="15">O139</f>
        <v>315114.06</v>
      </c>
      <c r="P26" s="11">
        <f t="shared" si="15"/>
        <v>300967.81</v>
      </c>
      <c r="Q26" s="11">
        <f t="shared" si="15"/>
        <v>2307.81</v>
      </c>
      <c r="R26" s="11">
        <f t="shared" si="15"/>
        <v>330.58</v>
      </c>
      <c r="S26" s="11">
        <f t="shared" si="15"/>
        <v>11838.44</v>
      </c>
      <c r="T26" s="11">
        <f t="shared" si="15"/>
        <v>0</v>
      </c>
      <c r="U26" s="11">
        <f t="shared" si="15"/>
        <v>925.57626372000004</v>
      </c>
      <c r="V26" s="11">
        <f t="shared" si="15"/>
        <v>0</v>
      </c>
      <c r="W26" s="11">
        <f t="shared" si="15"/>
        <v>0</v>
      </c>
      <c r="X26" s="11">
        <f t="shared" si="15"/>
        <v>10995.81</v>
      </c>
      <c r="Y26" s="11">
        <f t="shared" si="15"/>
        <v>5687.05</v>
      </c>
      <c r="Z26" s="11">
        <f t="shared" si="15"/>
        <v>0</v>
      </c>
      <c r="AA26" s="11">
        <f t="shared" si="15"/>
        <v>0</v>
      </c>
      <c r="AB26" s="11">
        <f t="shared" si="15"/>
        <v>315114.06</v>
      </c>
      <c r="AC26" s="11">
        <f t="shared" si="15"/>
        <v>300967.81</v>
      </c>
      <c r="AD26" s="11">
        <f t="shared" si="15"/>
        <v>2307.81</v>
      </c>
      <c r="AE26" s="11">
        <f t="shared" si="15"/>
        <v>330.58</v>
      </c>
      <c r="AF26" s="11">
        <f t="shared" si="15"/>
        <v>11838.44</v>
      </c>
      <c r="AG26" s="11">
        <f t="shared" si="15"/>
        <v>0</v>
      </c>
      <c r="AH26" s="11">
        <f t="shared" si="15"/>
        <v>925.57626372000004</v>
      </c>
      <c r="AI26" s="11">
        <f t="shared" si="15"/>
        <v>0</v>
      </c>
      <c r="AJ26" s="11">
        <f t="shared" si="15"/>
        <v>0</v>
      </c>
      <c r="AK26" s="11">
        <f t="shared" si="15"/>
        <v>10995.81</v>
      </c>
      <c r="AL26" s="11">
        <f t="shared" si="15"/>
        <v>5687.05</v>
      </c>
      <c r="AM26" s="11">
        <f t="shared" si="15"/>
        <v>0</v>
      </c>
      <c r="AN26" s="11">
        <f t="shared" si="15"/>
        <v>0</v>
      </c>
      <c r="AO26" s="11">
        <f t="shared" si="15"/>
        <v>0</v>
      </c>
      <c r="AP26" s="11">
        <f t="shared" si="15"/>
        <v>236148.74</v>
      </c>
      <c r="AQ26" s="11">
        <f t="shared" si="15"/>
        <v>0</v>
      </c>
      <c r="AR26" s="11">
        <f t="shared" si="15"/>
        <v>331796.92</v>
      </c>
      <c r="AS26" s="11">
        <f t="shared" si="15"/>
        <v>3220.89</v>
      </c>
      <c r="AT26" s="11">
        <f t="shared" si="15"/>
        <v>92427.29</v>
      </c>
      <c r="AU26" s="11">
        <f t="shared" ref="AU26:BZ26" si="16">AU139</f>
        <v>0</v>
      </c>
      <c r="AV26" s="11">
        <f t="shared" si="16"/>
        <v>300967.81</v>
      </c>
      <c r="AW26" s="11">
        <f t="shared" si="16"/>
        <v>64819.07</v>
      </c>
      <c r="AX26" s="11">
        <f t="shared" si="16"/>
        <v>0</v>
      </c>
      <c r="AY26" s="11">
        <f t="shared" si="16"/>
        <v>64819.07</v>
      </c>
      <c r="AZ26" s="11">
        <f t="shared" si="16"/>
        <v>236148.74</v>
      </c>
      <c r="BA26" s="11">
        <f t="shared" si="16"/>
        <v>0</v>
      </c>
      <c r="BB26" s="11">
        <f t="shared" si="16"/>
        <v>0</v>
      </c>
      <c r="BC26" s="11">
        <f t="shared" si="16"/>
        <v>0</v>
      </c>
      <c r="BD26" s="11">
        <f t="shared" si="16"/>
        <v>0</v>
      </c>
      <c r="BE26" s="11">
        <f t="shared" si="16"/>
        <v>0</v>
      </c>
      <c r="BF26" s="11">
        <f t="shared" si="16"/>
        <v>0</v>
      </c>
      <c r="BG26" s="11">
        <f t="shared" si="16"/>
        <v>0</v>
      </c>
      <c r="BH26" s="11">
        <f t="shared" si="16"/>
        <v>0</v>
      </c>
      <c r="BI26" s="11">
        <f t="shared" si="16"/>
        <v>0</v>
      </c>
      <c r="BJ26" s="11">
        <f t="shared" si="16"/>
        <v>0</v>
      </c>
      <c r="BK26" s="11">
        <f t="shared" si="16"/>
        <v>0</v>
      </c>
      <c r="BL26" s="11">
        <f t="shared" si="16"/>
        <v>0</v>
      </c>
      <c r="BM26" s="11">
        <f t="shared" si="16"/>
        <v>0</v>
      </c>
      <c r="BN26" s="11">
        <f t="shared" si="16"/>
        <v>0</v>
      </c>
      <c r="BO26" s="11">
        <f t="shared" si="16"/>
        <v>0</v>
      </c>
      <c r="BP26" s="11">
        <f t="shared" si="16"/>
        <v>0</v>
      </c>
      <c r="BQ26" s="11">
        <f t="shared" si="16"/>
        <v>0</v>
      </c>
      <c r="BR26" s="11">
        <f t="shared" si="16"/>
        <v>0</v>
      </c>
      <c r="BS26" s="11">
        <f t="shared" si="16"/>
        <v>0</v>
      </c>
      <c r="BT26" s="11">
        <f t="shared" si="16"/>
        <v>0</v>
      </c>
      <c r="BU26" s="11">
        <f t="shared" si="16"/>
        <v>0</v>
      </c>
      <c r="BV26" s="11">
        <f t="shared" si="16"/>
        <v>0</v>
      </c>
      <c r="BW26" s="11">
        <f t="shared" si="16"/>
        <v>0</v>
      </c>
      <c r="BX26" s="11">
        <f t="shared" si="16"/>
        <v>0</v>
      </c>
      <c r="BY26" s="11">
        <f t="shared" si="16"/>
        <v>236148.74</v>
      </c>
      <c r="BZ26" s="11">
        <f t="shared" si="16"/>
        <v>0</v>
      </c>
      <c r="CA26" s="11">
        <f t="shared" ref="CA26:DF26" si="17">CA139</f>
        <v>331796.92</v>
      </c>
      <c r="CB26" s="11">
        <f t="shared" si="17"/>
        <v>3220.89</v>
      </c>
      <c r="CC26" s="11">
        <f t="shared" si="17"/>
        <v>92427.29</v>
      </c>
      <c r="CD26" s="11">
        <f t="shared" si="17"/>
        <v>0</v>
      </c>
      <c r="CE26" s="11">
        <f t="shared" si="17"/>
        <v>300967.81</v>
      </c>
      <c r="CF26" s="11">
        <f t="shared" si="17"/>
        <v>64819.070000000007</v>
      </c>
      <c r="CG26" s="11">
        <f t="shared" si="17"/>
        <v>0</v>
      </c>
      <c r="CH26" s="11">
        <f t="shared" si="17"/>
        <v>64819.070000000007</v>
      </c>
      <c r="CI26" s="11">
        <f t="shared" si="17"/>
        <v>236148.74</v>
      </c>
      <c r="CJ26" s="11">
        <f t="shared" si="17"/>
        <v>0</v>
      </c>
      <c r="CK26" s="11">
        <f t="shared" si="17"/>
        <v>0</v>
      </c>
      <c r="CL26" s="11">
        <f t="shared" si="17"/>
        <v>0</v>
      </c>
      <c r="CM26" s="11">
        <f t="shared" si="17"/>
        <v>0</v>
      </c>
      <c r="CN26" s="11">
        <f t="shared" si="17"/>
        <v>0</v>
      </c>
      <c r="CO26" s="11">
        <f t="shared" si="17"/>
        <v>0</v>
      </c>
      <c r="CP26" s="11">
        <f t="shared" si="17"/>
        <v>0</v>
      </c>
      <c r="CQ26" s="11">
        <f t="shared" si="17"/>
        <v>0</v>
      </c>
      <c r="CR26" s="11">
        <f t="shared" si="17"/>
        <v>0</v>
      </c>
      <c r="CS26" s="11">
        <f t="shared" si="17"/>
        <v>0</v>
      </c>
      <c r="CT26" s="11">
        <f t="shared" si="17"/>
        <v>0</v>
      </c>
      <c r="CU26" s="11">
        <f t="shared" si="17"/>
        <v>0</v>
      </c>
      <c r="CV26" s="11">
        <f t="shared" si="17"/>
        <v>0</v>
      </c>
      <c r="CW26" s="11">
        <f t="shared" si="17"/>
        <v>0</v>
      </c>
      <c r="CX26" s="11">
        <f t="shared" si="17"/>
        <v>0</v>
      </c>
      <c r="CY26" s="11">
        <f t="shared" si="17"/>
        <v>0</v>
      </c>
      <c r="CZ26" s="11">
        <f t="shared" si="17"/>
        <v>0</v>
      </c>
      <c r="DA26" s="11">
        <f t="shared" si="17"/>
        <v>0</v>
      </c>
      <c r="DB26" s="11">
        <f t="shared" si="17"/>
        <v>0</v>
      </c>
      <c r="DC26" s="11">
        <f t="shared" si="17"/>
        <v>0</v>
      </c>
      <c r="DD26" s="11">
        <f t="shared" si="17"/>
        <v>0</v>
      </c>
      <c r="DE26" s="11">
        <f t="shared" si="17"/>
        <v>0</v>
      </c>
      <c r="DF26" s="11">
        <f t="shared" si="17"/>
        <v>0</v>
      </c>
      <c r="DG26" s="12">
        <f t="shared" ref="DG26:EL26" si="18">DG139</f>
        <v>2923829.43</v>
      </c>
      <c r="DH26" s="12">
        <f t="shared" si="18"/>
        <v>2214408.86</v>
      </c>
      <c r="DI26" s="12">
        <f t="shared" si="18"/>
        <v>42324.49</v>
      </c>
      <c r="DJ26" s="12">
        <f t="shared" si="18"/>
        <v>18628.18</v>
      </c>
      <c r="DK26" s="12">
        <f t="shared" si="18"/>
        <v>667096.07999999996</v>
      </c>
      <c r="DL26" s="12">
        <f t="shared" si="18"/>
        <v>0</v>
      </c>
      <c r="DM26" s="12">
        <f t="shared" si="18"/>
        <v>925.57626372000004</v>
      </c>
      <c r="DN26" s="12">
        <f t="shared" si="18"/>
        <v>0</v>
      </c>
      <c r="DO26" s="12">
        <f t="shared" si="18"/>
        <v>0</v>
      </c>
      <c r="DP26" s="12">
        <f t="shared" si="18"/>
        <v>619612.88</v>
      </c>
      <c r="DQ26" s="12">
        <f t="shared" si="18"/>
        <v>320465.62</v>
      </c>
      <c r="DR26" s="12">
        <f t="shared" si="18"/>
        <v>0</v>
      </c>
      <c r="DS26" s="12">
        <f t="shared" si="18"/>
        <v>0</v>
      </c>
      <c r="DT26" s="12">
        <f t="shared" si="18"/>
        <v>2923829.43</v>
      </c>
      <c r="DU26" s="12">
        <f t="shared" si="18"/>
        <v>2214408.86</v>
      </c>
      <c r="DV26" s="12">
        <f t="shared" si="18"/>
        <v>42324.49</v>
      </c>
      <c r="DW26" s="12">
        <f t="shared" si="18"/>
        <v>18628.18</v>
      </c>
      <c r="DX26" s="12">
        <f t="shared" si="18"/>
        <v>667096.07999999996</v>
      </c>
      <c r="DY26" s="12">
        <f t="shared" si="18"/>
        <v>0</v>
      </c>
      <c r="DZ26" s="12">
        <f t="shared" si="18"/>
        <v>925.57626372000004</v>
      </c>
      <c r="EA26" s="12">
        <f t="shared" si="18"/>
        <v>0</v>
      </c>
      <c r="EB26" s="12">
        <f t="shared" si="18"/>
        <v>0</v>
      </c>
      <c r="EC26" s="12">
        <f t="shared" si="18"/>
        <v>619612.88</v>
      </c>
      <c r="ED26" s="12">
        <f t="shared" si="18"/>
        <v>320465.62</v>
      </c>
      <c r="EE26" s="12">
        <f t="shared" si="18"/>
        <v>0</v>
      </c>
      <c r="EF26" s="12">
        <f t="shared" si="18"/>
        <v>0</v>
      </c>
      <c r="EG26" s="12">
        <f t="shared" si="18"/>
        <v>0</v>
      </c>
      <c r="EH26" s="12">
        <f t="shared" si="18"/>
        <v>1878382.1</v>
      </c>
      <c r="EI26" s="12">
        <f t="shared" si="18"/>
        <v>0</v>
      </c>
      <c r="EJ26" s="12">
        <f t="shared" si="18"/>
        <v>3863907.93</v>
      </c>
      <c r="EK26" s="12">
        <f t="shared" si="18"/>
        <v>110156.25</v>
      </c>
      <c r="EL26" s="12">
        <f t="shared" si="18"/>
        <v>1875369.58</v>
      </c>
      <c r="EM26" s="12">
        <f t="shared" ref="EM26:FR26" si="19">EM139</f>
        <v>0</v>
      </c>
      <c r="EN26" s="12">
        <f t="shared" si="19"/>
        <v>2214408.86</v>
      </c>
      <c r="EO26" s="12">
        <f t="shared" si="19"/>
        <v>336026.76</v>
      </c>
      <c r="EP26" s="12">
        <f t="shared" si="19"/>
        <v>0</v>
      </c>
      <c r="EQ26" s="12">
        <f t="shared" si="19"/>
        <v>336026.76</v>
      </c>
      <c r="ER26" s="12">
        <f t="shared" si="19"/>
        <v>1878382.1</v>
      </c>
      <c r="ES26" s="12">
        <f t="shared" si="19"/>
        <v>0</v>
      </c>
      <c r="ET26" s="12">
        <f t="shared" si="19"/>
        <v>0</v>
      </c>
      <c r="EU26" s="12">
        <f t="shared" si="19"/>
        <v>0</v>
      </c>
      <c r="EV26" s="12">
        <f t="shared" si="19"/>
        <v>0</v>
      </c>
      <c r="EW26" s="12">
        <f t="shared" si="19"/>
        <v>0</v>
      </c>
      <c r="EX26" s="12">
        <f t="shared" si="19"/>
        <v>0</v>
      </c>
      <c r="EY26" s="12">
        <f t="shared" si="19"/>
        <v>0</v>
      </c>
      <c r="EZ26" s="12">
        <f t="shared" si="19"/>
        <v>0</v>
      </c>
      <c r="FA26" s="12">
        <f t="shared" si="19"/>
        <v>0</v>
      </c>
      <c r="FB26" s="12">
        <f t="shared" si="19"/>
        <v>0</v>
      </c>
      <c r="FC26" s="12">
        <f t="shared" si="19"/>
        <v>0</v>
      </c>
      <c r="FD26" s="12">
        <f t="shared" si="19"/>
        <v>0</v>
      </c>
      <c r="FE26" s="12">
        <f t="shared" si="19"/>
        <v>0</v>
      </c>
      <c r="FF26" s="12">
        <f t="shared" si="19"/>
        <v>0</v>
      </c>
      <c r="FG26" s="12">
        <f t="shared" si="19"/>
        <v>0</v>
      </c>
      <c r="FH26" s="12">
        <f t="shared" si="19"/>
        <v>0</v>
      </c>
      <c r="FI26" s="12">
        <f t="shared" si="19"/>
        <v>0</v>
      </c>
      <c r="FJ26" s="12">
        <f t="shared" si="19"/>
        <v>0</v>
      </c>
      <c r="FK26" s="12">
        <f t="shared" si="19"/>
        <v>0</v>
      </c>
      <c r="FL26" s="12">
        <f t="shared" si="19"/>
        <v>0</v>
      </c>
      <c r="FM26" s="12">
        <f t="shared" si="19"/>
        <v>0</v>
      </c>
      <c r="FN26" s="12">
        <f t="shared" si="19"/>
        <v>0</v>
      </c>
      <c r="FO26" s="12">
        <f t="shared" si="19"/>
        <v>0</v>
      </c>
      <c r="FP26" s="12">
        <f t="shared" si="19"/>
        <v>0</v>
      </c>
      <c r="FQ26" s="12">
        <f t="shared" si="19"/>
        <v>1878382.1</v>
      </c>
      <c r="FR26" s="12">
        <f t="shared" si="19"/>
        <v>0</v>
      </c>
      <c r="FS26" s="12">
        <f t="shared" ref="FS26:GX26" si="20">FS139</f>
        <v>3863907.93</v>
      </c>
      <c r="FT26" s="12">
        <f t="shared" si="20"/>
        <v>110156.25</v>
      </c>
      <c r="FU26" s="12">
        <f t="shared" si="20"/>
        <v>1875369.58</v>
      </c>
      <c r="FV26" s="12">
        <f t="shared" si="20"/>
        <v>0</v>
      </c>
      <c r="FW26" s="12">
        <f t="shared" si="20"/>
        <v>2214408.86</v>
      </c>
      <c r="FX26" s="12">
        <f t="shared" si="20"/>
        <v>336026.75999999978</v>
      </c>
      <c r="FY26" s="12">
        <f t="shared" si="20"/>
        <v>0</v>
      </c>
      <c r="FZ26" s="12">
        <f t="shared" si="20"/>
        <v>336026.75999999978</v>
      </c>
      <c r="GA26" s="12">
        <f t="shared" si="20"/>
        <v>1878382.1</v>
      </c>
      <c r="GB26" s="12">
        <f t="shared" si="20"/>
        <v>0</v>
      </c>
      <c r="GC26" s="12">
        <f t="shared" si="20"/>
        <v>0</v>
      </c>
      <c r="GD26" s="12">
        <f t="shared" si="20"/>
        <v>0</v>
      </c>
      <c r="GE26" s="12">
        <f t="shared" si="20"/>
        <v>0</v>
      </c>
      <c r="GF26" s="12">
        <f t="shared" si="20"/>
        <v>0</v>
      </c>
      <c r="GG26" s="12">
        <f t="shared" si="20"/>
        <v>0</v>
      </c>
      <c r="GH26" s="12">
        <f t="shared" si="20"/>
        <v>0</v>
      </c>
      <c r="GI26" s="12">
        <f t="shared" si="20"/>
        <v>0</v>
      </c>
      <c r="GJ26" s="12">
        <f t="shared" si="20"/>
        <v>0</v>
      </c>
      <c r="GK26" s="12">
        <f t="shared" si="20"/>
        <v>0</v>
      </c>
      <c r="GL26" s="12">
        <f t="shared" si="20"/>
        <v>0</v>
      </c>
      <c r="GM26" s="12">
        <f t="shared" si="20"/>
        <v>0</v>
      </c>
      <c r="GN26" s="12">
        <f t="shared" si="20"/>
        <v>0</v>
      </c>
      <c r="GO26" s="12">
        <f t="shared" si="20"/>
        <v>0</v>
      </c>
      <c r="GP26" s="12">
        <f t="shared" si="20"/>
        <v>0</v>
      </c>
      <c r="GQ26" s="12">
        <f t="shared" si="20"/>
        <v>0</v>
      </c>
      <c r="GR26" s="12">
        <f t="shared" si="20"/>
        <v>0</v>
      </c>
      <c r="GS26" s="12">
        <f t="shared" si="20"/>
        <v>0</v>
      </c>
      <c r="GT26" s="12">
        <f t="shared" si="20"/>
        <v>0</v>
      </c>
      <c r="GU26" s="12">
        <f t="shared" si="20"/>
        <v>0</v>
      </c>
      <c r="GV26" s="12">
        <f t="shared" si="20"/>
        <v>0</v>
      </c>
      <c r="GW26" s="12">
        <f t="shared" si="20"/>
        <v>0</v>
      </c>
      <c r="GX26" s="12">
        <f t="shared" si="20"/>
        <v>0</v>
      </c>
    </row>
    <row r="28" spans="1:255" x14ac:dyDescent="0.2">
      <c r="A28" s="2">
        <v>17</v>
      </c>
      <c r="B28" s="2">
        <v>1</v>
      </c>
      <c r="C28" s="2">
        <f>ROW(SmtRes!A10)</f>
        <v>10</v>
      </c>
      <c r="D28" s="2">
        <f>ROW(EtalonRes!A11)</f>
        <v>11</v>
      </c>
      <c r="E28" s="2" t="s">
        <v>20</v>
      </c>
      <c r="F28" s="2" t="s">
        <v>21</v>
      </c>
      <c r="G28" s="2" t="s">
        <v>22</v>
      </c>
      <c r="H28" s="2" t="s">
        <v>23</v>
      </c>
      <c r="I28" s="2">
        <v>2</v>
      </c>
      <c r="J28" s="2">
        <v>0</v>
      </c>
      <c r="K28" s="2">
        <v>2</v>
      </c>
      <c r="L28" s="2"/>
      <c r="M28" s="2"/>
      <c r="N28" s="2"/>
      <c r="O28" s="2">
        <f t="shared" ref="O28:O59" si="21">ROUND(CP28,2)</f>
        <v>908.21</v>
      </c>
      <c r="P28" s="2">
        <f t="shared" ref="P28:P45" si="22">ROUND((ROUND((AC28*AW28*I28),2)*BC28),2)</f>
        <v>70.209999999999994</v>
      </c>
      <c r="Q28" s="2">
        <f>(ROUND((ROUND(((((ET28*0.75)*1.2))*AV28*I28),2)*BB28),2)+ROUND((ROUND(((AE28-(((EU28*0.75)*1.2)))*AV28*I28),2)*BS28),2))</f>
        <v>80.819999999999993</v>
      </c>
      <c r="R28" s="2">
        <f>(ROUND((ROUND(((((EU28*0.75)*1.2))*AV28*I28),2)*BS28),2)+ROUND((ROUND(((AE28-(((EU28*0.75)*1.2)))*AV28*I28),2)*BS28),2))</f>
        <v>5.57</v>
      </c>
      <c r="S28" s="2">
        <f t="shared" ref="S28:S59" si="23">ROUND((ROUND((AF28*AV28*I28),2)*BA28),2)</f>
        <v>757.18</v>
      </c>
      <c r="T28" s="2">
        <f t="shared" ref="T28:T59" si="24">ROUND(CU28*I28,2)</f>
        <v>0</v>
      </c>
      <c r="U28" s="2">
        <f t="shared" ref="U28:U59" si="25">CV28*I28</f>
        <v>61.459199999999989</v>
      </c>
      <c r="V28" s="2">
        <f t="shared" ref="V28:V59" si="26">CW28*I28</f>
        <v>0</v>
      </c>
      <c r="W28" s="2">
        <f t="shared" ref="W28:W59" si="27">ROUND(CX28*I28,2)</f>
        <v>0</v>
      </c>
      <c r="X28" s="2">
        <f>(ROUND((((S28+ROUND((ROUND(((((EU28*0.75)*1.2))*AV28*I28),2)*BS28),2))*AT28)/100),2)+ROUND(((ROUND((ROUND(((AE28-(((EU28*0.75)*1.2)))*AV28*I28),2)*BS28),2)*AT28)/100),2))</f>
        <v>694.1</v>
      </c>
      <c r="Y28" s="2">
        <f>(ROUND((((S28+ROUND((ROUND(((((EU28*0.75)*1.2))*AV28*I28),2)*BS28),2))*AU28)/100),2)+ROUND(((ROUND((ROUND(((AE28-(((EU28*0.75)*1.2)))*AV28*I28),2)*BS28),2)*AU28)/100),2))</f>
        <v>358.49</v>
      </c>
      <c r="Z28" s="2"/>
      <c r="AA28" s="2">
        <v>85739205</v>
      </c>
      <c r="AB28" s="2">
        <f t="shared" ref="AB28:AB59" si="28">ROUND((AC28+AD28+AF28),6)</f>
        <v>426.83550000000002</v>
      </c>
      <c r="AC28" s="2">
        <f>ROUND((((ES28*0.75)*1)),6)</f>
        <v>34.147500000000001</v>
      </c>
      <c r="AD28" s="2">
        <f>ROUND((((((ET28*0.75)*1.2))-(((EU28*0.75)*1.2)))+AE28),6)</f>
        <v>37.872</v>
      </c>
      <c r="AE28" s="2">
        <f>ROUND((((EU28*0.75)*1.2)),6)</f>
        <v>2.61</v>
      </c>
      <c r="AF28" s="2">
        <f>ROUND((((EV28*0.75)*1.2)),6)</f>
        <v>354.81599999999997</v>
      </c>
      <c r="AG28" s="2">
        <f t="shared" ref="AG28:AG59" si="29">ROUND((AP28),6)</f>
        <v>0</v>
      </c>
      <c r="AH28" s="2">
        <f>(((EW28*0.75)*1.2))</f>
        <v>28.799999999999997</v>
      </c>
      <c r="AI28" s="2">
        <f>(((EX28*0.75)*1.2))</f>
        <v>0</v>
      </c>
      <c r="AJ28" s="2">
        <f t="shared" ref="AJ28:AJ59" si="30">(AS28)</f>
        <v>0</v>
      </c>
      <c r="AK28" s="2">
        <v>481.85</v>
      </c>
      <c r="AL28" s="2">
        <v>45.53</v>
      </c>
      <c r="AM28" s="2">
        <v>42.08</v>
      </c>
      <c r="AN28" s="2">
        <v>2.9</v>
      </c>
      <c r="AO28" s="2">
        <v>394.24</v>
      </c>
      <c r="AP28" s="2">
        <v>0</v>
      </c>
      <c r="AQ28" s="2">
        <v>32</v>
      </c>
      <c r="AR28" s="2">
        <v>0</v>
      </c>
      <c r="AS28" s="2">
        <v>0</v>
      </c>
      <c r="AT28" s="2">
        <v>91</v>
      </c>
      <c r="AU28" s="2">
        <v>47</v>
      </c>
      <c r="AV28" s="2">
        <v>1.0669999999999999</v>
      </c>
      <c r="AW28" s="2">
        <v>1.028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2</v>
      </c>
      <c r="BJ28" s="2" t="s">
        <v>24</v>
      </c>
      <c r="BK28" s="2"/>
      <c r="BL28" s="2"/>
      <c r="BM28" s="2">
        <v>66</v>
      </c>
      <c r="BN28" s="2">
        <v>0</v>
      </c>
      <c r="BO28" s="2" t="s">
        <v>21</v>
      </c>
      <c r="BP28" s="2">
        <v>1</v>
      </c>
      <c r="BQ28" s="2">
        <v>40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91</v>
      </c>
      <c r="CA28" s="2">
        <v>47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676</v>
      </c>
      <c r="CO28" s="2">
        <v>0</v>
      </c>
      <c r="CP28" s="2">
        <f t="shared" ref="CP28:CP59" si="31">(P28+Q28+S28)</f>
        <v>908.20999999999992</v>
      </c>
      <c r="CQ28" s="2">
        <f t="shared" ref="CQ28:CQ45" si="32">ROUND((ROUND((AC28*AW28*1),2)*BC28),2)</f>
        <v>35.1</v>
      </c>
      <c r="CR28" s="2">
        <f>(ROUND((ROUND(((((ET28*0.75)*1.2))*AV28*1),2)*BB28),2)+ROUND((ROUND(((AE28-(((EU28*0.75)*1.2)))*AV28*1),2)*BS28),2))</f>
        <v>40.409999999999997</v>
      </c>
      <c r="CS28" s="2">
        <f>(ROUND((ROUND(((((EU28*0.75)*1.2))*AV28*1),2)*BS28),2)+ROUND((ROUND(((AE28-(((EU28*0.75)*1.2)))*AV28*1),2)*BS28),2))</f>
        <v>2.78</v>
      </c>
      <c r="CT28" s="2">
        <f t="shared" ref="CT28:CT59" si="33">ROUND((ROUND((AF28*AV28*1),2)*BA28),2)</f>
        <v>378.59</v>
      </c>
      <c r="CU28" s="2">
        <f t="shared" ref="CU28:CU59" si="34">AG28</f>
        <v>0</v>
      </c>
      <c r="CV28" s="2">
        <f t="shared" ref="CV28:CV59" si="35">(AH28*AV28)</f>
        <v>30.729599999999994</v>
      </c>
      <c r="CW28" s="2">
        <f t="shared" ref="CW28:CW59" si="36">AI28</f>
        <v>0</v>
      </c>
      <c r="CX28" s="2">
        <f t="shared" ref="CX28:CX59" si="37">AJ28</f>
        <v>0</v>
      </c>
      <c r="CY28" s="2">
        <f>(ROUND((((S28+ROUND((ROUND(((((EU28*0.75)*1.2))*AV28*1),2)*BS28),2))*AT28)/100),2)+ROUND(((ROUND((ROUND(((AE28-(((EU28*0.75)*1.2)))*AV28*1),2)*BS28),2)*AT28)/100),2))</f>
        <v>691.56</v>
      </c>
      <c r="CZ28" s="2">
        <f>(ROUND((((S28+ROUND((ROUND(((((EU28*0.75)*1.2))*AV28*1),2)*BS28),2))*AU28)/100),2)+ROUND(((ROUND((ROUND(((AE28-(((EU28*0.75)*1.2)))*AV28*1),2)*BS28),2)*AU28)/100),2))</f>
        <v>357.18</v>
      </c>
      <c r="DA28" s="2"/>
      <c r="DB28" s="2">
        <v>1</v>
      </c>
      <c r="DC28" s="2" t="s">
        <v>3</v>
      </c>
      <c r="DD28" s="2" t="s">
        <v>25</v>
      </c>
      <c r="DE28" s="2" t="s">
        <v>26</v>
      </c>
      <c r="DF28" s="2" t="s">
        <v>26</v>
      </c>
      <c r="DG28" s="2" t="s">
        <v>26</v>
      </c>
      <c r="DH28" s="2" t="s">
        <v>3</v>
      </c>
      <c r="DI28" s="2" t="s">
        <v>26</v>
      </c>
      <c r="DJ28" s="2" t="s">
        <v>26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1013</v>
      </c>
      <c r="DV28" s="2" t="s">
        <v>23</v>
      </c>
      <c r="DW28" s="2" t="s">
        <v>23</v>
      </c>
      <c r="DX28" s="2">
        <v>1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85133415</v>
      </c>
      <c r="EF28" s="2">
        <v>40</v>
      </c>
      <c r="EG28" s="2" t="s">
        <v>27</v>
      </c>
      <c r="EH28" s="2">
        <v>0</v>
      </c>
      <c r="EI28" s="2" t="s">
        <v>3</v>
      </c>
      <c r="EJ28" s="2">
        <v>2</v>
      </c>
      <c r="EK28" s="2">
        <v>66</v>
      </c>
      <c r="EL28" s="2" t="s">
        <v>28</v>
      </c>
      <c r="EM28" s="2" t="s">
        <v>29</v>
      </c>
      <c r="EN28" s="2"/>
      <c r="EO28" s="2" t="s">
        <v>30</v>
      </c>
      <c r="EP28" s="2"/>
      <c r="EQ28" s="2">
        <v>0</v>
      </c>
      <c r="ER28" s="2">
        <v>481.85</v>
      </c>
      <c r="ES28" s="2">
        <v>45.53</v>
      </c>
      <c r="ET28" s="2">
        <v>42.08</v>
      </c>
      <c r="EU28" s="2">
        <v>2.9</v>
      </c>
      <c r="EV28" s="2">
        <v>394.24</v>
      </c>
      <c r="EW28" s="2">
        <v>32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2</v>
      </c>
      <c r="FT28" s="2"/>
      <c r="FU28" s="2"/>
      <c r="FV28" s="2"/>
      <c r="FW28" s="2"/>
      <c r="FX28" s="2">
        <v>91</v>
      </c>
      <c r="FY28" s="2">
        <v>47</v>
      </c>
      <c r="FZ28" s="2"/>
      <c r="GA28" s="2" t="s">
        <v>3</v>
      </c>
      <c r="GB28" s="2"/>
      <c r="GC28" s="2"/>
      <c r="GD28" s="2">
        <v>1</v>
      </c>
      <c r="GE28" s="2"/>
      <c r="GF28" s="2">
        <v>2029985936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59" si="38">ROUND(IF(AND(BH28=3,BI28=3,FS28&lt;&gt;0),P28,0),2)</f>
        <v>0</v>
      </c>
      <c r="GM28" s="2">
        <f t="shared" ref="GM28:GM59" si="39">ROUND(O28+X28+Y28,2)+GX28</f>
        <v>1960.8</v>
      </c>
      <c r="GN28" s="2">
        <f t="shared" ref="GN28:GN59" si="40">IF(OR(BI28=0,BI28=1),GM28-GX28,0)</f>
        <v>0</v>
      </c>
      <c r="GO28" s="2">
        <f t="shared" ref="GO28:GO59" si="41">IF(BI28=2,GM28-GX28,0)</f>
        <v>1960.8</v>
      </c>
      <c r="GP28" s="2">
        <f t="shared" ref="GP28:GP59" si="42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59" si="43">ROUND((GT28),6)</f>
        <v>0</v>
      </c>
      <c r="GW28" s="2">
        <v>1</v>
      </c>
      <c r="GX28" s="2">
        <f t="shared" ref="GX28:GX59" si="44">ROUND(HC28*I28,2)</f>
        <v>0</v>
      </c>
      <c r="GY28" s="2"/>
      <c r="GZ28" s="2"/>
      <c r="HA28" s="2">
        <v>0</v>
      </c>
      <c r="HB28" s="2">
        <v>0</v>
      </c>
      <c r="HC28" s="2">
        <f t="shared" ref="HC28:HC59" si="45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3">
        <v>17</v>
      </c>
      <c r="B29" s="3">
        <v>1</v>
      </c>
      <c r="C29" s="3">
        <f>ROW(SmtRes!A20)</f>
        <v>20</v>
      </c>
      <c r="D29" s="3">
        <f>ROW(EtalonRes!A22)</f>
        <v>22</v>
      </c>
      <c r="E29" s="3" t="s">
        <v>20</v>
      </c>
      <c r="F29" s="3" t="s">
        <v>21</v>
      </c>
      <c r="G29" s="3" t="s">
        <v>22</v>
      </c>
      <c r="H29" s="3" t="s">
        <v>23</v>
      </c>
      <c r="I29" s="3">
        <v>2</v>
      </c>
      <c r="J29" s="3">
        <v>0</v>
      </c>
      <c r="K29" s="3">
        <v>2</v>
      </c>
      <c r="O29" s="3">
        <f t="shared" si="21"/>
        <v>44699.5</v>
      </c>
      <c r="P29" s="3">
        <f t="shared" si="22"/>
        <v>841.12</v>
      </c>
      <c r="Q29" s="3">
        <f>(ROUND((ROUND(((((ET29*0.75)*1.2))*AV29*I29),2)*BB29),2)+ROUND((ROUND(((AE29-(((EU29*0.75)*1.2)))*AV29*I29),2)*BS29),2))</f>
        <v>1191.29</v>
      </c>
      <c r="R29" s="3">
        <f>(ROUND((ROUND(((((EU29*0.75)*1.2))*AV29*I29),2)*BS29),2)+ROUND((ROUND(((AE29-(((EU29*0.75)*1.2)))*AV29*I29),2)*BS29),2))</f>
        <v>313.87</v>
      </c>
      <c r="S29" s="3">
        <f t="shared" si="23"/>
        <v>42667.09</v>
      </c>
      <c r="T29" s="3">
        <f t="shared" si="24"/>
        <v>0</v>
      </c>
      <c r="U29" s="3">
        <f t="shared" si="25"/>
        <v>61.459199999999989</v>
      </c>
      <c r="V29" s="3">
        <f t="shared" si="26"/>
        <v>0</v>
      </c>
      <c r="W29" s="3">
        <f t="shared" si="27"/>
        <v>0</v>
      </c>
      <c r="X29" s="3">
        <f>(ROUND((((S29+ROUND((ROUND(((((EU29*0.75)*1.2))*AV29*I29),2)*BS29),2))*AT29)/100),2)+ROUND(((ROUND((ROUND(((AE29-(((EU29*0.75)*1.2)))*AV29*I29),2)*BS29),2)*AT29)/100),2))</f>
        <v>39112.67</v>
      </c>
      <c r="Y29" s="3">
        <f>(ROUND((((S29+ROUND((ROUND(((((EU29*0.75)*1.2))*AV29*I29),2)*BS29),2))*AU29)/100),2)+ROUND(((ROUND((ROUND(((AE29-(((EU29*0.75)*1.2)))*AV29*I29),2)*BS29),2)*AU29)/100),2))</f>
        <v>20201.05</v>
      </c>
      <c r="AA29" s="3">
        <v>85739207</v>
      </c>
      <c r="AB29" s="3">
        <f t="shared" si="28"/>
        <v>426.83550000000002</v>
      </c>
      <c r="AC29" s="3">
        <f>ROUND((((ES29*0.75)*1)),6)</f>
        <v>34.147500000000001</v>
      </c>
      <c r="AD29" s="3">
        <f>ROUND((((((ET29*0.75)*1.2))-(((EU29*0.75)*1.2)))+AE29),6)</f>
        <v>37.872</v>
      </c>
      <c r="AE29" s="3">
        <f>ROUND((((EU29*0.75)*1.2)),6)</f>
        <v>2.61</v>
      </c>
      <c r="AF29" s="3">
        <f>ROUND((((EV29*0.75)*1.2)),6)</f>
        <v>354.81599999999997</v>
      </c>
      <c r="AG29" s="3">
        <f t="shared" si="29"/>
        <v>0</v>
      </c>
      <c r="AH29" s="3">
        <f>(((EW29*0.75)*1.2))</f>
        <v>28.799999999999997</v>
      </c>
      <c r="AI29" s="3">
        <f>(((EX29*0.75)*1.2))</f>
        <v>0</v>
      </c>
      <c r="AJ29" s="3">
        <f t="shared" si="30"/>
        <v>0</v>
      </c>
      <c r="AK29" s="3">
        <v>481.85</v>
      </c>
      <c r="AL29" s="3">
        <v>45.53</v>
      </c>
      <c r="AM29" s="3">
        <v>42.08</v>
      </c>
      <c r="AN29" s="3">
        <v>2.9</v>
      </c>
      <c r="AO29" s="3">
        <v>394.24</v>
      </c>
      <c r="AP29" s="3">
        <v>0</v>
      </c>
      <c r="AQ29" s="3">
        <v>32</v>
      </c>
      <c r="AR29" s="3">
        <v>0</v>
      </c>
      <c r="AS29" s="3">
        <v>0</v>
      </c>
      <c r="AT29" s="3">
        <v>91</v>
      </c>
      <c r="AU29" s="3">
        <v>47</v>
      </c>
      <c r="AV29" s="3">
        <v>1.0669999999999999</v>
      </c>
      <c r="AW29" s="3">
        <v>1.028</v>
      </c>
      <c r="AZ29" s="3">
        <v>1</v>
      </c>
      <c r="BA29" s="3">
        <v>56.35</v>
      </c>
      <c r="BB29" s="3">
        <v>14.74</v>
      </c>
      <c r="BC29" s="3">
        <v>11.98</v>
      </c>
      <c r="BD29" s="3" t="s">
        <v>3</v>
      </c>
      <c r="BE29" s="3" t="s">
        <v>3</v>
      </c>
      <c r="BF29" s="3" t="s">
        <v>3</v>
      </c>
      <c r="BG29" s="3" t="s">
        <v>3</v>
      </c>
      <c r="BH29" s="3">
        <v>0</v>
      </c>
      <c r="BI29" s="3">
        <v>2</v>
      </c>
      <c r="BJ29" s="3" t="s">
        <v>24</v>
      </c>
      <c r="BM29" s="3">
        <v>66</v>
      </c>
      <c r="BN29" s="3">
        <v>0</v>
      </c>
      <c r="BO29" s="3" t="s">
        <v>21</v>
      </c>
      <c r="BP29" s="3">
        <v>1</v>
      </c>
      <c r="BQ29" s="3">
        <v>40</v>
      </c>
      <c r="BR29" s="3">
        <v>0</v>
      </c>
      <c r="BS29" s="3">
        <v>56.35</v>
      </c>
      <c r="BT29" s="3">
        <v>1</v>
      </c>
      <c r="BU29" s="3">
        <v>1</v>
      </c>
      <c r="BV29" s="3">
        <v>1</v>
      </c>
      <c r="BW29" s="3">
        <v>1</v>
      </c>
      <c r="BX29" s="3">
        <v>1</v>
      </c>
      <c r="BY29" s="3" t="s">
        <v>3</v>
      </c>
      <c r="BZ29" s="3">
        <v>91</v>
      </c>
      <c r="CA29" s="3">
        <v>47</v>
      </c>
      <c r="CB29" s="3" t="s">
        <v>3</v>
      </c>
      <c r="CE29" s="3">
        <v>1566</v>
      </c>
      <c r="CF29" s="3">
        <v>0</v>
      </c>
      <c r="CG29" s="3">
        <v>0</v>
      </c>
      <c r="CM29" s="3">
        <v>0</v>
      </c>
      <c r="CN29" s="3" t="s">
        <v>676</v>
      </c>
      <c r="CO29" s="3">
        <v>0</v>
      </c>
      <c r="CP29" s="3">
        <f t="shared" si="31"/>
        <v>44699.5</v>
      </c>
      <c r="CQ29" s="3">
        <f t="shared" si="32"/>
        <v>420.5</v>
      </c>
      <c r="CR29" s="3">
        <f>(ROUND((ROUND(((((ET29*0.75)*1.2))*AV29*1),2)*BB29),2)+ROUND((ROUND(((AE29-(((EU29*0.75)*1.2)))*AV29*1),2)*BS29),2))</f>
        <v>595.64</v>
      </c>
      <c r="CS29" s="3">
        <f>(ROUND((ROUND(((((EU29*0.75)*1.2))*AV29*1),2)*BS29),2)+ROUND((ROUND(((AE29-(((EU29*0.75)*1.2)))*AV29*1),2)*BS29),2))</f>
        <v>156.65</v>
      </c>
      <c r="CT29" s="3">
        <f t="shared" si="33"/>
        <v>21333.55</v>
      </c>
      <c r="CU29" s="3">
        <f t="shared" si="34"/>
        <v>0</v>
      </c>
      <c r="CV29" s="3">
        <f t="shared" si="35"/>
        <v>30.729599999999994</v>
      </c>
      <c r="CW29" s="3">
        <f t="shared" si="36"/>
        <v>0</v>
      </c>
      <c r="CX29" s="3">
        <f t="shared" si="37"/>
        <v>0</v>
      </c>
      <c r="CY29" s="3">
        <f>(ROUND((((S29+ROUND((ROUND(((((EU29*0.75)*1.2))*AV29*1),2)*BS29),2))*AT29)/100),2)+ROUND(((ROUND((ROUND(((AE29-(((EU29*0.75)*1.2)))*AV29*1),2)*BS29),2)*AT29)/100),2))</f>
        <v>38969.599999999999</v>
      </c>
      <c r="CZ29" s="3">
        <f>(ROUND((((S29+ROUND((ROUND(((((EU29*0.75)*1.2))*AV29*1),2)*BS29),2))*AU29)/100),2)+ROUND(((ROUND((ROUND(((AE29-(((EU29*0.75)*1.2)))*AV29*1),2)*BS29),2)*AU29)/100),2))</f>
        <v>20127.16</v>
      </c>
      <c r="DB29" s="3">
        <v>3</v>
      </c>
      <c r="DC29" s="3" t="s">
        <v>3</v>
      </c>
      <c r="DD29" s="3" t="s">
        <v>25</v>
      </c>
      <c r="DE29" s="3" t="s">
        <v>26</v>
      </c>
      <c r="DF29" s="3" t="s">
        <v>26</v>
      </c>
      <c r="DG29" s="3" t="s">
        <v>26</v>
      </c>
      <c r="DH29" s="3" t="s">
        <v>3</v>
      </c>
      <c r="DI29" s="3" t="s">
        <v>26</v>
      </c>
      <c r="DJ29" s="3" t="s">
        <v>26</v>
      </c>
      <c r="DK29" s="3" t="s">
        <v>3</v>
      </c>
      <c r="DL29" s="3" t="s">
        <v>3</v>
      </c>
      <c r="DM29" s="3" t="s">
        <v>3</v>
      </c>
      <c r="DN29" s="3">
        <v>0</v>
      </c>
      <c r="DO29" s="3">
        <v>0</v>
      </c>
      <c r="DP29" s="3">
        <v>1</v>
      </c>
      <c r="DQ29" s="3">
        <v>1</v>
      </c>
      <c r="DU29" s="3">
        <v>1013</v>
      </c>
      <c r="DV29" s="3" t="s">
        <v>23</v>
      </c>
      <c r="DW29" s="3" t="s">
        <v>23</v>
      </c>
      <c r="DX29" s="3">
        <v>1</v>
      </c>
      <c r="DZ29" s="3" t="s">
        <v>3</v>
      </c>
      <c r="EA29" s="3" t="s">
        <v>3</v>
      </c>
      <c r="EB29" s="3" t="s">
        <v>3</v>
      </c>
      <c r="EC29" s="3" t="s">
        <v>3</v>
      </c>
      <c r="EE29" s="3">
        <v>85133415</v>
      </c>
      <c r="EF29" s="3">
        <v>40</v>
      </c>
      <c r="EG29" s="3" t="s">
        <v>27</v>
      </c>
      <c r="EH29" s="3">
        <v>0</v>
      </c>
      <c r="EI29" s="3" t="s">
        <v>3</v>
      </c>
      <c r="EJ29" s="3">
        <v>2</v>
      </c>
      <c r="EK29" s="3">
        <v>66</v>
      </c>
      <c r="EL29" s="3" t="s">
        <v>28</v>
      </c>
      <c r="EM29" s="3" t="s">
        <v>29</v>
      </c>
      <c r="EO29" s="3" t="s">
        <v>30</v>
      </c>
      <c r="EQ29" s="3">
        <v>0</v>
      </c>
      <c r="ER29" s="3">
        <v>481.85</v>
      </c>
      <c r="ES29" s="3">
        <v>45.53</v>
      </c>
      <c r="ET29" s="3">
        <v>42.08</v>
      </c>
      <c r="EU29" s="3">
        <v>2.9</v>
      </c>
      <c r="EV29" s="3">
        <v>394.24</v>
      </c>
      <c r="EW29" s="3">
        <v>32</v>
      </c>
      <c r="EX29" s="3">
        <v>0</v>
      </c>
      <c r="EY29" s="3">
        <v>0</v>
      </c>
      <c r="FQ29" s="3">
        <v>0</v>
      </c>
      <c r="FR29" s="3">
        <v>0</v>
      </c>
      <c r="FS29" s="3">
        <v>2</v>
      </c>
      <c r="FX29" s="3">
        <v>91</v>
      </c>
      <c r="FY29" s="3">
        <v>47</v>
      </c>
      <c r="GA29" s="3" t="s">
        <v>3</v>
      </c>
      <c r="GD29" s="3">
        <v>1</v>
      </c>
      <c r="GF29" s="3">
        <v>2029985936</v>
      </c>
      <c r="GG29" s="3">
        <v>2</v>
      </c>
      <c r="GH29" s="3">
        <v>1</v>
      </c>
      <c r="GI29" s="3">
        <v>2</v>
      </c>
      <c r="GJ29" s="3">
        <v>0</v>
      </c>
      <c r="GK29" s="3">
        <v>0</v>
      </c>
      <c r="GL29" s="3">
        <f t="shared" si="38"/>
        <v>0</v>
      </c>
      <c r="GM29" s="3">
        <f t="shared" si="39"/>
        <v>104013.22</v>
      </c>
      <c r="GN29" s="3">
        <f t="shared" si="40"/>
        <v>0</v>
      </c>
      <c r="GO29" s="3">
        <f t="shared" si="41"/>
        <v>104013.22</v>
      </c>
      <c r="GP29" s="3">
        <f t="shared" si="42"/>
        <v>0</v>
      </c>
      <c r="GR29" s="3">
        <v>0</v>
      </c>
      <c r="GS29" s="3">
        <v>3</v>
      </c>
      <c r="GT29" s="3">
        <v>0</v>
      </c>
      <c r="GU29" s="3" t="s">
        <v>3</v>
      </c>
      <c r="GV29" s="3">
        <f t="shared" si="43"/>
        <v>0</v>
      </c>
      <c r="GW29" s="3">
        <v>1</v>
      </c>
      <c r="GX29" s="3">
        <f t="shared" si="44"/>
        <v>0</v>
      </c>
      <c r="HA29" s="3">
        <v>0</v>
      </c>
      <c r="HB29" s="3">
        <v>0</v>
      </c>
      <c r="HC29" s="3">
        <f t="shared" si="45"/>
        <v>0</v>
      </c>
      <c r="HE29" s="3" t="s">
        <v>3</v>
      </c>
      <c r="HF29" s="3" t="s">
        <v>3</v>
      </c>
      <c r="HM29" s="3" t="s">
        <v>3</v>
      </c>
      <c r="HN29" s="3" t="s">
        <v>3</v>
      </c>
      <c r="HO29" s="3" t="s">
        <v>3</v>
      </c>
      <c r="HP29" s="3" t="s">
        <v>3</v>
      </c>
      <c r="HQ29" s="3" t="s">
        <v>3</v>
      </c>
      <c r="HS29" s="3">
        <v>0</v>
      </c>
      <c r="IK29" s="3">
        <v>0</v>
      </c>
    </row>
    <row r="30" spans="1:255" x14ac:dyDescent="0.2">
      <c r="A30" s="2">
        <v>17</v>
      </c>
      <c r="B30" s="2">
        <v>1</v>
      </c>
      <c r="C30" s="2">
        <f>ROW(SmtRes!A30)</f>
        <v>30</v>
      </c>
      <c r="D30" s="2">
        <f>ROW(EtalonRes!A33)</f>
        <v>33</v>
      </c>
      <c r="E30" s="2" t="s">
        <v>31</v>
      </c>
      <c r="F30" s="2" t="s">
        <v>32</v>
      </c>
      <c r="G30" s="2" t="s">
        <v>33</v>
      </c>
      <c r="H30" s="2" t="s">
        <v>23</v>
      </c>
      <c r="I30" s="2">
        <f>ROUND(1,9)</f>
        <v>1</v>
      </c>
      <c r="J30" s="2">
        <v>0</v>
      </c>
      <c r="K30" s="2">
        <f>ROUND(1,9)</f>
        <v>1</v>
      </c>
      <c r="L30" s="2"/>
      <c r="M30" s="2"/>
      <c r="N30" s="2"/>
      <c r="O30" s="2">
        <f t="shared" si="21"/>
        <v>513.44000000000005</v>
      </c>
      <c r="P30" s="2">
        <f t="shared" si="22"/>
        <v>43.53</v>
      </c>
      <c r="Q30" s="2">
        <f>(ROUND((ROUND((((ET30*1.2))*AV30*I30),2)*BB30),2)+ROUND((ROUND(((AE30-((EU30*1.2)))*AV30*I30),2)*BS30),2))</f>
        <v>31.37</v>
      </c>
      <c r="R30" s="2">
        <f>(ROUND((ROUND((((EU30*1.2))*AV30*I30),2)*BS30),2)+ROUND((ROUND(((AE30-((EU30*1.2)))*AV30*I30),2)*BS30),2))</f>
        <v>0.49</v>
      </c>
      <c r="S30" s="2">
        <f t="shared" si="23"/>
        <v>438.54</v>
      </c>
      <c r="T30" s="2">
        <f t="shared" si="24"/>
        <v>0</v>
      </c>
      <c r="U30" s="2">
        <f t="shared" si="25"/>
        <v>35.595119999999994</v>
      </c>
      <c r="V30" s="2">
        <f t="shared" si="26"/>
        <v>0</v>
      </c>
      <c r="W30" s="2">
        <f t="shared" si="27"/>
        <v>0</v>
      </c>
      <c r="X30" s="2">
        <f>(ROUND((((S30+ROUND((ROUND((((EU30*1.2))*AV30*I30),2)*BS30),2))*AT30)/100),2)+ROUND(((ROUND((ROUND(((AE30-((EU30*1.2)))*AV30*I30),2)*BS30),2)*AT30)/100),2))</f>
        <v>399.52</v>
      </c>
      <c r="Y30" s="2">
        <f>(ROUND((((S30+ROUND((ROUND((((EU30*1.2))*AV30*I30),2)*BS30),2))*AU30)/100),2)+ROUND(((ROUND((ROUND(((AE30-((EU30*1.2)))*AV30*I30),2)*BS30),2)*AU30)/100),2))</f>
        <v>206.34</v>
      </c>
      <c r="Z30" s="2"/>
      <c r="AA30" s="2">
        <v>85739205</v>
      </c>
      <c r="AB30" s="2">
        <f t="shared" si="28"/>
        <v>482.74</v>
      </c>
      <c r="AC30" s="2">
        <f>ROUND(((ES30*1)),6)</f>
        <v>42.34</v>
      </c>
      <c r="AD30" s="2">
        <f>ROUND(((((ET30*1.2))-((EU30*1.2)))+AE30),6)</f>
        <v>29.4</v>
      </c>
      <c r="AE30" s="2">
        <f t="shared" ref="AE30:AF33" si="46">ROUND(((EU30*1.2)),6)</f>
        <v>0.45600000000000002</v>
      </c>
      <c r="AF30" s="2">
        <f t="shared" si="46"/>
        <v>411</v>
      </c>
      <c r="AG30" s="2">
        <f t="shared" si="29"/>
        <v>0</v>
      </c>
      <c r="AH30" s="2">
        <f t="shared" ref="AH30:AI33" si="47">((EW30*1.2))</f>
        <v>33.36</v>
      </c>
      <c r="AI30" s="2">
        <f t="shared" si="47"/>
        <v>0</v>
      </c>
      <c r="AJ30" s="2">
        <f t="shared" si="30"/>
        <v>0</v>
      </c>
      <c r="AK30" s="2">
        <v>409.34</v>
      </c>
      <c r="AL30" s="2">
        <v>42.34</v>
      </c>
      <c r="AM30" s="2">
        <v>24.5</v>
      </c>
      <c r="AN30" s="2">
        <v>0.38</v>
      </c>
      <c r="AO30" s="2">
        <v>342.5</v>
      </c>
      <c r="AP30" s="2">
        <v>0</v>
      </c>
      <c r="AQ30" s="2">
        <v>27.8</v>
      </c>
      <c r="AR30" s="2">
        <v>0</v>
      </c>
      <c r="AS30" s="2">
        <v>0</v>
      </c>
      <c r="AT30" s="2">
        <v>91</v>
      </c>
      <c r="AU30" s="2">
        <v>47</v>
      </c>
      <c r="AV30" s="2">
        <v>1.0669999999999999</v>
      </c>
      <c r="AW30" s="2">
        <v>1.028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2</v>
      </c>
      <c r="BJ30" s="2" t="s">
        <v>34</v>
      </c>
      <c r="BK30" s="2"/>
      <c r="BL30" s="2"/>
      <c r="BM30" s="2">
        <v>66</v>
      </c>
      <c r="BN30" s="2">
        <v>0</v>
      </c>
      <c r="BO30" s="2" t="s">
        <v>32</v>
      </c>
      <c r="BP30" s="2">
        <v>1</v>
      </c>
      <c r="BQ30" s="2">
        <v>40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91</v>
      </c>
      <c r="CA30" s="2">
        <v>47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677</v>
      </c>
      <c r="CO30" s="2">
        <v>0</v>
      </c>
      <c r="CP30" s="2">
        <f t="shared" si="31"/>
        <v>513.44000000000005</v>
      </c>
      <c r="CQ30" s="2">
        <f t="shared" si="32"/>
        <v>43.53</v>
      </c>
      <c r="CR30" s="2">
        <f>(ROUND((ROUND((((ET30*1.2))*AV30*1),2)*BB30),2)+ROUND((ROUND(((AE30-((EU30*1.2)))*AV30*1),2)*BS30),2))</f>
        <v>31.37</v>
      </c>
      <c r="CS30" s="2">
        <f>(ROUND((ROUND((((EU30*1.2))*AV30*1),2)*BS30),2)+ROUND((ROUND(((AE30-((EU30*1.2)))*AV30*1),2)*BS30),2))</f>
        <v>0.49</v>
      </c>
      <c r="CT30" s="2">
        <f t="shared" si="33"/>
        <v>438.54</v>
      </c>
      <c r="CU30" s="2">
        <f t="shared" si="34"/>
        <v>0</v>
      </c>
      <c r="CV30" s="2">
        <f t="shared" si="35"/>
        <v>35.595119999999994</v>
      </c>
      <c r="CW30" s="2">
        <f t="shared" si="36"/>
        <v>0</v>
      </c>
      <c r="CX30" s="2">
        <f t="shared" si="37"/>
        <v>0</v>
      </c>
      <c r="CY30" s="2">
        <f>(ROUND((((S30+ROUND((ROUND((((EU30*1.2))*AV30*1),2)*BS30),2))*AT30)/100),2)+ROUND(((ROUND((ROUND(((AE30-((EU30*1.2)))*AV30*1),2)*BS30),2)*AT30)/100),2))</f>
        <v>399.52</v>
      </c>
      <c r="CZ30" s="2">
        <f>(ROUND((((S30+ROUND((ROUND((((EU30*1.2))*AV30*1),2)*BS30),2))*AU30)/100),2)+ROUND(((ROUND((ROUND(((AE30-((EU30*1.2)))*AV30*1),2)*BS30),2)*AU30)/100),2))</f>
        <v>206.34</v>
      </c>
      <c r="DA30" s="2"/>
      <c r="DB30" s="2">
        <v>5</v>
      </c>
      <c r="DC30" s="2" t="s">
        <v>3</v>
      </c>
      <c r="DD30" s="2" t="s">
        <v>35</v>
      </c>
      <c r="DE30" s="2" t="s">
        <v>36</v>
      </c>
      <c r="DF30" s="2" t="s">
        <v>36</v>
      </c>
      <c r="DG30" s="2" t="s">
        <v>36</v>
      </c>
      <c r="DH30" s="2" t="s">
        <v>3</v>
      </c>
      <c r="DI30" s="2" t="s">
        <v>36</v>
      </c>
      <c r="DJ30" s="2" t="s">
        <v>36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1013</v>
      </c>
      <c r="DV30" s="2" t="s">
        <v>23</v>
      </c>
      <c r="DW30" s="2" t="s">
        <v>23</v>
      </c>
      <c r="DX30" s="2">
        <v>1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85133415</v>
      </c>
      <c r="EF30" s="2">
        <v>40</v>
      </c>
      <c r="EG30" s="2" t="s">
        <v>27</v>
      </c>
      <c r="EH30" s="2">
        <v>0</v>
      </c>
      <c r="EI30" s="2" t="s">
        <v>3</v>
      </c>
      <c r="EJ30" s="2">
        <v>2</v>
      </c>
      <c r="EK30" s="2">
        <v>66</v>
      </c>
      <c r="EL30" s="2" t="s">
        <v>28</v>
      </c>
      <c r="EM30" s="2" t="s">
        <v>29</v>
      </c>
      <c r="EN30" s="2"/>
      <c r="EO30" s="2" t="s">
        <v>37</v>
      </c>
      <c r="EP30" s="2"/>
      <c r="EQ30" s="2">
        <v>0</v>
      </c>
      <c r="ER30" s="2">
        <v>409.34</v>
      </c>
      <c r="ES30" s="2">
        <v>42.34</v>
      </c>
      <c r="ET30" s="2">
        <v>24.5</v>
      </c>
      <c r="EU30" s="2">
        <v>0.38</v>
      </c>
      <c r="EV30" s="2">
        <v>342.5</v>
      </c>
      <c r="EW30" s="2">
        <v>27.8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2</v>
      </c>
      <c r="FT30" s="2"/>
      <c r="FU30" s="2"/>
      <c r="FV30" s="2"/>
      <c r="FW30" s="2"/>
      <c r="FX30" s="2">
        <v>91</v>
      </c>
      <c r="FY30" s="2">
        <v>47</v>
      </c>
      <c r="FZ30" s="2"/>
      <c r="GA30" s="2" t="s">
        <v>3</v>
      </c>
      <c r="GB30" s="2"/>
      <c r="GC30" s="2"/>
      <c r="GD30" s="2">
        <v>1</v>
      </c>
      <c r="GE30" s="2"/>
      <c r="GF30" s="2">
        <v>-1722888311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38"/>
        <v>0</v>
      </c>
      <c r="GM30" s="2">
        <f t="shared" si="39"/>
        <v>1119.3</v>
      </c>
      <c r="GN30" s="2">
        <f t="shared" si="40"/>
        <v>0</v>
      </c>
      <c r="GO30" s="2">
        <f t="shared" si="41"/>
        <v>1119.3</v>
      </c>
      <c r="GP30" s="2">
        <f t="shared" si="42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43"/>
        <v>0</v>
      </c>
      <c r="GW30" s="2">
        <v>1</v>
      </c>
      <c r="GX30" s="2">
        <f t="shared" si="44"/>
        <v>0</v>
      </c>
      <c r="GY30" s="2"/>
      <c r="GZ30" s="2"/>
      <c r="HA30" s="2">
        <v>0</v>
      </c>
      <c r="HB30" s="2">
        <v>0</v>
      </c>
      <c r="HC30" s="2">
        <f t="shared" si="45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 s="3">
        <v>17</v>
      </c>
      <c r="B31" s="3">
        <v>1</v>
      </c>
      <c r="C31" s="3">
        <f>ROW(SmtRes!A40)</f>
        <v>40</v>
      </c>
      <c r="D31" s="3">
        <f>ROW(EtalonRes!A44)</f>
        <v>44</v>
      </c>
      <c r="E31" s="3" t="s">
        <v>31</v>
      </c>
      <c r="F31" s="3" t="s">
        <v>32</v>
      </c>
      <c r="G31" s="3" t="s">
        <v>33</v>
      </c>
      <c r="H31" s="3" t="s">
        <v>23</v>
      </c>
      <c r="I31" s="3">
        <f>ROUND(1,9)</f>
        <v>1</v>
      </c>
      <c r="J31" s="3">
        <v>0</v>
      </c>
      <c r="K31" s="3">
        <f>ROUND(1,9)</f>
        <v>1</v>
      </c>
      <c r="O31" s="3">
        <f t="shared" si="21"/>
        <v>25637.77</v>
      </c>
      <c r="P31" s="3">
        <f t="shared" si="22"/>
        <v>507.56</v>
      </c>
      <c r="Q31" s="3">
        <f>(ROUND((ROUND((((ET31*1.2))*AV31*I31),2)*BB31),2)+ROUND((ROUND(((AE31-((EU31*1.2)))*AV31*I31),2)*BS31),2))</f>
        <v>418.48</v>
      </c>
      <c r="R31" s="3">
        <f>(ROUND((ROUND((((EU31*1.2))*AV31*I31),2)*BS31),2)+ROUND((ROUND(((AE31-((EU31*1.2)))*AV31*I31),2)*BS31),2))</f>
        <v>27.61</v>
      </c>
      <c r="S31" s="3">
        <f t="shared" si="23"/>
        <v>24711.73</v>
      </c>
      <c r="T31" s="3">
        <f t="shared" si="24"/>
        <v>0</v>
      </c>
      <c r="U31" s="3">
        <f t="shared" si="25"/>
        <v>35.595119999999994</v>
      </c>
      <c r="V31" s="3">
        <f t="shared" si="26"/>
        <v>0</v>
      </c>
      <c r="W31" s="3">
        <f t="shared" si="27"/>
        <v>0</v>
      </c>
      <c r="X31" s="3">
        <f>(ROUND((((S31+ROUND((ROUND((((EU31*1.2))*AV31*I31),2)*BS31),2))*AT31)/100),2)+ROUND(((ROUND((ROUND(((AE31-((EU31*1.2)))*AV31*I31),2)*BS31),2)*AT31)/100),2))</f>
        <v>22512.799999999999</v>
      </c>
      <c r="Y31" s="3">
        <f>(ROUND((((S31+ROUND((ROUND((((EU31*1.2))*AV31*I31),2)*BS31),2))*AU31)/100),2)+ROUND(((ROUND((ROUND(((AE31-((EU31*1.2)))*AV31*I31),2)*BS31),2)*AU31)/100),2))</f>
        <v>11627.49</v>
      </c>
      <c r="AA31" s="3">
        <v>85739207</v>
      </c>
      <c r="AB31" s="3">
        <f t="shared" si="28"/>
        <v>482.74</v>
      </c>
      <c r="AC31" s="3">
        <f>ROUND(((ES31*1)),6)</f>
        <v>42.34</v>
      </c>
      <c r="AD31" s="3">
        <f>ROUND(((((ET31*1.2))-((EU31*1.2)))+AE31),6)</f>
        <v>29.4</v>
      </c>
      <c r="AE31" s="3">
        <f t="shared" si="46"/>
        <v>0.45600000000000002</v>
      </c>
      <c r="AF31" s="3">
        <f t="shared" si="46"/>
        <v>411</v>
      </c>
      <c r="AG31" s="3">
        <f t="shared" si="29"/>
        <v>0</v>
      </c>
      <c r="AH31" s="3">
        <f t="shared" si="47"/>
        <v>33.36</v>
      </c>
      <c r="AI31" s="3">
        <f t="shared" si="47"/>
        <v>0</v>
      </c>
      <c r="AJ31" s="3">
        <f t="shared" si="30"/>
        <v>0</v>
      </c>
      <c r="AK31" s="3">
        <v>409.34</v>
      </c>
      <c r="AL31" s="3">
        <v>42.34</v>
      </c>
      <c r="AM31" s="3">
        <v>24.5</v>
      </c>
      <c r="AN31" s="3">
        <v>0.38</v>
      </c>
      <c r="AO31" s="3">
        <v>342.5</v>
      </c>
      <c r="AP31" s="3">
        <v>0</v>
      </c>
      <c r="AQ31" s="3">
        <v>27.8</v>
      </c>
      <c r="AR31" s="3">
        <v>0</v>
      </c>
      <c r="AS31" s="3">
        <v>0</v>
      </c>
      <c r="AT31" s="3">
        <v>91</v>
      </c>
      <c r="AU31" s="3">
        <v>47</v>
      </c>
      <c r="AV31" s="3">
        <v>1.0669999999999999</v>
      </c>
      <c r="AW31" s="3">
        <v>1.028</v>
      </c>
      <c r="AZ31" s="3">
        <v>1</v>
      </c>
      <c r="BA31" s="3">
        <v>56.35</v>
      </c>
      <c r="BB31" s="3">
        <v>13.34</v>
      </c>
      <c r="BC31" s="3">
        <v>11.66</v>
      </c>
      <c r="BD31" s="3" t="s">
        <v>3</v>
      </c>
      <c r="BE31" s="3" t="s">
        <v>3</v>
      </c>
      <c r="BF31" s="3" t="s">
        <v>3</v>
      </c>
      <c r="BG31" s="3" t="s">
        <v>3</v>
      </c>
      <c r="BH31" s="3">
        <v>0</v>
      </c>
      <c r="BI31" s="3">
        <v>2</v>
      </c>
      <c r="BJ31" s="3" t="s">
        <v>34</v>
      </c>
      <c r="BM31" s="3">
        <v>66</v>
      </c>
      <c r="BN31" s="3">
        <v>0</v>
      </c>
      <c r="BO31" s="3" t="s">
        <v>32</v>
      </c>
      <c r="BP31" s="3">
        <v>1</v>
      </c>
      <c r="BQ31" s="3">
        <v>40</v>
      </c>
      <c r="BR31" s="3">
        <v>0</v>
      </c>
      <c r="BS31" s="3">
        <v>56.35</v>
      </c>
      <c r="BT31" s="3">
        <v>1</v>
      </c>
      <c r="BU31" s="3">
        <v>1</v>
      </c>
      <c r="BV31" s="3">
        <v>1</v>
      </c>
      <c r="BW31" s="3">
        <v>1</v>
      </c>
      <c r="BX31" s="3">
        <v>1</v>
      </c>
      <c r="BY31" s="3" t="s">
        <v>3</v>
      </c>
      <c r="BZ31" s="3">
        <v>91</v>
      </c>
      <c r="CA31" s="3">
        <v>47</v>
      </c>
      <c r="CB31" s="3" t="s">
        <v>3</v>
      </c>
      <c r="CE31" s="3">
        <v>1566</v>
      </c>
      <c r="CF31" s="3">
        <v>0</v>
      </c>
      <c r="CG31" s="3">
        <v>0</v>
      </c>
      <c r="CM31" s="3">
        <v>0</v>
      </c>
      <c r="CN31" s="3" t="s">
        <v>677</v>
      </c>
      <c r="CO31" s="3">
        <v>0</v>
      </c>
      <c r="CP31" s="3">
        <f t="shared" si="31"/>
        <v>25637.77</v>
      </c>
      <c r="CQ31" s="3">
        <f t="shared" si="32"/>
        <v>507.56</v>
      </c>
      <c r="CR31" s="3">
        <f>(ROUND((ROUND((((ET31*1.2))*AV31*1),2)*BB31),2)+ROUND((ROUND(((AE31-((EU31*1.2)))*AV31*1),2)*BS31),2))</f>
        <v>418.48</v>
      </c>
      <c r="CS31" s="3">
        <f>(ROUND((ROUND((((EU31*1.2))*AV31*1),2)*BS31),2)+ROUND((ROUND(((AE31-((EU31*1.2)))*AV31*1),2)*BS31),2))</f>
        <v>27.61</v>
      </c>
      <c r="CT31" s="3">
        <f t="shared" si="33"/>
        <v>24711.73</v>
      </c>
      <c r="CU31" s="3">
        <f t="shared" si="34"/>
        <v>0</v>
      </c>
      <c r="CV31" s="3">
        <f t="shared" si="35"/>
        <v>35.595119999999994</v>
      </c>
      <c r="CW31" s="3">
        <f t="shared" si="36"/>
        <v>0</v>
      </c>
      <c r="CX31" s="3">
        <f t="shared" si="37"/>
        <v>0</v>
      </c>
      <c r="CY31" s="3">
        <f>(ROUND((((S31+ROUND((ROUND((((EU31*1.2))*AV31*1),2)*BS31),2))*AT31)/100),2)+ROUND(((ROUND((ROUND(((AE31-((EU31*1.2)))*AV31*1),2)*BS31),2)*AT31)/100),2))</f>
        <v>22512.799999999999</v>
      </c>
      <c r="CZ31" s="3">
        <f>(ROUND((((S31+ROUND((ROUND((((EU31*1.2))*AV31*1),2)*BS31),2))*AU31)/100),2)+ROUND(((ROUND((ROUND(((AE31-((EU31*1.2)))*AV31*1),2)*BS31),2)*AU31)/100),2))</f>
        <v>11627.49</v>
      </c>
      <c r="DB31" s="3">
        <v>6</v>
      </c>
      <c r="DC31" s="3" t="s">
        <v>3</v>
      </c>
      <c r="DD31" s="3" t="s">
        <v>35</v>
      </c>
      <c r="DE31" s="3" t="s">
        <v>36</v>
      </c>
      <c r="DF31" s="3" t="s">
        <v>36</v>
      </c>
      <c r="DG31" s="3" t="s">
        <v>36</v>
      </c>
      <c r="DH31" s="3" t="s">
        <v>3</v>
      </c>
      <c r="DI31" s="3" t="s">
        <v>36</v>
      </c>
      <c r="DJ31" s="3" t="s">
        <v>36</v>
      </c>
      <c r="DK31" s="3" t="s">
        <v>3</v>
      </c>
      <c r="DL31" s="3" t="s">
        <v>3</v>
      </c>
      <c r="DM31" s="3" t="s">
        <v>3</v>
      </c>
      <c r="DN31" s="3">
        <v>0</v>
      </c>
      <c r="DO31" s="3">
        <v>0</v>
      </c>
      <c r="DP31" s="3">
        <v>1</v>
      </c>
      <c r="DQ31" s="3">
        <v>1</v>
      </c>
      <c r="DU31" s="3">
        <v>1013</v>
      </c>
      <c r="DV31" s="3" t="s">
        <v>23</v>
      </c>
      <c r="DW31" s="3" t="s">
        <v>23</v>
      </c>
      <c r="DX31" s="3">
        <v>1</v>
      </c>
      <c r="DZ31" s="3" t="s">
        <v>3</v>
      </c>
      <c r="EA31" s="3" t="s">
        <v>3</v>
      </c>
      <c r="EB31" s="3" t="s">
        <v>3</v>
      </c>
      <c r="EC31" s="3" t="s">
        <v>3</v>
      </c>
      <c r="EE31" s="3">
        <v>85133415</v>
      </c>
      <c r="EF31" s="3">
        <v>40</v>
      </c>
      <c r="EG31" s="3" t="s">
        <v>27</v>
      </c>
      <c r="EH31" s="3">
        <v>0</v>
      </c>
      <c r="EI31" s="3" t="s">
        <v>3</v>
      </c>
      <c r="EJ31" s="3">
        <v>2</v>
      </c>
      <c r="EK31" s="3">
        <v>66</v>
      </c>
      <c r="EL31" s="3" t="s">
        <v>28</v>
      </c>
      <c r="EM31" s="3" t="s">
        <v>29</v>
      </c>
      <c r="EO31" s="3" t="s">
        <v>37</v>
      </c>
      <c r="EQ31" s="3">
        <v>0</v>
      </c>
      <c r="ER31" s="3">
        <v>409.34</v>
      </c>
      <c r="ES31" s="3">
        <v>42.34</v>
      </c>
      <c r="ET31" s="3">
        <v>24.5</v>
      </c>
      <c r="EU31" s="3">
        <v>0.38</v>
      </c>
      <c r="EV31" s="3">
        <v>342.5</v>
      </c>
      <c r="EW31" s="3">
        <v>27.8</v>
      </c>
      <c r="EX31" s="3">
        <v>0</v>
      </c>
      <c r="EY31" s="3">
        <v>0</v>
      </c>
      <c r="FQ31" s="3">
        <v>0</v>
      </c>
      <c r="FR31" s="3">
        <v>0</v>
      </c>
      <c r="FS31" s="3">
        <v>2</v>
      </c>
      <c r="FX31" s="3">
        <v>91</v>
      </c>
      <c r="FY31" s="3">
        <v>47</v>
      </c>
      <c r="GA31" s="3" t="s">
        <v>3</v>
      </c>
      <c r="GD31" s="3">
        <v>1</v>
      </c>
      <c r="GF31" s="3">
        <v>-1722888311</v>
      </c>
      <c r="GG31" s="3">
        <v>2</v>
      </c>
      <c r="GH31" s="3">
        <v>1</v>
      </c>
      <c r="GI31" s="3">
        <v>2</v>
      </c>
      <c r="GJ31" s="3">
        <v>0</v>
      </c>
      <c r="GK31" s="3">
        <v>0</v>
      </c>
      <c r="GL31" s="3">
        <f t="shared" si="38"/>
        <v>0</v>
      </c>
      <c r="GM31" s="3">
        <f t="shared" si="39"/>
        <v>59778.06</v>
      </c>
      <c r="GN31" s="3">
        <f t="shared" si="40"/>
        <v>0</v>
      </c>
      <c r="GO31" s="3">
        <f t="shared" si="41"/>
        <v>59778.06</v>
      </c>
      <c r="GP31" s="3">
        <f t="shared" si="42"/>
        <v>0</v>
      </c>
      <c r="GR31" s="3">
        <v>0</v>
      </c>
      <c r="GS31" s="3">
        <v>3</v>
      </c>
      <c r="GT31" s="3">
        <v>0</v>
      </c>
      <c r="GU31" s="3" t="s">
        <v>3</v>
      </c>
      <c r="GV31" s="3">
        <f t="shared" si="43"/>
        <v>0</v>
      </c>
      <c r="GW31" s="3">
        <v>1</v>
      </c>
      <c r="GX31" s="3">
        <f t="shared" si="44"/>
        <v>0</v>
      </c>
      <c r="HA31" s="3">
        <v>0</v>
      </c>
      <c r="HB31" s="3">
        <v>0</v>
      </c>
      <c r="HC31" s="3">
        <f t="shared" si="45"/>
        <v>0</v>
      </c>
      <c r="HE31" s="3" t="s">
        <v>3</v>
      </c>
      <c r="HF31" s="3" t="s">
        <v>3</v>
      </c>
      <c r="HM31" s="3" t="s">
        <v>3</v>
      </c>
      <c r="HN31" s="3" t="s">
        <v>3</v>
      </c>
      <c r="HO31" s="3" t="s">
        <v>3</v>
      </c>
      <c r="HP31" s="3" t="s">
        <v>3</v>
      </c>
      <c r="HQ31" s="3" t="s">
        <v>3</v>
      </c>
      <c r="HS31" s="3">
        <v>0</v>
      </c>
      <c r="IK31" s="3">
        <v>0</v>
      </c>
    </row>
    <row r="32" spans="1:255" x14ac:dyDescent="0.2">
      <c r="A32" s="2">
        <v>17</v>
      </c>
      <c r="B32" s="2">
        <v>1</v>
      </c>
      <c r="C32" s="2">
        <f>ROW(SmtRes!A41)</f>
        <v>41</v>
      </c>
      <c r="D32" s="2">
        <f>ROW(EtalonRes!A45)</f>
        <v>45</v>
      </c>
      <c r="E32" s="2" t="s">
        <v>38</v>
      </c>
      <c r="F32" s="2" t="s">
        <v>39</v>
      </c>
      <c r="G32" s="2" t="s">
        <v>40</v>
      </c>
      <c r="H32" s="2" t="s">
        <v>41</v>
      </c>
      <c r="I32" s="2">
        <v>8.9999999999999993E-3</v>
      </c>
      <c r="J32" s="2">
        <v>0</v>
      </c>
      <c r="K32" s="2">
        <v>8.9999999999999993E-3</v>
      </c>
      <c r="L32" s="2"/>
      <c r="M32" s="2"/>
      <c r="N32" s="2"/>
      <c r="O32" s="2">
        <f t="shared" si="21"/>
        <v>100.94</v>
      </c>
      <c r="P32" s="2">
        <f t="shared" si="22"/>
        <v>1.23</v>
      </c>
      <c r="Q32" s="2">
        <f>(ROUND((ROUND((((ET32*1.2))*AV32*I32),2)*BB32),2)+ROUND((ROUND(((AE32-((EU32*1.2)))*AV32*I32),2)*BS32),2))</f>
        <v>35.340000000000003</v>
      </c>
      <c r="R32" s="2">
        <f>(ROUND((ROUND((((EU32*1.2))*AV32*I32),2)*BS32),2)+ROUND((ROUND(((AE32-((EU32*1.2)))*AV32*I32),2)*BS32),2))</f>
        <v>10.63</v>
      </c>
      <c r="S32" s="2">
        <f t="shared" si="23"/>
        <v>64.37</v>
      </c>
      <c r="T32" s="2">
        <f t="shared" si="24"/>
        <v>0</v>
      </c>
      <c r="U32" s="2">
        <f t="shared" si="25"/>
        <v>5.6119931999999997</v>
      </c>
      <c r="V32" s="2">
        <f t="shared" si="26"/>
        <v>0</v>
      </c>
      <c r="W32" s="2">
        <f t="shared" si="27"/>
        <v>0</v>
      </c>
      <c r="X32" s="2">
        <f>(ROUND((((S32+ROUND((ROUND((((EU32*1.2))*AV32*I32),2)*BS32),2))*AT32)/100),2)+ROUND(((ROUND((ROUND(((AE32-((EU32*1.2)))*AV32*I32),2)*BS32),2)*AT32)/100),2))</f>
        <v>66.75</v>
      </c>
      <c r="Y32" s="2">
        <f>(ROUND((((S32+ROUND((ROUND((((EU32*1.2))*AV32*I32),2)*BS32),2))*AU32)/100),2)+ROUND(((ROUND((ROUND(((AE32-((EU32*1.2)))*AV32*I32),2)*BS32),2)*AU32)/100),2))</f>
        <v>33.75</v>
      </c>
      <c r="Z32" s="2"/>
      <c r="AA32" s="2">
        <v>85739205</v>
      </c>
      <c r="AB32" s="2">
        <f t="shared" si="28"/>
        <v>10515.652</v>
      </c>
      <c r="AC32" s="2">
        <f>ROUND(((ES32*1)),6)</f>
        <v>133</v>
      </c>
      <c r="AD32" s="2">
        <f>ROUND(((((ET32*1.2))-((EU32*1.2)))+AE32),6)</f>
        <v>3679.5839999999998</v>
      </c>
      <c r="AE32" s="2">
        <f t="shared" si="46"/>
        <v>1107.0719999999999</v>
      </c>
      <c r="AF32" s="2">
        <f t="shared" si="46"/>
        <v>6703.0680000000002</v>
      </c>
      <c r="AG32" s="2">
        <f t="shared" si="29"/>
        <v>0</v>
      </c>
      <c r="AH32" s="2">
        <f t="shared" si="47"/>
        <v>584.4</v>
      </c>
      <c r="AI32" s="2">
        <f t="shared" si="47"/>
        <v>0</v>
      </c>
      <c r="AJ32" s="2">
        <f t="shared" si="30"/>
        <v>0</v>
      </c>
      <c r="AK32" s="2">
        <v>8785.2099999999991</v>
      </c>
      <c r="AL32" s="2">
        <v>133</v>
      </c>
      <c r="AM32" s="2">
        <v>3066.32</v>
      </c>
      <c r="AN32" s="2">
        <v>922.56</v>
      </c>
      <c r="AO32" s="2">
        <v>5585.89</v>
      </c>
      <c r="AP32" s="2">
        <v>0</v>
      </c>
      <c r="AQ32" s="2">
        <v>487</v>
      </c>
      <c r="AR32" s="2">
        <v>0</v>
      </c>
      <c r="AS32" s="2">
        <v>0</v>
      </c>
      <c r="AT32" s="2">
        <v>89</v>
      </c>
      <c r="AU32" s="2">
        <v>45</v>
      </c>
      <c r="AV32" s="2">
        <v>1.0669999999999999</v>
      </c>
      <c r="AW32" s="2">
        <v>1.028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2</v>
      </c>
      <c r="BJ32" s="2" t="s">
        <v>42</v>
      </c>
      <c r="BK32" s="2"/>
      <c r="BL32" s="2"/>
      <c r="BM32" s="2">
        <v>65</v>
      </c>
      <c r="BN32" s="2">
        <v>0</v>
      </c>
      <c r="BO32" s="2" t="s">
        <v>39</v>
      </c>
      <c r="BP32" s="2">
        <v>1</v>
      </c>
      <c r="BQ32" s="2">
        <v>40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89</v>
      </c>
      <c r="CA32" s="2">
        <v>45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677</v>
      </c>
      <c r="CO32" s="2">
        <v>0</v>
      </c>
      <c r="CP32" s="2">
        <f t="shared" si="31"/>
        <v>100.94</v>
      </c>
      <c r="CQ32" s="2">
        <f t="shared" si="32"/>
        <v>136.72</v>
      </c>
      <c r="CR32" s="2">
        <f>(ROUND((ROUND((((ET32*1.2))*AV32*1),2)*BB32),2)+ROUND((ROUND(((AE32-((EU32*1.2)))*AV32*1),2)*BS32),2))</f>
        <v>3926.12</v>
      </c>
      <c r="CS32" s="2">
        <f>(ROUND((ROUND((((EU32*1.2))*AV32*1),2)*BS32),2)+ROUND((ROUND(((AE32-((EU32*1.2)))*AV32*1),2)*BS32),2))</f>
        <v>1181.25</v>
      </c>
      <c r="CT32" s="2">
        <f t="shared" si="33"/>
        <v>7152.17</v>
      </c>
      <c r="CU32" s="2">
        <f t="shared" si="34"/>
        <v>0</v>
      </c>
      <c r="CV32" s="2">
        <f t="shared" si="35"/>
        <v>623.5548</v>
      </c>
      <c r="CW32" s="2">
        <f t="shared" si="36"/>
        <v>0</v>
      </c>
      <c r="CX32" s="2">
        <f t="shared" si="37"/>
        <v>0</v>
      </c>
      <c r="CY32" s="2">
        <f>(ROUND((((S32+ROUND((ROUND((((EU32*1.2))*AV32*1),2)*BS32),2))*AT32)/100),2)+ROUND(((ROUND((ROUND(((AE32-((EU32*1.2)))*AV32*1),2)*BS32),2)*AT32)/100),2))</f>
        <v>1108.5999999999999</v>
      </c>
      <c r="CZ32" s="2">
        <f>(ROUND((((S32+ROUND((ROUND((((EU32*1.2))*AV32*1),2)*BS32),2))*AU32)/100),2)+ROUND(((ROUND((ROUND(((AE32-((EU32*1.2)))*AV32*1),2)*BS32),2)*AU32)/100),2))</f>
        <v>560.53</v>
      </c>
      <c r="DA32" s="2"/>
      <c r="DB32" s="2">
        <v>7</v>
      </c>
      <c r="DC32" s="2" t="s">
        <v>3</v>
      </c>
      <c r="DD32" s="2" t="s">
        <v>35</v>
      </c>
      <c r="DE32" s="2" t="s">
        <v>36</v>
      </c>
      <c r="DF32" s="2" t="s">
        <v>36</v>
      </c>
      <c r="DG32" s="2" t="s">
        <v>36</v>
      </c>
      <c r="DH32" s="2" t="s">
        <v>3</v>
      </c>
      <c r="DI32" s="2" t="s">
        <v>36</v>
      </c>
      <c r="DJ32" s="2" t="s">
        <v>36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1013</v>
      </c>
      <c r="DV32" s="2" t="s">
        <v>41</v>
      </c>
      <c r="DW32" s="2" t="s">
        <v>41</v>
      </c>
      <c r="DX32" s="2">
        <v>1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85133414</v>
      </c>
      <c r="EF32" s="2">
        <v>40</v>
      </c>
      <c r="EG32" s="2" t="s">
        <v>27</v>
      </c>
      <c r="EH32" s="2">
        <v>0</v>
      </c>
      <c r="EI32" s="2" t="s">
        <v>3</v>
      </c>
      <c r="EJ32" s="2">
        <v>2</v>
      </c>
      <c r="EK32" s="2">
        <v>65</v>
      </c>
      <c r="EL32" s="2" t="s">
        <v>43</v>
      </c>
      <c r="EM32" s="2" t="s">
        <v>44</v>
      </c>
      <c r="EN32" s="2"/>
      <c r="EO32" s="2" t="s">
        <v>37</v>
      </c>
      <c r="EP32" s="2"/>
      <c r="EQ32" s="2">
        <v>0</v>
      </c>
      <c r="ER32" s="2">
        <v>8785.2099999999991</v>
      </c>
      <c r="ES32" s="2">
        <v>133</v>
      </c>
      <c r="ET32" s="2">
        <v>3066.32</v>
      </c>
      <c r="EU32" s="2">
        <v>922.56</v>
      </c>
      <c r="EV32" s="2">
        <v>5585.89</v>
      </c>
      <c r="EW32" s="2">
        <v>487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2</v>
      </c>
      <c r="FT32" s="2"/>
      <c r="FU32" s="2"/>
      <c r="FV32" s="2"/>
      <c r="FW32" s="2"/>
      <c r="FX32" s="2">
        <v>89</v>
      </c>
      <c r="FY32" s="2">
        <v>45</v>
      </c>
      <c r="FZ32" s="2"/>
      <c r="GA32" s="2" t="s">
        <v>3</v>
      </c>
      <c r="GB32" s="2"/>
      <c r="GC32" s="2"/>
      <c r="GD32" s="2">
        <v>1</v>
      </c>
      <c r="GE32" s="2"/>
      <c r="GF32" s="2">
        <v>-966979253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38"/>
        <v>0</v>
      </c>
      <c r="GM32" s="2">
        <f t="shared" si="39"/>
        <v>201.44</v>
      </c>
      <c r="GN32" s="2">
        <f t="shared" si="40"/>
        <v>0</v>
      </c>
      <c r="GO32" s="2">
        <f t="shared" si="41"/>
        <v>201.44</v>
      </c>
      <c r="GP32" s="2">
        <f t="shared" si="42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43"/>
        <v>0</v>
      </c>
      <c r="GW32" s="2">
        <v>1</v>
      </c>
      <c r="GX32" s="2">
        <f t="shared" si="44"/>
        <v>0</v>
      </c>
      <c r="GY32" s="2"/>
      <c r="GZ32" s="2"/>
      <c r="HA32" s="2">
        <v>0</v>
      </c>
      <c r="HB32" s="2">
        <v>0</v>
      </c>
      <c r="HC32" s="2">
        <f t="shared" si="45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3">
        <v>17</v>
      </c>
      <c r="B33" s="3">
        <v>1</v>
      </c>
      <c r="C33" s="3">
        <f>ROW(SmtRes!A42)</f>
        <v>42</v>
      </c>
      <c r="D33" s="3">
        <f>ROW(EtalonRes!A46)</f>
        <v>46</v>
      </c>
      <c r="E33" s="3" t="s">
        <v>38</v>
      </c>
      <c r="F33" s="3" t="s">
        <v>39</v>
      </c>
      <c r="G33" s="3" t="s">
        <v>40</v>
      </c>
      <c r="H33" s="3" t="s">
        <v>41</v>
      </c>
      <c r="I33" s="3">
        <v>8.9999999999999993E-3</v>
      </c>
      <c r="J33" s="3">
        <v>0</v>
      </c>
      <c r="K33" s="3">
        <v>8.9999999999999993E-3</v>
      </c>
      <c r="O33" s="3">
        <f t="shared" si="21"/>
        <v>4509.42</v>
      </c>
      <c r="P33" s="3">
        <f t="shared" si="22"/>
        <v>12.1</v>
      </c>
      <c r="Q33" s="3">
        <f>(ROUND((ROUND((((ET33*1.2))*AV33*I33),2)*BB33),2)+ROUND((ROUND(((AE33-((EU33*1.2)))*AV33*I33),2)*BS33),2))</f>
        <v>870.07</v>
      </c>
      <c r="R33" s="3">
        <f>(ROUND((ROUND((((EU33*1.2))*AV33*I33),2)*BS33),2)+ROUND((ROUND(((AE33-((EU33*1.2)))*AV33*I33),2)*BS33),2))</f>
        <v>599</v>
      </c>
      <c r="S33" s="3">
        <f t="shared" si="23"/>
        <v>3627.25</v>
      </c>
      <c r="T33" s="3">
        <f t="shared" si="24"/>
        <v>0</v>
      </c>
      <c r="U33" s="3">
        <f t="shared" si="25"/>
        <v>5.6119931999999997</v>
      </c>
      <c r="V33" s="3">
        <f t="shared" si="26"/>
        <v>0</v>
      </c>
      <c r="W33" s="3">
        <f t="shared" si="27"/>
        <v>0</v>
      </c>
      <c r="X33" s="3">
        <f>(ROUND((((S33+ROUND((ROUND((((EU33*1.2))*AV33*I33),2)*BS33),2))*AT33)/100),2)+ROUND(((ROUND((ROUND(((AE33-((EU33*1.2)))*AV33*I33),2)*BS33),2)*AT33)/100),2))</f>
        <v>3761.36</v>
      </c>
      <c r="Y33" s="3">
        <f>(ROUND((((S33+ROUND((ROUND((((EU33*1.2))*AV33*I33),2)*BS33),2))*AU33)/100),2)+ROUND(((ROUND((ROUND(((AE33-((EU33*1.2)))*AV33*I33),2)*BS33),2)*AU33)/100),2))</f>
        <v>1901.81</v>
      </c>
      <c r="AA33" s="3">
        <v>85739207</v>
      </c>
      <c r="AB33" s="3">
        <f t="shared" si="28"/>
        <v>10515.652</v>
      </c>
      <c r="AC33" s="3">
        <f>ROUND(((ES33*1)),6)</f>
        <v>133</v>
      </c>
      <c r="AD33" s="3">
        <f>ROUND(((((ET33*1.2))-((EU33*1.2)))+AE33),6)</f>
        <v>3679.5839999999998</v>
      </c>
      <c r="AE33" s="3">
        <f t="shared" si="46"/>
        <v>1107.0719999999999</v>
      </c>
      <c r="AF33" s="3">
        <f t="shared" si="46"/>
        <v>6703.0680000000002</v>
      </c>
      <c r="AG33" s="3">
        <f t="shared" si="29"/>
        <v>0</v>
      </c>
      <c r="AH33" s="3">
        <f t="shared" si="47"/>
        <v>584.4</v>
      </c>
      <c r="AI33" s="3">
        <f t="shared" si="47"/>
        <v>0</v>
      </c>
      <c r="AJ33" s="3">
        <f t="shared" si="30"/>
        <v>0</v>
      </c>
      <c r="AK33" s="3">
        <v>8785.2099999999991</v>
      </c>
      <c r="AL33" s="3">
        <v>133</v>
      </c>
      <c r="AM33" s="3">
        <v>3066.32</v>
      </c>
      <c r="AN33" s="3">
        <v>922.56</v>
      </c>
      <c r="AO33" s="3">
        <v>5585.89</v>
      </c>
      <c r="AP33" s="3">
        <v>0</v>
      </c>
      <c r="AQ33" s="3">
        <v>487</v>
      </c>
      <c r="AR33" s="3">
        <v>0</v>
      </c>
      <c r="AS33" s="3">
        <v>0</v>
      </c>
      <c r="AT33" s="3">
        <v>89</v>
      </c>
      <c r="AU33" s="3">
        <v>45</v>
      </c>
      <c r="AV33" s="3">
        <v>1.0669999999999999</v>
      </c>
      <c r="AW33" s="3">
        <v>1.028</v>
      </c>
      <c r="AZ33" s="3">
        <v>1</v>
      </c>
      <c r="BA33" s="3">
        <v>56.35</v>
      </c>
      <c r="BB33" s="3">
        <v>24.62</v>
      </c>
      <c r="BC33" s="3">
        <v>9.84</v>
      </c>
      <c r="BD33" s="3" t="s">
        <v>3</v>
      </c>
      <c r="BE33" s="3" t="s">
        <v>3</v>
      </c>
      <c r="BF33" s="3" t="s">
        <v>3</v>
      </c>
      <c r="BG33" s="3" t="s">
        <v>3</v>
      </c>
      <c r="BH33" s="3">
        <v>0</v>
      </c>
      <c r="BI33" s="3">
        <v>2</v>
      </c>
      <c r="BJ33" s="3" t="s">
        <v>42</v>
      </c>
      <c r="BM33" s="3">
        <v>65</v>
      </c>
      <c r="BN33" s="3">
        <v>0</v>
      </c>
      <c r="BO33" s="3" t="s">
        <v>39</v>
      </c>
      <c r="BP33" s="3">
        <v>1</v>
      </c>
      <c r="BQ33" s="3">
        <v>40</v>
      </c>
      <c r="BR33" s="3">
        <v>0</v>
      </c>
      <c r="BS33" s="3">
        <v>56.35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 t="s">
        <v>3</v>
      </c>
      <c r="BZ33" s="3">
        <v>89</v>
      </c>
      <c r="CA33" s="3">
        <v>45</v>
      </c>
      <c r="CB33" s="3" t="s">
        <v>3</v>
      </c>
      <c r="CE33" s="3">
        <v>1566</v>
      </c>
      <c r="CF33" s="3">
        <v>0</v>
      </c>
      <c r="CG33" s="3">
        <v>0</v>
      </c>
      <c r="CM33" s="3">
        <v>0</v>
      </c>
      <c r="CN33" s="3" t="s">
        <v>677</v>
      </c>
      <c r="CO33" s="3">
        <v>0</v>
      </c>
      <c r="CP33" s="3">
        <f t="shared" si="31"/>
        <v>4509.42</v>
      </c>
      <c r="CQ33" s="3">
        <f t="shared" si="32"/>
        <v>1345.32</v>
      </c>
      <c r="CR33" s="3">
        <f>(ROUND((ROUND((((ET33*1.2))*AV33*1),2)*BB33),2)+ROUND((ROUND(((AE33-((EU33*1.2)))*AV33*1),2)*BS33),2))</f>
        <v>96661.07</v>
      </c>
      <c r="CS33" s="3">
        <f>(ROUND((ROUND((((EU33*1.2))*AV33*1),2)*BS33),2)+ROUND((ROUND(((AE33-((EU33*1.2)))*AV33*1),2)*BS33),2))</f>
        <v>66563.44</v>
      </c>
      <c r="CT33" s="3">
        <f t="shared" si="33"/>
        <v>403024.78</v>
      </c>
      <c r="CU33" s="3">
        <f t="shared" si="34"/>
        <v>0</v>
      </c>
      <c r="CV33" s="3">
        <f t="shared" si="35"/>
        <v>623.5548</v>
      </c>
      <c r="CW33" s="3">
        <f t="shared" si="36"/>
        <v>0</v>
      </c>
      <c r="CX33" s="3">
        <f t="shared" si="37"/>
        <v>0</v>
      </c>
      <c r="CY33" s="3">
        <f>(ROUND((((S33+ROUND((ROUND((((EU33*1.2))*AV33*1),2)*BS33),2))*AT33)/100),2)+ROUND(((ROUND((ROUND(((AE33-((EU33*1.2)))*AV33*1),2)*BS33),2)*AT33)/100),2))</f>
        <v>62469.71</v>
      </c>
      <c r="CZ33" s="3">
        <f>(ROUND((((S33+ROUND((ROUND((((EU33*1.2))*AV33*1),2)*BS33),2))*AU33)/100),2)+ROUND(((ROUND((ROUND(((AE33-((EU33*1.2)))*AV33*1),2)*BS33),2)*AU33)/100),2))</f>
        <v>31585.81</v>
      </c>
      <c r="DB33" s="3">
        <v>8</v>
      </c>
      <c r="DC33" s="3" t="s">
        <v>3</v>
      </c>
      <c r="DD33" s="3" t="s">
        <v>35</v>
      </c>
      <c r="DE33" s="3" t="s">
        <v>36</v>
      </c>
      <c r="DF33" s="3" t="s">
        <v>36</v>
      </c>
      <c r="DG33" s="3" t="s">
        <v>36</v>
      </c>
      <c r="DH33" s="3" t="s">
        <v>3</v>
      </c>
      <c r="DI33" s="3" t="s">
        <v>36</v>
      </c>
      <c r="DJ33" s="3" t="s">
        <v>36</v>
      </c>
      <c r="DK33" s="3" t="s">
        <v>3</v>
      </c>
      <c r="DL33" s="3" t="s">
        <v>3</v>
      </c>
      <c r="DM33" s="3" t="s">
        <v>3</v>
      </c>
      <c r="DN33" s="3">
        <v>0</v>
      </c>
      <c r="DO33" s="3">
        <v>0</v>
      </c>
      <c r="DP33" s="3">
        <v>1</v>
      </c>
      <c r="DQ33" s="3">
        <v>1</v>
      </c>
      <c r="DU33" s="3">
        <v>1013</v>
      </c>
      <c r="DV33" s="3" t="s">
        <v>41</v>
      </c>
      <c r="DW33" s="3" t="s">
        <v>41</v>
      </c>
      <c r="DX33" s="3">
        <v>1</v>
      </c>
      <c r="DZ33" s="3" t="s">
        <v>3</v>
      </c>
      <c r="EA33" s="3" t="s">
        <v>3</v>
      </c>
      <c r="EB33" s="3" t="s">
        <v>3</v>
      </c>
      <c r="EC33" s="3" t="s">
        <v>3</v>
      </c>
      <c r="EE33" s="3">
        <v>85133414</v>
      </c>
      <c r="EF33" s="3">
        <v>40</v>
      </c>
      <c r="EG33" s="3" t="s">
        <v>27</v>
      </c>
      <c r="EH33" s="3">
        <v>0</v>
      </c>
      <c r="EI33" s="3" t="s">
        <v>3</v>
      </c>
      <c r="EJ33" s="3">
        <v>2</v>
      </c>
      <c r="EK33" s="3">
        <v>65</v>
      </c>
      <c r="EL33" s="3" t="s">
        <v>43</v>
      </c>
      <c r="EM33" s="3" t="s">
        <v>44</v>
      </c>
      <c r="EO33" s="3" t="s">
        <v>37</v>
      </c>
      <c r="EQ33" s="3">
        <v>0</v>
      </c>
      <c r="ER33" s="3">
        <v>8785.2099999999991</v>
      </c>
      <c r="ES33" s="3">
        <v>133</v>
      </c>
      <c r="ET33" s="3">
        <v>3066.32</v>
      </c>
      <c r="EU33" s="3">
        <v>922.56</v>
      </c>
      <c r="EV33" s="3">
        <v>5585.89</v>
      </c>
      <c r="EW33" s="3">
        <v>487</v>
      </c>
      <c r="EX33" s="3">
        <v>0</v>
      </c>
      <c r="EY33" s="3">
        <v>0</v>
      </c>
      <c r="FQ33" s="3">
        <v>0</v>
      </c>
      <c r="FR33" s="3">
        <v>0</v>
      </c>
      <c r="FS33" s="3">
        <v>2</v>
      </c>
      <c r="FX33" s="3">
        <v>89</v>
      </c>
      <c r="FY33" s="3">
        <v>45</v>
      </c>
      <c r="GA33" s="3" t="s">
        <v>3</v>
      </c>
      <c r="GD33" s="3">
        <v>1</v>
      </c>
      <c r="GF33" s="3">
        <v>-966979253</v>
      </c>
      <c r="GG33" s="3">
        <v>2</v>
      </c>
      <c r="GH33" s="3">
        <v>1</v>
      </c>
      <c r="GI33" s="3">
        <v>2</v>
      </c>
      <c r="GJ33" s="3">
        <v>0</v>
      </c>
      <c r="GK33" s="3">
        <v>0</v>
      </c>
      <c r="GL33" s="3">
        <f t="shared" si="38"/>
        <v>0</v>
      </c>
      <c r="GM33" s="3">
        <f t="shared" si="39"/>
        <v>10172.59</v>
      </c>
      <c r="GN33" s="3">
        <f t="shared" si="40"/>
        <v>0</v>
      </c>
      <c r="GO33" s="3">
        <f t="shared" si="41"/>
        <v>10172.59</v>
      </c>
      <c r="GP33" s="3">
        <f t="shared" si="42"/>
        <v>0</v>
      </c>
      <c r="GR33" s="3">
        <v>0</v>
      </c>
      <c r="GS33" s="3">
        <v>3</v>
      </c>
      <c r="GT33" s="3">
        <v>0</v>
      </c>
      <c r="GU33" s="3" t="s">
        <v>3</v>
      </c>
      <c r="GV33" s="3">
        <f t="shared" si="43"/>
        <v>0</v>
      </c>
      <c r="GW33" s="3">
        <v>1</v>
      </c>
      <c r="GX33" s="3">
        <f t="shared" si="44"/>
        <v>0</v>
      </c>
      <c r="HA33" s="3">
        <v>0</v>
      </c>
      <c r="HB33" s="3">
        <v>0</v>
      </c>
      <c r="HC33" s="3">
        <f t="shared" si="45"/>
        <v>0</v>
      </c>
      <c r="HE33" s="3" t="s">
        <v>3</v>
      </c>
      <c r="HF33" s="3" t="s">
        <v>3</v>
      </c>
      <c r="HM33" s="3" t="s">
        <v>3</v>
      </c>
      <c r="HN33" s="3" t="s">
        <v>3</v>
      </c>
      <c r="HO33" s="3" t="s">
        <v>3</v>
      </c>
      <c r="HP33" s="3" t="s">
        <v>3</v>
      </c>
      <c r="HQ33" s="3" t="s">
        <v>3</v>
      </c>
      <c r="HS33" s="3">
        <v>0</v>
      </c>
      <c r="IK33" s="3">
        <v>0</v>
      </c>
    </row>
    <row r="34" spans="1:255" x14ac:dyDescent="0.2">
      <c r="A34" s="2">
        <v>17</v>
      </c>
      <c r="B34" s="2">
        <v>1</v>
      </c>
      <c r="C34" s="2">
        <f>ROW(SmtRes!A50)</f>
        <v>50</v>
      </c>
      <c r="D34" s="2">
        <f>ROW(EtalonRes!A55)</f>
        <v>55</v>
      </c>
      <c r="E34" s="2" t="s">
        <v>3</v>
      </c>
      <c r="F34" s="2" t="s">
        <v>45</v>
      </c>
      <c r="G34" s="2" t="s">
        <v>46</v>
      </c>
      <c r="H34" s="2" t="s">
        <v>47</v>
      </c>
      <c r="I34" s="2">
        <v>1</v>
      </c>
      <c r="J34" s="2">
        <v>0</v>
      </c>
      <c r="K34" s="2">
        <v>1</v>
      </c>
      <c r="L34" s="2"/>
      <c r="M34" s="2"/>
      <c r="N34" s="2"/>
      <c r="O34" s="2">
        <f t="shared" si="21"/>
        <v>57.22</v>
      </c>
      <c r="P34" s="2">
        <f t="shared" si="22"/>
        <v>4.1900000000000004</v>
      </c>
      <c r="Q34" s="2">
        <f>(ROUND((ROUND(((ET34)*AV34*I34),2)*BB34),2)+ROUND((ROUND(((AE34-(EU34))*AV34*I34),2)*BS34),2))</f>
        <v>8.07</v>
      </c>
      <c r="R34" s="2">
        <f>(ROUND((ROUND(((EU34)*AV34*I34),2)*BS34),2)+ROUND((ROUND(((AE34-(EU34))*AV34*I34),2)*BS34),2))</f>
        <v>0.63</v>
      </c>
      <c r="S34" s="2">
        <f t="shared" si="23"/>
        <v>44.96</v>
      </c>
      <c r="T34" s="2">
        <f t="shared" si="24"/>
        <v>0</v>
      </c>
      <c r="U34" s="2">
        <f t="shared" si="25"/>
        <v>3.8732099999999998</v>
      </c>
      <c r="V34" s="2">
        <f t="shared" si="26"/>
        <v>0</v>
      </c>
      <c r="W34" s="2">
        <f t="shared" si="27"/>
        <v>0</v>
      </c>
      <c r="X34" s="2">
        <f>(ROUND((((S34+ROUND((ROUND(((EU34)*AV34*I34),2)*BS34),2))*AT34)/100),2)+ROUND(((ROUND((ROUND(((AE34-(EU34))*AV34*I34),2)*BS34),2)*AT34)/100),2))</f>
        <v>55.16</v>
      </c>
      <c r="Y34" s="2">
        <f>(ROUND((((S34+ROUND((ROUND(((EU34)*AV34*I34),2)*BS34),2))*AU34)/100),2)+ROUND(((ROUND((ROUND(((AE34-(EU34))*AV34*I34),2)*BS34),2)*AU34)/100),2))</f>
        <v>32.82</v>
      </c>
      <c r="Z34" s="2"/>
      <c r="AA34" s="2">
        <v>-1</v>
      </c>
      <c r="AB34" s="2">
        <f t="shared" si="28"/>
        <v>53.89</v>
      </c>
      <c r="AC34" s="2">
        <f>ROUND((ES34),6)</f>
        <v>4.1900000000000004</v>
      </c>
      <c r="AD34" s="2">
        <f>ROUND((((ET34)-(EU34))+AE34),6)</f>
        <v>7.56</v>
      </c>
      <c r="AE34" s="2">
        <f>ROUND((EU34),6)</f>
        <v>0.59</v>
      </c>
      <c r="AF34" s="2">
        <f>ROUND((EV34),6)</f>
        <v>42.14</v>
      </c>
      <c r="AG34" s="2">
        <f t="shared" si="29"/>
        <v>0</v>
      </c>
      <c r="AH34" s="2">
        <f>(EW34)</f>
        <v>3.63</v>
      </c>
      <c r="AI34" s="2">
        <f>(EX34)</f>
        <v>0</v>
      </c>
      <c r="AJ34" s="2">
        <f t="shared" si="30"/>
        <v>0</v>
      </c>
      <c r="AK34" s="2">
        <v>53.89</v>
      </c>
      <c r="AL34" s="2">
        <v>4.1900000000000004</v>
      </c>
      <c r="AM34" s="2">
        <v>7.56</v>
      </c>
      <c r="AN34" s="2">
        <v>0.59</v>
      </c>
      <c r="AO34" s="2">
        <v>42.14</v>
      </c>
      <c r="AP34" s="2">
        <v>0</v>
      </c>
      <c r="AQ34" s="2">
        <v>3.63</v>
      </c>
      <c r="AR34" s="2">
        <v>0</v>
      </c>
      <c r="AS34" s="2">
        <v>0</v>
      </c>
      <c r="AT34" s="2">
        <v>121</v>
      </c>
      <c r="AU34" s="2">
        <v>72</v>
      </c>
      <c r="AV34" s="2">
        <v>1.0669999999999999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1</v>
      </c>
      <c r="BJ34" s="2" t="s">
        <v>48</v>
      </c>
      <c r="BK34" s="2"/>
      <c r="BL34" s="2"/>
      <c r="BM34" s="2">
        <v>23</v>
      </c>
      <c r="BN34" s="2">
        <v>0</v>
      </c>
      <c r="BO34" s="2" t="s">
        <v>45</v>
      </c>
      <c r="BP34" s="2">
        <v>1</v>
      </c>
      <c r="BQ34" s="2">
        <v>30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121</v>
      </c>
      <c r="CA34" s="2">
        <v>72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3</v>
      </c>
      <c r="CO34" s="2">
        <v>0</v>
      </c>
      <c r="CP34" s="2">
        <f t="shared" si="31"/>
        <v>57.22</v>
      </c>
      <c r="CQ34" s="2">
        <f t="shared" si="32"/>
        <v>4.1900000000000004</v>
      </c>
      <c r="CR34" s="2">
        <f>(ROUND((ROUND(((ET34)*AV34*1),2)*BB34),2)+ROUND((ROUND(((AE34-(EU34))*AV34*1),2)*BS34),2))</f>
        <v>8.07</v>
      </c>
      <c r="CS34" s="2">
        <f>(ROUND((ROUND(((EU34)*AV34*1),2)*BS34),2)+ROUND((ROUND(((AE34-(EU34))*AV34*1),2)*BS34),2))</f>
        <v>0.63</v>
      </c>
      <c r="CT34" s="2">
        <f t="shared" si="33"/>
        <v>44.96</v>
      </c>
      <c r="CU34" s="2">
        <f t="shared" si="34"/>
        <v>0</v>
      </c>
      <c r="CV34" s="2">
        <f t="shared" si="35"/>
        <v>3.8732099999999998</v>
      </c>
      <c r="CW34" s="2">
        <f t="shared" si="36"/>
        <v>0</v>
      </c>
      <c r="CX34" s="2">
        <f t="shared" si="37"/>
        <v>0</v>
      </c>
      <c r="CY34" s="2">
        <f>(ROUND((((S34+ROUND((ROUND(((EU34)*AV34*1),2)*BS34),2))*AT34)/100),2)+ROUND(((ROUND((ROUND(((AE34-(EU34))*AV34*1),2)*BS34),2)*AT34)/100),2))</f>
        <v>55.16</v>
      </c>
      <c r="CZ34" s="2">
        <f>(ROUND((((S34+ROUND((ROUND(((EU34)*AV34*1),2)*BS34),2))*AU34)/100),2)+ROUND(((ROUND((ROUND(((AE34-(EU34))*AV34*1),2)*BS34),2)*AU34)/100),2))</f>
        <v>32.82</v>
      </c>
      <c r="DA34" s="2"/>
      <c r="DB34" s="2"/>
      <c r="DC34" s="2" t="s">
        <v>3</v>
      </c>
      <c r="DD34" s="2" t="s">
        <v>3</v>
      </c>
      <c r="DE34" s="2" t="s">
        <v>3</v>
      </c>
      <c r="DF34" s="2" t="s">
        <v>3</v>
      </c>
      <c r="DG34" s="2" t="s">
        <v>3</v>
      </c>
      <c r="DH34" s="2" t="s">
        <v>3</v>
      </c>
      <c r="DI34" s="2" t="s">
        <v>3</v>
      </c>
      <c r="DJ34" s="2" t="s">
        <v>3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1013</v>
      </c>
      <c r="DV34" s="2" t="s">
        <v>47</v>
      </c>
      <c r="DW34" s="2" t="s">
        <v>47</v>
      </c>
      <c r="DX34" s="2">
        <v>1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85133369</v>
      </c>
      <c r="EF34" s="2">
        <v>30</v>
      </c>
      <c r="EG34" s="2" t="s">
        <v>49</v>
      </c>
      <c r="EH34" s="2">
        <v>0</v>
      </c>
      <c r="EI34" s="2" t="s">
        <v>3</v>
      </c>
      <c r="EJ34" s="2">
        <v>1</v>
      </c>
      <c r="EK34" s="2">
        <v>23</v>
      </c>
      <c r="EL34" s="2" t="s">
        <v>50</v>
      </c>
      <c r="EM34" s="2" t="s">
        <v>51</v>
      </c>
      <c r="EN34" s="2"/>
      <c r="EO34" s="2" t="s">
        <v>3</v>
      </c>
      <c r="EP34" s="2"/>
      <c r="EQ34" s="2">
        <v>1024</v>
      </c>
      <c r="ER34" s="2">
        <v>53.89</v>
      </c>
      <c r="ES34" s="2">
        <v>4.1900000000000004</v>
      </c>
      <c r="ET34" s="2">
        <v>7.56</v>
      </c>
      <c r="EU34" s="2">
        <v>0.59</v>
      </c>
      <c r="EV34" s="2">
        <v>42.14</v>
      </c>
      <c r="EW34" s="2">
        <v>3.63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121</v>
      </c>
      <c r="FY34" s="2">
        <v>72</v>
      </c>
      <c r="FZ34" s="2"/>
      <c r="GA34" s="2" t="s">
        <v>3</v>
      </c>
      <c r="GB34" s="2"/>
      <c r="GC34" s="2"/>
      <c r="GD34" s="2">
        <v>1</v>
      </c>
      <c r="GE34" s="2"/>
      <c r="GF34" s="2">
        <v>1630609332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38"/>
        <v>0</v>
      </c>
      <c r="GM34" s="2">
        <f t="shared" si="39"/>
        <v>145.19999999999999</v>
      </c>
      <c r="GN34" s="2">
        <f t="shared" si="40"/>
        <v>145.19999999999999</v>
      </c>
      <c r="GO34" s="2">
        <f t="shared" si="41"/>
        <v>0</v>
      </c>
      <c r="GP34" s="2">
        <f t="shared" si="42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43"/>
        <v>0</v>
      </c>
      <c r="GW34" s="2">
        <v>1</v>
      </c>
      <c r="GX34" s="2">
        <f t="shared" si="44"/>
        <v>0</v>
      </c>
      <c r="GY34" s="2"/>
      <c r="GZ34" s="2"/>
      <c r="HA34" s="2">
        <v>0</v>
      </c>
      <c r="HB34" s="2">
        <v>0</v>
      </c>
      <c r="HC34" s="2">
        <f t="shared" si="45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3">
        <v>17</v>
      </c>
      <c r="B35" s="3">
        <v>1</v>
      </c>
      <c r="C35" s="3">
        <f>ROW(SmtRes!A58)</f>
        <v>58</v>
      </c>
      <c r="D35" s="3">
        <f>ROW(EtalonRes!A64)</f>
        <v>64</v>
      </c>
      <c r="E35" s="3" t="s">
        <v>3</v>
      </c>
      <c r="F35" s="3" t="s">
        <v>45</v>
      </c>
      <c r="G35" s="3" t="s">
        <v>46</v>
      </c>
      <c r="H35" s="3" t="s">
        <v>47</v>
      </c>
      <c r="I35" s="3">
        <v>1</v>
      </c>
      <c r="J35" s="3">
        <v>0</v>
      </c>
      <c r="K35" s="3">
        <v>1</v>
      </c>
      <c r="O35" s="3">
        <f t="shared" si="21"/>
        <v>2672.58</v>
      </c>
      <c r="P35" s="3">
        <f t="shared" si="22"/>
        <v>24.89</v>
      </c>
      <c r="Q35" s="3">
        <f>(ROUND((ROUND(((ET35)*AV35*I35),2)*BB35),2)+ROUND((ROUND(((AE35-(EU35))*AV35*I35),2)*BS35),2))</f>
        <v>114.19</v>
      </c>
      <c r="R35" s="3">
        <f>(ROUND((ROUND(((EU35)*AV35*I35),2)*BS35),2)+ROUND((ROUND(((AE35-(EU35))*AV35*I35),2)*BS35),2))</f>
        <v>35.5</v>
      </c>
      <c r="S35" s="3">
        <f t="shared" si="23"/>
        <v>2533.5</v>
      </c>
      <c r="T35" s="3">
        <f t="shared" si="24"/>
        <v>0</v>
      </c>
      <c r="U35" s="3">
        <f t="shared" si="25"/>
        <v>3.8732099999999998</v>
      </c>
      <c r="V35" s="3">
        <f t="shared" si="26"/>
        <v>0</v>
      </c>
      <c r="W35" s="3">
        <f t="shared" si="27"/>
        <v>0</v>
      </c>
      <c r="X35" s="3">
        <f>(ROUND((((S35+ROUND((ROUND(((EU35)*AV35*I35),2)*BS35),2))*AT35)/100),2)+ROUND(((ROUND((ROUND(((AE35-(EU35))*AV35*I35),2)*BS35),2)*AT35)/100),2))</f>
        <v>3108.49</v>
      </c>
      <c r="Y35" s="3">
        <f>(ROUND((((S35+ROUND((ROUND(((EU35)*AV35*I35),2)*BS35),2))*AU35)/100),2)+ROUND(((ROUND((ROUND(((AE35-(EU35))*AV35*I35),2)*BS35),2)*AU35)/100),2))</f>
        <v>1849.68</v>
      </c>
      <c r="AA35" s="3">
        <v>-1</v>
      </c>
      <c r="AB35" s="3">
        <f t="shared" si="28"/>
        <v>53.89</v>
      </c>
      <c r="AC35" s="3">
        <f>ROUND((ES35),6)</f>
        <v>4.1900000000000004</v>
      </c>
      <c r="AD35" s="3">
        <f>ROUND((((ET35)-(EU35))+AE35),6)</f>
        <v>7.56</v>
      </c>
      <c r="AE35" s="3">
        <f>ROUND((EU35),6)</f>
        <v>0.59</v>
      </c>
      <c r="AF35" s="3">
        <f>ROUND((EV35),6)</f>
        <v>42.14</v>
      </c>
      <c r="AG35" s="3">
        <f t="shared" si="29"/>
        <v>0</v>
      </c>
      <c r="AH35" s="3">
        <f>(EW35)</f>
        <v>3.63</v>
      </c>
      <c r="AI35" s="3">
        <f>(EX35)</f>
        <v>0</v>
      </c>
      <c r="AJ35" s="3">
        <f t="shared" si="30"/>
        <v>0</v>
      </c>
      <c r="AK35" s="3">
        <v>53.89</v>
      </c>
      <c r="AL35" s="3">
        <v>4.1900000000000004</v>
      </c>
      <c r="AM35" s="3">
        <v>7.56</v>
      </c>
      <c r="AN35" s="3">
        <v>0.59</v>
      </c>
      <c r="AO35" s="3">
        <v>42.14</v>
      </c>
      <c r="AP35" s="3">
        <v>0</v>
      </c>
      <c r="AQ35" s="3">
        <v>3.63</v>
      </c>
      <c r="AR35" s="3">
        <v>0</v>
      </c>
      <c r="AS35" s="3">
        <v>0</v>
      </c>
      <c r="AT35" s="3">
        <v>121</v>
      </c>
      <c r="AU35" s="3">
        <v>72</v>
      </c>
      <c r="AV35" s="3">
        <v>1.0669999999999999</v>
      </c>
      <c r="AW35" s="3">
        <v>1</v>
      </c>
      <c r="AZ35" s="3">
        <v>1</v>
      </c>
      <c r="BA35" s="3">
        <v>56.35</v>
      </c>
      <c r="BB35" s="3">
        <v>14.15</v>
      </c>
      <c r="BC35" s="3">
        <v>5.94</v>
      </c>
      <c r="BD35" s="3" t="s">
        <v>3</v>
      </c>
      <c r="BE35" s="3" t="s">
        <v>3</v>
      </c>
      <c r="BF35" s="3" t="s">
        <v>3</v>
      </c>
      <c r="BG35" s="3" t="s">
        <v>3</v>
      </c>
      <c r="BH35" s="3">
        <v>0</v>
      </c>
      <c r="BI35" s="3">
        <v>1</v>
      </c>
      <c r="BJ35" s="3" t="s">
        <v>48</v>
      </c>
      <c r="BM35" s="3">
        <v>23</v>
      </c>
      <c r="BN35" s="3">
        <v>0</v>
      </c>
      <c r="BO35" s="3" t="s">
        <v>45</v>
      </c>
      <c r="BP35" s="3">
        <v>1</v>
      </c>
      <c r="BQ35" s="3">
        <v>30</v>
      </c>
      <c r="BR35" s="3">
        <v>0</v>
      </c>
      <c r="BS35" s="3">
        <v>56.35</v>
      </c>
      <c r="BT35" s="3">
        <v>1</v>
      </c>
      <c r="BU35" s="3">
        <v>1</v>
      </c>
      <c r="BV35" s="3">
        <v>1</v>
      </c>
      <c r="BW35" s="3">
        <v>1</v>
      </c>
      <c r="BX35" s="3">
        <v>1</v>
      </c>
      <c r="BY35" s="3" t="s">
        <v>3</v>
      </c>
      <c r="BZ35" s="3">
        <v>121</v>
      </c>
      <c r="CA35" s="3">
        <v>72</v>
      </c>
      <c r="CB35" s="3" t="s">
        <v>3</v>
      </c>
      <c r="CE35" s="3">
        <v>1566</v>
      </c>
      <c r="CF35" s="3">
        <v>0</v>
      </c>
      <c r="CG35" s="3">
        <v>0</v>
      </c>
      <c r="CM35" s="3">
        <v>0</v>
      </c>
      <c r="CN35" s="3" t="s">
        <v>3</v>
      </c>
      <c r="CO35" s="3">
        <v>0</v>
      </c>
      <c r="CP35" s="3">
        <f t="shared" si="31"/>
        <v>2672.58</v>
      </c>
      <c r="CQ35" s="3">
        <f t="shared" si="32"/>
        <v>24.89</v>
      </c>
      <c r="CR35" s="3">
        <f>(ROUND((ROUND(((ET35)*AV35*1),2)*BB35),2)+ROUND((ROUND(((AE35-(EU35))*AV35*1),2)*BS35),2))</f>
        <v>114.19</v>
      </c>
      <c r="CS35" s="3">
        <f>(ROUND((ROUND(((EU35)*AV35*1),2)*BS35),2)+ROUND((ROUND(((AE35-(EU35))*AV35*1),2)*BS35),2))</f>
        <v>35.5</v>
      </c>
      <c r="CT35" s="3">
        <f t="shared" si="33"/>
        <v>2533.5</v>
      </c>
      <c r="CU35" s="3">
        <f t="shared" si="34"/>
        <v>0</v>
      </c>
      <c r="CV35" s="3">
        <f t="shared" si="35"/>
        <v>3.8732099999999998</v>
      </c>
      <c r="CW35" s="3">
        <f t="shared" si="36"/>
        <v>0</v>
      </c>
      <c r="CX35" s="3">
        <f t="shared" si="37"/>
        <v>0</v>
      </c>
      <c r="CY35" s="3">
        <f>(ROUND((((S35+ROUND((ROUND(((EU35)*AV35*1),2)*BS35),2))*AT35)/100),2)+ROUND(((ROUND((ROUND(((AE35-(EU35))*AV35*1),2)*BS35),2)*AT35)/100),2))</f>
        <v>3108.49</v>
      </c>
      <c r="CZ35" s="3">
        <f>(ROUND((((S35+ROUND((ROUND(((EU35)*AV35*1),2)*BS35),2))*AU35)/100),2)+ROUND(((ROUND((ROUND(((AE35-(EU35))*AV35*1),2)*BS35),2)*AU35)/100),2))</f>
        <v>1849.68</v>
      </c>
      <c r="DC35" s="3" t="s">
        <v>3</v>
      </c>
      <c r="DD35" s="3" t="s">
        <v>3</v>
      </c>
      <c r="DE35" s="3" t="s">
        <v>3</v>
      </c>
      <c r="DF35" s="3" t="s">
        <v>3</v>
      </c>
      <c r="DG35" s="3" t="s">
        <v>3</v>
      </c>
      <c r="DH35" s="3" t="s">
        <v>3</v>
      </c>
      <c r="DI35" s="3" t="s">
        <v>3</v>
      </c>
      <c r="DJ35" s="3" t="s">
        <v>3</v>
      </c>
      <c r="DK35" s="3" t="s">
        <v>3</v>
      </c>
      <c r="DL35" s="3" t="s">
        <v>3</v>
      </c>
      <c r="DM35" s="3" t="s">
        <v>3</v>
      </c>
      <c r="DN35" s="3">
        <v>0</v>
      </c>
      <c r="DO35" s="3">
        <v>0</v>
      </c>
      <c r="DP35" s="3">
        <v>1</v>
      </c>
      <c r="DQ35" s="3">
        <v>1</v>
      </c>
      <c r="DU35" s="3">
        <v>1013</v>
      </c>
      <c r="DV35" s="3" t="s">
        <v>47</v>
      </c>
      <c r="DW35" s="3" t="s">
        <v>47</v>
      </c>
      <c r="DX35" s="3">
        <v>1</v>
      </c>
      <c r="DZ35" s="3" t="s">
        <v>3</v>
      </c>
      <c r="EA35" s="3" t="s">
        <v>3</v>
      </c>
      <c r="EB35" s="3" t="s">
        <v>3</v>
      </c>
      <c r="EC35" s="3" t="s">
        <v>3</v>
      </c>
      <c r="EE35" s="3">
        <v>85133369</v>
      </c>
      <c r="EF35" s="3">
        <v>30</v>
      </c>
      <c r="EG35" s="3" t="s">
        <v>49</v>
      </c>
      <c r="EH35" s="3">
        <v>0</v>
      </c>
      <c r="EI35" s="3" t="s">
        <v>3</v>
      </c>
      <c r="EJ35" s="3">
        <v>1</v>
      </c>
      <c r="EK35" s="3">
        <v>23</v>
      </c>
      <c r="EL35" s="3" t="s">
        <v>50</v>
      </c>
      <c r="EM35" s="3" t="s">
        <v>51</v>
      </c>
      <c r="EO35" s="3" t="s">
        <v>3</v>
      </c>
      <c r="EQ35" s="3">
        <v>1024</v>
      </c>
      <c r="ER35" s="3">
        <v>53.89</v>
      </c>
      <c r="ES35" s="3">
        <v>4.1900000000000004</v>
      </c>
      <c r="ET35" s="3">
        <v>7.56</v>
      </c>
      <c r="EU35" s="3">
        <v>0.59</v>
      </c>
      <c r="EV35" s="3">
        <v>42.14</v>
      </c>
      <c r="EW35" s="3">
        <v>3.63</v>
      </c>
      <c r="EX35" s="3">
        <v>0</v>
      </c>
      <c r="EY35" s="3">
        <v>0</v>
      </c>
      <c r="FQ35" s="3">
        <v>0</v>
      </c>
      <c r="FR35" s="3">
        <v>0</v>
      </c>
      <c r="FS35" s="3">
        <v>0</v>
      </c>
      <c r="FX35" s="3">
        <v>121</v>
      </c>
      <c r="FY35" s="3">
        <v>72</v>
      </c>
      <c r="GA35" s="3" t="s">
        <v>3</v>
      </c>
      <c r="GD35" s="3">
        <v>1</v>
      </c>
      <c r="GF35" s="3">
        <v>1630609332</v>
      </c>
      <c r="GG35" s="3">
        <v>2</v>
      </c>
      <c r="GH35" s="3">
        <v>1</v>
      </c>
      <c r="GI35" s="3">
        <v>2</v>
      </c>
      <c r="GJ35" s="3">
        <v>0</v>
      </c>
      <c r="GK35" s="3">
        <v>0</v>
      </c>
      <c r="GL35" s="3">
        <f t="shared" si="38"/>
        <v>0</v>
      </c>
      <c r="GM35" s="3">
        <f t="shared" si="39"/>
        <v>7630.75</v>
      </c>
      <c r="GN35" s="3">
        <f t="shared" si="40"/>
        <v>7630.75</v>
      </c>
      <c r="GO35" s="3">
        <f t="shared" si="41"/>
        <v>0</v>
      </c>
      <c r="GP35" s="3">
        <f t="shared" si="42"/>
        <v>0</v>
      </c>
      <c r="GR35" s="3">
        <v>0</v>
      </c>
      <c r="GS35" s="3">
        <v>3</v>
      </c>
      <c r="GT35" s="3">
        <v>0</v>
      </c>
      <c r="GU35" s="3" t="s">
        <v>3</v>
      </c>
      <c r="GV35" s="3">
        <f t="shared" si="43"/>
        <v>0</v>
      </c>
      <c r="GW35" s="3">
        <v>1</v>
      </c>
      <c r="GX35" s="3">
        <f t="shared" si="44"/>
        <v>0</v>
      </c>
      <c r="HA35" s="3">
        <v>0</v>
      </c>
      <c r="HB35" s="3">
        <v>0</v>
      </c>
      <c r="HC35" s="3">
        <f t="shared" si="45"/>
        <v>0</v>
      </c>
      <c r="HE35" s="3" t="s">
        <v>3</v>
      </c>
      <c r="HF35" s="3" t="s">
        <v>3</v>
      </c>
      <c r="HM35" s="3" t="s">
        <v>3</v>
      </c>
      <c r="HN35" s="3" t="s">
        <v>3</v>
      </c>
      <c r="HO35" s="3" t="s">
        <v>3</v>
      </c>
      <c r="HP35" s="3" t="s">
        <v>3</v>
      </c>
      <c r="HQ35" s="3" t="s">
        <v>3</v>
      </c>
      <c r="HS35" s="3">
        <v>0</v>
      </c>
      <c r="IK35" s="3">
        <v>0</v>
      </c>
    </row>
    <row r="36" spans="1:255" x14ac:dyDescent="0.2">
      <c r="A36" s="2">
        <v>17</v>
      </c>
      <c r="B36" s="2">
        <v>1</v>
      </c>
      <c r="C36" s="2">
        <f>ROW(SmtRes!A65)</f>
        <v>65</v>
      </c>
      <c r="D36" s="2">
        <f>ROW(EtalonRes!A73)</f>
        <v>73</v>
      </c>
      <c r="E36" s="2" t="s">
        <v>52</v>
      </c>
      <c r="F36" s="2" t="s">
        <v>53</v>
      </c>
      <c r="G36" s="2" t="s">
        <v>54</v>
      </c>
      <c r="H36" s="2" t="s">
        <v>23</v>
      </c>
      <c r="I36" s="2">
        <v>1</v>
      </c>
      <c r="J36" s="2">
        <v>0</v>
      </c>
      <c r="K36" s="2">
        <v>1</v>
      </c>
      <c r="L36" s="2"/>
      <c r="M36" s="2"/>
      <c r="N36" s="2"/>
      <c r="O36" s="2">
        <f t="shared" si="21"/>
        <v>56.97</v>
      </c>
      <c r="P36" s="2">
        <f t="shared" si="22"/>
        <v>1.46</v>
      </c>
      <c r="Q36" s="2">
        <f t="shared" ref="Q36:Q43" si="48">(ROUND((ROUND((((ET36*1.2))*AV36*I36),2)*BB36),2)+ROUND((ROUND(((AE36-((EU36*1.2)))*AV36*I36),2)*BS36),2))</f>
        <v>21.89</v>
      </c>
      <c r="R36" s="2">
        <f t="shared" ref="R36:R43" si="49">(ROUND((ROUND((((EU36*1.2))*AV36*I36),2)*BS36),2)+ROUND((ROUND(((AE36-((EU36*1.2)))*AV36*I36),2)*BS36),2))</f>
        <v>3.97</v>
      </c>
      <c r="S36" s="2">
        <f t="shared" si="23"/>
        <v>33.619999999999997</v>
      </c>
      <c r="T36" s="2">
        <f t="shared" si="24"/>
        <v>0</v>
      </c>
      <c r="U36" s="2">
        <f t="shared" si="25"/>
        <v>2.5881839999999996</v>
      </c>
      <c r="V36" s="2">
        <f t="shared" si="26"/>
        <v>0</v>
      </c>
      <c r="W36" s="2">
        <f t="shared" si="27"/>
        <v>0</v>
      </c>
      <c r="X36" s="2">
        <f t="shared" ref="X36:X43" si="50">(ROUND((((S36+ROUND((ROUND((((EU36*1.2))*AV36*I36),2)*BS36),2))*AT36)/100),2)+ROUND(((ROUND((ROUND(((AE36-((EU36*1.2)))*AV36*I36),2)*BS36),2)*AT36)/100),2))</f>
        <v>36.46</v>
      </c>
      <c r="Y36" s="2">
        <f t="shared" ref="Y36:Y43" si="51">(ROUND((((S36+ROUND((ROUND((((EU36*1.2))*AV36*I36),2)*BS36),2))*AU36)/100),2)+ROUND(((ROUND((ROUND(((AE36-((EU36*1.2)))*AV36*I36),2)*BS36),2)*AU36)/100),2))</f>
        <v>19.170000000000002</v>
      </c>
      <c r="Z36" s="2"/>
      <c r="AA36" s="2">
        <v>85739205</v>
      </c>
      <c r="AB36" s="2">
        <f t="shared" si="28"/>
        <v>54.475999999999999</v>
      </c>
      <c r="AC36" s="2">
        <f t="shared" ref="AC36:AC43" si="52">ROUND(((ES36*1)),6)</f>
        <v>1.46</v>
      </c>
      <c r="AD36" s="2">
        <f t="shared" ref="AD36:AD43" si="53">ROUND(((((ET36*1.2))-((EU36*1.2)))+AE36),6)</f>
        <v>20.904</v>
      </c>
      <c r="AE36" s="2">
        <f t="shared" ref="AE36:AF43" si="54">ROUND(((EU36*1.2)),6)</f>
        <v>3.7919999999999998</v>
      </c>
      <c r="AF36" s="2">
        <f t="shared" si="54"/>
        <v>32.112000000000002</v>
      </c>
      <c r="AG36" s="2">
        <f t="shared" si="29"/>
        <v>0</v>
      </c>
      <c r="AH36" s="2">
        <f t="shared" ref="AH36:AI43" si="55">((EW36*1.2))</f>
        <v>2.472</v>
      </c>
      <c r="AI36" s="2">
        <f t="shared" si="55"/>
        <v>0</v>
      </c>
      <c r="AJ36" s="2">
        <f t="shared" si="30"/>
        <v>0</v>
      </c>
      <c r="AK36" s="2">
        <v>45.64</v>
      </c>
      <c r="AL36" s="2">
        <v>1.46</v>
      </c>
      <c r="AM36" s="2">
        <v>17.420000000000002</v>
      </c>
      <c r="AN36" s="2">
        <v>3.16</v>
      </c>
      <c r="AO36" s="2">
        <v>26.76</v>
      </c>
      <c r="AP36" s="2">
        <v>0</v>
      </c>
      <c r="AQ36" s="2">
        <v>2.06</v>
      </c>
      <c r="AR36" s="2">
        <v>0</v>
      </c>
      <c r="AS36" s="2">
        <v>0</v>
      </c>
      <c r="AT36" s="2">
        <v>97</v>
      </c>
      <c r="AU36" s="2">
        <v>51</v>
      </c>
      <c r="AV36" s="2">
        <v>1.0469999999999999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2</v>
      </c>
      <c r="BJ36" s="2" t="s">
        <v>55</v>
      </c>
      <c r="BK36" s="2"/>
      <c r="BL36" s="2"/>
      <c r="BM36" s="2">
        <v>67</v>
      </c>
      <c r="BN36" s="2">
        <v>0</v>
      </c>
      <c r="BO36" s="2" t="s">
        <v>53</v>
      </c>
      <c r="BP36" s="2">
        <v>1</v>
      </c>
      <c r="BQ36" s="2">
        <v>40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97</v>
      </c>
      <c r="CA36" s="2">
        <v>51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677</v>
      </c>
      <c r="CO36" s="2">
        <v>0</v>
      </c>
      <c r="CP36" s="2">
        <f t="shared" si="31"/>
        <v>56.97</v>
      </c>
      <c r="CQ36" s="2">
        <f t="shared" si="32"/>
        <v>1.46</v>
      </c>
      <c r="CR36" s="2">
        <f t="shared" ref="CR36:CR43" si="56">(ROUND((ROUND((((ET36*1.2))*AV36*1),2)*BB36),2)+ROUND((ROUND(((AE36-((EU36*1.2)))*AV36*1),2)*BS36),2))</f>
        <v>21.89</v>
      </c>
      <c r="CS36" s="2">
        <f t="shared" ref="CS36:CS43" si="57">(ROUND((ROUND((((EU36*1.2))*AV36*1),2)*BS36),2)+ROUND((ROUND(((AE36-((EU36*1.2)))*AV36*1),2)*BS36),2))</f>
        <v>3.97</v>
      </c>
      <c r="CT36" s="2">
        <f t="shared" si="33"/>
        <v>33.619999999999997</v>
      </c>
      <c r="CU36" s="2">
        <f t="shared" si="34"/>
        <v>0</v>
      </c>
      <c r="CV36" s="2">
        <f t="shared" si="35"/>
        <v>2.5881839999999996</v>
      </c>
      <c r="CW36" s="2">
        <f t="shared" si="36"/>
        <v>0</v>
      </c>
      <c r="CX36" s="2">
        <f t="shared" si="37"/>
        <v>0</v>
      </c>
      <c r="CY36" s="2">
        <f t="shared" ref="CY36:CY43" si="58">(ROUND((((S36+ROUND((ROUND((((EU36*1.2))*AV36*1),2)*BS36),2))*AT36)/100),2)+ROUND(((ROUND((ROUND(((AE36-((EU36*1.2)))*AV36*1),2)*BS36),2)*AT36)/100),2))</f>
        <v>36.46</v>
      </c>
      <c r="CZ36" s="2">
        <f t="shared" ref="CZ36:CZ43" si="59">(ROUND((((S36+ROUND((ROUND((((EU36*1.2))*AV36*1),2)*BS36),2))*AU36)/100),2)+ROUND(((ROUND((ROUND(((AE36-((EU36*1.2)))*AV36*1),2)*BS36),2)*AU36)/100),2))</f>
        <v>19.170000000000002</v>
      </c>
      <c r="DA36" s="2"/>
      <c r="DB36" s="2">
        <v>9</v>
      </c>
      <c r="DC36" s="2" t="s">
        <v>3</v>
      </c>
      <c r="DD36" s="2" t="s">
        <v>35</v>
      </c>
      <c r="DE36" s="2" t="s">
        <v>36</v>
      </c>
      <c r="DF36" s="2" t="s">
        <v>36</v>
      </c>
      <c r="DG36" s="2" t="s">
        <v>36</v>
      </c>
      <c r="DH36" s="2" t="s">
        <v>3</v>
      </c>
      <c r="DI36" s="2" t="s">
        <v>36</v>
      </c>
      <c r="DJ36" s="2" t="s">
        <v>36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1013</v>
      </c>
      <c r="DV36" s="2" t="s">
        <v>23</v>
      </c>
      <c r="DW36" s="2" t="s">
        <v>23</v>
      </c>
      <c r="DX36" s="2">
        <v>1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85133416</v>
      </c>
      <c r="EF36" s="2">
        <v>40</v>
      </c>
      <c r="EG36" s="2" t="s">
        <v>27</v>
      </c>
      <c r="EH36" s="2">
        <v>0</v>
      </c>
      <c r="EI36" s="2" t="s">
        <v>3</v>
      </c>
      <c r="EJ36" s="2">
        <v>2</v>
      </c>
      <c r="EK36" s="2">
        <v>67</v>
      </c>
      <c r="EL36" s="2" t="s">
        <v>56</v>
      </c>
      <c r="EM36" s="2" t="s">
        <v>57</v>
      </c>
      <c r="EN36" s="2"/>
      <c r="EO36" s="2" t="s">
        <v>37</v>
      </c>
      <c r="EP36" s="2"/>
      <c r="EQ36" s="2">
        <v>0</v>
      </c>
      <c r="ER36" s="2">
        <v>45.64</v>
      </c>
      <c r="ES36" s="2">
        <v>1.46</v>
      </c>
      <c r="ET36" s="2">
        <v>17.420000000000002</v>
      </c>
      <c r="EU36" s="2">
        <v>3.16</v>
      </c>
      <c r="EV36" s="2">
        <v>26.76</v>
      </c>
      <c r="EW36" s="2">
        <v>2.06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97</v>
      </c>
      <c r="FY36" s="2">
        <v>51</v>
      </c>
      <c r="FZ36" s="2"/>
      <c r="GA36" s="2" t="s">
        <v>3</v>
      </c>
      <c r="GB36" s="2"/>
      <c r="GC36" s="2"/>
      <c r="GD36" s="2">
        <v>1</v>
      </c>
      <c r="GE36" s="2"/>
      <c r="GF36" s="2">
        <v>-1842782186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38"/>
        <v>0</v>
      </c>
      <c r="GM36" s="2">
        <f t="shared" si="39"/>
        <v>112.6</v>
      </c>
      <c r="GN36" s="2">
        <f t="shared" si="40"/>
        <v>0</v>
      </c>
      <c r="GO36" s="2">
        <f t="shared" si="41"/>
        <v>112.6</v>
      </c>
      <c r="GP36" s="2">
        <f t="shared" si="42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43"/>
        <v>0</v>
      </c>
      <c r="GW36" s="2">
        <v>1</v>
      </c>
      <c r="GX36" s="2">
        <f t="shared" si="44"/>
        <v>0</v>
      </c>
      <c r="GY36" s="2"/>
      <c r="GZ36" s="2"/>
      <c r="HA36" s="2">
        <v>0</v>
      </c>
      <c r="HB36" s="2">
        <v>0</v>
      </c>
      <c r="HC36" s="2">
        <f t="shared" si="45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 s="3">
        <v>17</v>
      </c>
      <c r="B37" s="3">
        <v>1</v>
      </c>
      <c r="C37" s="3">
        <f>ROW(SmtRes!A72)</f>
        <v>72</v>
      </c>
      <c r="D37" s="3">
        <f>ROW(EtalonRes!A82)</f>
        <v>82</v>
      </c>
      <c r="E37" s="3" t="s">
        <v>52</v>
      </c>
      <c r="F37" s="3" t="s">
        <v>53</v>
      </c>
      <c r="G37" s="3" t="s">
        <v>54</v>
      </c>
      <c r="H37" s="3" t="s">
        <v>23</v>
      </c>
      <c r="I37" s="3">
        <v>1</v>
      </c>
      <c r="J37" s="3">
        <v>0</v>
      </c>
      <c r="K37" s="3">
        <v>1</v>
      </c>
      <c r="O37" s="3">
        <f t="shared" si="21"/>
        <v>2346.0100000000002</v>
      </c>
      <c r="P37" s="3">
        <f t="shared" si="22"/>
        <v>16.13</v>
      </c>
      <c r="Q37" s="3">
        <f t="shared" si="48"/>
        <v>435.39</v>
      </c>
      <c r="R37" s="3">
        <f t="shared" si="49"/>
        <v>223.71</v>
      </c>
      <c r="S37" s="3">
        <f t="shared" si="23"/>
        <v>1894.49</v>
      </c>
      <c r="T37" s="3">
        <f t="shared" si="24"/>
        <v>0</v>
      </c>
      <c r="U37" s="3">
        <f t="shared" si="25"/>
        <v>2.5881839999999996</v>
      </c>
      <c r="V37" s="3">
        <f t="shared" si="26"/>
        <v>0</v>
      </c>
      <c r="W37" s="3">
        <f t="shared" si="27"/>
        <v>0</v>
      </c>
      <c r="X37" s="3">
        <f t="shared" si="50"/>
        <v>2054.65</v>
      </c>
      <c r="Y37" s="3">
        <f t="shared" si="51"/>
        <v>1080.28</v>
      </c>
      <c r="AA37" s="3">
        <v>85739207</v>
      </c>
      <c r="AB37" s="3">
        <f t="shared" si="28"/>
        <v>54.475999999999999</v>
      </c>
      <c r="AC37" s="3">
        <f t="shared" si="52"/>
        <v>1.46</v>
      </c>
      <c r="AD37" s="3">
        <f t="shared" si="53"/>
        <v>20.904</v>
      </c>
      <c r="AE37" s="3">
        <f t="shared" si="54"/>
        <v>3.7919999999999998</v>
      </c>
      <c r="AF37" s="3">
        <f t="shared" si="54"/>
        <v>32.112000000000002</v>
      </c>
      <c r="AG37" s="3">
        <f t="shared" si="29"/>
        <v>0</v>
      </c>
      <c r="AH37" s="3">
        <f t="shared" si="55"/>
        <v>2.472</v>
      </c>
      <c r="AI37" s="3">
        <f t="shared" si="55"/>
        <v>0</v>
      </c>
      <c r="AJ37" s="3">
        <f t="shared" si="30"/>
        <v>0</v>
      </c>
      <c r="AK37" s="3">
        <v>45.64</v>
      </c>
      <c r="AL37" s="3">
        <v>1.46</v>
      </c>
      <c r="AM37" s="3">
        <v>17.420000000000002</v>
      </c>
      <c r="AN37" s="3">
        <v>3.16</v>
      </c>
      <c r="AO37" s="3">
        <v>26.76</v>
      </c>
      <c r="AP37" s="3">
        <v>0</v>
      </c>
      <c r="AQ37" s="3">
        <v>2.06</v>
      </c>
      <c r="AR37" s="3">
        <v>0</v>
      </c>
      <c r="AS37" s="3">
        <v>0</v>
      </c>
      <c r="AT37" s="3">
        <v>97</v>
      </c>
      <c r="AU37" s="3">
        <v>51</v>
      </c>
      <c r="AV37" s="3">
        <v>1.0469999999999999</v>
      </c>
      <c r="AW37" s="3">
        <v>1</v>
      </c>
      <c r="AZ37" s="3">
        <v>1</v>
      </c>
      <c r="BA37" s="3">
        <v>56.35</v>
      </c>
      <c r="BB37" s="3">
        <v>19.89</v>
      </c>
      <c r="BC37" s="3">
        <v>11.05</v>
      </c>
      <c r="BD37" s="3" t="s">
        <v>3</v>
      </c>
      <c r="BE37" s="3" t="s">
        <v>3</v>
      </c>
      <c r="BF37" s="3" t="s">
        <v>3</v>
      </c>
      <c r="BG37" s="3" t="s">
        <v>3</v>
      </c>
      <c r="BH37" s="3">
        <v>0</v>
      </c>
      <c r="BI37" s="3">
        <v>2</v>
      </c>
      <c r="BJ37" s="3" t="s">
        <v>55</v>
      </c>
      <c r="BM37" s="3">
        <v>67</v>
      </c>
      <c r="BN37" s="3">
        <v>0</v>
      </c>
      <c r="BO37" s="3" t="s">
        <v>53</v>
      </c>
      <c r="BP37" s="3">
        <v>1</v>
      </c>
      <c r="BQ37" s="3">
        <v>40</v>
      </c>
      <c r="BR37" s="3">
        <v>0</v>
      </c>
      <c r="BS37" s="3">
        <v>56.35</v>
      </c>
      <c r="BT37" s="3">
        <v>1</v>
      </c>
      <c r="BU37" s="3">
        <v>1</v>
      </c>
      <c r="BV37" s="3">
        <v>1</v>
      </c>
      <c r="BW37" s="3">
        <v>1</v>
      </c>
      <c r="BX37" s="3">
        <v>1</v>
      </c>
      <c r="BY37" s="3" t="s">
        <v>3</v>
      </c>
      <c r="BZ37" s="3">
        <v>97</v>
      </c>
      <c r="CA37" s="3">
        <v>51</v>
      </c>
      <c r="CB37" s="3" t="s">
        <v>3</v>
      </c>
      <c r="CE37" s="3">
        <v>1566</v>
      </c>
      <c r="CF37" s="3">
        <v>0</v>
      </c>
      <c r="CG37" s="3">
        <v>0</v>
      </c>
      <c r="CM37" s="3">
        <v>0</v>
      </c>
      <c r="CN37" s="3" t="s">
        <v>677</v>
      </c>
      <c r="CO37" s="3">
        <v>0</v>
      </c>
      <c r="CP37" s="3">
        <f t="shared" si="31"/>
        <v>2346.0100000000002</v>
      </c>
      <c r="CQ37" s="3">
        <f t="shared" si="32"/>
        <v>16.13</v>
      </c>
      <c r="CR37" s="3">
        <f t="shared" si="56"/>
        <v>435.39</v>
      </c>
      <c r="CS37" s="3">
        <f t="shared" si="57"/>
        <v>223.71</v>
      </c>
      <c r="CT37" s="3">
        <f t="shared" si="33"/>
        <v>1894.49</v>
      </c>
      <c r="CU37" s="3">
        <f t="shared" si="34"/>
        <v>0</v>
      </c>
      <c r="CV37" s="3">
        <f t="shared" si="35"/>
        <v>2.5881839999999996</v>
      </c>
      <c r="CW37" s="3">
        <f t="shared" si="36"/>
        <v>0</v>
      </c>
      <c r="CX37" s="3">
        <f t="shared" si="37"/>
        <v>0</v>
      </c>
      <c r="CY37" s="3">
        <f t="shared" si="58"/>
        <v>2054.65</v>
      </c>
      <c r="CZ37" s="3">
        <f t="shared" si="59"/>
        <v>1080.28</v>
      </c>
      <c r="DB37" s="3">
        <v>10</v>
      </c>
      <c r="DC37" s="3" t="s">
        <v>3</v>
      </c>
      <c r="DD37" s="3" t="s">
        <v>35</v>
      </c>
      <c r="DE37" s="3" t="s">
        <v>36</v>
      </c>
      <c r="DF37" s="3" t="s">
        <v>36</v>
      </c>
      <c r="DG37" s="3" t="s">
        <v>36</v>
      </c>
      <c r="DH37" s="3" t="s">
        <v>3</v>
      </c>
      <c r="DI37" s="3" t="s">
        <v>36</v>
      </c>
      <c r="DJ37" s="3" t="s">
        <v>36</v>
      </c>
      <c r="DK37" s="3" t="s">
        <v>3</v>
      </c>
      <c r="DL37" s="3" t="s">
        <v>3</v>
      </c>
      <c r="DM37" s="3" t="s">
        <v>3</v>
      </c>
      <c r="DN37" s="3">
        <v>0</v>
      </c>
      <c r="DO37" s="3">
        <v>0</v>
      </c>
      <c r="DP37" s="3">
        <v>1</v>
      </c>
      <c r="DQ37" s="3">
        <v>1</v>
      </c>
      <c r="DU37" s="3">
        <v>1013</v>
      </c>
      <c r="DV37" s="3" t="s">
        <v>23</v>
      </c>
      <c r="DW37" s="3" t="s">
        <v>23</v>
      </c>
      <c r="DX37" s="3">
        <v>1</v>
      </c>
      <c r="DZ37" s="3" t="s">
        <v>3</v>
      </c>
      <c r="EA37" s="3" t="s">
        <v>3</v>
      </c>
      <c r="EB37" s="3" t="s">
        <v>3</v>
      </c>
      <c r="EC37" s="3" t="s">
        <v>3</v>
      </c>
      <c r="EE37" s="3">
        <v>85133416</v>
      </c>
      <c r="EF37" s="3">
        <v>40</v>
      </c>
      <c r="EG37" s="3" t="s">
        <v>27</v>
      </c>
      <c r="EH37" s="3">
        <v>0</v>
      </c>
      <c r="EI37" s="3" t="s">
        <v>3</v>
      </c>
      <c r="EJ37" s="3">
        <v>2</v>
      </c>
      <c r="EK37" s="3">
        <v>67</v>
      </c>
      <c r="EL37" s="3" t="s">
        <v>56</v>
      </c>
      <c r="EM37" s="3" t="s">
        <v>57</v>
      </c>
      <c r="EO37" s="3" t="s">
        <v>37</v>
      </c>
      <c r="EQ37" s="3">
        <v>0</v>
      </c>
      <c r="ER37" s="3">
        <v>45.64</v>
      </c>
      <c r="ES37" s="3">
        <v>1.46</v>
      </c>
      <c r="ET37" s="3">
        <v>17.420000000000002</v>
      </c>
      <c r="EU37" s="3">
        <v>3.16</v>
      </c>
      <c r="EV37" s="3">
        <v>26.76</v>
      </c>
      <c r="EW37" s="3">
        <v>2.06</v>
      </c>
      <c r="EX37" s="3">
        <v>0</v>
      </c>
      <c r="EY37" s="3">
        <v>0</v>
      </c>
      <c r="FQ37" s="3">
        <v>0</v>
      </c>
      <c r="FR37" s="3">
        <v>0</v>
      </c>
      <c r="FS37" s="3">
        <v>0</v>
      </c>
      <c r="FX37" s="3">
        <v>97</v>
      </c>
      <c r="FY37" s="3">
        <v>51</v>
      </c>
      <c r="GA37" s="3" t="s">
        <v>3</v>
      </c>
      <c r="GD37" s="3">
        <v>1</v>
      </c>
      <c r="GF37" s="3">
        <v>-1842782186</v>
      </c>
      <c r="GG37" s="3">
        <v>2</v>
      </c>
      <c r="GH37" s="3">
        <v>1</v>
      </c>
      <c r="GI37" s="3">
        <v>2</v>
      </c>
      <c r="GJ37" s="3">
        <v>0</v>
      </c>
      <c r="GK37" s="3">
        <v>0</v>
      </c>
      <c r="GL37" s="3">
        <f t="shared" si="38"/>
        <v>0</v>
      </c>
      <c r="GM37" s="3">
        <f t="shared" si="39"/>
        <v>5480.94</v>
      </c>
      <c r="GN37" s="3">
        <f t="shared" si="40"/>
        <v>0</v>
      </c>
      <c r="GO37" s="3">
        <f t="shared" si="41"/>
        <v>5480.94</v>
      </c>
      <c r="GP37" s="3">
        <f t="shared" si="42"/>
        <v>0</v>
      </c>
      <c r="GR37" s="3">
        <v>0</v>
      </c>
      <c r="GS37" s="3">
        <v>3</v>
      </c>
      <c r="GT37" s="3">
        <v>0</v>
      </c>
      <c r="GU37" s="3" t="s">
        <v>3</v>
      </c>
      <c r="GV37" s="3">
        <f t="shared" si="43"/>
        <v>0</v>
      </c>
      <c r="GW37" s="3">
        <v>1</v>
      </c>
      <c r="GX37" s="3">
        <f t="shared" si="44"/>
        <v>0</v>
      </c>
      <c r="HA37" s="3">
        <v>0</v>
      </c>
      <c r="HB37" s="3">
        <v>0</v>
      </c>
      <c r="HC37" s="3">
        <f t="shared" si="45"/>
        <v>0</v>
      </c>
      <c r="HE37" s="3" t="s">
        <v>3</v>
      </c>
      <c r="HF37" s="3" t="s">
        <v>3</v>
      </c>
      <c r="HM37" s="3" t="s">
        <v>3</v>
      </c>
      <c r="HN37" s="3" t="s">
        <v>3</v>
      </c>
      <c r="HO37" s="3" t="s">
        <v>3</v>
      </c>
      <c r="HP37" s="3" t="s">
        <v>3</v>
      </c>
      <c r="HQ37" s="3" t="s">
        <v>3</v>
      </c>
      <c r="HS37" s="3">
        <v>0</v>
      </c>
      <c r="IK37" s="3">
        <v>0</v>
      </c>
    </row>
    <row r="38" spans="1:255" x14ac:dyDescent="0.2">
      <c r="A38" s="2">
        <v>17</v>
      </c>
      <c r="B38" s="2">
        <v>1</v>
      </c>
      <c r="C38" s="2">
        <f>ROW(SmtRes!A75)</f>
        <v>75</v>
      </c>
      <c r="D38" s="2">
        <f>ROW(EtalonRes!A87)</f>
        <v>87</v>
      </c>
      <c r="E38" s="2" t="s">
        <v>58</v>
      </c>
      <c r="F38" s="2" t="s">
        <v>59</v>
      </c>
      <c r="G38" s="2" t="s">
        <v>60</v>
      </c>
      <c r="H38" s="2" t="s">
        <v>23</v>
      </c>
      <c r="I38" s="2">
        <f>ROUND(2+4,9)</f>
        <v>6</v>
      </c>
      <c r="J38" s="2">
        <v>0</v>
      </c>
      <c r="K38" s="2">
        <f>ROUND(2+4,9)</f>
        <v>6</v>
      </c>
      <c r="L38" s="2"/>
      <c r="M38" s="2"/>
      <c r="N38" s="2"/>
      <c r="O38" s="2">
        <f t="shared" si="21"/>
        <v>417.65</v>
      </c>
      <c r="P38" s="2">
        <f t="shared" si="22"/>
        <v>17.09</v>
      </c>
      <c r="Q38" s="2">
        <f t="shared" si="48"/>
        <v>12.75</v>
      </c>
      <c r="R38" s="2">
        <f t="shared" si="49"/>
        <v>1.92</v>
      </c>
      <c r="S38" s="2">
        <f t="shared" si="23"/>
        <v>387.81</v>
      </c>
      <c r="T38" s="2">
        <f t="shared" si="24"/>
        <v>0</v>
      </c>
      <c r="U38" s="2">
        <f t="shared" si="25"/>
        <v>30.729599999999998</v>
      </c>
      <c r="V38" s="2">
        <f t="shared" si="26"/>
        <v>0</v>
      </c>
      <c r="W38" s="2">
        <f t="shared" si="27"/>
        <v>0</v>
      </c>
      <c r="X38" s="2">
        <f t="shared" si="50"/>
        <v>350.76</v>
      </c>
      <c r="Y38" s="2">
        <f t="shared" si="51"/>
        <v>179.28</v>
      </c>
      <c r="Z38" s="2"/>
      <c r="AA38" s="2">
        <v>85739205</v>
      </c>
      <c r="AB38" s="2">
        <f t="shared" si="28"/>
        <v>65.337999999999994</v>
      </c>
      <c r="AC38" s="2">
        <f t="shared" si="52"/>
        <v>2.77</v>
      </c>
      <c r="AD38" s="2">
        <f t="shared" si="53"/>
        <v>1.992</v>
      </c>
      <c r="AE38" s="2">
        <f t="shared" si="54"/>
        <v>0.3</v>
      </c>
      <c r="AF38" s="2">
        <f t="shared" si="54"/>
        <v>60.576000000000001</v>
      </c>
      <c r="AG38" s="2">
        <f t="shared" si="29"/>
        <v>0</v>
      </c>
      <c r="AH38" s="2">
        <f t="shared" si="55"/>
        <v>4.8</v>
      </c>
      <c r="AI38" s="2">
        <f t="shared" si="55"/>
        <v>0</v>
      </c>
      <c r="AJ38" s="2">
        <f t="shared" si="30"/>
        <v>0</v>
      </c>
      <c r="AK38" s="2">
        <v>54.91</v>
      </c>
      <c r="AL38" s="2">
        <v>2.77</v>
      </c>
      <c r="AM38" s="2">
        <v>1.66</v>
      </c>
      <c r="AN38" s="2">
        <v>0.25</v>
      </c>
      <c r="AO38" s="2">
        <v>50.48</v>
      </c>
      <c r="AP38" s="2">
        <v>0</v>
      </c>
      <c r="AQ38" s="2">
        <v>4</v>
      </c>
      <c r="AR38" s="2">
        <v>0</v>
      </c>
      <c r="AS38" s="2">
        <v>0</v>
      </c>
      <c r="AT38" s="2">
        <v>90</v>
      </c>
      <c r="AU38" s="2">
        <v>46</v>
      </c>
      <c r="AV38" s="2">
        <v>1.0669999999999999</v>
      </c>
      <c r="AW38" s="2">
        <v>1.028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2</v>
      </c>
      <c r="BJ38" s="2" t="s">
        <v>61</v>
      </c>
      <c r="BK38" s="2"/>
      <c r="BL38" s="2"/>
      <c r="BM38" s="2">
        <v>73</v>
      </c>
      <c r="BN38" s="2">
        <v>0</v>
      </c>
      <c r="BO38" s="2" t="s">
        <v>59</v>
      </c>
      <c r="BP38" s="2">
        <v>1</v>
      </c>
      <c r="BQ38" s="2">
        <v>40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90</v>
      </c>
      <c r="CA38" s="2">
        <v>46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677</v>
      </c>
      <c r="CO38" s="2">
        <v>0</v>
      </c>
      <c r="CP38" s="2">
        <f t="shared" si="31"/>
        <v>417.65</v>
      </c>
      <c r="CQ38" s="2">
        <f t="shared" si="32"/>
        <v>2.85</v>
      </c>
      <c r="CR38" s="2">
        <f t="shared" si="56"/>
        <v>2.13</v>
      </c>
      <c r="CS38" s="2">
        <f t="shared" si="57"/>
        <v>0.32</v>
      </c>
      <c r="CT38" s="2">
        <f t="shared" si="33"/>
        <v>64.63</v>
      </c>
      <c r="CU38" s="2">
        <f t="shared" si="34"/>
        <v>0</v>
      </c>
      <c r="CV38" s="2">
        <f t="shared" si="35"/>
        <v>5.1215999999999999</v>
      </c>
      <c r="CW38" s="2">
        <f t="shared" si="36"/>
        <v>0</v>
      </c>
      <c r="CX38" s="2">
        <f t="shared" si="37"/>
        <v>0</v>
      </c>
      <c r="CY38" s="2">
        <f t="shared" si="58"/>
        <v>349.32</v>
      </c>
      <c r="CZ38" s="2">
        <f t="shared" si="59"/>
        <v>178.54</v>
      </c>
      <c r="DA38" s="2"/>
      <c r="DB38" s="2">
        <v>11</v>
      </c>
      <c r="DC38" s="2" t="s">
        <v>3</v>
      </c>
      <c r="DD38" s="2" t="s">
        <v>35</v>
      </c>
      <c r="DE38" s="2" t="s">
        <v>36</v>
      </c>
      <c r="DF38" s="2" t="s">
        <v>36</v>
      </c>
      <c r="DG38" s="2" t="s">
        <v>36</v>
      </c>
      <c r="DH38" s="2" t="s">
        <v>3</v>
      </c>
      <c r="DI38" s="2" t="s">
        <v>36</v>
      </c>
      <c r="DJ38" s="2" t="s">
        <v>36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1013</v>
      </c>
      <c r="DV38" s="2" t="s">
        <v>23</v>
      </c>
      <c r="DW38" s="2" t="s">
        <v>23</v>
      </c>
      <c r="DX38" s="2">
        <v>1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85133422</v>
      </c>
      <c r="EF38" s="2">
        <v>40</v>
      </c>
      <c r="EG38" s="2" t="s">
        <v>27</v>
      </c>
      <c r="EH38" s="2">
        <v>0</v>
      </c>
      <c r="EI38" s="2" t="s">
        <v>3</v>
      </c>
      <c r="EJ38" s="2">
        <v>2</v>
      </c>
      <c r="EK38" s="2">
        <v>73</v>
      </c>
      <c r="EL38" s="2" t="s">
        <v>62</v>
      </c>
      <c r="EM38" s="2" t="s">
        <v>63</v>
      </c>
      <c r="EN38" s="2"/>
      <c r="EO38" s="2" t="s">
        <v>37</v>
      </c>
      <c r="EP38" s="2"/>
      <c r="EQ38" s="2">
        <v>0</v>
      </c>
      <c r="ER38" s="2">
        <v>54.91</v>
      </c>
      <c r="ES38" s="2">
        <v>2.77</v>
      </c>
      <c r="ET38" s="2">
        <v>1.66</v>
      </c>
      <c r="EU38" s="2">
        <v>0.25</v>
      </c>
      <c r="EV38" s="2">
        <v>50.48</v>
      </c>
      <c r="EW38" s="2">
        <v>4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2</v>
      </c>
      <c r="FT38" s="2"/>
      <c r="FU38" s="2"/>
      <c r="FV38" s="2"/>
      <c r="FW38" s="2"/>
      <c r="FX38" s="2">
        <v>90</v>
      </c>
      <c r="FY38" s="2">
        <v>46</v>
      </c>
      <c r="FZ38" s="2"/>
      <c r="GA38" s="2" t="s">
        <v>3</v>
      </c>
      <c r="GB38" s="2"/>
      <c r="GC38" s="2"/>
      <c r="GD38" s="2">
        <v>1</v>
      </c>
      <c r="GE38" s="2"/>
      <c r="GF38" s="2">
        <v>742127146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38"/>
        <v>0</v>
      </c>
      <c r="GM38" s="2">
        <f t="shared" si="39"/>
        <v>947.69</v>
      </c>
      <c r="GN38" s="2">
        <f t="shared" si="40"/>
        <v>0</v>
      </c>
      <c r="GO38" s="2">
        <f t="shared" si="41"/>
        <v>947.69</v>
      </c>
      <c r="GP38" s="2">
        <f t="shared" si="42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43"/>
        <v>0</v>
      </c>
      <c r="GW38" s="2">
        <v>1</v>
      </c>
      <c r="GX38" s="2">
        <f t="shared" si="44"/>
        <v>0</v>
      </c>
      <c r="GY38" s="2"/>
      <c r="GZ38" s="2"/>
      <c r="HA38" s="2">
        <v>0</v>
      </c>
      <c r="HB38" s="2">
        <v>0</v>
      </c>
      <c r="HC38" s="2">
        <f t="shared" si="45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 s="3">
        <v>17</v>
      </c>
      <c r="B39" s="3">
        <v>1</v>
      </c>
      <c r="C39" s="3">
        <f>ROW(SmtRes!A78)</f>
        <v>78</v>
      </c>
      <c r="D39" s="3">
        <f>ROW(EtalonRes!A92)</f>
        <v>92</v>
      </c>
      <c r="E39" s="3" t="s">
        <v>58</v>
      </c>
      <c r="F39" s="3" t="s">
        <v>59</v>
      </c>
      <c r="G39" s="3" t="s">
        <v>60</v>
      </c>
      <c r="H39" s="3" t="s">
        <v>23</v>
      </c>
      <c r="I39" s="3">
        <f>ROUND(2+4,9)</f>
        <v>6</v>
      </c>
      <c r="J39" s="3">
        <v>0</v>
      </c>
      <c r="K39" s="3">
        <f>ROUND(2+4,9)</f>
        <v>6</v>
      </c>
      <c r="O39" s="3">
        <f t="shared" si="21"/>
        <v>22147.9</v>
      </c>
      <c r="P39" s="3">
        <f t="shared" si="22"/>
        <v>76.91</v>
      </c>
      <c r="Q39" s="3">
        <f t="shared" si="48"/>
        <v>217.9</v>
      </c>
      <c r="R39" s="3">
        <f t="shared" si="49"/>
        <v>108.19</v>
      </c>
      <c r="S39" s="3">
        <f t="shared" si="23"/>
        <v>21853.09</v>
      </c>
      <c r="T39" s="3">
        <f t="shared" si="24"/>
        <v>0</v>
      </c>
      <c r="U39" s="3">
        <f t="shared" si="25"/>
        <v>30.729599999999998</v>
      </c>
      <c r="V39" s="3">
        <f t="shared" si="26"/>
        <v>0</v>
      </c>
      <c r="W39" s="3">
        <f t="shared" si="27"/>
        <v>0</v>
      </c>
      <c r="X39" s="3">
        <f t="shared" si="50"/>
        <v>19765.150000000001</v>
      </c>
      <c r="Y39" s="3">
        <f t="shared" si="51"/>
        <v>10102.19</v>
      </c>
      <c r="AA39" s="3">
        <v>85739207</v>
      </c>
      <c r="AB39" s="3">
        <f t="shared" si="28"/>
        <v>65.337999999999994</v>
      </c>
      <c r="AC39" s="3">
        <f t="shared" si="52"/>
        <v>2.77</v>
      </c>
      <c r="AD39" s="3">
        <f t="shared" si="53"/>
        <v>1.992</v>
      </c>
      <c r="AE39" s="3">
        <f t="shared" si="54"/>
        <v>0.3</v>
      </c>
      <c r="AF39" s="3">
        <f t="shared" si="54"/>
        <v>60.576000000000001</v>
      </c>
      <c r="AG39" s="3">
        <f t="shared" si="29"/>
        <v>0</v>
      </c>
      <c r="AH39" s="3">
        <f t="shared" si="55"/>
        <v>4.8</v>
      </c>
      <c r="AI39" s="3">
        <f t="shared" si="55"/>
        <v>0</v>
      </c>
      <c r="AJ39" s="3">
        <f t="shared" si="30"/>
        <v>0</v>
      </c>
      <c r="AK39" s="3">
        <v>54.91</v>
      </c>
      <c r="AL39" s="3">
        <v>2.77</v>
      </c>
      <c r="AM39" s="3">
        <v>1.66</v>
      </c>
      <c r="AN39" s="3">
        <v>0.25</v>
      </c>
      <c r="AO39" s="3">
        <v>50.48</v>
      </c>
      <c r="AP39" s="3">
        <v>0</v>
      </c>
      <c r="AQ39" s="3">
        <v>4</v>
      </c>
      <c r="AR39" s="3">
        <v>0</v>
      </c>
      <c r="AS39" s="3">
        <v>0</v>
      </c>
      <c r="AT39" s="3">
        <v>90</v>
      </c>
      <c r="AU39" s="3">
        <v>46</v>
      </c>
      <c r="AV39" s="3">
        <v>1.0669999999999999</v>
      </c>
      <c r="AW39" s="3">
        <v>1.028</v>
      </c>
      <c r="AZ39" s="3">
        <v>1</v>
      </c>
      <c r="BA39" s="3">
        <v>56.35</v>
      </c>
      <c r="BB39" s="3">
        <v>17.09</v>
      </c>
      <c r="BC39" s="3">
        <v>4.5</v>
      </c>
      <c r="BD39" s="3" t="s">
        <v>3</v>
      </c>
      <c r="BE39" s="3" t="s">
        <v>3</v>
      </c>
      <c r="BF39" s="3" t="s">
        <v>3</v>
      </c>
      <c r="BG39" s="3" t="s">
        <v>3</v>
      </c>
      <c r="BH39" s="3">
        <v>0</v>
      </c>
      <c r="BI39" s="3">
        <v>2</v>
      </c>
      <c r="BJ39" s="3" t="s">
        <v>61</v>
      </c>
      <c r="BM39" s="3">
        <v>73</v>
      </c>
      <c r="BN39" s="3">
        <v>0</v>
      </c>
      <c r="BO39" s="3" t="s">
        <v>59</v>
      </c>
      <c r="BP39" s="3">
        <v>1</v>
      </c>
      <c r="BQ39" s="3">
        <v>40</v>
      </c>
      <c r="BR39" s="3">
        <v>0</v>
      </c>
      <c r="BS39" s="3">
        <v>56.35</v>
      </c>
      <c r="BT39" s="3">
        <v>1</v>
      </c>
      <c r="BU39" s="3">
        <v>1</v>
      </c>
      <c r="BV39" s="3">
        <v>1</v>
      </c>
      <c r="BW39" s="3">
        <v>1</v>
      </c>
      <c r="BX39" s="3">
        <v>1</v>
      </c>
      <c r="BY39" s="3" t="s">
        <v>3</v>
      </c>
      <c r="BZ39" s="3">
        <v>90</v>
      </c>
      <c r="CA39" s="3">
        <v>46</v>
      </c>
      <c r="CB39" s="3" t="s">
        <v>3</v>
      </c>
      <c r="CE39" s="3">
        <v>1566</v>
      </c>
      <c r="CF39" s="3">
        <v>0</v>
      </c>
      <c r="CG39" s="3">
        <v>0</v>
      </c>
      <c r="CM39" s="3">
        <v>0</v>
      </c>
      <c r="CN39" s="3" t="s">
        <v>677</v>
      </c>
      <c r="CO39" s="3">
        <v>0</v>
      </c>
      <c r="CP39" s="3">
        <f t="shared" si="31"/>
        <v>22147.9</v>
      </c>
      <c r="CQ39" s="3">
        <f t="shared" si="32"/>
        <v>12.83</v>
      </c>
      <c r="CR39" s="3">
        <f t="shared" si="56"/>
        <v>36.4</v>
      </c>
      <c r="CS39" s="3">
        <f t="shared" si="57"/>
        <v>18.03</v>
      </c>
      <c r="CT39" s="3">
        <f t="shared" si="33"/>
        <v>3641.9</v>
      </c>
      <c r="CU39" s="3">
        <f t="shared" si="34"/>
        <v>0</v>
      </c>
      <c r="CV39" s="3">
        <f t="shared" si="35"/>
        <v>5.1215999999999999</v>
      </c>
      <c r="CW39" s="3">
        <f t="shared" si="36"/>
        <v>0</v>
      </c>
      <c r="CX39" s="3">
        <f t="shared" si="37"/>
        <v>0</v>
      </c>
      <c r="CY39" s="3">
        <f t="shared" si="58"/>
        <v>19684.009999999998</v>
      </c>
      <c r="CZ39" s="3">
        <f t="shared" si="59"/>
        <v>10060.719999999999</v>
      </c>
      <c r="DB39" s="3">
        <v>12</v>
      </c>
      <c r="DC39" s="3" t="s">
        <v>3</v>
      </c>
      <c r="DD39" s="3" t="s">
        <v>35</v>
      </c>
      <c r="DE39" s="3" t="s">
        <v>36</v>
      </c>
      <c r="DF39" s="3" t="s">
        <v>36</v>
      </c>
      <c r="DG39" s="3" t="s">
        <v>36</v>
      </c>
      <c r="DH39" s="3" t="s">
        <v>3</v>
      </c>
      <c r="DI39" s="3" t="s">
        <v>36</v>
      </c>
      <c r="DJ39" s="3" t="s">
        <v>36</v>
      </c>
      <c r="DK39" s="3" t="s">
        <v>3</v>
      </c>
      <c r="DL39" s="3" t="s">
        <v>3</v>
      </c>
      <c r="DM39" s="3" t="s">
        <v>3</v>
      </c>
      <c r="DN39" s="3">
        <v>0</v>
      </c>
      <c r="DO39" s="3">
        <v>0</v>
      </c>
      <c r="DP39" s="3">
        <v>1</v>
      </c>
      <c r="DQ39" s="3">
        <v>1</v>
      </c>
      <c r="DU39" s="3">
        <v>1013</v>
      </c>
      <c r="DV39" s="3" t="s">
        <v>23</v>
      </c>
      <c r="DW39" s="3" t="s">
        <v>23</v>
      </c>
      <c r="DX39" s="3">
        <v>1</v>
      </c>
      <c r="DZ39" s="3" t="s">
        <v>3</v>
      </c>
      <c r="EA39" s="3" t="s">
        <v>3</v>
      </c>
      <c r="EB39" s="3" t="s">
        <v>3</v>
      </c>
      <c r="EC39" s="3" t="s">
        <v>3</v>
      </c>
      <c r="EE39" s="3">
        <v>85133422</v>
      </c>
      <c r="EF39" s="3">
        <v>40</v>
      </c>
      <c r="EG39" s="3" t="s">
        <v>27</v>
      </c>
      <c r="EH39" s="3">
        <v>0</v>
      </c>
      <c r="EI39" s="3" t="s">
        <v>3</v>
      </c>
      <c r="EJ39" s="3">
        <v>2</v>
      </c>
      <c r="EK39" s="3">
        <v>73</v>
      </c>
      <c r="EL39" s="3" t="s">
        <v>62</v>
      </c>
      <c r="EM39" s="3" t="s">
        <v>63</v>
      </c>
      <c r="EO39" s="3" t="s">
        <v>37</v>
      </c>
      <c r="EQ39" s="3">
        <v>0</v>
      </c>
      <c r="ER39" s="3">
        <v>54.91</v>
      </c>
      <c r="ES39" s="3">
        <v>2.77</v>
      </c>
      <c r="ET39" s="3">
        <v>1.66</v>
      </c>
      <c r="EU39" s="3">
        <v>0.25</v>
      </c>
      <c r="EV39" s="3">
        <v>50.48</v>
      </c>
      <c r="EW39" s="3">
        <v>4</v>
      </c>
      <c r="EX39" s="3">
        <v>0</v>
      </c>
      <c r="EY39" s="3">
        <v>0</v>
      </c>
      <c r="FQ39" s="3">
        <v>0</v>
      </c>
      <c r="FR39" s="3">
        <v>0</v>
      </c>
      <c r="FS39" s="3">
        <v>2</v>
      </c>
      <c r="FX39" s="3">
        <v>90</v>
      </c>
      <c r="FY39" s="3">
        <v>46</v>
      </c>
      <c r="GA39" s="3" t="s">
        <v>3</v>
      </c>
      <c r="GD39" s="3">
        <v>1</v>
      </c>
      <c r="GF39" s="3">
        <v>742127146</v>
      </c>
      <c r="GG39" s="3">
        <v>2</v>
      </c>
      <c r="GH39" s="3">
        <v>1</v>
      </c>
      <c r="GI39" s="3">
        <v>2</v>
      </c>
      <c r="GJ39" s="3">
        <v>0</v>
      </c>
      <c r="GK39" s="3">
        <v>0</v>
      </c>
      <c r="GL39" s="3">
        <f t="shared" si="38"/>
        <v>0</v>
      </c>
      <c r="GM39" s="3">
        <f t="shared" si="39"/>
        <v>52015.24</v>
      </c>
      <c r="GN39" s="3">
        <f t="shared" si="40"/>
        <v>0</v>
      </c>
      <c r="GO39" s="3">
        <f t="shared" si="41"/>
        <v>52015.24</v>
      </c>
      <c r="GP39" s="3">
        <f t="shared" si="42"/>
        <v>0</v>
      </c>
      <c r="GR39" s="3">
        <v>0</v>
      </c>
      <c r="GS39" s="3">
        <v>3</v>
      </c>
      <c r="GT39" s="3">
        <v>0</v>
      </c>
      <c r="GU39" s="3" t="s">
        <v>3</v>
      </c>
      <c r="GV39" s="3">
        <f t="shared" si="43"/>
        <v>0</v>
      </c>
      <c r="GW39" s="3">
        <v>1</v>
      </c>
      <c r="GX39" s="3">
        <f t="shared" si="44"/>
        <v>0</v>
      </c>
      <c r="HA39" s="3">
        <v>0</v>
      </c>
      <c r="HB39" s="3">
        <v>0</v>
      </c>
      <c r="HC39" s="3">
        <f t="shared" si="45"/>
        <v>0</v>
      </c>
      <c r="HE39" s="3" t="s">
        <v>3</v>
      </c>
      <c r="HF39" s="3" t="s">
        <v>3</v>
      </c>
      <c r="HM39" s="3" t="s">
        <v>3</v>
      </c>
      <c r="HN39" s="3" t="s">
        <v>3</v>
      </c>
      <c r="HO39" s="3" t="s">
        <v>3</v>
      </c>
      <c r="HP39" s="3" t="s">
        <v>3</v>
      </c>
      <c r="HQ39" s="3" t="s">
        <v>3</v>
      </c>
      <c r="HS39" s="3">
        <v>0</v>
      </c>
      <c r="IK39" s="3">
        <v>0</v>
      </c>
    </row>
    <row r="40" spans="1:255" x14ac:dyDescent="0.2">
      <c r="A40" s="2">
        <v>17</v>
      </c>
      <c r="B40" s="2">
        <v>1</v>
      </c>
      <c r="C40" s="2">
        <f>ROW(SmtRes!A81)</f>
        <v>81</v>
      </c>
      <c r="D40" s="2">
        <f>ROW(EtalonRes!A97)</f>
        <v>97</v>
      </c>
      <c r="E40" s="2" t="s">
        <v>64</v>
      </c>
      <c r="F40" s="2" t="s">
        <v>65</v>
      </c>
      <c r="G40" s="2" t="s">
        <v>66</v>
      </c>
      <c r="H40" s="2" t="s">
        <v>23</v>
      </c>
      <c r="I40" s="2">
        <f>ROUND(2,9)</f>
        <v>2</v>
      </c>
      <c r="J40" s="2">
        <v>0</v>
      </c>
      <c r="K40" s="2">
        <f>ROUND(2,9)</f>
        <v>2</v>
      </c>
      <c r="L40" s="2"/>
      <c r="M40" s="2"/>
      <c r="N40" s="2"/>
      <c r="O40" s="2">
        <f t="shared" si="21"/>
        <v>191.1</v>
      </c>
      <c r="P40" s="2">
        <f t="shared" si="22"/>
        <v>8.08</v>
      </c>
      <c r="Q40" s="2">
        <f t="shared" si="48"/>
        <v>8.5</v>
      </c>
      <c r="R40" s="2">
        <f t="shared" si="49"/>
        <v>1.28</v>
      </c>
      <c r="S40" s="2">
        <f t="shared" si="23"/>
        <v>174.52</v>
      </c>
      <c r="T40" s="2">
        <f t="shared" si="24"/>
        <v>0</v>
      </c>
      <c r="U40" s="2">
        <f t="shared" si="25"/>
        <v>13.82832</v>
      </c>
      <c r="V40" s="2">
        <f t="shared" si="26"/>
        <v>0</v>
      </c>
      <c r="W40" s="2">
        <f t="shared" si="27"/>
        <v>0</v>
      </c>
      <c r="X40" s="2">
        <f t="shared" si="50"/>
        <v>158.22</v>
      </c>
      <c r="Y40" s="2">
        <f t="shared" si="51"/>
        <v>80.87</v>
      </c>
      <c r="Z40" s="2"/>
      <c r="AA40" s="2">
        <v>85739205</v>
      </c>
      <c r="AB40" s="2">
        <f t="shared" si="28"/>
        <v>89.694000000000003</v>
      </c>
      <c r="AC40" s="2">
        <f t="shared" si="52"/>
        <v>3.93</v>
      </c>
      <c r="AD40" s="2">
        <f t="shared" si="53"/>
        <v>3.984</v>
      </c>
      <c r="AE40" s="2">
        <f t="shared" si="54"/>
        <v>0.6</v>
      </c>
      <c r="AF40" s="2">
        <f t="shared" si="54"/>
        <v>81.78</v>
      </c>
      <c r="AG40" s="2">
        <f t="shared" si="29"/>
        <v>0</v>
      </c>
      <c r="AH40" s="2">
        <f t="shared" si="55"/>
        <v>6.48</v>
      </c>
      <c r="AI40" s="2">
        <f t="shared" si="55"/>
        <v>0</v>
      </c>
      <c r="AJ40" s="2">
        <f t="shared" si="30"/>
        <v>0</v>
      </c>
      <c r="AK40" s="2">
        <v>75.400000000000006</v>
      </c>
      <c r="AL40" s="2">
        <v>3.93</v>
      </c>
      <c r="AM40" s="2">
        <v>3.32</v>
      </c>
      <c r="AN40" s="2">
        <v>0.5</v>
      </c>
      <c r="AO40" s="2">
        <v>68.150000000000006</v>
      </c>
      <c r="AP40" s="2">
        <v>0</v>
      </c>
      <c r="AQ40" s="2">
        <v>5.4</v>
      </c>
      <c r="AR40" s="2">
        <v>0</v>
      </c>
      <c r="AS40" s="2">
        <v>0</v>
      </c>
      <c r="AT40" s="2">
        <v>90</v>
      </c>
      <c r="AU40" s="2">
        <v>46</v>
      </c>
      <c r="AV40" s="2">
        <v>1.0669999999999999</v>
      </c>
      <c r="AW40" s="2">
        <v>1.028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2</v>
      </c>
      <c r="BJ40" s="2" t="s">
        <v>67</v>
      </c>
      <c r="BK40" s="2"/>
      <c r="BL40" s="2"/>
      <c r="BM40" s="2">
        <v>73</v>
      </c>
      <c r="BN40" s="2">
        <v>0</v>
      </c>
      <c r="BO40" s="2" t="s">
        <v>65</v>
      </c>
      <c r="BP40" s="2">
        <v>1</v>
      </c>
      <c r="BQ40" s="2">
        <v>40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90</v>
      </c>
      <c r="CA40" s="2">
        <v>46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677</v>
      </c>
      <c r="CO40" s="2">
        <v>0</v>
      </c>
      <c r="CP40" s="2">
        <f t="shared" si="31"/>
        <v>191.10000000000002</v>
      </c>
      <c r="CQ40" s="2">
        <f t="shared" si="32"/>
        <v>4.04</v>
      </c>
      <c r="CR40" s="2">
        <f t="shared" si="56"/>
        <v>4.25</v>
      </c>
      <c r="CS40" s="2">
        <f t="shared" si="57"/>
        <v>0.64</v>
      </c>
      <c r="CT40" s="2">
        <f t="shared" si="33"/>
        <v>87.26</v>
      </c>
      <c r="CU40" s="2">
        <f t="shared" si="34"/>
        <v>0</v>
      </c>
      <c r="CV40" s="2">
        <f t="shared" si="35"/>
        <v>6.9141599999999999</v>
      </c>
      <c r="CW40" s="2">
        <f t="shared" si="36"/>
        <v>0</v>
      </c>
      <c r="CX40" s="2">
        <f t="shared" si="37"/>
        <v>0</v>
      </c>
      <c r="CY40" s="2">
        <f t="shared" si="58"/>
        <v>157.63999999999999</v>
      </c>
      <c r="CZ40" s="2">
        <f t="shared" si="59"/>
        <v>80.569999999999993</v>
      </c>
      <c r="DA40" s="2"/>
      <c r="DB40" s="2">
        <v>13</v>
      </c>
      <c r="DC40" s="2" t="s">
        <v>3</v>
      </c>
      <c r="DD40" s="2" t="s">
        <v>35</v>
      </c>
      <c r="DE40" s="2" t="s">
        <v>36</v>
      </c>
      <c r="DF40" s="2" t="s">
        <v>36</v>
      </c>
      <c r="DG40" s="2" t="s">
        <v>36</v>
      </c>
      <c r="DH40" s="2" t="s">
        <v>3</v>
      </c>
      <c r="DI40" s="2" t="s">
        <v>36</v>
      </c>
      <c r="DJ40" s="2" t="s">
        <v>36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1013</v>
      </c>
      <c r="DV40" s="2" t="s">
        <v>23</v>
      </c>
      <c r="DW40" s="2" t="s">
        <v>23</v>
      </c>
      <c r="DX40" s="2">
        <v>1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85133422</v>
      </c>
      <c r="EF40" s="2">
        <v>40</v>
      </c>
      <c r="EG40" s="2" t="s">
        <v>27</v>
      </c>
      <c r="EH40" s="2">
        <v>0</v>
      </c>
      <c r="EI40" s="2" t="s">
        <v>3</v>
      </c>
      <c r="EJ40" s="2">
        <v>2</v>
      </c>
      <c r="EK40" s="2">
        <v>73</v>
      </c>
      <c r="EL40" s="2" t="s">
        <v>62</v>
      </c>
      <c r="EM40" s="2" t="s">
        <v>63</v>
      </c>
      <c r="EN40" s="2"/>
      <c r="EO40" s="2" t="s">
        <v>37</v>
      </c>
      <c r="EP40" s="2"/>
      <c r="EQ40" s="2">
        <v>0</v>
      </c>
      <c r="ER40" s="2">
        <v>75.400000000000006</v>
      </c>
      <c r="ES40" s="2">
        <v>3.93</v>
      </c>
      <c r="ET40" s="2">
        <v>3.32</v>
      </c>
      <c r="EU40" s="2">
        <v>0.5</v>
      </c>
      <c r="EV40" s="2">
        <v>68.150000000000006</v>
      </c>
      <c r="EW40" s="2">
        <v>5.4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2</v>
      </c>
      <c r="FT40" s="2"/>
      <c r="FU40" s="2"/>
      <c r="FV40" s="2"/>
      <c r="FW40" s="2"/>
      <c r="FX40" s="2">
        <v>90</v>
      </c>
      <c r="FY40" s="2">
        <v>46</v>
      </c>
      <c r="FZ40" s="2"/>
      <c r="GA40" s="2" t="s">
        <v>3</v>
      </c>
      <c r="GB40" s="2"/>
      <c r="GC40" s="2"/>
      <c r="GD40" s="2">
        <v>1</v>
      </c>
      <c r="GE40" s="2"/>
      <c r="GF40" s="2">
        <v>434457661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38"/>
        <v>0</v>
      </c>
      <c r="GM40" s="2">
        <f t="shared" si="39"/>
        <v>430.19</v>
      </c>
      <c r="GN40" s="2">
        <f t="shared" si="40"/>
        <v>0</v>
      </c>
      <c r="GO40" s="2">
        <f t="shared" si="41"/>
        <v>430.19</v>
      </c>
      <c r="GP40" s="2">
        <f t="shared" si="42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43"/>
        <v>0</v>
      </c>
      <c r="GW40" s="2">
        <v>1</v>
      </c>
      <c r="GX40" s="2">
        <f t="shared" si="44"/>
        <v>0</v>
      </c>
      <c r="GY40" s="2"/>
      <c r="GZ40" s="2"/>
      <c r="HA40" s="2">
        <v>0</v>
      </c>
      <c r="HB40" s="2">
        <v>0</v>
      </c>
      <c r="HC40" s="2">
        <f t="shared" si="45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 s="3">
        <v>17</v>
      </c>
      <c r="B41" s="3">
        <v>1</v>
      </c>
      <c r="C41" s="3">
        <f>ROW(SmtRes!A84)</f>
        <v>84</v>
      </c>
      <c r="D41" s="3">
        <f>ROW(EtalonRes!A102)</f>
        <v>102</v>
      </c>
      <c r="E41" s="3" t="s">
        <v>64</v>
      </c>
      <c r="F41" s="3" t="s">
        <v>65</v>
      </c>
      <c r="G41" s="3" t="s">
        <v>66</v>
      </c>
      <c r="H41" s="3" t="s">
        <v>23</v>
      </c>
      <c r="I41" s="3">
        <f>ROUND(2,9)</f>
        <v>2</v>
      </c>
      <c r="J41" s="3">
        <v>0</v>
      </c>
      <c r="K41" s="3">
        <f>ROUND(2,9)</f>
        <v>2</v>
      </c>
      <c r="O41" s="3">
        <f t="shared" si="21"/>
        <v>10015.75</v>
      </c>
      <c r="P41" s="3">
        <f t="shared" si="22"/>
        <v>36.28</v>
      </c>
      <c r="Q41" s="3">
        <f t="shared" si="48"/>
        <v>145.27000000000001</v>
      </c>
      <c r="R41" s="3">
        <f t="shared" si="49"/>
        <v>72.13</v>
      </c>
      <c r="S41" s="3">
        <f t="shared" si="23"/>
        <v>9834.2000000000007</v>
      </c>
      <c r="T41" s="3">
        <f t="shared" si="24"/>
        <v>0</v>
      </c>
      <c r="U41" s="3">
        <f t="shared" si="25"/>
        <v>13.82832</v>
      </c>
      <c r="V41" s="3">
        <f t="shared" si="26"/>
        <v>0</v>
      </c>
      <c r="W41" s="3">
        <f t="shared" si="27"/>
        <v>0</v>
      </c>
      <c r="X41" s="3">
        <f t="shared" si="50"/>
        <v>8915.7000000000007</v>
      </c>
      <c r="Y41" s="3">
        <f t="shared" si="51"/>
        <v>4556.91</v>
      </c>
      <c r="AA41" s="3">
        <v>85739207</v>
      </c>
      <c r="AB41" s="3">
        <f t="shared" si="28"/>
        <v>89.694000000000003</v>
      </c>
      <c r="AC41" s="3">
        <f t="shared" si="52"/>
        <v>3.93</v>
      </c>
      <c r="AD41" s="3">
        <f t="shared" si="53"/>
        <v>3.984</v>
      </c>
      <c r="AE41" s="3">
        <f t="shared" si="54"/>
        <v>0.6</v>
      </c>
      <c r="AF41" s="3">
        <f t="shared" si="54"/>
        <v>81.78</v>
      </c>
      <c r="AG41" s="3">
        <f t="shared" si="29"/>
        <v>0</v>
      </c>
      <c r="AH41" s="3">
        <f t="shared" si="55"/>
        <v>6.48</v>
      </c>
      <c r="AI41" s="3">
        <f t="shared" si="55"/>
        <v>0</v>
      </c>
      <c r="AJ41" s="3">
        <f t="shared" si="30"/>
        <v>0</v>
      </c>
      <c r="AK41" s="3">
        <v>75.400000000000006</v>
      </c>
      <c r="AL41" s="3">
        <v>3.93</v>
      </c>
      <c r="AM41" s="3">
        <v>3.32</v>
      </c>
      <c r="AN41" s="3">
        <v>0.5</v>
      </c>
      <c r="AO41" s="3">
        <v>68.150000000000006</v>
      </c>
      <c r="AP41" s="3">
        <v>0</v>
      </c>
      <c r="AQ41" s="3">
        <v>5.4</v>
      </c>
      <c r="AR41" s="3">
        <v>0</v>
      </c>
      <c r="AS41" s="3">
        <v>0</v>
      </c>
      <c r="AT41" s="3">
        <v>90</v>
      </c>
      <c r="AU41" s="3">
        <v>46</v>
      </c>
      <c r="AV41" s="3">
        <v>1.0669999999999999</v>
      </c>
      <c r="AW41" s="3">
        <v>1.028</v>
      </c>
      <c r="AZ41" s="3">
        <v>1</v>
      </c>
      <c r="BA41" s="3">
        <v>56.35</v>
      </c>
      <c r="BB41" s="3">
        <v>17.09</v>
      </c>
      <c r="BC41" s="3">
        <v>4.49</v>
      </c>
      <c r="BD41" s="3" t="s">
        <v>3</v>
      </c>
      <c r="BE41" s="3" t="s">
        <v>3</v>
      </c>
      <c r="BF41" s="3" t="s">
        <v>3</v>
      </c>
      <c r="BG41" s="3" t="s">
        <v>3</v>
      </c>
      <c r="BH41" s="3">
        <v>0</v>
      </c>
      <c r="BI41" s="3">
        <v>2</v>
      </c>
      <c r="BJ41" s="3" t="s">
        <v>67</v>
      </c>
      <c r="BM41" s="3">
        <v>73</v>
      </c>
      <c r="BN41" s="3">
        <v>0</v>
      </c>
      <c r="BO41" s="3" t="s">
        <v>65</v>
      </c>
      <c r="BP41" s="3">
        <v>1</v>
      </c>
      <c r="BQ41" s="3">
        <v>40</v>
      </c>
      <c r="BR41" s="3">
        <v>0</v>
      </c>
      <c r="BS41" s="3">
        <v>56.35</v>
      </c>
      <c r="BT41" s="3">
        <v>1</v>
      </c>
      <c r="BU41" s="3">
        <v>1</v>
      </c>
      <c r="BV41" s="3">
        <v>1</v>
      </c>
      <c r="BW41" s="3">
        <v>1</v>
      </c>
      <c r="BX41" s="3">
        <v>1</v>
      </c>
      <c r="BY41" s="3" t="s">
        <v>3</v>
      </c>
      <c r="BZ41" s="3">
        <v>90</v>
      </c>
      <c r="CA41" s="3">
        <v>46</v>
      </c>
      <c r="CB41" s="3" t="s">
        <v>3</v>
      </c>
      <c r="CE41" s="3">
        <v>1566</v>
      </c>
      <c r="CF41" s="3">
        <v>0</v>
      </c>
      <c r="CG41" s="3">
        <v>0</v>
      </c>
      <c r="CM41" s="3">
        <v>0</v>
      </c>
      <c r="CN41" s="3" t="s">
        <v>677</v>
      </c>
      <c r="CO41" s="3">
        <v>0</v>
      </c>
      <c r="CP41" s="3">
        <f t="shared" si="31"/>
        <v>10015.75</v>
      </c>
      <c r="CQ41" s="3">
        <f t="shared" si="32"/>
        <v>18.14</v>
      </c>
      <c r="CR41" s="3">
        <f t="shared" si="56"/>
        <v>72.63</v>
      </c>
      <c r="CS41" s="3">
        <f t="shared" si="57"/>
        <v>36.06</v>
      </c>
      <c r="CT41" s="3">
        <f t="shared" si="33"/>
        <v>4917.1000000000004</v>
      </c>
      <c r="CU41" s="3">
        <f t="shared" si="34"/>
        <v>0</v>
      </c>
      <c r="CV41" s="3">
        <f t="shared" si="35"/>
        <v>6.9141599999999999</v>
      </c>
      <c r="CW41" s="3">
        <f t="shared" si="36"/>
        <v>0</v>
      </c>
      <c r="CX41" s="3">
        <f t="shared" si="37"/>
        <v>0</v>
      </c>
      <c r="CY41" s="3">
        <f t="shared" si="58"/>
        <v>8883.23</v>
      </c>
      <c r="CZ41" s="3">
        <f t="shared" si="59"/>
        <v>4540.32</v>
      </c>
      <c r="DB41" s="3">
        <v>14</v>
      </c>
      <c r="DC41" s="3" t="s">
        <v>3</v>
      </c>
      <c r="DD41" s="3" t="s">
        <v>35</v>
      </c>
      <c r="DE41" s="3" t="s">
        <v>36</v>
      </c>
      <c r="DF41" s="3" t="s">
        <v>36</v>
      </c>
      <c r="DG41" s="3" t="s">
        <v>36</v>
      </c>
      <c r="DH41" s="3" t="s">
        <v>3</v>
      </c>
      <c r="DI41" s="3" t="s">
        <v>36</v>
      </c>
      <c r="DJ41" s="3" t="s">
        <v>36</v>
      </c>
      <c r="DK41" s="3" t="s">
        <v>3</v>
      </c>
      <c r="DL41" s="3" t="s">
        <v>3</v>
      </c>
      <c r="DM41" s="3" t="s">
        <v>3</v>
      </c>
      <c r="DN41" s="3">
        <v>0</v>
      </c>
      <c r="DO41" s="3">
        <v>0</v>
      </c>
      <c r="DP41" s="3">
        <v>1</v>
      </c>
      <c r="DQ41" s="3">
        <v>1</v>
      </c>
      <c r="DU41" s="3">
        <v>1013</v>
      </c>
      <c r="DV41" s="3" t="s">
        <v>23</v>
      </c>
      <c r="DW41" s="3" t="s">
        <v>23</v>
      </c>
      <c r="DX41" s="3">
        <v>1</v>
      </c>
      <c r="DZ41" s="3" t="s">
        <v>3</v>
      </c>
      <c r="EA41" s="3" t="s">
        <v>3</v>
      </c>
      <c r="EB41" s="3" t="s">
        <v>3</v>
      </c>
      <c r="EC41" s="3" t="s">
        <v>3</v>
      </c>
      <c r="EE41" s="3">
        <v>85133422</v>
      </c>
      <c r="EF41" s="3">
        <v>40</v>
      </c>
      <c r="EG41" s="3" t="s">
        <v>27</v>
      </c>
      <c r="EH41" s="3">
        <v>0</v>
      </c>
      <c r="EI41" s="3" t="s">
        <v>3</v>
      </c>
      <c r="EJ41" s="3">
        <v>2</v>
      </c>
      <c r="EK41" s="3">
        <v>73</v>
      </c>
      <c r="EL41" s="3" t="s">
        <v>62</v>
      </c>
      <c r="EM41" s="3" t="s">
        <v>63</v>
      </c>
      <c r="EO41" s="3" t="s">
        <v>37</v>
      </c>
      <c r="EQ41" s="3">
        <v>0</v>
      </c>
      <c r="ER41" s="3">
        <v>75.400000000000006</v>
      </c>
      <c r="ES41" s="3">
        <v>3.93</v>
      </c>
      <c r="ET41" s="3">
        <v>3.32</v>
      </c>
      <c r="EU41" s="3">
        <v>0.5</v>
      </c>
      <c r="EV41" s="3">
        <v>68.150000000000006</v>
      </c>
      <c r="EW41" s="3">
        <v>5.4</v>
      </c>
      <c r="EX41" s="3">
        <v>0</v>
      </c>
      <c r="EY41" s="3">
        <v>0</v>
      </c>
      <c r="FQ41" s="3">
        <v>0</v>
      </c>
      <c r="FR41" s="3">
        <v>0</v>
      </c>
      <c r="FS41" s="3">
        <v>2</v>
      </c>
      <c r="FX41" s="3">
        <v>90</v>
      </c>
      <c r="FY41" s="3">
        <v>46</v>
      </c>
      <c r="GA41" s="3" t="s">
        <v>3</v>
      </c>
      <c r="GD41" s="3">
        <v>1</v>
      </c>
      <c r="GF41" s="3">
        <v>434457661</v>
      </c>
      <c r="GG41" s="3">
        <v>2</v>
      </c>
      <c r="GH41" s="3">
        <v>1</v>
      </c>
      <c r="GI41" s="3">
        <v>2</v>
      </c>
      <c r="GJ41" s="3">
        <v>0</v>
      </c>
      <c r="GK41" s="3">
        <v>0</v>
      </c>
      <c r="GL41" s="3">
        <f t="shared" si="38"/>
        <v>0</v>
      </c>
      <c r="GM41" s="3">
        <f t="shared" si="39"/>
        <v>23488.36</v>
      </c>
      <c r="GN41" s="3">
        <f t="shared" si="40"/>
        <v>0</v>
      </c>
      <c r="GO41" s="3">
        <f t="shared" si="41"/>
        <v>23488.36</v>
      </c>
      <c r="GP41" s="3">
        <f t="shared" si="42"/>
        <v>0</v>
      </c>
      <c r="GR41" s="3">
        <v>0</v>
      </c>
      <c r="GS41" s="3">
        <v>3</v>
      </c>
      <c r="GT41" s="3">
        <v>0</v>
      </c>
      <c r="GU41" s="3" t="s">
        <v>3</v>
      </c>
      <c r="GV41" s="3">
        <f t="shared" si="43"/>
        <v>0</v>
      </c>
      <c r="GW41" s="3">
        <v>1</v>
      </c>
      <c r="GX41" s="3">
        <f t="shared" si="44"/>
        <v>0</v>
      </c>
      <c r="HA41" s="3">
        <v>0</v>
      </c>
      <c r="HB41" s="3">
        <v>0</v>
      </c>
      <c r="HC41" s="3">
        <f t="shared" si="45"/>
        <v>0</v>
      </c>
      <c r="HE41" s="3" t="s">
        <v>3</v>
      </c>
      <c r="HF41" s="3" t="s">
        <v>3</v>
      </c>
      <c r="HM41" s="3" t="s">
        <v>3</v>
      </c>
      <c r="HN41" s="3" t="s">
        <v>3</v>
      </c>
      <c r="HO41" s="3" t="s">
        <v>3</v>
      </c>
      <c r="HP41" s="3" t="s">
        <v>3</v>
      </c>
      <c r="HQ41" s="3" t="s">
        <v>3</v>
      </c>
      <c r="HS41" s="3">
        <v>0</v>
      </c>
      <c r="IK41" s="3">
        <v>0</v>
      </c>
    </row>
    <row r="42" spans="1:255" x14ac:dyDescent="0.2">
      <c r="A42" s="2">
        <v>17</v>
      </c>
      <c r="B42" s="2">
        <v>1</v>
      </c>
      <c r="C42" s="2">
        <f>ROW(SmtRes!A86)</f>
        <v>86</v>
      </c>
      <c r="D42" s="2">
        <f>ROW(EtalonRes!A106)</f>
        <v>106</v>
      </c>
      <c r="E42" s="2" t="s">
        <v>68</v>
      </c>
      <c r="F42" s="2" t="s">
        <v>69</v>
      </c>
      <c r="G42" s="2" t="s">
        <v>70</v>
      </c>
      <c r="H42" s="2" t="s">
        <v>23</v>
      </c>
      <c r="I42" s="2">
        <f>ROUND(1+2,9)</f>
        <v>3</v>
      </c>
      <c r="J42" s="2">
        <v>0</v>
      </c>
      <c r="K42" s="2">
        <f>ROUND(1+2,9)</f>
        <v>3</v>
      </c>
      <c r="L42" s="2"/>
      <c r="M42" s="2"/>
      <c r="N42" s="2"/>
      <c r="O42" s="2">
        <f t="shared" si="21"/>
        <v>147.56</v>
      </c>
      <c r="P42" s="2">
        <f t="shared" si="22"/>
        <v>2.13</v>
      </c>
      <c r="Q42" s="2">
        <f t="shared" si="48"/>
        <v>0</v>
      </c>
      <c r="R42" s="2">
        <f t="shared" si="49"/>
        <v>0</v>
      </c>
      <c r="S42" s="2">
        <f t="shared" si="23"/>
        <v>145.43</v>
      </c>
      <c r="T42" s="2">
        <f t="shared" si="24"/>
        <v>0</v>
      </c>
      <c r="U42" s="2">
        <f t="shared" si="25"/>
        <v>11.523599999999998</v>
      </c>
      <c r="V42" s="2">
        <f t="shared" si="26"/>
        <v>0</v>
      </c>
      <c r="W42" s="2">
        <f t="shared" si="27"/>
        <v>0</v>
      </c>
      <c r="X42" s="2">
        <f t="shared" si="50"/>
        <v>130.88999999999999</v>
      </c>
      <c r="Y42" s="2">
        <f t="shared" si="51"/>
        <v>66.900000000000006</v>
      </c>
      <c r="Z42" s="2"/>
      <c r="AA42" s="2">
        <v>85739205</v>
      </c>
      <c r="AB42" s="2">
        <f t="shared" si="28"/>
        <v>46.122</v>
      </c>
      <c r="AC42" s="2">
        <f t="shared" si="52"/>
        <v>0.69</v>
      </c>
      <c r="AD42" s="2">
        <f t="shared" si="53"/>
        <v>0</v>
      </c>
      <c r="AE42" s="2">
        <f t="shared" si="54"/>
        <v>0</v>
      </c>
      <c r="AF42" s="2">
        <f t="shared" si="54"/>
        <v>45.432000000000002</v>
      </c>
      <c r="AG42" s="2">
        <f t="shared" si="29"/>
        <v>0</v>
      </c>
      <c r="AH42" s="2">
        <f t="shared" si="55"/>
        <v>3.5999999999999996</v>
      </c>
      <c r="AI42" s="2">
        <f t="shared" si="55"/>
        <v>0</v>
      </c>
      <c r="AJ42" s="2">
        <f t="shared" si="30"/>
        <v>0</v>
      </c>
      <c r="AK42" s="2">
        <v>38.549999999999997</v>
      </c>
      <c r="AL42" s="2">
        <v>0.69</v>
      </c>
      <c r="AM42" s="2">
        <v>0</v>
      </c>
      <c r="AN42" s="2">
        <v>0</v>
      </c>
      <c r="AO42" s="2">
        <v>37.86</v>
      </c>
      <c r="AP42" s="2">
        <v>0</v>
      </c>
      <c r="AQ42" s="2">
        <v>3</v>
      </c>
      <c r="AR42" s="2">
        <v>0</v>
      </c>
      <c r="AS42" s="2">
        <v>0</v>
      </c>
      <c r="AT42" s="2">
        <v>90</v>
      </c>
      <c r="AU42" s="2">
        <v>46</v>
      </c>
      <c r="AV42" s="2">
        <v>1.0669999999999999</v>
      </c>
      <c r="AW42" s="2">
        <v>1.028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2</v>
      </c>
      <c r="BJ42" s="2" t="s">
        <v>71</v>
      </c>
      <c r="BK42" s="2"/>
      <c r="BL42" s="2"/>
      <c r="BM42" s="2">
        <v>73</v>
      </c>
      <c r="BN42" s="2">
        <v>0</v>
      </c>
      <c r="BO42" s="2" t="s">
        <v>69</v>
      </c>
      <c r="BP42" s="2">
        <v>1</v>
      </c>
      <c r="BQ42" s="2">
        <v>40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90</v>
      </c>
      <c r="CA42" s="2">
        <v>46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677</v>
      </c>
      <c r="CO42" s="2">
        <v>0</v>
      </c>
      <c r="CP42" s="2">
        <f t="shared" si="31"/>
        <v>147.56</v>
      </c>
      <c r="CQ42" s="2">
        <f t="shared" si="32"/>
        <v>0.71</v>
      </c>
      <c r="CR42" s="2">
        <f t="shared" si="56"/>
        <v>0</v>
      </c>
      <c r="CS42" s="2">
        <f t="shared" si="57"/>
        <v>0</v>
      </c>
      <c r="CT42" s="2">
        <f t="shared" si="33"/>
        <v>48.48</v>
      </c>
      <c r="CU42" s="2">
        <f t="shared" si="34"/>
        <v>0</v>
      </c>
      <c r="CV42" s="2">
        <f t="shared" si="35"/>
        <v>3.8411999999999993</v>
      </c>
      <c r="CW42" s="2">
        <f t="shared" si="36"/>
        <v>0</v>
      </c>
      <c r="CX42" s="2">
        <f t="shared" si="37"/>
        <v>0</v>
      </c>
      <c r="CY42" s="2">
        <f t="shared" si="58"/>
        <v>130.88999999999999</v>
      </c>
      <c r="CZ42" s="2">
        <f t="shared" si="59"/>
        <v>66.900000000000006</v>
      </c>
      <c r="DA42" s="2"/>
      <c r="DB42" s="2">
        <v>15</v>
      </c>
      <c r="DC42" s="2" t="s">
        <v>3</v>
      </c>
      <c r="DD42" s="2" t="s">
        <v>35</v>
      </c>
      <c r="DE42" s="2" t="s">
        <v>36</v>
      </c>
      <c r="DF42" s="2" t="s">
        <v>36</v>
      </c>
      <c r="DG42" s="2" t="s">
        <v>36</v>
      </c>
      <c r="DH42" s="2" t="s">
        <v>3</v>
      </c>
      <c r="DI42" s="2" t="s">
        <v>36</v>
      </c>
      <c r="DJ42" s="2" t="s">
        <v>36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1013</v>
      </c>
      <c r="DV42" s="2" t="s">
        <v>23</v>
      </c>
      <c r="DW42" s="2" t="s">
        <v>23</v>
      </c>
      <c r="DX42" s="2">
        <v>1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85133422</v>
      </c>
      <c r="EF42" s="2">
        <v>40</v>
      </c>
      <c r="EG42" s="2" t="s">
        <v>27</v>
      </c>
      <c r="EH42" s="2">
        <v>0</v>
      </c>
      <c r="EI42" s="2" t="s">
        <v>3</v>
      </c>
      <c r="EJ42" s="2">
        <v>2</v>
      </c>
      <c r="EK42" s="2">
        <v>73</v>
      </c>
      <c r="EL42" s="2" t="s">
        <v>62</v>
      </c>
      <c r="EM42" s="2" t="s">
        <v>63</v>
      </c>
      <c r="EN42" s="2"/>
      <c r="EO42" s="2" t="s">
        <v>37</v>
      </c>
      <c r="EP42" s="2"/>
      <c r="EQ42" s="2">
        <v>0</v>
      </c>
      <c r="ER42" s="2">
        <v>38.549999999999997</v>
      </c>
      <c r="ES42" s="2">
        <v>0.69</v>
      </c>
      <c r="ET42" s="2">
        <v>0</v>
      </c>
      <c r="EU42" s="2">
        <v>0</v>
      </c>
      <c r="EV42" s="2">
        <v>37.86</v>
      </c>
      <c r="EW42" s="2">
        <v>3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2</v>
      </c>
      <c r="FT42" s="2"/>
      <c r="FU42" s="2"/>
      <c r="FV42" s="2"/>
      <c r="FW42" s="2"/>
      <c r="FX42" s="2">
        <v>90</v>
      </c>
      <c r="FY42" s="2">
        <v>46</v>
      </c>
      <c r="FZ42" s="2"/>
      <c r="GA42" s="2" t="s">
        <v>3</v>
      </c>
      <c r="GB42" s="2"/>
      <c r="GC42" s="2"/>
      <c r="GD42" s="2">
        <v>1</v>
      </c>
      <c r="GE42" s="2"/>
      <c r="GF42" s="2">
        <v>2121044303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38"/>
        <v>0</v>
      </c>
      <c r="GM42" s="2">
        <f t="shared" si="39"/>
        <v>345.35</v>
      </c>
      <c r="GN42" s="2">
        <f t="shared" si="40"/>
        <v>0</v>
      </c>
      <c r="GO42" s="2">
        <f t="shared" si="41"/>
        <v>345.35</v>
      </c>
      <c r="GP42" s="2">
        <f t="shared" si="42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43"/>
        <v>0</v>
      </c>
      <c r="GW42" s="2">
        <v>1</v>
      </c>
      <c r="GX42" s="2">
        <f t="shared" si="44"/>
        <v>0</v>
      </c>
      <c r="GY42" s="2"/>
      <c r="GZ42" s="2"/>
      <c r="HA42" s="2">
        <v>0</v>
      </c>
      <c r="HB42" s="2">
        <v>0</v>
      </c>
      <c r="HC42" s="2">
        <f t="shared" si="45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 s="3">
        <v>17</v>
      </c>
      <c r="B43" s="3">
        <v>1</v>
      </c>
      <c r="C43" s="3">
        <f>ROW(SmtRes!A88)</f>
        <v>88</v>
      </c>
      <c r="D43" s="3">
        <f>ROW(EtalonRes!A110)</f>
        <v>110</v>
      </c>
      <c r="E43" s="3" t="s">
        <v>68</v>
      </c>
      <c r="F43" s="3" t="s">
        <v>69</v>
      </c>
      <c r="G43" s="3" t="s">
        <v>70</v>
      </c>
      <c r="H43" s="3" t="s">
        <v>23</v>
      </c>
      <c r="I43" s="3">
        <f>ROUND(1+2,9)</f>
        <v>3</v>
      </c>
      <c r="J43" s="3">
        <v>0</v>
      </c>
      <c r="K43" s="3">
        <f>ROUND(1+2,9)</f>
        <v>3</v>
      </c>
      <c r="O43" s="3">
        <f t="shared" si="21"/>
        <v>8204.61</v>
      </c>
      <c r="P43" s="3">
        <f t="shared" si="22"/>
        <v>9.6300000000000008</v>
      </c>
      <c r="Q43" s="3">
        <f t="shared" si="48"/>
        <v>0</v>
      </c>
      <c r="R43" s="3">
        <f t="shared" si="49"/>
        <v>0</v>
      </c>
      <c r="S43" s="3">
        <f t="shared" si="23"/>
        <v>8194.98</v>
      </c>
      <c r="T43" s="3">
        <f t="shared" si="24"/>
        <v>0</v>
      </c>
      <c r="U43" s="3">
        <f t="shared" si="25"/>
        <v>11.523599999999998</v>
      </c>
      <c r="V43" s="3">
        <f t="shared" si="26"/>
        <v>0</v>
      </c>
      <c r="W43" s="3">
        <f t="shared" si="27"/>
        <v>0</v>
      </c>
      <c r="X43" s="3">
        <f t="shared" si="50"/>
        <v>7375.48</v>
      </c>
      <c r="Y43" s="3">
        <f t="shared" si="51"/>
        <v>3769.69</v>
      </c>
      <c r="AA43" s="3">
        <v>85739207</v>
      </c>
      <c r="AB43" s="3">
        <f t="shared" si="28"/>
        <v>46.122</v>
      </c>
      <c r="AC43" s="3">
        <f t="shared" si="52"/>
        <v>0.69</v>
      </c>
      <c r="AD43" s="3">
        <f t="shared" si="53"/>
        <v>0</v>
      </c>
      <c r="AE43" s="3">
        <f t="shared" si="54"/>
        <v>0</v>
      </c>
      <c r="AF43" s="3">
        <f t="shared" si="54"/>
        <v>45.432000000000002</v>
      </c>
      <c r="AG43" s="3">
        <f t="shared" si="29"/>
        <v>0</v>
      </c>
      <c r="AH43" s="3">
        <f t="shared" si="55"/>
        <v>3.5999999999999996</v>
      </c>
      <c r="AI43" s="3">
        <f t="shared" si="55"/>
        <v>0</v>
      </c>
      <c r="AJ43" s="3">
        <f t="shared" si="30"/>
        <v>0</v>
      </c>
      <c r="AK43" s="3">
        <v>38.549999999999997</v>
      </c>
      <c r="AL43" s="3">
        <v>0.69</v>
      </c>
      <c r="AM43" s="3">
        <v>0</v>
      </c>
      <c r="AN43" s="3">
        <v>0</v>
      </c>
      <c r="AO43" s="3">
        <v>37.86</v>
      </c>
      <c r="AP43" s="3">
        <v>0</v>
      </c>
      <c r="AQ43" s="3">
        <v>3</v>
      </c>
      <c r="AR43" s="3">
        <v>0</v>
      </c>
      <c r="AS43" s="3">
        <v>0</v>
      </c>
      <c r="AT43" s="3">
        <v>90</v>
      </c>
      <c r="AU43" s="3">
        <v>46</v>
      </c>
      <c r="AV43" s="3">
        <v>1.0669999999999999</v>
      </c>
      <c r="AW43" s="3">
        <v>1.028</v>
      </c>
      <c r="AZ43" s="3">
        <v>1</v>
      </c>
      <c r="BA43" s="3">
        <v>56.35</v>
      </c>
      <c r="BB43" s="3">
        <v>1</v>
      </c>
      <c r="BC43" s="3">
        <v>4.5199999999999996</v>
      </c>
      <c r="BD43" s="3" t="s">
        <v>3</v>
      </c>
      <c r="BE43" s="3" t="s">
        <v>3</v>
      </c>
      <c r="BF43" s="3" t="s">
        <v>3</v>
      </c>
      <c r="BG43" s="3" t="s">
        <v>3</v>
      </c>
      <c r="BH43" s="3">
        <v>0</v>
      </c>
      <c r="BI43" s="3">
        <v>2</v>
      </c>
      <c r="BJ43" s="3" t="s">
        <v>71</v>
      </c>
      <c r="BM43" s="3">
        <v>73</v>
      </c>
      <c r="BN43" s="3">
        <v>0</v>
      </c>
      <c r="BO43" s="3" t="s">
        <v>69</v>
      </c>
      <c r="BP43" s="3">
        <v>1</v>
      </c>
      <c r="BQ43" s="3">
        <v>40</v>
      </c>
      <c r="BR43" s="3">
        <v>0</v>
      </c>
      <c r="BS43" s="3">
        <v>56.35</v>
      </c>
      <c r="BT43" s="3">
        <v>1</v>
      </c>
      <c r="BU43" s="3">
        <v>1</v>
      </c>
      <c r="BV43" s="3">
        <v>1</v>
      </c>
      <c r="BW43" s="3">
        <v>1</v>
      </c>
      <c r="BX43" s="3">
        <v>1</v>
      </c>
      <c r="BY43" s="3" t="s">
        <v>3</v>
      </c>
      <c r="BZ43" s="3">
        <v>90</v>
      </c>
      <c r="CA43" s="3">
        <v>46</v>
      </c>
      <c r="CB43" s="3" t="s">
        <v>3</v>
      </c>
      <c r="CE43" s="3">
        <v>1566</v>
      </c>
      <c r="CF43" s="3">
        <v>0</v>
      </c>
      <c r="CG43" s="3">
        <v>0</v>
      </c>
      <c r="CM43" s="3">
        <v>0</v>
      </c>
      <c r="CN43" s="3" t="s">
        <v>677</v>
      </c>
      <c r="CO43" s="3">
        <v>0</v>
      </c>
      <c r="CP43" s="3">
        <f t="shared" si="31"/>
        <v>8204.6099999999988</v>
      </c>
      <c r="CQ43" s="3">
        <f t="shared" si="32"/>
        <v>3.21</v>
      </c>
      <c r="CR43" s="3">
        <f t="shared" si="56"/>
        <v>0</v>
      </c>
      <c r="CS43" s="3">
        <f t="shared" si="57"/>
        <v>0</v>
      </c>
      <c r="CT43" s="3">
        <f t="shared" si="33"/>
        <v>2731.85</v>
      </c>
      <c r="CU43" s="3">
        <f t="shared" si="34"/>
        <v>0</v>
      </c>
      <c r="CV43" s="3">
        <f t="shared" si="35"/>
        <v>3.8411999999999993</v>
      </c>
      <c r="CW43" s="3">
        <f t="shared" si="36"/>
        <v>0</v>
      </c>
      <c r="CX43" s="3">
        <f t="shared" si="37"/>
        <v>0</v>
      </c>
      <c r="CY43" s="3">
        <f t="shared" si="58"/>
        <v>7375.48</v>
      </c>
      <c r="CZ43" s="3">
        <f t="shared" si="59"/>
        <v>3769.69</v>
      </c>
      <c r="DB43" s="3">
        <v>16</v>
      </c>
      <c r="DC43" s="3" t="s">
        <v>3</v>
      </c>
      <c r="DD43" s="3" t="s">
        <v>35</v>
      </c>
      <c r="DE43" s="3" t="s">
        <v>36</v>
      </c>
      <c r="DF43" s="3" t="s">
        <v>36</v>
      </c>
      <c r="DG43" s="3" t="s">
        <v>36</v>
      </c>
      <c r="DH43" s="3" t="s">
        <v>3</v>
      </c>
      <c r="DI43" s="3" t="s">
        <v>36</v>
      </c>
      <c r="DJ43" s="3" t="s">
        <v>36</v>
      </c>
      <c r="DK43" s="3" t="s">
        <v>3</v>
      </c>
      <c r="DL43" s="3" t="s">
        <v>3</v>
      </c>
      <c r="DM43" s="3" t="s">
        <v>3</v>
      </c>
      <c r="DN43" s="3">
        <v>0</v>
      </c>
      <c r="DO43" s="3">
        <v>0</v>
      </c>
      <c r="DP43" s="3">
        <v>1</v>
      </c>
      <c r="DQ43" s="3">
        <v>1</v>
      </c>
      <c r="DU43" s="3">
        <v>1013</v>
      </c>
      <c r="DV43" s="3" t="s">
        <v>23</v>
      </c>
      <c r="DW43" s="3" t="s">
        <v>23</v>
      </c>
      <c r="DX43" s="3">
        <v>1</v>
      </c>
      <c r="DZ43" s="3" t="s">
        <v>3</v>
      </c>
      <c r="EA43" s="3" t="s">
        <v>3</v>
      </c>
      <c r="EB43" s="3" t="s">
        <v>3</v>
      </c>
      <c r="EC43" s="3" t="s">
        <v>3</v>
      </c>
      <c r="EE43" s="3">
        <v>85133422</v>
      </c>
      <c r="EF43" s="3">
        <v>40</v>
      </c>
      <c r="EG43" s="3" t="s">
        <v>27</v>
      </c>
      <c r="EH43" s="3">
        <v>0</v>
      </c>
      <c r="EI43" s="3" t="s">
        <v>3</v>
      </c>
      <c r="EJ43" s="3">
        <v>2</v>
      </c>
      <c r="EK43" s="3">
        <v>73</v>
      </c>
      <c r="EL43" s="3" t="s">
        <v>62</v>
      </c>
      <c r="EM43" s="3" t="s">
        <v>63</v>
      </c>
      <c r="EO43" s="3" t="s">
        <v>37</v>
      </c>
      <c r="EQ43" s="3">
        <v>0</v>
      </c>
      <c r="ER43" s="3">
        <v>38.549999999999997</v>
      </c>
      <c r="ES43" s="3">
        <v>0.69</v>
      </c>
      <c r="ET43" s="3">
        <v>0</v>
      </c>
      <c r="EU43" s="3">
        <v>0</v>
      </c>
      <c r="EV43" s="3">
        <v>37.86</v>
      </c>
      <c r="EW43" s="3">
        <v>3</v>
      </c>
      <c r="EX43" s="3">
        <v>0</v>
      </c>
      <c r="EY43" s="3">
        <v>0</v>
      </c>
      <c r="FQ43" s="3">
        <v>0</v>
      </c>
      <c r="FR43" s="3">
        <v>0</v>
      </c>
      <c r="FS43" s="3">
        <v>2</v>
      </c>
      <c r="FX43" s="3">
        <v>90</v>
      </c>
      <c r="FY43" s="3">
        <v>46</v>
      </c>
      <c r="GA43" s="3" t="s">
        <v>3</v>
      </c>
      <c r="GD43" s="3">
        <v>1</v>
      </c>
      <c r="GF43" s="3">
        <v>2121044303</v>
      </c>
      <c r="GG43" s="3">
        <v>2</v>
      </c>
      <c r="GH43" s="3">
        <v>1</v>
      </c>
      <c r="GI43" s="3">
        <v>2</v>
      </c>
      <c r="GJ43" s="3">
        <v>0</v>
      </c>
      <c r="GK43" s="3">
        <v>0</v>
      </c>
      <c r="GL43" s="3">
        <f t="shared" si="38"/>
        <v>0</v>
      </c>
      <c r="GM43" s="3">
        <f t="shared" si="39"/>
        <v>19349.78</v>
      </c>
      <c r="GN43" s="3">
        <f t="shared" si="40"/>
        <v>0</v>
      </c>
      <c r="GO43" s="3">
        <f t="shared" si="41"/>
        <v>19349.78</v>
      </c>
      <c r="GP43" s="3">
        <f t="shared" si="42"/>
        <v>0</v>
      </c>
      <c r="GR43" s="3">
        <v>0</v>
      </c>
      <c r="GS43" s="3">
        <v>3</v>
      </c>
      <c r="GT43" s="3">
        <v>0</v>
      </c>
      <c r="GU43" s="3" t="s">
        <v>3</v>
      </c>
      <c r="GV43" s="3">
        <f t="shared" si="43"/>
        <v>0</v>
      </c>
      <c r="GW43" s="3">
        <v>1</v>
      </c>
      <c r="GX43" s="3">
        <f t="shared" si="44"/>
        <v>0</v>
      </c>
      <c r="HA43" s="3">
        <v>0</v>
      </c>
      <c r="HB43" s="3">
        <v>0</v>
      </c>
      <c r="HC43" s="3">
        <f t="shared" si="45"/>
        <v>0</v>
      </c>
      <c r="HE43" s="3" t="s">
        <v>3</v>
      </c>
      <c r="HF43" s="3" t="s">
        <v>3</v>
      </c>
      <c r="HM43" s="3" t="s">
        <v>3</v>
      </c>
      <c r="HN43" s="3" t="s">
        <v>3</v>
      </c>
      <c r="HO43" s="3" t="s">
        <v>3</v>
      </c>
      <c r="HP43" s="3" t="s">
        <v>3</v>
      </c>
      <c r="HQ43" s="3" t="s">
        <v>3</v>
      </c>
      <c r="HS43" s="3">
        <v>0</v>
      </c>
      <c r="IK43" s="3">
        <v>0</v>
      </c>
    </row>
    <row r="44" spans="1:255" x14ac:dyDescent="0.2">
      <c r="A44" s="2">
        <v>17</v>
      </c>
      <c r="B44" s="2">
        <v>1</v>
      </c>
      <c r="C44" s="2">
        <f>ROW(SmtRes!A92)</f>
        <v>92</v>
      </c>
      <c r="D44" s="2">
        <f>ROW(EtalonRes!A116)</f>
        <v>116</v>
      </c>
      <c r="E44" s="2" t="s">
        <v>72</v>
      </c>
      <c r="F44" s="2" t="s">
        <v>73</v>
      </c>
      <c r="G44" s="2" t="s">
        <v>74</v>
      </c>
      <c r="H44" s="2" t="s">
        <v>75</v>
      </c>
      <c r="I44" s="2">
        <f>ROUND(2+2+4,9)</f>
        <v>8</v>
      </c>
      <c r="J44" s="2">
        <v>0</v>
      </c>
      <c r="K44" s="2">
        <f>ROUND(2+2+4,9)</f>
        <v>8</v>
      </c>
      <c r="L44" s="2"/>
      <c r="M44" s="2"/>
      <c r="N44" s="2"/>
      <c r="O44" s="2">
        <f t="shared" si="21"/>
        <v>41.13</v>
      </c>
      <c r="P44" s="2">
        <f t="shared" si="22"/>
        <v>7.44</v>
      </c>
      <c r="Q44" s="2">
        <f>(ROUND((ROUND(((((ET44*1.25)*1.2))*AV44*I44),2)*BB44),2)+ROUND((ROUND(((AE44-(((EU44*1.25)*1.2)))*AV44*I44),2)*BS44),2))</f>
        <v>0</v>
      </c>
      <c r="R44" s="2">
        <f>(ROUND((ROUND(((((EU44*1.25)*1.2))*AV44*I44),2)*BS44),2)+ROUND((ROUND(((AE44-(((EU44*1.25)*1.2)))*AV44*I44),2)*BS44),2))</f>
        <v>0</v>
      </c>
      <c r="S44" s="2">
        <f t="shared" si="23"/>
        <v>33.69</v>
      </c>
      <c r="T44" s="2">
        <f t="shared" si="24"/>
        <v>0</v>
      </c>
      <c r="U44" s="2">
        <f t="shared" si="25"/>
        <v>2.5915295999999999</v>
      </c>
      <c r="V44" s="2">
        <f t="shared" si="26"/>
        <v>0</v>
      </c>
      <c r="W44" s="2">
        <f t="shared" si="27"/>
        <v>0</v>
      </c>
      <c r="X44" s="2">
        <f>(ROUND((((S44+ROUND((ROUND(((((EU44*1.25)*1.2))*AV44*I44),2)*BS44),2))*AT44)/100),2)+ROUND(((ROUND((ROUND(((AE44-(((EU44*1.25)*1.2)))*AV44*I44),2)*BS44),2)*AT44)/100),2))</f>
        <v>40.76</v>
      </c>
      <c r="Y44" s="2">
        <f>(ROUND((((S44+ROUND((ROUND(((((EU44*1.25)*1.2))*AV44*I44),2)*BS44),2))*AU44)/100),2)+ROUND(((ROUND((ROUND(((AE44-(((EU44*1.25)*1.2)))*AV44*I44),2)*BS44),2)*AU44)/100),2))</f>
        <v>24.26</v>
      </c>
      <c r="Z44" s="2"/>
      <c r="AA44" s="2">
        <v>85739205</v>
      </c>
      <c r="AB44" s="2">
        <f t="shared" si="28"/>
        <v>4.8768000000000002</v>
      </c>
      <c r="AC44" s="2">
        <f>ROUND((((ES44*1)*1)),6)</f>
        <v>0.93</v>
      </c>
      <c r="AD44" s="2">
        <f>ROUND((((((ET44*1.25)*1.2))-(((EU44*1.25)*1.2)))+AE44),6)</f>
        <v>0</v>
      </c>
      <c r="AE44" s="2">
        <f>ROUND((((EU44*1.25)*1.2)),6)</f>
        <v>0</v>
      </c>
      <c r="AF44" s="2">
        <f>ROUND((((EV44*1.15)*1.2)),6)</f>
        <v>3.9468000000000001</v>
      </c>
      <c r="AG44" s="2">
        <f t="shared" si="29"/>
        <v>0</v>
      </c>
      <c r="AH44" s="2">
        <f>(((EW44*1.15)*1.2))</f>
        <v>0.30359999999999998</v>
      </c>
      <c r="AI44" s="2">
        <f>(((EX44*1.25)*1.2))</f>
        <v>0</v>
      </c>
      <c r="AJ44" s="2">
        <f t="shared" si="30"/>
        <v>0</v>
      </c>
      <c r="AK44" s="2">
        <v>3.79</v>
      </c>
      <c r="AL44" s="2">
        <v>0.93</v>
      </c>
      <c r="AM44" s="2">
        <v>0</v>
      </c>
      <c r="AN44" s="2">
        <v>0</v>
      </c>
      <c r="AO44" s="2">
        <v>2.86</v>
      </c>
      <c r="AP44" s="2">
        <v>0</v>
      </c>
      <c r="AQ44" s="2">
        <v>0.22</v>
      </c>
      <c r="AR44" s="2">
        <v>0</v>
      </c>
      <c r="AS44" s="2">
        <v>0</v>
      </c>
      <c r="AT44" s="2">
        <v>121</v>
      </c>
      <c r="AU44" s="2">
        <v>72</v>
      </c>
      <c r="AV44" s="2">
        <v>1.0669999999999999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76</v>
      </c>
      <c r="BK44" s="2"/>
      <c r="BL44" s="2"/>
      <c r="BM44" s="2">
        <v>23</v>
      </c>
      <c r="BN44" s="2">
        <v>0</v>
      </c>
      <c r="BO44" s="2" t="s">
        <v>73</v>
      </c>
      <c r="BP44" s="2">
        <v>1</v>
      </c>
      <c r="BQ44" s="2">
        <v>30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121</v>
      </c>
      <c r="CA44" s="2">
        <v>72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678</v>
      </c>
      <c r="CO44" s="2">
        <v>0</v>
      </c>
      <c r="CP44" s="2">
        <f t="shared" si="31"/>
        <v>41.129999999999995</v>
      </c>
      <c r="CQ44" s="2">
        <f t="shared" si="32"/>
        <v>0.93</v>
      </c>
      <c r="CR44" s="2">
        <f>(ROUND((ROUND(((((ET44*1.25)*1.2))*AV44*1),2)*BB44),2)+ROUND((ROUND(((AE44-(((EU44*1.25)*1.2)))*AV44*1),2)*BS44),2))</f>
        <v>0</v>
      </c>
      <c r="CS44" s="2">
        <f>(ROUND((ROUND(((((EU44*1.25)*1.2))*AV44*1),2)*BS44),2)+ROUND((ROUND(((AE44-(((EU44*1.25)*1.2)))*AV44*1),2)*BS44),2))</f>
        <v>0</v>
      </c>
      <c r="CT44" s="2">
        <f t="shared" si="33"/>
        <v>4.21</v>
      </c>
      <c r="CU44" s="2">
        <f t="shared" si="34"/>
        <v>0</v>
      </c>
      <c r="CV44" s="2">
        <f t="shared" si="35"/>
        <v>0.32394119999999998</v>
      </c>
      <c r="CW44" s="2">
        <f t="shared" si="36"/>
        <v>0</v>
      </c>
      <c r="CX44" s="2">
        <f t="shared" si="37"/>
        <v>0</v>
      </c>
      <c r="CY44" s="2">
        <f>(ROUND((((S44+ROUND((ROUND(((((EU44*1.25)*1.2))*AV44*1),2)*BS44),2))*AT44)/100),2)+ROUND(((ROUND((ROUND(((AE44-(((EU44*1.25)*1.2)))*AV44*1),2)*BS44),2)*AT44)/100),2))</f>
        <v>40.76</v>
      </c>
      <c r="CZ44" s="2">
        <f>(ROUND((((S44+ROUND((ROUND(((((EU44*1.25)*1.2))*AV44*1),2)*BS44),2))*AU44)/100),2)+ROUND(((ROUND((ROUND(((AE44-(((EU44*1.25)*1.2)))*AV44*1),2)*BS44),2)*AU44)/100),2))</f>
        <v>24.26</v>
      </c>
      <c r="DA44" s="2"/>
      <c r="DB44" s="2">
        <v>17</v>
      </c>
      <c r="DC44" s="2" t="s">
        <v>3</v>
      </c>
      <c r="DD44" s="2" t="s">
        <v>77</v>
      </c>
      <c r="DE44" s="2" t="s">
        <v>78</v>
      </c>
      <c r="DF44" s="2" t="s">
        <v>78</v>
      </c>
      <c r="DG44" s="2" t="s">
        <v>79</v>
      </c>
      <c r="DH44" s="2" t="s">
        <v>3</v>
      </c>
      <c r="DI44" s="2" t="s">
        <v>79</v>
      </c>
      <c r="DJ44" s="2" t="s">
        <v>78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1013</v>
      </c>
      <c r="DV44" s="2" t="s">
        <v>75</v>
      </c>
      <c r="DW44" s="2" t="s">
        <v>75</v>
      </c>
      <c r="DX44" s="2">
        <v>1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85133369</v>
      </c>
      <c r="EF44" s="2">
        <v>30</v>
      </c>
      <c r="EG44" s="2" t="s">
        <v>49</v>
      </c>
      <c r="EH44" s="2">
        <v>0</v>
      </c>
      <c r="EI44" s="2" t="s">
        <v>3</v>
      </c>
      <c r="EJ44" s="2">
        <v>1</v>
      </c>
      <c r="EK44" s="2">
        <v>23</v>
      </c>
      <c r="EL44" s="2" t="s">
        <v>50</v>
      </c>
      <c r="EM44" s="2" t="s">
        <v>51</v>
      </c>
      <c r="EN44" s="2"/>
      <c r="EO44" s="2" t="s">
        <v>80</v>
      </c>
      <c r="EP44" s="2"/>
      <c r="EQ44" s="2">
        <v>0</v>
      </c>
      <c r="ER44" s="2">
        <v>3.79</v>
      </c>
      <c r="ES44" s="2">
        <v>0.93</v>
      </c>
      <c r="ET44" s="2">
        <v>0</v>
      </c>
      <c r="EU44" s="2">
        <v>0</v>
      </c>
      <c r="EV44" s="2">
        <v>2.86</v>
      </c>
      <c r="EW44" s="2">
        <v>0.22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121</v>
      </c>
      <c r="FY44" s="2">
        <v>72</v>
      </c>
      <c r="FZ44" s="2"/>
      <c r="GA44" s="2" t="s">
        <v>3</v>
      </c>
      <c r="GB44" s="2"/>
      <c r="GC44" s="2"/>
      <c r="GD44" s="2">
        <v>1</v>
      </c>
      <c r="GE44" s="2"/>
      <c r="GF44" s="2">
        <v>2014171460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38"/>
        <v>0</v>
      </c>
      <c r="GM44" s="2">
        <f t="shared" si="39"/>
        <v>106.15</v>
      </c>
      <c r="GN44" s="2">
        <f t="shared" si="40"/>
        <v>106.15</v>
      </c>
      <c r="GO44" s="2">
        <f t="shared" si="41"/>
        <v>0</v>
      </c>
      <c r="GP44" s="2">
        <f t="shared" si="42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43"/>
        <v>0</v>
      </c>
      <c r="GW44" s="2">
        <v>1</v>
      </c>
      <c r="GX44" s="2">
        <f t="shared" si="44"/>
        <v>0</v>
      </c>
      <c r="GY44" s="2"/>
      <c r="GZ44" s="2"/>
      <c r="HA44" s="2">
        <v>0</v>
      </c>
      <c r="HB44" s="2">
        <v>0</v>
      </c>
      <c r="HC44" s="2">
        <f t="shared" si="45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 s="3">
        <v>17</v>
      </c>
      <c r="B45" s="3">
        <v>1</v>
      </c>
      <c r="C45" s="3">
        <f>ROW(SmtRes!A96)</f>
        <v>96</v>
      </c>
      <c r="D45" s="3">
        <f>ROW(EtalonRes!A122)</f>
        <v>122</v>
      </c>
      <c r="E45" s="3" t="s">
        <v>72</v>
      </c>
      <c r="F45" s="3" t="s">
        <v>73</v>
      </c>
      <c r="G45" s="3" t="s">
        <v>74</v>
      </c>
      <c r="H45" s="3" t="s">
        <v>75</v>
      </c>
      <c r="I45" s="3">
        <f>ROUND(2+2+4,9)</f>
        <v>8</v>
      </c>
      <c r="J45" s="3">
        <v>0</v>
      </c>
      <c r="K45" s="3">
        <f>ROUND(2+2+4,9)</f>
        <v>8</v>
      </c>
      <c r="O45" s="3">
        <f t="shared" si="21"/>
        <v>1939.13</v>
      </c>
      <c r="P45" s="3">
        <f t="shared" si="22"/>
        <v>40.700000000000003</v>
      </c>
      <c r="Q45" s="3">
        <f>(ROUND((ROUND(((((ET45*1.25)*1.2))*AV45*I45),2)*BB45),2)+ROUND((ROUND(((AE45-(((EU45*1.25)*1.2)))*AV45*I45),2)*BS45),2))</f>
        <v>0</v>
      </c>
      <c r="R45" s="3">
        <f>(ROUND((ROUND(((((EU45*1.25)*1.2))*AV45*I45),2)*BS45),2)+ROUND((ROUND(((AE45-(((EU45*1.25)*1.2)))*AV45*I45),2)*BS45),2))</f>
        <v>0</v>
      </c>
      <c r="S45" s="3">
        <f t="shared" si="23"/>
        <v>1898.43</v>
      </c>
      <c r="T45" s="3">
        <f t="shared" si="24"/>
        <v>0</v>
      </c>
      <c r="U45" s="3">
        <f t="shared" si="25"/>
        <v>2.5915295999999999</v>
      </c>
      <c r="V45" s="3">
        <f t="shared" si="26"/>
        <v>0</v>
      </c>
      <c r="W45" s="3">
        <f t="shared" si="27"/>
        <v>0</v>
      </c>
      <c r="X45" s="3">
        <f>(ROUND((((S45+ROUND((ROUND(((((EU45*1.25)*1.2))*AV45*I45),2)*BS45),2))*AT45)/100),2)+ROUND(((ROUND((ROUND(((AE45-(((EU45*1.25)*1.2)))*AV45*I45),2)*BS45),2)*AT45)/100),2))</f>
        <v>2297.1</v>
      </c>
      <c r="Y45" s="3">
        <f>(ROUND((((S45+ROUND((ROUND(((((EU45*1.25)*1.2))*AV45*I45),2)*BS45),2))*AU45)/100),2)+ROUND(((ROUND((ROUND(((AE45-(((EU45*1.25)*1.2)))*AV45*I45),2)*BS45),2)*AU45)/100),2))</f>
        <v>1366.87</v>
      </c>
      <c r="AA45" s="3">
        <v>85739207</v>
      </c>
      <c r="AB45" s="3">
        <f t="shared" si="28"/>
        <v>4.8768000000000002</v>
      </c>
      <c r="AC45" s="3">
        <f>ROUND((((ES45*1)*1)),6)</f>
        <v>0.93</v>
      </c>
      <c r="AD45" s="3">
        <f>ROUND((((((ET45*1.25)*1.2))-(((EU45*1.25)*1.2)))+AE45),6)</f>
        <v>0</v>
      </c>
      <c r="AE45" s="3">
        <f>ROUND((((EU45*1.25)*1.2)),6)</f>
        <v>0</v>
      </c>
      <c r="AF45" s="3">
        <f>ROUND((((EV45*1.15)*1.2)),6)</f>
        <v>3.9468000000000001</v>
      </c>
      <c r="AG45" s="3">
        <f t="shared" si="29"/>
        <v>0</v>
      </c>
      <c r="AH45" s="3">
        <f>(((EW45*1.15)*1.2))</f>
        <v>0.30359999999999998</v>
      </c>
      <c r="AI45" s="3">
        <f>(((EX45*1.25)*1.2))</f>
        <v>0</v>
      </c>
      <c r="AJ45" s="3">
        <f t="shared" si="30"/>
        <v>0</v>
      </c>
      <c r="AK45" s="3">
        <v>3.79</v>
      </c>
      <c r="AL45" s="3">
        <v>0.93</v>
      </c>
      <c r="AM45" s="3">
        <v>0</v>
      </c>
      <c r="AN45" s="3">
        <v>0</v>
      </c>
      <c r="AO45" s="3">
        <v>2.86</v>
      </c>
      <c r="AP45" s="3">
        <v>0</v>
      </c>
      <c r="AQ45" s="3">
        <v>0.22</v>
      </c>
      <c r="AR45" s="3">
        <v>0</v>
      </c>
      <c r="AS45" s="3">
        <v>0</v>
      </c>
      <c r="AT45" s="3">
        <v>121</v>
      </c>
      <c r="AU45" s="3">
        <v>72</v>
      </c>
      <c r="AV45" s="3">
        <v>1.0669999999999999</v>
      </c>
      <c r="AW45" s="3">
        <v>1</v>
      </c>
      <c r="AZ45" s="3">
        <v>1</v>
      </c>
      <c r="BA45" s="3">
        <v>56.35</v>
      </c>
      <c r="BB45" s="3">
        <v>1</v>
      </c>
      <c r="BC45" s="3">
        <v>5.47</v>
      </c>
      <c r="BD45" s="3" t="s">
        <v>3</v>
      </c>
      <c r="BE45" s="3" t="s">
        <v>3</v>
      </c>
      <c r="BF45" s="3" t="s">
        <v>3</v>
      </c>
      <c r="BG45" s="3" t="s">
        <v>3</v>
      </c>
      <c r="BH45" s="3">
        <v>0</v>
      </c>
      <c r="BI45" s="3">
        <v>1</v>
      </c>
      <c r="BJ45" s="3" t="s">
        <v>76</v>
      </c>
      <c r="BM45" s="3">
        <v>23</v>
      </c>
      <c r="BN45" s="3">
        <v>0</v>
      </c>
      <c r="BO45" s="3" t="s">
        <v>73</v>
      </c>
      <c r="BP45" s="3">
        <v>1</v>
      </c>
      <c r="BQ45" s="3">
        <v>30</v>
      </c>
      <c r="BR45" s="3">
        <v>0</v>
      </c>
      <c r="BS45" s="3">
        <v>56.35</v>
      </c>
      <c r="BT45" s="3">
        <v>1</v>
      </c>
      <c r="BU45" s="3">
        <v>1</v>
      </c>
      <c r="BV45" s="3">
        <v>1</v>
      </c>
      <c r="BW45" s="3">
        <v>1</v>
      </c>
      <c r="BX45" s="3">
        <v>1</v>
      </c>
      <c r="BY45" s="3" t="s">
        <v>3</v>
      </c>
      <c r="BZ45" s="3">
        <v>121</v>
      </c>
      <c r="CA45" s="3">
        <v>72</v>
      </c>
      <c r="CB45" s="3" t="s">
        <v>3</v>
      </c>
      <c r="CE45" s="3">
        <v>1566</v>
      </c>
      <c r="CF45" s="3">
        <v>0</v>
      </c>
      <c r="CG45" s="3">
        <v>0</v>
      </c>
      <c r="CM45" s="3">
        <v>0</v>
      </c>
      <c r="CN45" s="3" t="s">
        <v>678</v>
      </c>
      <c r="CO45" s="3">
        <v>0</v>
      </c>
      <c r="CP45" s="3">
        <f t="shared" si="31"/>
        <v>1939.13</v>
      </c>
      <c r="CQ45" s="3">
        <f t="shared" si="32"/>
        <v>5.09</v>
      </c>
      <c r="CR45" s="3">
        <f>(ROUND((ROUND(((((ET45*1.25)*1.2))*AV45*1),2)*BB45),2)+ROUND((ROUND(((AE45-(((EU45*1.25)*1.2)))*AV45*1),2)*BS45),2))</f>
        <v>0</v>
      </c>
      <c r="CS45" s="3">
        <f>(ROUND((ROUND(((((EU45*1.25)*1.2))*AV45*1),2)*BS45),2)+ROUND((ROUND(((AE45-(((EU45*1.25)*1.2)))*AV45*1),2)*BS45),2))</f>
        <v>0</v>
      </c>
      <c r="CT45" s="3">
        <f t="shared" si="33"/>
        <v>237.23</v>
      </c>
      <c r="CU45" s="3">
        <f t="shared" si="34"/>
        <v>0</v>
      </c>
      <c r="CV45" s="3">
        <f t="shared" si="35"/>
        <v>0.32394119999999998</v>
      </c>
      <c r="CW45" s="3">
        <f t="shared" si="36"/>
        <v>0</v>
      </c>
      <c r="CX45" s="3">
        <f t="shared" si="37"/>
        <v>0</v>
      </c>
      <c r="CY45" s="3">
        <f>(ROUND((((S45+ROUND((ROUND(((((EU45*1.25)*1.2))*AV45*1),2)*BS45),2))*AT45)/100),2)+ROUND(((ROUND((ROUND(((AE45-(((EU45*1.25)*1.2)))*AV45*1),2)*BS45),2)*AT45)/100),2))</f>
        <v>2297.1</v>
      </c>
      <c r="CZ45" s="3">
        <f>(ROUND((((S45+ROUND((ROUND(((((EU45*1.25)*1.2))*AV45*1),2)*BS45),2))*AU45)/100),2)+ROUND(((ROUND((ROUND(((AE45-(((EU45*1.25)*1.2)))*AV45*1),2)*BS45),2)*AU45)/100),2))</f>
        <v>1366.87</v>
      </c>
      <c r="DB45" s="3">
        <v>19</v>
      </c>
      <c r="DC45" s="3" t="s">
        <v>3</v>
      </c>
      <c r="DD45" s="3" t="s">
        <v>77</v>
      </c>
      <c r="DE45" s="3" t="s">
        <v>78</v>
      </c>
      <c r="DF45" s="3" t="s">
        <v>78</v>
      </c>
      <c r="DG45" s="3" t="s">
        <v>79</v>
      </c>
      <c r="DH45" s="3" t="s">
        <v>3</v>
      </c>
      <c r="DI45" s="3" t="s">
        <v>79</v>
      </c>
      <c r="DJ45" s="3" t="s">
        <v>78</v>
      </c>
      <c r="DK45" s="3" t="s">
        <v>3</v>
      </c>
      <c r="DL45" s="3" t="s">
        <v>3</v>
      </c>
      <c r="DM45" s="3" t="s">
        <v>3</v>
      </c>
      <c r="DN45" s="3">
        <v>0</v>
      </c>
      <c r="DO45" s="3">
        <v>0</v>
      </c>
      <c r="DP45" s="3">
        <v>1</v>
      </c>
      <c r="DQ45" s="3">
        <v>1</v>
      </c>
      <c r="DU45" s="3">
        <v>1013</v>
      </c>
      <c r="DV45" s="3" t="s">
        <v>75</v>
      </c>
      <c r="DW45" s="3" t="s">
        <v>75</v>
      </c>
      <c r="DX45" s="3">
        <v>1</v>
      </c>
      <c r="DZ45" s="3" t="s">
        <v>3</v>
      </c>
      <c r="EA45" s="3" t="s">
        <v>3</v>
      </c>
      <c r="EB45" s="3" t="s">
        <v>3</v>
      </c>
      <c r="EC45" s="3" t="s">
        <v>3</v>
      </c>
      <c r="EE45" s="3">
        <v>85133369</v>
      </c>
      <c r="EF45" s="3">
        <v>30</v>
      </c>
      <c r="EG45" s="3" t="s">
        <v>49</v>
      </c>
      <c r="EH45" s="3">
        <v>0</v>
      </c>
      <c r="EI45" s="3" t="s">
        <v>3</v>
      </c>
      <c r="EJ45" s="3">
        <v>1</v>
      </c>
      <c r="EK45" s="3">
        <v>23</v>
      </c>
      <c r="EL45" s="3" t="s">
        <v>50</v>
      </c>
      <c r="EM45" s="3" t="s">
        <v>51</v>
      </c>
      <c r="EO45" s="3" t="s">
        <v>80</v>
      </c>
      <c r="EQ45" s="3">
        <v>0</v>
      </c>
      <c r="ER45" s="3">
        <v>3.79</v>
      </c>
      <c r="ES45" s="3">
        <v>0.93</v>
      </c>
      <c r="ET45" s="3">
        <v>0</v>
      </c>
      <c r="EU45" s="3">
        <v>0</v>
      </c>
      <c r="EV45" s="3">
        <v>2.86</v>
      </c>
      <c r="EW45" s="3">
        <v>0.22</v>
      </c>
      <c r="EX45" s="3">
        <v>0</v>
      </c>
      <c r="EY45" s="3">
        <v>0</v>
      </c>
      <c r="FQ45" s="3">
        <v>0</v>
      </c>
      <c r="FR45" s="3">
        <v>0</v>
      </c>
      <c r="FS45" s="3">
        <v>0</v>
      </c>
      <c r="FX45" s="3">
        <v>121</v>
      </c>
      <c r="FY45" s="3">
        <v>72</v>
      </c>
      <c r="GA45" s="3" t="s">
        <v>3</v>
      </c>
      <c r="GD45" s="3">
        <v>1</v>
      </c>
      <c r="GF45" s="3">
        <v>2014171460</v>
      </c>
      <c r="GG45" s="3">
        <v>2</v>
      </c>
      <c r="GH45" s="3">
        <v>1</v>
      </c>
      <c r="GI45" s="3">
        <v>2</v>
      </c>
      <c r="GJ45" s="3">
        <v>0</v>
      </c>
      <c r="GK45" s="3">
        <v>0</v>
      </c>
      <c r="GL45" s="3">
        <f t="shared" si="38"/>
        <v>0</v>
      </c>
      <c r="GM45" s="3">
        <f t="shared" si="39"/>
        <v>5603.1</v>
      </c>
      <c r="GN45" s="3">
        <f t="shared" si="40"/>
        <v>5603.1</v>
      </c>
      <c r="GO45" s="3">
        <f t="shared" si="41"/>
        <v>0</v>
      </c>
      <c r="GP45" s="3">
        <f t="shared" si="42"/>
        <v>0</v>
      </c>
      <c r="GR45" s="3">
        <v>0</v>
      </c>
      <c r="GS45" s="3">
        <v>3</v>
      </c>
      <c r="GT45" s="3">
        <v>0</v>
      </c>
      <c r="GU45" s="3" t="s">
        <v>3</v>
      </c>
      <c r="GV45" s="3">
        <f t="shared" si="43"/>
        <v>0</v>
      </c>
      <c r="GW45" s="3">
        <v>1</v>
      </c>
      <c r="GX45" s="3">
        <f t="shared" si="44"/>
        <v>0</v>
      </c>
      <c r="HA45" s="3">
        <v>0</v>
      </c>
      <c r="HB45" s="3">
        <v>0</v>
      </c>
      <c r="HC45" s="3">
        <f t="shared" si="45"/>
        <v>0</v>
      </c>
      <c r="HE45" s="3" t="s">
        <v>3</v>
      </c>
      <c r="HF45" s="3" t="s">
        <v>3</v>
      </c>
      <c r="HM45" s="3" t="s">
        <v>3</v>
      </c>
      <c r="HN45" s="3" t="s">
        <v>3</v>
      </c>
      <c r="HO45" s="3" t="s">
        <v>3</v>
      </c>
      <c r="HP45" s="3" t="s">
        <v>3</v>
      </c>
      <c r="HQ45" s="3" t="s">
        <v>3</v>
      </c>
      <c r="HS45" s="3">
        <v>0</v>
      </c>
      <c r="IK45" s="3">
        <v>0</v>
      </c>
    </row>
    <row r="46" spans="1:255" x14ac:dyDescent="0.2">
      <c r="A46" s="2">
        <v>17</v>
      </c>
      <c r="B46" s="2">
        <v>1</v>
      </c>
      <c r="C46" s="2"/>
      <c r="D46" s="2"/>
      <c r="E46" s="2" t="s">
        <v>81</v>
      </c>
      <c r="F46" s="2" t="s">
        <v>82</v>
      </c>
      <c r="G46" s="2" t="s">
        <v>83</v>
      </c>
      <c r="H46" s="2" t="s">
        <v>84</v>
      </c>
      <c r="I46" s="2">
        <v>1</v>
      </c>
      <c r="J46" s="2">
        <v>0</v>
      </c>
      <c r="K46" s="2">
        <v>1</v>
      </c>
      <c r="L46" s="2"/>
      <c r="M46" s="2"/>
      <c r="N46" s="2"/>
      <c r="O46" s="2">
        <f t="shared" si="21"/>
        <v>227909.79</v>
      </c>
      <c r="P46" s="2">
        <f>ROUND((ROUND((AC46*I46),2)*BC46),2)</f>
        <v>227909.79</v>
      </c>
      <c r="Q46" s="2">
        <f>(ROUND((ROUND(((ET46)*AV46*I46),2)*BB46),2)+ROUND((ROUND(((AE46-(EU46))*AV46*I46),2)*BS46),2))</f>
        <v>0</v>
      </c>
      <c r="R46" s="2">
        <f>(ROUND((ROUND(((EU46)*AV46*I46),2)*BS46),2)+ROUND((ROUND(((AE46-(EU46))*AV46*I46),2)*BS46),2))</f>
        <v>0</v>
      </c>
      <c r="S46" s="2">
        <f t="shared" si="23"/>
        <v>0</v>
      </c>
      <c r="T46" s="2">
        <f t="shared" si="24"/>
        <v>0</v>
      </c>
      <c r="U46" s="2">
        <f t="shared" si="25"/>
        <v>0</v>
      </c>
      <c r="V46" s="2">
        <f t="shared" si="26"/>
        <v>0</v>
      </c>
      <c r="W46" s="2">
        <f t="shared" si="27"/>
        <v>0</v>
      </c>
      <c r="X46" s="2">
        <f>(ROUND((((S46+ROUND((ROUND(((EU46)*AV46*I46),2)*BS46),2))*AT46)/100),2)+ROUND(((ROUND((ROUND(((AE46-(EU46))*AV46*I46),2)*BS46),2)*AT46)/100),2))</f>
        <v>0</v>
      </c>
      <c r="Y46" s="2">
        <f>(ROUND((((S46+ROUND((ROUND(((EU46)*AV46*I46),2)*BS46),2))*AU46)/100),2)+ROUND(((ROUND((ROUND(((AE46-(EU46))*AV46*I46),2)*BS46),2)*AU46)/100),2))</f>
        <v>0</v>
      </c>
      <c r="Z46" s="2"/>
      <c r="AA46" s="2">
        <v>85739205</v>
      </c>
      <c r="AB46" s="2">
        <f t="shared" si="28"/>
        <v>227909.79</v>
      </c>
      <c r="AC46" s="2">
        <f>ROUND((ES46),6)</f>
        <v>227909.79</v>
      </c>
      <c r="AD46" s="2">
        <f>ROUND((((ET46)-(EU46))+AE46),6)</f>
        <v>0</v>
      </c>
      <c r="AE46" s="2">
        <f>ROUND((EU46),6)</f>
        <v>0</v>
      </c>
      <c r="AF46" s="2">
        <f>ROUND((EV46),6)</f>
        <v>0</v>
      </c>
      <c r="AG46" s="2">
        <f t="shared" si="29"/>
        <v>0</v>
      </c>
      <c r="AH46" s="2">
        <f>(EW46)</f>
        <v>0</v>
      </c>
      <c r="AI46" s="2">
        <f>(EX46)</f>
        <v>0</v>
      </c>
      <c r="AJ46" s="2">
        <f t="shared" si="30"/>
        <v>0</v>
      </c>
      <c r="AK46" s="2">
        <v>227909.78999999998</v>
      </c>
      <c r="AL46" s="2">
        <v>227909.78999999998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1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3</v>
      </c>
      <c r="BI46" s="2">
        <v>3</v>
      </c>
      <c r="BJ46" s="2" t="s">
        <v>3</v>
      </c>
      <c r="BK46" s="2"/>
      <c r="BL46" s="2"/>
      <c r="BM46" s="2">
        <v>746</v>
      </c>
      <c r="BN46" s="2">
        <v>0</v>
      </c>
      <c r="BO46" s="2" t="s">
        <v>3</v>
      </c>
      <c r="BP46" s="2">
        <v>0</v>
      </c>
      <c r="BQ46" s="2">
        <v>130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0</v>
      </c>
      <c r="CA46" s="2">
        <v>0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85</v>
      </c>
      <c r="CO46" s="2">
        <v>0</v>
      </c>
      <c r="CP46" s="2">
        <f t="shared" si="31"/>
        <v>227909.79</v>
      </c>
      <c r="CQ46" s="2">
        <f>ROUND((ROUND((AC46*1),2)*BC46),2)</f>
        <v>227909.79</v>
      </c>
      <c r="CR46" s="2">
        <f>(ROUND((ROUND(((ET46)*AV46*1),2)*BB46),2)+ROUND((ROUND(((AE46-(EU46))*AV46*1),2)*BS46),2))</f>
        <v>0</v>
      </c>
      <c r="CS46" s="2">
        <f>(ROUND((ROUND(((EU46)*AV46*1),2)*BS46),2)+ROUND((ROUND(((AE46-(EU46))*AV46*1),2)*BS46),2))</f>
        <v>0</v>
      </c>
      <c r="CT46" s="2">
        <f t="shared" si="33"/>
        <v>0</v>
      </c>
      <c r="CU46" s="2">
        <f t="shared" si="34"/>
        <v>0</v>
      </c>
      <c r="CV46" s="2">
        <f t="shared" si="35"/>
        <v>0</v>
      </c>
      <c r="CW46" s="2">
        <f t="shared" si="36"/>
        <v>0</v>
      </c>
      <c r="CX46" s="2">
        <f t="shared" si="37"/>
        <v>0</v>
      </c>
      <c r="CY46" s="2">
        <f>(ROUND((((S46+ROUND((ROUND(((EU46)*AV46*1),2)*BS46),2))*AT46)/100),2)+ROUND(((ROUND((ROUND(((AE46-(EU46))*AV46*1),2)*BS46),2)*AT46)/100),2))</f>
        <v>0</v>
      </c>
      <c r="CZ46" s="2">
        <f>(ROUND((((S46+ROUND((ROUND(((EU46)*AV46*1),2)*BS46),2))*AU46)/100),2)+ROUND(((ROUND((ROUND(((AE46-(EU46))*AV46*1),2)*BS46),2)*AU46)/100),2))</f>
        <v>0</v>
      </c>
      <c r="DA46" s="2"/>
      <c r="DB46" s="2"/>
      <c r="DC46" s="2" t="s">
        <v>3</v>
      </c>
      <c r="DD46" s="2" t="s">
        <v>3</v>
      </c>
      <c r="DE46" s="2" t="s">
        <v>3</v>
      </c>
      <c r="DF46" s="2" t="s">
        <v>3</v>
      </c>
      <c r="DG46" s="2" t="s">
        <v>3</v>
      </c>
      <c r="DH46" s="2" t="s">
        <v>3</v>
      </c>
      <c r="DI46" s="2" t="s">
        <v>3</v>
      </c>
      <c r="DJ46" s="2" t="s">
        <v>3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1013</v>
      </c>
      <c r="DV46" s="2" t="s">
        <v>84</v>
      </c>
      <c r="DW46" s="2" t="s">
        <v>84</v>
      </c>
      <c r="DX46" s="2">
        <v>1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85133523</v>
      </c>
      <c r="EF46" s="2">
        <v>130</v>
      </c>
      <c r="EG46" s="2" t="s">
        <v>86</v>
      </c>
      <c r="EH46" s="2">
        <v>0</v>
      </c>
      <c r="EI46" s="2" t="s">
        <v>3</v>
      </c>
      <c r="EJ46" s="2">
        <v>3</v>
      </c>
      <c r="EK46" s="2">
        <v>746</v>
      </c>
      <c r="EL46" s="2" t="s">
        <v>87</v>
      </c>
      <c r="EM46" s="2" t="s">
        <v>88</v>
      </c>
      <c r="EN46" s="2"/>
      <c r="EO46" s="2" t="s">
        <v>89</v>
      </c>
      <c r="EP46" s="2"/>
      <c r="EQ46" s="2">
        <v>2097152</v>
      </c>
      <c r="ER46" s="2">
        <v>0</v>
      </c>
      <c r="ES46" s="2">
        <v>227909.78999999998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f>P46</f>
        <v>227909.79</v>
      </c>
      <c r="FS46" s="2">
        <v>0</v>
      </c>
      <c r="FT46" s="2"/>
      <c r="FU46" s="2"/>
      <c r="FV46" s="2"/>
      <c r="FW46" s="2"/>
      <c r="FX46" s="2">
        <v>0</v>
      </c>
      <c r="FY46" s="2">
        <v>0</v>
      </c>
      <c r="FZ46" s="2"/>
      <c r="GA46" s="2" t="s">
        <v>3</v>
      </c>
      <c r="GB46" s="2"/>
      <c r="GC46" s="2"/>
      <c r="GD46" s="2">
        <v>1</v>
      </c>
      <c r="GE46" s="2"/>
      <c r="GF46" s="2">
        <v>-1036281574</v>
      </c>
      <c r="GG46" s="2">
        <v>2</v>
      </c>
      <c r="GH46" s="2">
        <v>4</v>
      </c>
      <c r="GI46" s="2">
        <v>-2</v>
      </c>
      <c r="GJ46" s="2">
        <v>0</v>
      </c>
      <c r="GK46" s="2">
        <v>0</v>
      </c>
      <c r="GL46" s="2">
        <f t="shared" si="38"/>
        <v>0</v>
      </c>
      <c r="GM46" s="2">
        <f t="shared" si="39"/>
        <v>227909.79</v>
      </c>
      <c r="GN46" s="2">
        <f t="shared" si="40"/>
        <v>0</v>
      </c>
      <c r="GO46" s="2">
        <f t="shared" si="41"/>
        <v>0</v>
      </c>
      <c r="GP46" s="2">
        <f t="shared" si="42"/>
        <v>0</v>
      </c>
      <c r="GQ46" s="2"/>
      <c r="GR46" s="2">
        <v>0</v>
      </c>
      <c r="GS46" s="2">
        <v>2</v>
      </c>
      <c r="GT46" s="2">
        <v>0</v>
      </c>
      <c r="GU46" s="2" t="s">
        <v>3</v>
      </c>
      <c r="GV46" s="2">
        <f t="shared" si="43"/>
        <v>0</v>
      </c>
      <c r="GW46" s="2">
        <v>1</v>
      </c>
      <c r="GX46" s="2">
        <f t="shared" si="44"/>
        <v>0</v>
      </c>
      <c r="GY46" s="2"/>
      <c r="GZ46" s="2"/>
      <c r="HA46" s="2">
        <v>0</v>
      </c>
      <c r="HB46" s="2">
        <v>0</v>
      </c>
      <c r="HC46" s="2">
        <f t="shared" si="45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 s="3">
        <v>17</v>
      </c>
      <c r="B47" s="3">
        <v>1</v>
      </c>
      <c r="E47" s="3" t="s">
        <v>81</v>
      </c>
      <c r="F47" s="3" t="s">
        <v>82</v>
      </c>
      <c r="G47" s="3" t="s">
        <v>83</v>
      </c>
      <c r="H47" s="3" t="s">
        <v>84</v>
      </c>
      <c r="I47" s="3">
        <v>1</v>
      </c>
      <c r="J47" s="3">
        <v>0</v>
      </c>
      <c r="K47" s="3">
        <v>1</v>
      </c>
      <c r="O47" s="3">
        <f t="shared" si="21"/>
        <v>1816013.25</v>
      </c>
      <c r="P47" s="3">
        <f>ROUND((ROUND((AC47*I47),2)*BC47),2)</f>
        <v>1816013.25</v>
      </c>
      <c r="Q47" s="3">
        <f>(ROUND((ROUND(((ET47)*AV47*I47),2)*BB47),2)+ROUND((ROUND(((AE47-(EU47))*AV47*I47),2)*BS47),2))</f>
        <v>0</v>
      </c>
      <c r="R47" s="3">
        <f>(ROUND((ROUND(((EU47)*AV47*I47),2)*BS47),2)+ROUND((ROUND(((AE47-(EU47))*AV47*I47),2)*BS47),2))</f>
        <v>0</v>
      </c>
      <c r="S47" s="3">
        <f t="shared" si="23"/>
        <v>0</v>
      </c>
      <c r="T47" s="3">
        <f t="shared" si="24"/>
        <v>0</v>
      </c>
      <c r="U47" s="3">
        <f t="shared" si="25"/>
        <v>0</v>
      </c>
      <c r="V47" s="3">
        <f t="shared" si="26"/>
        <v>0</v>
      </c>
      <c r="W47" s="3">
        <f t="shared" si="27"/>
        <v>0</v>
      </c>
      <c r="X47" s="3">
        <f>(ROUND((((S47+ROUND((ROUND(((EU47)*AV47*I47),2)*BS47),2))*AT47)/100),2)+ROUND(((ROUND((ROUND(((AE47-(EU47))*AV47*I47),2)*BS47),2)*AT47)/100),2))</f>
        <v>0</v>
      </c>
      <c r="Y47" s="3">
        <f>(ROUND((((S47+ROUND((ROUND(((EU47)*AV47*I47),2)*BS47),2))*AU47)/100),2)+ROUND(((ROUND((ROUND(((AE47-(EU47))*AV47*I47),2)*BS47),2)*AU47)/100),2))</f>
        <v>0</v>
      </c>
      <c r="AA47" s="3">
        <v>85739207</v>
      </c>
      <c r="AB47" s="3">
        <f t="shared" si="28"/>
        <v>239896.07</v>
      </c>
      <c r="AC47" s="3">
        <f>ROUND((ES47),6)</f>
        <v>239896.07</v>
      </c>
      <c r="AD47" s="3">
        <f>ROUND((((ET47)-(EU47))+AE47),6)</f>
        <v>0</v>
      </c>
      <c r="AE47" s="3">
        <f>ROUND((EU47),6)</f>
        <v>0</v>
      </c>
      <c r="AF47" s="3">
        <f>ROUND((EV47),6)</f>
        <v>0</v>
      </c>
      <c r="AG47" s="3">
        <f t="shared" si="29"/>
        <v>0</v>
      </c>
      <c r="AH47" s="3">
        <f>(EW47)</f>
        <v>0</v>
      </c>
      <c r="AI47" s="3">
        <f>(EX47)</f>
        <v>0</v>
      </c>
      <c r="AJ47" s="3">
        <f t="shared" si="30"/>
        <v>0</v>
      </c>
      <c r="AK47" s="3">
        <v>239896.07</v>
      </c>
      <c r="AL47" s="3">
        <v>239896.07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1</v>
      </c>
      <c r="AW47" s="3">
        <v>1</v>
      </c>
      <c r="AZ47" s="3">
        <v>1</v>
      </c>
      <c r="BA47" s="3">
        <v>1</v>
      </c>
      <c r="BB47" s="3">
        <v>1</v>
      </c>
      <c r="BC47" s="3">
        <v>7.57</v>
      </c>
      <c r="BD47" s="3" t="s">
        <v>3</v>
      </c>
      <c r="BE47" s="3" t="s">
        <v>3</v>
      </c>
      <c r="BF47" s="3" t="s">
        <v>3</v>
      </c>
      <c r="BG47" s="3" t="s">
        <v>3</v>
      </c>
      <c r="BH47" s="3">
        <v>3</v>
      </c>
      <c r="BI47" s="3">
        <v>3</v>
      </c>
      <c r="BJ47" s="3" t="s">
        <v>3</v>
      </c>
      <c r="BM47" s="3">
        <v>746</v>
      </c>
      <c r="BN47" s="3">
        <v>0</v>
      </c>
      <c r="BO47" s="3" t="s">
        <v>3</v>
      </c>
      <c r="BP47" s="3">
        <v>0</v>
      </c>
      <c r="BQ47" s="3">
        <v>130</v>
      </c>
      <c r="BR47" s="3">
        <v>0</v>
      </c>
      <c r="BS47" s="3">
        <v>1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 t="s">
        <v>3</v>
      </c>
      <c r="BZ47" s="3">
        <v>0</v>
      </c>
      <c r="CA47" s="3">
        <v>0</v>
      </c>
      <c r="CB47" s="3" t="s">
        <v>3</v>
      </c>
      <c r="CE47" s="3">
        <v>1566</v>
      </c>
      <c r="CF47" s="3">
        <v>0</v>
      </c>
      <c r="CG47" s="3">
        <v>0</v>
      </c>
      <c r="CM47" s="3">
        <v>0</v>
      </c>
      <c r="CN47" s="3" t="s">
        <v>85</v>
      </c>
      <c r="CO47" s="3">
        <v>0</v>
      </c>
      <c r="CP47" s="3">
        <f t="shared" si="31"/>
        <v>1816013.25</v>
      </c>
      <c r="CQ47" s="3">
        <f>ROUND((ROUND((AC47*1),2)*BC47),2)</f>
        <v>1816013.25</v>
      </c>
      <c r="CR47" s="3">
        <f>(ROUND((ROUND(((ET47)*AV47*1),2)*BB47),2)+ROUND((ROUND(((AE47-(EU47))*AV47*1),2)*BS47),2))</f>
        <v>0</v>
      </c>
      <c r="CS47" s="3">
        <f>(ROUND((ROUND(((EU47)*AV47*1),2)*BS47),2)+ROUND((ROUND(((AE47-(EU47))*AV47*1),2)*BS47),2))</f>
        <v>0</v>
      </c>
      <c r="CT47" s="3">
        <f t="shared" si="33"/>
        <v>0</v>
      </c>
      <c r="CU47" s="3">
        <f t="shared" si="34"/>
        <v>0</v>
      </c>
      <c r="CV47" s="3">
        <f t="shared" si="35"/>
        <v>0</v>
      </c>
      <c r="CW47" s="3">
        <f t="shared" si="36"/>
        <v>0</v>
      </c>
      <c r="CX47" s="3">
        <f t="shared" si="37"/>
        <v>0</v>
      </c>
      <c r="CY47" s="3">
        <f>(ROUND((((S47+ROUND((ROUND(((EU47)*AV47*1),2)*BS47),2))*AT47)/100),2)+ROUND(((ROUND((ROUND(((AE47-(EU47))*AV47*1),2)*BS47),2)*AT47)/100),2))</f>
        <v>0</v>
      </c>
      <c r="CZ47" s="3">
        <f>(ROUND((((S47+ROUND((ROUND(((EU47)*AV47*1),2)*BS47),2))*AU47)/100),2)+ROUND(((ROUND((ROUND(((AE47-(EU47))*AV47*1),2)*BS47),2)*AU47)/100),2))</f>
        <v>0</v>
      </c>
      <c r="DC47" s="3" t="s">
        <v>3</v>
      </c>
      <c r="DD47" s="3" t="s">
        <v>3</v>
      </c>
      <c r="DE47" s="3" t="s">
        <v>3</v>
      </c>
      <c r="DF47" s="3" t="s">
        <v>3</v>
      </c>
      <c r="DG47" s="3" t="s">
        <v>3</v>
      </c>
      <c r="DH47" s="3" t="s">
        <v>3</v>
      </c>
      <c r="DI47" s="3" t="s">
        <v>3</v>
      </c>
      <c r="DJ47" s="3" t="s">
        <v>3</v>
      </c>
      <c r="DK47" s="3" t="s">
        <v>3</v>
      </c>
      <c r="DL47" s="3" t="s">
        <v>3</v>
      </c>
      <c r="DM47" s="3" t="s">
        <v>3</v>
      </c>
      <c r="DN47" s="3">
        <v>0</v>
      </c>
      <c r="DO47" s="3">
        <v>0</v>
      </c>
      <c r="DP47" s="3">
        <v>1</v>
      </c>
      <c r="DQ47" s="3">
        <v>1</v>
      </c>
      <c r="DU47" s="3">
        <v>1013</v>
      </c>
      <c r="DV47" s="3" t="s">
        <v>84</v>
      </c>
      <c r="DW47" s="3" t="s">
        <v>84</v>
      </c>
      <c r="DX47" s="3">
        <v>1</v>
      </c>
      <c r="DZ47" s="3" t="s">
        <v>3</v>
      </c>
      <c r="EA47" s="3" t="s">
        <v>3</v>
      </c>
      <c r="EB47" s="3" t="s">
        <v>3</v>
      </c>
      <c r="EC47" s="3" t="s">
        <v>3</v>
      </c>
      <c r="EE47" s="3">
        <v>85133523</v>
      </c>
      <c r="EF47" s="3">
        <v>130</v>
      </c>
      <c r="EG47" s="3" t="s">
        <v>86</v>
      </c>
      <c r="EH47" s="3">
        <v>0</v>
      </c>
      <c r="EI47" s="3" t="s">
        <v>3</v>
      </c>
      <c r="EJ47" s="3">
        <v>3</v>
      </c>
      <c r="EK47" s="3">
        <v>746</v>
      </c>
      <c r="EL47" s="3" t="s">
        <v>87</v>
      </c>
      <c r="EM47" s="3" t="s">
        <v>88</v>
      </c>
      <c r="EO47" s="3" t="s">
        <v>89</v>
      </c>
      <c r="EQ47" s="3">
        <v>2097152</v>
      </c>
      <c r="ER47" s="3">
        <v>239896.07</v>
      </c>
      <c r="ES47" s="3">
        <v>239896.07</v>
      </c>
      <c r="ET47" s="3">
        <v>0</v>
      </c>
      <c r="EU47" s="3">
        <v>0</v>
      </c>
      <c r="EV47" s="3">
        <v>0</v>
      </c>
      <c r="EW47" s="3">
        <v>0</v>
      </c>
      <c r="EX47" s="3">
        <v>0</v>
      </c>
      <c r="EY47" s="3">
        <v>0</v>
      </c>
      <c r="EZ47" s="3">
        <v>5</v>
      </c>
      <c r="FC47" s="3">
        <v>1</v>
      </c>
      <c r="FD47" s="3">
        <v>18</v>
      </c>
      <c r="FF47" s="3">
        <v>2125500</v>
      </c>
      <c r="FQ47" s="3">
        <v>0</v>
      </c>
      <c r="FR47" s="3">
        <f>P47</f>
        <v>1816013.25</v>
      </c>
      <c r="FS47" s="3">
        <v>0</v>
      </c>
      <c r="FX47" s="3">
        <v>0</v>
      </c>
      <c r="FY47" s="3">
        <v>0</v>
      </c>
      <c r="GA47" s="3" t="s">
        <v>90</v>
      </c>
      <c r="GD47" s="3">
        <v>1</v>
      </c>
      <c r="GF47" s="3">
        <v>-1036281574</v>
      </c>
      <c r="GG47" s="3">
        <v>2</v>
      </c>
      <c r="GH47" s="3">
        <v>3</v>
      </c>
      <c r="GI47" s="3">
        <v>5</v>
      </c>
      <c r="GJ47" s="3">
        <v>0</v>
      </c>
      <c r="GK47" s="3">
        <v>0</v>
      </c>
      <c r="GL47" s="3">
        <f t="shared" si="38"/>
        <v>0</v>
      </c>
      <c r="GM47" s="3">
        <f t="shared" si="39"/>
        <v>1816013.25</v>
      </c>
      <c r="GN47" s="3">
        <f t="shared" si="40"/>
        <v>0</v>
      </c>
      <c r="GO47" s="3">
        <f t="shared" si="41"/>
        <v>0</v>
      </c>
      <c r="GP47" s="3">
        <f t="shared" si="42"/>
        <v>0</v>
      </c>
      <c r="GR47" s="3">
        <v>1</v>
      </c>
      <c r="GS47" s="3">
        <v>1</v>
      </c>
      <c r="GT47" s="3">
        <v>0</v>
      </c>
      <c r="GU47" s="3" t="s">
        <v>3</v>
      </c>
      <c r="GV47" s="3">
        <f t="shared" si="43"/>
        <v>0</v>
      </c>
      <c r="GW47" s="3">
        <v>1</v>
      </c>
      <c r="GX47" s="3">
        <f t="shared" si="44"/>
        <v>0</v>
      </c>
      <c r="HA47" s="3">
        <v>0</v>
      </c>
      <c r="HB47" s="3">
        <v>0</v>
      </c>
      <c r="HC47" s="3">
        <f t="shared" si="45"/>
        <v>0</v>
      </c>
      <c r="HE47" s="3" t="s">
        <v>38</v>
      </c>
      <c r="HF47" s="3" t="s">
        <v>91</v>
      </c>
      <c r="HM47" s="3" t="s">
        <v>3</v>
      </c>
      <c r="HN47" s="3" t="s">
        <v>3</v>
      </c>
      <c r="HO47" s="3" t="s">
        <v>3</v>
      </c>
      <c r="HP47" s="3" t="s">
        <v>3</v>
      </c>
      <c r="HQ47" s="3" t="s">
        <v>3</v>
      </c>
      <c r="HS47" s="3">
        <v>0</v>
      </c>
      <c r="IK47" s="3">
        <v>0</v>
      </c>
    </row>
    <row r="48" spans="1:255" x14ac:dyDescent="0.2">
      <c r="A48" s="2">
        <v>17</v>
      </c>
      <c r="B48" s="2">
        <v>1</v>
      </c>
      <c r="C48" s="2">
        <f>ROW(SmtRes!A100)</f>
        <v>100</v>
      </c>
      <c r="D48" s="2">
        <f>ROW(EtalonRes!A127)</f>
        <v>127</v>
      </c>
      <c r="E48" s="2" t="s">
        <v>92</v>
      </c>
      <c r="F48" s="2" t="s">
        <v>93</v>
      </c>
      <c r="G48" s="2" t="s">
        <v>94</v>
      </c>
      <c r="H48" s="2" t="s">
        <v>23</v>
      </c>
      <c r="I48" s="2">
        <v>1</v>
      </c>
      <c r="J48" s="2">
        <v>0</v>
      </c>
      <c r="K48" s="2">
        <v>1</v>
      </c>
      <c r="L48" s="2"/>
      <c r="M48" s="2"/>
      <c r="N48" s="2"/>
      <c r="O48" s="2">
        <f t="shared" si="21"/>
        <v>102.49</v>
      </c>
      <c r="P48" s="2">
        <f>ROUND((ROUND((AC48*AW48*I48),2)*BC48),2)</f>
        <v>4.04</v>
      </c>
      <c r="Q48" s="2">
        <f>(ROUND((ROUND((((ET48*1.2))*AV48*I48),2)*BB48),2)+ROUND((ROUND(((AE48-((EU48*1.2)))*AV48*I48),2)*BS48),2))</f>
        <v>9.58</v>
      </c>
      <c r="R48" s="2">
        <f>(ROUND((ROUND((((EU48*1.2))*AV48*I48),2)*BS48),2)+ROUND((ROUND(((AE48-((EU48*1.2)))*AV48*I48),2)*BS48),2))</f>
        <v>1.46</v>
      </c>
      <c r="S48" s="2">
        <f t="shared" si="23"/>
        <v>88.87</v>
      </c>
      <c r="T48" s="2">
        <f t="shared" si="24"/>
        <v>0</v>
      </c>
      <c r="U48" s="2">
        <f t="shared" si="25"/>
        <v>7.0421999999999993</v>
      </c>
      <c r="V48" s="2">
        <f t="shared" si="26"/>
        <v>0</v>
      </c>
      <c r="W48" s="2">
        <f t="shared" si="27"/>
        <v>0</v>
      </c>
      <c r="X48" s="2">
        <f>(ROUND((((S48+ROUND((ROUND((((EU48*1.2))*AV48*I48),2)*BS48),2))*AT48)/100),2)+ROUND(((ROUND((ROUND(((AE48-((EU48*1.2)))*AV48*I48),2)*BS48),2)*AT48)/100),2))</f>
        <v>81.3</v>
      </c>
      <c r="Y48" s="2">
        <f>(ROUND((((S48+ROUND((ROUND((((EU48*1.2))*AV48*I48),2)*BS48),2))*AU48)/100),2)+ROUND(((ROUND((ROUND(((AE48-((EU48*1.2)))*AV48*I48),2)*BS48),2)*AU48)/100),2))</f>
        <v>41.55</v>
      </c>
      <c r="Z48" s="2"/>
      <c r="AA48" s="2">
        <v>85739205</v>
      </c>
      <c r="AB48" s="2">
        <f t="shared" si="28"/>
        <v>96.197999999999993</v>
      </c>
      <c r="AC48" s="2">
        <f>ROUND(((ES48*1)),6)</f>
        <v>3.93</v>
      </c>
      <c r="AD48" s="2">
        <f>ROUND(((((ET48*1.2))-((EU48*1.2)))+AE48),6)</f>
        <v>8.9760000000000009</v>
      </c>
      <c r="AE48" s="2">
        <f>ROUND(((EU48*1.2)),6)</f>
        <v>1.3680000000000001</v>
      </c>
      <c r="AF48" s="2">
        <f>ROUND(((EV48*1.2)),6)</f>
        <v>83.292000000000002</v>
      </c>
      <c r="AG48" s="2">
        <f t="shared" si="29"/>
        <v>0</v>
      </c>
      <c r="AH48" s="2">
        <f>((EW48*1.2))</f>
        <v>6.6</v>
      </c>
      <c r="AI48" s="2">
        <f>((EX48*1.2))</f>
        <v>0</v>
      </c>
      <c r="AJ48" s="2">
        <f t="shared" si="30"/>
        <v>0</v>
      </c>
      <c r="AK48" s="2">
        <v>80.819999999999993</v>
      </c>
      <c r="AL48" s="2">
        <v>3.93</v>
      </c>
      <c r="AM48" s="2">
        <v>7.48</v>
      </c>
      <c r="AN48" s="2">
        <v>1.1399999999999999</v>
      </c>
      <c r="AO48" s="2">
        <v>69.41</v>
      </c>
      <c r="AP48" s="2">
        <v>0</v>
      </c>
      <c r="AQ48" s="2">
        <v>5.5</v>
      </c>
      <c r="AR48" s="2">
        <v>0</v>
      </c>
      <c r="AS48" s="2">
        <v>0</v>
      </c>
      <c r="AT48" s="2">
        <v>90</v>
      </c>
      <c r="AU48" s="2">
        <v>46</v>
      </c>
      <c r="AV48" s="2">
        <v>1.0669999999999999</v>
      </c>
      <c r="AW48" s="2">
        <v>1.028</v>
      </c>
      <c r="AX48" s="2"/>
      <c r="AY48" s="2"/>
      <c r="AZ48" s="2">
        <v>1</v>
      </c>
      <c r="BA48" s="2">
        <v>1</v>
      </c>
      <c r="BB48" s="2">
        <v>1</v>
      </c>
      <c r="BC48" s="2">
        <v>1</v>
      </c>
      <c r="BD48" s="2" t="s">
        <v>3</v>
      </c>
      <c r="BE48" s="2" t="s">
        <v>3</v>
      </c>
      <c r="BF48" s="2" t="s">
        <v>3</v>
      </c>
      <c r="BG48" s="2" t="s">
        <v>3</v>
      </c>
      <c r="BH48" s="2">
        <v>0</v>
      </c>
      <c r="BI48" s="2">
        <v>2</v>
      </c>
      <c r="BJ48" s="2" t="s">
        <v>95</v>
      </c>
      <c r="BK48" s="2"/>
      <c r="BL48" s="2"/>
      <c r="BM48" s="2">
        <v>73</v>
      </c>
      <c r="BN48" s="2">
        <v>0</v>
      </c>
      <c r="BO48" s="2" t="s">
        <v>93</v>
      </c>
      <c r="BP48" s="2">
        <v>1</v>
      </c>
      <c r="BQ48" s="2">
        <v>40</v>
      </c>
      <c r="BR48" s="2">
        <v>0</v>
      </c>
      <c r="BS48" s="2">
        <v>1</v>
      </c>
      <c r="BT48" s="2">
        <v>1</v>
      </c>
      <c r="BU48" s="2">
        <v>1</v>
      </c>
      <c r="BV48" s="2">
        <v>1</v>
      </c>
      <c r="BW48" s="2">
        <v>1</v>
      </c>
      <c r="BX48" s="2">
        <v>1</v>
      </c>
      <c r="BY48" s="2" t="s">
        <v>3</v>
      </c>
      <c r="BZ48" s="2">
        <v>90</v>
      </c>
      <c r="CA48" s="2">
        <v>46</v>
      </c>
      <c r="CB48" s="2" t="s">
        <v>3</v>
      </c>
      <c r="CC48" s="2"/>
      <c r="CD48" s="2"/>
      <c r="CE48" s="2">
        <v>1566</v>
      </c>
      <c r="CF48" s="2">
        <v>0</v>
      </c>
      <c r="CG48" s="2">
        <v>0</v>
      </c>
      <c r="CH48" s="2"/>
      <c r="CI48" s="2"/>
      <c r="CJ48" s="2"/>
      <c r="CK48" s="2"/>
      <c r="CL48" s="2"/>
      <c r="CM48" s="2">
        <v>0</v>
      </c>
      <c r="CN48" s="2" t="s">
        <v>677</v>
      </c>
      <c r="CO48" s="2">
        <v>0</v>
      </c>
      <c r="CP48" s="2">
        <f t="shared" si="31"/>
        <v>102.49000000000001</v>
      </c>
      <c r="CQ48" s="2">
        <f>ROUND((ROUND((AC48*AW48*1),2)*BC48),2)</f>
        <v>4.04</v>
      </c>
      <c r="CR48" s="2">
        <f>(ROUND((ROUND((((ET48*1.2))*AV48*1),2)*BB48),2)+ROUND((ROUND(((AE48-((EU48*1.2)))*AV48*1),2)*BS48),2))</f>
        <v>9.58</v>
      </c>
      <c r="CS48" s="2">
        <f>(ROUND((ROUND((((EU48*1.2))*AV48*1),2)*BS48),2)+ROUND((ROUND(((AE48-((EU48*1.2)))*AV48*1),2)*BS48),2))</f>
        <v>1.46</v>
      </c>
      <c r="CT48" s="2">
        <f t="shared" si="33"/>
        <v>88.87</v>
      </c>
      <c r="CU48" s="2">
        <f t="shared" si="34"/>
        <v>0</v>
      </c>
      <c r="CV48" s="2">
        <f t="shared" si="35"/>
        <v>7.0421999999999993</v>
      </c>
      <c r="CW48" s="2">
        <f t="shared" si="36"/>
        <v>0</v>
      </c>
      <c r="CX48" s="2">
        <f t="shared" si="37"/>
        <v>0</v>
      </c>
      <c r="CY48" s="2">
        <f>(ROUND((((S48+ROUND((ROUND((((EU48*1.2))*AV48*1),2)*BS48),2))*AT48)/100),2)+ROUND(((ROUND((ROUND(((AE48-((EU48*1.2)))*AV48*1),2)*BS48),2)*AT48)/100),2))</f>
        <v>81.3</v>
      </c>
      <c r="CZ48" s="2">
        <f>(ROUND((((S48+ROUND((ROUND((((EU48*1.2))*AV48*1),2)*BS48),2))*AU48)/100),2)+ROUND(((ROUND((ROUND(((AE48-((EU48*1.2)))*AV48*1),2)*BS48),2)*AU48)/100),2))</f>
        <v>41.55</v>
      </c>
      <c r="DA48" s="2"/>
      <c r="DB48" s="2">
        <v>21</v>
      </c>
      <c r="DC48" s="2" t="s">
        <v>3</v>
      </c>
      <c r="DD48" s="2" t="s">
        <v>35</v>
      </c>
      <c r="DE48" s="2" t="s">
        <v>36</v>
      </c>
      <c r="DF48" s="2" t="s">
        <v>36</v>
      </c>
      <c r="DG48" s="2" t="s">
        <v>36</v>
      </c>
      <c r="DH48" s="2" t="s">
        <v>3</v>
      </c>
      <c r="DI48" s="2" t="s">
        <v>36</v>
      </c>
      <c r="DJ48" s="2" t="s">
        <v>36</v>
      </c>
      <c r="DK48" s="2" t="s">
        <v>3</v>
      </c>
      <c r="DL48" s="2" t="s">
        <v>3</v>
      </c>
      <c r="DM48" s="2" t="s">
        <v>3</v>
      </c>
      <c r="DN48" s="2">
        <v>0</v>
      </c>
      <c r="DO48" s="2">
        <v>0</v>
      </c>
      <c r="DP48" s="2">
        <v>1</v>
      </c>
      <c r="DQ48" s="2">
        <v>1</v>
      </c>
      <c r="DR48" s="2"/>
      <c r="DS48" s="2"/>
      <c r="DT48" s="2"/>
      <c r="DU48" s="2">
        <v>1013</v>
      </c>
      <c r="DV48" s="2" t="s">
        <v>23</v>
      </c>
      <c r="DW48" s="2" t="s">
        <v>23</v>
      </c>
      <c r="DX48" s="2">
        <v>1</v>
      </c>
      <c r="DY48" s="2"/>
      <c r="DZ48" s="2" t="s">
        <v>3</v>
      </c>
      <c r="EA48" s="2" t="s">
        <v>3</v>
      </c>
      <c r="EB48" s="2" t="s">
        <v>3</v>
      </c>
      <c r="EC48" s="2" t="s">
        <v>3</v>
      </c>
      <c r="ED48" s="2"/>
      <c r="EE48" s="2">
        <v>85133422</v>
      </c>
      <c r="EF48" s="2">
        <v>40</v>
      </c>
      <c r="EG48" s="2" t="s">
        <v>27</v>
      </c>
      <c r="EH48" s="2">
        <v>0</v>
      </c>
      <c r="EI48" s="2" t="s">
        <v>3</v>
      </c>
      <c r="EJ48" s="2">
        <v>2</v>
      </c>
      <c r="EK48" s="2">
        <v>73</v>
      </c>
      <c r="EL48" s="2" t="s">
        <v>62</v>
      </c>
      <c r="EM48" s="2" t="s">
        <v>63</v>
      </c>
      <c r="EN48" s="2"/>
      <c r="EO48" s="2" t="s">
        <v>37</v>
      </c>
      <c r="EP48" s="2"/>
      <c r="EQ48" s="2">
        <v>0</v>
      </c>
      <c r="ER48" s="2">
        <v>80.819999999999993</v>
      </c>
      <c r="ES48" s="2">
        <v>3.93</v>
      </c>
      <c r="ET48" s="2">
        <v>7.48</v>
      </c>
      <c r="EU48" s="2">
        <v>1.1399999999999999</v>
      </c>
      <c r="EV48" s="2">
        <v>69.41</v>
      </c>
      <c r="EW48" s="2">
        <v>5.5</v>
      </c>
      <c r="EX48" s="2">
        <v>0</v>
      </c>
      <c r="EY48" s="2">
        <v>0</v>
      </c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>
        <v>0</v>
      </c>
      <c r="FR48" s="2">
        <v>0</v>
      </c>
      <c r="FS48" s="2">
        <v>2</v>
      </c>
      <c r="FT48" s="2"/>
      <c r="FU48" s="2"/>
      <c r="FV48" s="2"/>
      <c r="FW48" s="2"/>
      <c r="FX48" s="2">
        <v>90</v>
      </c>
      <c r="FY48" s="2">
        <v>46</v>
      </c>
      <c r="FZ48" s="2"/>
      <c r="GA48" s="2" t="s">
        <v>3</v>
      </c>
      <c r="GB48" s="2"/>
      <c r="GC48" s="2"/>
      <c r="GD48" s="2">
        <v>1</v>
      </c>
      <c r="GE48" s="2"/>
      <c r="GF48" s="2">
        <v>-355409604</v>
      </c>
      <c r="GG48" s="2">
        <v>2</v>
      </c>
      <c r="GH48" s="2">
        <v>1</v>
      </c>
      <c r="GI48" s="2">
        <v>2</v>
      </c>
      <c r="GJ48" s="2">
        <v>0</v>
      </c>
      <c r="GK48" s="2">
        <v>0</v>
      </c>
      <c r="GL48" s="2">
        <f t="shared" si="38"/>
        <v>0</v>
      </c>
      <c r="GM48" s="2">
        <f t="shared" si="39"/>
        <v>225.34</v>
      </c>
      <c r="GN48" s="2">
        <f t="shared" si="40"/>
        <v>0</v>
      </c>
      <c r="GO48" s="2">
        <f t="shared" si="41"/>
        <v>225.34</v>
      </c>
      <c r="GP48" s="2">
        <f t="shared" si="42"/>
        <v>0</v>
      </c>
      <c r="GQ48" s="2"/>
      <c r="GR48" s="2">
        <v>0</v>
      </c>
      <c r="GS48" s="2">
        <v>3</v>
      </c>
      <c r="GT48" s="2">
        <v>0</v>
      </c>
      <c r="GU48" s="2" t="s">
        <v>3</v>
      </c>
      <c r="GV48" s="2">
        <f t="shared" si="43"/>
        <v>0</v>
      </c>
      <c r="GW48" s="2">
        <v>1</v>
      </c>
      <c r="GX48" s="2">
        <f t="shared" si="44"/>
        <v>0</v>
      </c>
      <c r="GY48" s="2"/>
      <c r="GZ48" s="2"/>
      <c r="HA48" s="2">
        <v>0</v>
      </c>
      <c r="HB48" s="2">
        <v>0</v>
      </c>
      <c r="HC48" s="2">
        <f t="shared" si="45"/>
        <v>0</v>
      </c>
      <c r="HD48" s="2"/>
      <c r="HE48" s="2" t="s">
        <v>3</v>
      </c>
      <c r="HF48" s="2" t="s">
        <v>3</v>
      </c>
      <c r="HG48" s="2"/>
      <c r="HH48" s="2"/>
      <c r="HI48" s="2"/>
      <c r="HJ48" s="2"/>
      <c r="HK48" s="2"/>
      <c r="HL48" s="2"/>
      <c r="HM48" s="2" t="s">
        <v>3</v>
      </c>
      <c r="HN48" s="2" t="s">
        <v>3</v>
      </c>
      <c r="HO48" s="2" t="s">
        <v>3</v>
      </c>
      <c r="HP48" s="2" t="s">
        <v>3</v>
      </c>
      <c r="HQ48" s="2" t="s">
        <v>3</v>
      </c>
      <c r="HR48" s="2"/>
      <c r="HS48" s="2">
        <v>0</v>
      </c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>
        <v>0</v>
      </c>
      <c r="IL48" s="2"/>
      <c r="IM48" s="2"/>
      <c r="IN48" s="2"/>
      <c r="IO48" s="2"/>
      <c r="IP48" s="2"/>
      <c r="IQ48" s="2"/>
      <c r="IR48" s="2"/>
      <c r="IS48" s="2"/>
      <c r="IT48" s="2"/>
      <c r="IU48" s="2"/>
    </row>
    <row r="49" spans="1:255" x14ac:dyDescent="0.2">
      <c r="A49" s="3">
        <v>17</v>
      </c>
      <c r="B49" s="3">
        <v>1</v>
      </c>
      <c r="C49" s="3">
        <f>ROW(SmtRes!A104)</f>
        <v>104</v>
      </c>
      <c r="D49" s="3">
        <f>ROW(EtalonRes!A132)</f>
        <v>132</v>
      </c>
      <c r="E49" s="3" t="s">
        <v>92</v>
      </c>
      <c r="F49" s="3" t="s">
        <v>93</v>
      </c>
      <c r="G49" s="3" t="s">
        <v>94</v>
      </c>
      <c r="H49" s="3" t="s">
        <v>23</v>
      </c>
      <c r="I49" s="3">
        <v>1</v>
      </c>
      <c r="J49" s="3">
        <v>0</v>
      </c>
      <c r="K49" s="3">
        <v>1</v>
      </c>
      <c r="O49" s="3">
        <f t="shared" si="21"/>
        <v>5189.49</v>
      </c>
      <c r="P49" s="3">
        <f>ROUND((ROUND((AC49*AW49*I49),2)*BC49),2)</f>
        <v>18.14</v>
      </c>
      <c r="Q49" s="3">
        <f>(ROUND((ROUND((((ET49*1.2))*AV49*I49),2)*BB49),2)+ROUND((ROUND(((AE49-((EU49*1.2)))*AV49*I49),2)*BS49),2))</f>
        <v>163.53</v>
      </c>
      <c r="R49" s="3">
        <f>(ROUND((ROUND((((EU49*1.2))*AV49*I49),2)*BS49),2)+ROUND((ROUND(((AE49-((EU49*1.2)))*AV49*I49),2)*BS49),2))</f>
        <v>82.27</v>
      </c>
      <c r="S49" s="3">
        <f t="shared" si="23"/>
        <v>5007.82</v>
      </c>
      <c r="T49" s="3">
        <f t="shared" si="24"/>
        <v>0</v>
      </c>
      <c r="U49" s="3">
        <f t="shared" si="25"/>
        <v>7.0421999999999993</v>
      </c>
      <c r="V49" s="3">
        <f t="shared" si="26"/>
        <v>0</v>
      </c>
      <c r="W49" s="3">
        <f t="shared" si="27"/>
        <v>0</v>
      </c>
      <c r="X49" s="3">
        <f>(ROUND((((S49+ROUND((ROUND((((EU49*1.2))*AV49*I49),2)*BS49),2))*AT49)/100),2)+ROUND(((ROUND((ROUND(((AE49-((EU49*1.2)))*AV49*I49),2)*BS49),2)*AT49)/100),2))</f>
        <v>4581.08</v>
      </c>
      <c r="Y49" s="3">
        <f>(ROUND((((S49+ROUND((ROUND((((EU49*1.2))*AV49*I49),2)*BS49),2))*AU49)/100),2)+ROUND(((ROUND((ROUND(((AE49-((EU49*1.2)))*AV49*I49),2)*BS49),2)*AU49)/100),2))</f>
        <v>2341.44</v>
      </c>
      <c r="AA49" s="3">
        <v>85739207</v>
      </c>
      <c r="AB49" s="3">
        <f t="shared" si="28"/>
        <v>96.197999999999993</v>
      </c>
      <c r="AC49" s="3">
        <f>ROUND(((ES49*1)),6)</f>
        <v>3.93</v>
      </c>
      <c r="AD49" s="3">
        <f>ROUND(((((ET49*1.2))-((EU49*1.2)))+AE49),6)</f>
        <v>8.9760000000000009</v>
      </c>
      <c r="AE49" s="3">
        <f>ROUND(((EU49*1.2)),6)</f>
        <v>1.3680000000000001</v>
      </c>
      <c r="AF49" s="3">
        <f>ROUND(((EV49*1.2)),6)</f>
        <v>83.292000000000002</v>
      </c>
      <c r="AG49" s="3">
        <f t="shared" si="29"/>
        <v>0</v>
      </c>
      <c r="AH49" s="3">
        <f>((EW49*1.2))</f>
        <v>6.6</v>
      </c>
      <c r="AI49" s="3">
        <f>((EX49*1.2))</f>
        <v>0</v>
      </c>
      <c r="AJ49" s="3">
        <f t="shared" si="30"/>
        <v>0</v>
      </c>
      <c r="AK49" s="3">
        <v>80.819999999999993</v>
      </c>
      <c r="AL49" s="3">
        <v>3.93</v>
      </c>
      <c r="AM49" s="3">
        <v>7.48</v>
      </c>
      <c r="AN49" s="3">
        <v>1.1399999999999999</v>
      </c>
      <c r="AO49" s="3">
        <v>69.41</v>
      </c>
      <c r="AP49" s="3">
        <v>0</v>
      </c>
      <c r="AQ49" s="3">
        <v>5.5</v>
      </c>
      <c r="AR49" s="3">
        <v>0</v>
      </c>
      <c r="AS49" s="3">
        <v>0</v>
      </c>
      <c r="AT49" s="3">
        <v>90</v>
      </c>
      <c r="AU49" s="3">
        <v>46</v>
      </c>
      <c r="AV49" s="3">
        <v>1.0669999999999999</v>
      </c>
      <c r="AW49" s="3">
        <v>1.028</v>
      </c>
      <c r="AZ49" s="3">
        <v>1</v>
      </c>
      <c r="BA49" s="3">
        <v>56.35</v>
      </c>
      <c r="BB49" s="3">
        <v>17.07</v>
      </c>
      <c r="BC49" s="3">
        <v>4.49</v>
      </c>
      <c r="BD49" s="3" t="s">
        <v>3</v>
      </c>
      <c r="BE49" s="3" t="s">
        <v>3</v>
      </c>
      <c r="BF49" s="3" t="s">
        <v>3</v>
      </c>
      <c r="BG49" s="3" t="s">
        <v>3</v>
      </c>
      <c r="BH49" s="3">
        <v>0</v>
      </c>
      <c r="BI49" s="3">
        <v>2</v>
      </c>
      <c r="BJ49" s="3" t="s">
        <v>95</v>
      </c>
      <c r="BM49" s="3">
        <v>73</v>
      </c>
      <c r="BN49" s="3">
        <v>0</v>
      </c>
      <c r="BO49" s="3" t="s">
        <v>93</v>
      </c>
      <c r="BP49" s="3">
        <v>1</v>
      </c>
      <c r="BQ49" s="3">
        <v>40</v>
      </c>
      <c r="BR49" s="3">
        <v>0</v>
      </c>
      <c r="BS49" s="3">
        <v>56.35</v>
      </c>
      <c r="BT49" s="3">
        <v>1</v>
      </c>
      <c r="BU49" s="3">
        <v>1</v>
      </c>
      <c r="BV49" s="3">
        <v>1</v>
      </c>
      <c r="BW49" s="3">
        <v>1</v>
      </c>
      <c r="BX49" s="3">
        <v>1</v>
      </c>
      <c r="BY49" s="3" t="s">
        <v>3</v>
      </c>
      <c r="BZ49" s="3">
        <v>90</v>
      </c>
      <c r="CA49" s="3">
        <v>46</v>
      </c>
      <c r="CB49" s="3" t="s">
        <v>3</v>
      </c>
      <c r="CE49" s="3">
        <v>1566</v>
      </c>
      <c r="CF49" s="3">
        <v>0</v>
      </c>
      <c r="CG49" s="3">
        <v>0</v>
      </c>
      <c r="CM49" s="3">
        <v>0</v>
      </c>
      <c r="CN49" s="3" t="s">
        <v>677</v>
      </c>
      <c r="CO49" s="3">
        <v>0</v>
      </c>
      <c r="CP49" s="3">
        <f t="shared" si="31"/>
        <v>5189.49</v>
      </c>
      <c r="CQ49" s="3">
        <f>ROUND((ROUND((AC49*AW49*1),2)*BC49),2)</f>
        <v>18.14</v>
      </c>
      <c r="CR49" s="3">
        <f>(ROUND((ROUND((((ET49*1.2))*AV49*1),2)*BB49),2)+ROUND((ROUND(((AE49-((EU49*1.2)))*AV49*1),2)*BS49),2))</f>
        <v>163.53</v>
      </c>
      <c r="CS49" s="3">
        <f>(ROUND((ROUND((((EU49*1.2))*AV49*1),2)*BS49),2)+ROUND((ROUND(((AE49-((EU49*1.2)))*AV49*1),2)*BS49),2))</f>
        <v>82.27</v>
      </c>
      <c r="CT49" s="3">
        <f t="shared" si="33"/>
        <v>5007.82</v>
      </c>
      <c r="CU49" s="3">
        <f t="shared" si="34"/>
        <v>0</v>
      </c>
      <c r="CV49" s="3">
        <f t="shared" si="35"/>
        <v>7.0421999999999993</v>
      </c>
      <c r="CW49" s="3">
        <f t="shared" si="36"/>
        <v>0</v>
      </c>
      <c r="CX49" s="3">
        <f t="shared" si="37"/>
        <v>0</v>
      </c>
      <c r="CY49" s="3">
        <f>(ROUND((((S49+ROUND((ROUND((((EU49*1.2))*AV49*1),2)*BS49),2))*AT49)/100),2)+ROUND(((ROUND((ROUND(((AE49-((EU49*1.2)))*AV49*1),2)*BS49),2)*AT49)/100),2))</f>
        <v>4581.08</v>
      </c>
      <c r="CZ49" s="3">
        <f>(ROUND((((S49+ROUND((ROUND((((EU49*1.2))*AV49*1),2)*BS49),2))*AU49)/100),2)+ROUND(((ROUND((ROUND(((AE49-((EU49*1.2)))*AV49*1),2)*BS49),2)*AU49)/100),2))</f>
        <v>2341.44</v>
      </c>
      <c r="DB49" s="3">
        <v>22</v>
      </c>
      <c r="DC49" s="3" t="s">
        <v>3</v>
      </c>
      <c r="DD49" s="3" t="s">
        <v>35</v>
      </c>
      <c r="DE49" s="3" t="s">
        <v>36</v>
      </c>
      <c r="DF49" s="3" t="s">
        <v>36</v>
      </c>
      <c r="DG49" s="3" t="s">
        <v>36</v>
      </c>
      <c r="DH49" s="3" t="s">
        <v>3</v>
      </c>
      <c r="DI49" s="3" t="s">
        <v>36</v>
      </c>
      <c r="DJ49" s="3" t="s">
        <v>36</v>
      </c>
      <c r="DK49" s="3" t="s">
        <v>3</v>
      </c>
      <c r="DL49" s="3" t="s">
        <v>3</v>
      </c>
      <c r="DM49" s="3" t="s">
        <v>3</v>
      </c>
      <c r="DN49" s="3">
        <v>0</v>
      </c>
      <c r="DO49" s="3">
        <v>0</v>
      </c>
      <c r="DP49" s="3">
        <v>1</v>
      </c>
      <c r="DQ49" s="3">
        <v>1</v>
      </c>
      <c r="DU49" s="3">
        <v>1013</v>
      </c>
      <c r="DV49" s="3" t="s">
        <v>23</v>
      </c>
      <c r="DW49" s="3" t="s">
        <v>23</v>
      </c>
      <c r="DX49" s="3">
        <v>1</v>
      </c>
      <c r="DZ49" s="3" t="s">
        <v>3</v>
      </c>
      <c r="EA49" s="3" t="s">
        <v>3</v>
      </c>
      <c r="EB49" s="3" t="s">
        <v>3</v>
      </c>
      <c r="EC49" s="3" t="s">
        <v>3</v>
      </c>
      <c r="EE49" s="3">
        <v>85133422</v>
      </c>
      <c r="EF49" s="3">
        <v>40</v>
      </c>
      <c r="EG49" s="3" t="s">
        <v>27</v>
      </c>
      <c r="EH49" s="3">
        <v>0</v>
      </c>
      <c r="EI49" s="3" t="s">
        <v>3</v>
      </c>
      <c r="EJ49" s="3">
        <v>2</v>
      </c>
      <c r="EK49" s="3">
        <v>73</v>
      </c>
      <c r="EL49" s="3" t="s">
        <v>62</v>
      </c>
      <c r="EM49" s="3" t="s">
        <v>63</v>
      </c>
      <c r="EO49" s="3" t="s">
        <v>37</v>
      </c>
      <c r="EQ49" s="3">
        <v>0</v>
      </c>
      <c r="ER49" s="3">
        <v>80.819999999999993</v>
      </c>
      <c r="ES49" s="3">
        <v>3.93</v>
      </c>
      <c r="ET49" s="3">
        <v>7.48</v>
      </c>
      <c r="EU49" s="3">
        <v>1.1399999999999999</v>
      </c>
      <c r="EV49" s="3">
        <v>69.41</v>
      </c>
      <c r="EW49" s="3">
        <v>5.5</v>
      </c>
      <c r="EX49" s="3">
        <v>0</v>
      </c>
      <c r="EY49" s="3">
        <v>0</v>
      </c>
      <c r="FQ49" s="3">
        <v>0</v>
      </c>
      <c r="FR49" s="3">
        <v>0</v>
      </c>
      <c r="FS49" s="3">
        <v>2</v>
      </c>
      <c r="FX49" s="3">
        <v>90</v>
      </c>
      <c r="FY49" s="3">
        <v>46</v>
      </c>
      <c r="GA49" s="3" t="s">
        <v>3</v>
      </c>
      <c r="GD49" s="3">
        <v>1</v>
      </c>
      <c r="GF49" s="3">
        <v>-355409604</v>
      </c>
      <c r="GG49" s="3">
        <v>2</v>
      </c>
      <c r="GH49" s="3">
        <v>1</v>
      </c>
      <c r="GI49" s="3">
        <v>2</v>
      </c>
      <c r="GJ49" s="3">
        <v>0</v>
      </c>
      <c r="GK49" s="3">
        <v>0</v>
      </c>
      <c r="GL49" s="3">
        <f t="shared" si="38"/>
        <v>0</v>
      </c>
      <c r="GM49" s="3">
        <f t="shared" si="39"/>
        <v>12112.01</v>
      </c>
      <c r="GN49" s="3">
        <f t="shared" si="40"/>
        <v>0</v>
      </c>
      <c r="GO49" s="3">
        <f t="shared" si="41"/>
        <v>12112.01</v>
      </c>
      <c r="GP49" s="3">
        <f t="shared" si="42"/>
        <v>0</v>
      </c>
      <c r="GR49" s="3">
        <v>0</v>
      </c>
      <c r="GS49" s="3">
        <v>3</v>
      </c>
      <c r="GT49" s="3">
        <v>0</v>
      </c>
      <c r="GU49" s="3" t="s">
        <v>3</v>
      </c>
      <c r="GV49" s="3">
        <f t="shared" si="43"/>
        <v>0</v>
      </c>
      <c r="GW49" s="3">
        <v>1</v>
      </c>
      <c r="GX49" s="3">
        <f t="shared" si="44"/>
        <v>0</v>
      </c>
      <c r="HA49" s="3">
        <v>0</v>
      </c>
      <c r="HB49" s="3">
        <v>0</v>
      </c>
      <c r="HC49" s="3">
        <f t="shared" si="45"/>
        <v>0</v>
      </c>
      <c r="HE49" s="3" t="s">
        <v>3</v>
      </c>
      <c r="HF49" s="3" t="s">
        <v>3</v>
      </c>
      <c r="HM49" s="3" t="s">
        <v>3</v>
      </c>
      <c r="HN49" s="3" t="s">
        <v>3</v>
      </c>
      <c r="HO49" s="3" t="s">
        <v>3</v>
      </c>
      <c r="HP49" s="3" t="s">
        <v>3</v>
      </c>
      <c r="HQ49" s="3" t="s">
        <v>3</v>
      </c>
      <c r="HS49" s="3">
        <v>0</v>
      </c>
      <c r="IK49" s="3">
        <v>0</v>
      </c>
    </row>
    <row r="50" spans="1:255" x14ac:dyDescent="0.2">
      <c r="A50" s="2">
        <v>18</v>
      </c>
      <c r="B50" s="2">
        <v>1</v>
      </c>
      <c r="C50" s="2">
        <v>100</v>
      </c>
      <c r="D50" s="2"/>
      <c r="E50" s="2" t="s">
        <v>96</v>
      </c>
      <c r="F50" s="2" t="s">
        <v>97</v>
      </c>
      <c r="G50" s="2" t="s">
        <v>98</v>
      </c>
      <c r="H50" s="2" t="s">
        <v>99</v>
      </c>
      <c r="I50" s="2">
        <f>I48*J50</f>
        <v>1</v>
      </c>
      <c r="J50" s="2">
        <v>1</v>
      </c>
      <c r="K50" s="2">
        <v>1</v>
      </c>
      <c r="L50" s="2"/>
      <c r="M50" s="2"/>
      <c r="N50" s="2"/>
      <c r="O50" s="2">
        <f t="shared" si="21"/>
        <v>8238.9500000000007</v>
      </c>
      <c r="P50" s="2">
        <f>ROUND((ROUND((AC50*I50),2)*BC50),2)</f>
        <v>8238.9500000000007</v>
      </c>
      <c r="Q50" s="2">
        <f>(ROUND((ROUND(((ET50)*AV50*I50),2)*BB50),2)+ROUND((ROUND(((AE50-(EU50))*AV50*I50),2)*BS50),2))</f>
        <v>0</v>
      </c>
      <c r="R50" s="2">
        <f>(ROUND((ROUND(((EU50)*AV50*I50),2)*BS50),2)+ROUND((ROUND(((AE50-(EU50))*AV50*I50),2)*BS50),2))</f>
        <v>0</v>
      </c>
      <c r="S50" s="2">
        <f t="shared" si="23"/>
        <v>0</v>
      </c>
      <c r="T50" s="2">
        <f t="shared" si="24"/>
        <v>0</v>
      </c>
      <c r="U50" s="2">
        <f t="shared" si="25"/>
        <v>0</v>
      </c>
      <c r="V50" s="2">
        <f t="shared" si="26"/>
        <v>0</v>
      </c>
      <c r="W50" s="2">
        <f t="shared" si="27"/>
        <v>0</v>
      </c>
      <c r="X50" s="2">
        <f>(ROUND((((S50+ROUND((ROUND(((EU50)*AV50*I50),2)*BS50),2))*AT50)/100),2)+ROUND(((ROUND((ROUND(((AE50-(EU50))*AV50*I50),2)*BS50),2)*AT50)/100),2))</f>
        <v>0</v>
      </c>
      <c r="Y50" s="2">
        <f>(ROUND((((S50+ROUND((ROUND(((EU50)*AV50*I50),2)*BS50),2))*AU50)/100),2)+ROUND(((ROUND((ROUND(((AE50-(EU50))*AV50*I50),2)*BS50),2)*AU50)/100),2))</f>
        <v>0</v>
      </c>
      <c r="Z50" s="2"/>
      <c r="AA50" s="2">
        <v>85739205</v>
      </c>
      <c r="AB50" s="2">
        <f t="shared" si="28"/>
        <v>8238.9500000000007</v>
      </c>
      <c r="AC50" s="2">
        <f>ROUND((ES50),6)</f>
        <v>8238.9500000000007</v>
      </c>
      <c r="AD50" s="2">
        <f>ROUND((((ET50)-(EU50))+AE50),6)</f>
        <v>0</v>
      </c>
      <c r="AE50" s="2">
        <f>ROUND((EU50),6)</f>
        <v>0</v>
      </c>
      <c r="AF50" s="2">
        <f>ROUND((EV50),6)</f>
        <v>0</v>
      </c>
      <c r="AG50" s="2">
        <f t="shared" si="29"/>
        <v>0</v>
      </c>
      <c r="AH50" s="2">
        <f>(EW50)</f>
        <v>0</v>
      </c>
      <c r="AI50" s="2">
        <f>(EX50)</f>
        <v>0</v>
      </c>
      <c r="AJ50" s="2">
        <f t="shared" si="30"/>
        <v>0</v>
      </c>
      <c r="AK50" s="2">
        <v>8238.9500000000007</v>
      </c>
      <c r="AL50" s="2">
        <v>8238.9500000000007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1</v>
      </c>
      <c r="AW50" s="2">
        <v>1</v>
      </c>
      <c r="AX50" s="2"/>
      <c r="AY50" s="2"/>
      <c r="AZ50" s="2">
        <v>1</v>
      </c>
      <c r="BA50" s="2">
        <v>1</v>
      </c>
      <c r="BB50" s="2">
        <v>1</v>
      </c>
      <c r="BC50" s="2">
        <v>1</v>
      </c>
      <c r="BD50" s="2" t="s">
        <v>3</v>
      </c>
      <c r="BE50" s="2" t="s">
        <v>3</v>
      </c>
      <c r="BF50" s="2" t="s">
        <v>3</v>
      </c>
      <c r="BG50" s="2" t="s">
        <v>3</v>
      </c>
      <c r="BH50" s="2">
        <v>3</v>
      </c>
      <c r="BI50" s="2">
        <v>3</v>
      </c>
      <c r="BJ50" s="2" t="s">
        <v>3</v>
      </c>
      <c r="BK50" s="2"/>
      <c r="BL50" s="2"/>
      <c r="BM50" s="2">
        <v>746</v>
      </c>
      <c r="BN50" s="2">
        <v>0</v>
      </c>
      <c r="BO50" s="2" t="s">
        <v>3</v>
      </c>
      <c r="BP50" s="2">
        <v>0</v>
      </c>
      <c r="BQ50" s="2">
        <v>130</v>
      </c>
      <c r="BR50" s="2">
        <v>0</v>
      </c>
      <c r="BS50" s="2">
        <v>1</v>
      </c>
      <c r="BT50" s="2">
        <v>1</v>
      </c>
      <c r="BU50" s="2">
        <v>1</v>
      </c>
      <c r="BV50" s="2">
        <v>1</v>
      </c>
      <c r="BW50" s="2">
        <v>1</v>
      </c>
      <c r="BX50" s="2">
        <v>1</v>
      </c>
      <c r="BY50" s="2" t="s">
        <v>3</v>
      </c>
      <c r="BZ50" s="2">
        <v>90</v>
      </c>
      <c r="CA50" s="2">
        <v>46</v>
      </c>
      <c r="CB50" s="2" t="s">
        <v>3</v>
      </c>
      <c r="CC50" s="2"/>
      <c r="CD50" s="2"/>
      <c r="CE50" s="2">
        <v>1566</v>
      </c>
      <c r="CF50" s="2">
        <v>0</v>
      </c>
      <c r="CG50" s="2">
        <v>0</v>
      </c>
      <c r="CH50" s="2"/>
      <c r="CI50" s="2"/>
      <c r="CJ50" s="2"/>
      <c r="CK50" s="2"/>
      <c r="CL50" s="2"/>
      <c r="CM50" s="2">
        <v>0</v>
      </c>
      <c r="CN50" s="2" t="s">
        <v>679</v>
      </c>
      <c r="CO50" s="2">
        <v>0</v>
      </c>
      <c r="CP50" s="2">
        <f t="shared" si="31"/>
        <v>8238.9500000000007</v>
      </c>
      <c r="CQ50" s="2">
        <f>ROUND((ROUND((AC50*1),2)*BC50),2)</f>
        <v>8238.9500000000007</v>
      </c>
      <c r="CR50" s="2">
        <f>(ROUND((ROUND(((ET50)*AV50*1),2)*BB50),2)+ROUND((ROUND(((AE50-(EU50))*AV50*1),2)*BS50),2))</f>
        <v>0</v>
      </c>
      <c r="CS50" s="2">
        <f>(ROUND((ROUND(((EU50)*AV50*1),2)*BS50),2)+ROUND((ROUND(((AE50-(EU50))*AV50*1),2)*BS50),2))</f>
        <v>0</v>
      </c>
      <c r="CT50" s="2">
        <f t="shared" si="33"/>
        <v>0</v>
      </c>
      <c r="CU50" s="2">
        <f t="shared" si="34"/>
        <v>0</v>
      </c>
      <c r="CV50" s="2">
        <f t="shared" si="35"/>
        <v>0</v>
      </c>
      <c r="CW50" s="2">
        <f t="shared" si="36"/>
        <v>0</v>
      </c>
      <c r="CX50" s="2">
        <f t="shared" si="37"/>
        <v>0</v>
      </c>
      <c r="CY50" s="2">
        <f>(ROUND((((S50+ROUND((ROUND(((EU50)*AV50*1),2)*BS50),2))*AT50)/100),2)+ROUND(((ROUND((ROUND(((AE50-(EU50))*AV50*1),2)*BS50),2)*AT50)/100),2))</f>
        <v>0</v>
      </c>
      <c r="CZ50" s="2">
        <f>(ROUND((((S50+ROUND((ROUND(((EU50)*AV50*1),2)*BS50),2))*AU50)/100),2)+ROUND(((ROUND((ROUND(((AE50-(EU50))*AV50*1),2)*BS50),2)*AU50)/100),2))</f>
        <v>0</v>
      </c>
      <c r="DA50" s="2"/>
      <c r="DB50" s="2"/>
      <c r="DC50" s="2" t="s">
        <v>3</v>
      </c>
      <c r="DD50" s="2" t="s">
        <v>3</v>
      </c>
      <c r="DE50" s="2" t="s">
        <v>3</v>
      </c>
      <c r="DF50" s="2" t="s">
        <v>3</v>
      </c>
      <c r="DG50" s="2" t="s">
        <v>3</v>
      </c>
      <c r="DH50" s="2" t="s">
        <v>3</v>
      </c>
      <c r="DI50" s="2" t="s">
        <v>3</v>
      </c>
      <c r="DJ50" s="2" t="s">
        <v>3</v>
      </c>
      <c r="DK50" s="2" t="s">
        <v>3</v>
      </c>
      <c r="DL50" s="2" t="s">
        <v>3</v>
      </c>
      <c r="DM50" s="2" t="s">
        <v>3</v>
      </c>
      <c r="DN50" s="2">
        <v>0</v>
      </c>
      <c r="DO50" s="2">
        <v>0</v>
      </c>
      <c r="DP50" s="2">
        <v>1</v>
      </c>
      <c r="DQ50" s="2">
        <v>1</v>
      </c>
      <c r="DR50" s="2"/>
      <c r="DS50" s="2"/>
      <c r="DT50" s="2"/>
      <c r="DU50" s="2">
        <v>1010</v>
      </c>
      <c r="DV50" s="2" t="s">
        <v>99</v>
      </c>
      <c r="DW50" s="2" t="s">
        <v>99</v>
      </c>
      <c r="DX50" s="2">
        <v>1</v>
      </c>
      <c r="DY50" s="2"/>
      <c r="DZ50" s="2" t="s">
        <v>3</v>
      </c>
      <c r="EA50" s="2" t="s">
        <v>3</v>
      </c>
      <c r="EB50" s="2" t="s">
        <v>3</v>
      </c>
      <c r="EC50" s="2" t="s">
        <v>3</v>
      </c>
      <c r="ED50" s="2"/>
      <c r="EE50" s="2">
        <v>85133523</v>
      </c>
      <c r="EF50" s="2">
        <v>130</v>
      </c>
      <c r="EG50" s="2" t="s">
        <v>86</v>
      </c>
      <c r="EH50" s="2">
        <v>0</v>
      </c>
      <c r="EI50" s="2" t="s">
        <v>3</v>
      </c>
      <c r="EJ50" s="2">
        <v>3</v>
      </c>
      <c r="EK50" s="2">
        <v>746</v>
      </c>
      <c r="EL50" s="2" t="s">
        <v>87</v>
      </c>
      <c r="EM50" s="2" t="s">
        <v>88</v>
      </c>
      <c r="EN50" s="2"/>
      <c r="EO50" s="2" t="s">
        <v>37</v>
      </c>
      <c r="EP50" s="2"/>
      <c r="EQ50" s="2">
        <v>2097152</v>
      </c>
      <c r="ER50" s="2">
        <v>0</v>
      </c>
      <c r="ES50" s="2">
        <v>8238.9500000000007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>
        <v>0</v>
      </c>
      <c r="FR50" s="2">
        <f>P50</f>
        <v>8238.9500000000007</v>
      </c>
      <c r="FS50" s="2">
        <v>0</v>
      </c>
      <c r="FT50" s="2"/>
      <c r="FU50" s="2"/>
      <c r="FV50" s="2"/>
      <c r="FW50" s="2"/>
      <c r="FX50" s="2">
        <v>90</v>
      </c>
      <c r="FY50" s="2">
        <v>46</v>
      </c>
      <c r="FZ50" s="2"/>
      <c r="GA50" s="2" t="s">
        <v>100</v>
      </c>
      <c r="GB50" s="2"/>
      <c r="GC50" s="2"/>
      <c r="GD50" s="2">
        <v>1</v>
      </c>
      <c r="GE50" s="2"/>
      <c r="GF50" s="2">
        <v>-255262661</v>
      </c>
      <c r="GG50" s="2">
        <v>2</v>
      </c>
      <c r="GH50" s="2">
        <v>4</v>
      </c>
      <c r="GI50" s="2">
        <v>-2</v>
      </c>
      <c r="GJ50" s="2">
        <v>0</v>
      </c>
      <c r="GK50" s="2">
        <v>0</v>
      </c>
      <c r="GL50" s="2">
        <f t="shared" si="38"/>
        <v>0</v>
      </c>
      <c r="GM50" s="2">
        <f t="shared" si="39"/>
        <v>8238.9500000000007</v>
      </c>
      <c r="GN50" s="2">
        <f t="shared" si="40"/>
        <v>0</v>
      </c>
      <c r="GO50" s="2">
        <f t="shared" si="41"/>
        <v>0</v>
      </c>
      <c r="GP50" s="2">
        <f t="shared" si="42"/>
        <v>0</v>
      </c>
      <c r="GQ50" s="2"/>
      <c r="GR50" s="2">
        <v>0</v>
      </c>
      <c r="GS50" s="2">
        <v>2</v>
      </c>
      <c r="GT50" s="2">
        <v>0</v>
      </c>
      <c r="GU50" s="2" t="s">
        <v>3</v>
      </c>
      <c r="GV50" s="2">
        <f t="shared" si="43"/>
        <v>0</v>
      </c>
      <c r="GW50" s="2">
        <v>1</v>
      </c>
      <c r="GX50" s="2">
        <f t="shared" si="44"/>
        <v>0</v>
      </c>
      <c r="GY50" s="2"/>
      <c r="GZ50" s="2"/>
      <c r="HA50" s="2">
        <v>0</v>
      </c>
      <c r="HB50" s="2">
        <v>0</v>
      </c>
      <c r="HC50" s="2">
        <f t="shared" si="45"/>
        <v>0</v>
      </c>
      <c r="HD50" s="2"/>
      <c r="HE50" s="2" t="s">
        <v>38</v>
      </c>
      <c r="HF50" s="2" t="s">
        <v>91</v>
      </c>
      <c r="HG50" s="2"/>
      <c r="HH50" s="2"/>
      <c r="HI50" s="2"/>
      <c r="HJ50" s="2"/>
      <c r="HK50" s="2"/>
      <c r="HL50" s="2"/>
      <c r="HM50" s="2" t="s">
        <v>35</v>
      </c>
      <c r="HN50" s="2" t="s">
        <v>3</v>
      </c>
      <c r="HO50" s="2" t="s">
        <v>3</v>
      </c>
      <c r="HP50" s="2" t="s">
        <v>3</v>
      </c>
      <c r="HQ50" s="2" t="s">
        <v>3</v>
      </c>
      <c r="HR50" s="2"/>
      <c r="HS50" s="2">
        <v>0</v>
      </c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>
        <v>0</v>
      </c>
      <c r="IL50" s="2"/>
      <c r="IM50" s="2"/>
      <c r="IN50" s="2"/>
      <c r="IO50" s="2"/>
      <c r="IP50" s="2"/>
      <c r="IQ50" s="2"/>
      <c r="IR50" s="2"/>
      <c r="IS50" s="2"/>
      <c r="IT50" s="2"/>
      <c r="IU50" s="2"/>
    </row>
    <row r="51" spans="1:255" x14ac:dyDescent="0.2">
      <c r="A51" s="3">
        <v>18</v>
      </c>
      <c r="B51" s="3">
        <v>1</v>
      </c>
      <c r="C51" s="3">
        <v>104</v>
      </c>
      <c r="E51" s="3" t="s">
        <v>96</v>
      </c>
      <c r="F51" s="3" t="s">
        <v>97</v>
      </c>
      <c r="G51" s="3" t="s">
        <v>98</v>
      </c>
      <c r="H51" s="3" t="s">
        <v>99</v>
      </c>
      <c r="I51" s="3">
        <f>I49*J51</f>
        <v>1</v>
      </c>
      <c r="J51" s="3">
        <v>1</v>
      </c>
      <c r="K51" s="3">
        <v>1</v>
      </c>
      <c r="O51" s="3">
        <f t="shared" si="21"/>
        <v>62368.85</v>
      </c>
      <c r="P51" s="3">
        <f>ROUND((ROUND((AC51*I51),2)*BC51),2)</f>
        <v>62368.85</v>
      </c>
      <c r="Q51" s="3">
        <f>(ROUND((ROUND(((ET51)*AV51*I51),2)*BB51),2)+ROUND((ROUND(((AE51-(EU51))*AV51*I51),2)*BS51),2))</f>
        <v>0</v>
      </c>
      <c r="R51" s="3">
        <f>(ROUND((ROUND(((EU51)*AV51*I51),2)*BS51),2)+ROUND((ROUND(((AE51-(EU51))*AV51*I51),2)*BS51),2))</f>
        <v>0</v>
      </c>
      <c r="S51" s="3">
        <f t="shared" si="23"/>
        <v>0</v>
      </c>
      <c r="T51" s="3">
        <f t="shared" si="24"/>
        <v>0</v>
      </c>
      <c r="U51" s="3">
        <f t="shared" si="25"/>
        <v>0</v>
      </c>
      <c r="V51" s="3">
        <f t="shared" si="26"/>
        <v>0</v>
      </c>
      <c r="W51" s="3">
        <f t="shared" si="27"/>
        <v>0</v>
      </c>
      <c r="X51" s="3">
        <f>(ROUND((((S51+ROUND((ROUND(((EU51)*AV51*I51),2)*BS51),2))*AT51)/100),2)+ROUND(((ROUND((ROUND(((AE51-(EU51))*AV51*I51),2)*BS51),2)*AT51)/100),2))</f>
        <v>0</v>
      </c>
      <c r="Y51" s="3">
        <f>(ROUND((((S51+ROUND((ROUND(((EU51)*AV51*I51),2)*BS51),2))*AU51)/100),2)+ROUND(((ROUND((ROUND(((AE51-(EU51))*AV51*I51),2)*BS51),2)*AU51)/100),2))</f>
        <v>0</v>
      </c>
      <c r="AA51" s="3">
        <v>85739207</v>
      </c>
      <c r="AB51" s="3">
        <f t="shared" si="28"/>
        <v>8238.9500000000007</v>
      </c>
      <c r="AC51" s="3">
        <f>ROUND((ES51),6)</f>
        <v>8238.9500000000007</v>
      </c>
      <c r="AD51" s="3">
        <f>ROUND((((ET51)-(EU51))+AE51),6)</f>
        <v>0</v>
      </c>
      <c r="AE51" s="3">
        <f>ROUND((EU51),6)</f>
        <v>0</v>
      </c>
      <c r="AF51" s="3">
        <f>ROUND((EV51),6)</f>
        <v>0</v>
      </c>
      <c r="AG51" s="3">
        <f t="shared" si="29"/>
        <v>0</v>
      </c>
      <c r="AH51" s="3">
        <f>(EW51)</f>
        <v>0</v>
      </c>
      <c r="AI51" s="3">
        <f>(EX51)</f>
        <v>0</v>
      </c>
      <c r="AJ51" s="3">
        <f t="shared" si="30"/>
        <v>0</v>
      </c>
      <c r="AK51" s="3">
        <v>8238.9500000000007</v>
      </c>
      <c r="AL51" s="3">
        <v>8238.9500000000007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1</v>
      </c>
      <c r="AW51" s="3">
        <v>1</v>
      </c>
      <c r="AZ51" s="3">
        <v>1</v>
      </c>
      <c r="BA51" s="3">
        <v>1</v>
      </c>
      <c r="BB51" s="3">
        <v>1</v>
      </c>
      <c r="BC51" s="3">
        <v>7.57</v>
      </c>
      <c r="BD51" s="3" t="s">
        <v>3</v>
      </c>
      <c r="BE51" s="3" t="s">
        <v>3</v>
      </c>
      <c r="BF51" s="3" t="s">
        <v>3</v>
      </c>
      <c r="BG51" s="3" t="s">
        <v>3</v>
      </c>
      <c r="BH51" s="3">
        <v>3</v>
      </c>
      <c r="BI51" s="3">
        <v>3</v>
      </c>
      <c r="BJ51" s="3" t="s">
        <v>3</v>
      </c>
      <c r="BM51" s="3">
        <v>746</v>
      </c>
      <c r="BN51" s="3">
        <v>0</v>
      </c>
      <c r="BO51" s="3" t="s">
        <v>3</v>
      </c>
      <c r="BP51" s="3">
        <v>0</v>
      </c>
      <c r="BQ51" s="3">
        <v>130</v>
      </c>
      <c r="BR51" s="3">
        <v>0</v>
      </c>
      <c r="BS51" s="3">
        <v>1</v>
      </c>
      <c r="BT51" s="3">
        <v>1</v>
      </c>
      <c r="BU51" s="3">
        <v>1</v>
      </c>
      <c r="BV51" s="3">
        <v>1</v>
      </c>
      <c r="BW51" s="3">
        <v>1</v>
      </c>
      <c r="BX51" s="3">
        <v>1</v>
      </c>
      <c r="BY51" s="3" t="s">
        <v>3</v>
      </c>
      <c r="BZ51" s="3">
        <v>90</v>
      </c>
      <c r="CA51" s="3">
        <v>46</v>
      </c>
      <c r="CB51" s="3" t="s">
        <v>3</v>
      </c>
      <c r="CE51" s="3">
        <v>1566</v>
      </c>
      <c r="CF51" s="3">
        <v>0</v>
      </c>
      <c r="CG51" s="3">
        <v>0</v>
      </c>
      <c r="CM51" s="3">
        <v>0</v>
      </c>
      <c r="CN51" s="3" t="s">
        <v>679</v>
      </c>
      <c r="CO51" s="3">
        <v>0</v>
      </c>
      <c r="CP51" s="3">
        <f t="shared" si="31"/>
        <v>62368.85</v>
      </c>
      <c r="CQ51" s="3">
        <f>ROUND((ROUND((AC51*1),2)*BC51),2)</f>
        <v>62368.85</v>
      </c>
      <c r="CR51" s="3">
        <f>(ROUND((ROUND(((ET51)*AV51*1),2)*BB51),2)+ROUND((ROUND(((AE51-(EU51))*AV51*1),2)*BS51),2))</f>
        <v>0</v>
      </c>
      <c r="CS51" s="3">
        <f>(ROUND((ROUND(((EU51)*AV51*1),2)*BS51),2)+ROUND((ROUND(((AE51-(EU51))*AV51*1),2)*BS51),2))</f>
        <v>0</v>
      </c>
      <c r="CT51" s="3">
        <f t="shared" si="33"/>
        <v>0</v>
      </c>
      <c r="CU51" s="3">
        <f t="shared" si="34"/>
        <v>0</v>
      </c>
      <c r="CV51" s="3">
        <f t="shared" si="35"/>
        <v>0</v>
      </c>
      <c r="CW51" s="3">
        <f t="shared" si="36"/>
        <v>0</v>
      </c>
      <c r="CX51" s="3">
        <f t="shared" si="37"/>
        <v>0</v>
      </c>
      <c r="CY51" s="3">
        <f>(ROUND((((S51+ROUND((ROUND(((EU51)*AV51*1),2)*BS51),2))*AT51)/100),2)+ROUND(((ROUND((ROUND(((AE51-(EU51))*AV51*1),2)*BS51),2)*AT51)/100),2))</f>
        <v>0</v>
      </c>
      <c r="CZ51" s="3">
        <f>(ROUND((((S51+ROUND((ROUND(((EU51)*AV51*1),2)*BS51),2))*AU51)/100),2)+ROUND(((ROUND((ROUND(((AE51-(EU51))*AV51*1),2)*BS51),2)*AU51)/100),2))</f>
        <v>0</v>
      </c>
      <c r="DC51" s="3" t="s">
        <v>3</v>
      </c>
      <c r="DD51" s="3" t="s">
        <v>3</v>
      </c>
      <c r="DE51" s="3" t="s">
        <v>3</v>
      </c>
      <c r="DF51" s="3" t="s">
        <v>3</v>
      </c>
      <c r="DG51" s="3" t="s">
        <v>3</v>
      </c>
      <c r="DH51" s="3" t="s">
        <v>3</v>
      </c>
      <c r="DI51" s="3" t="s">
        <v>3</v>
      </c>
      <c r="DJ51" s="3" t="s">
        <v>3</v>
      </c>
      <c r="DK51" s="3" t="s">
        <v>3</v>
      </c>
      <c r="DL51" s="3" t="s">
        <v>3</v>
      </c>
      <c r="DM51" s="3" t="s">
        <v>3</v>
      </c>
      <c r="DN51" s="3">
        <v>0</v>
      </c>
      <c r="DO51" s="3">
        <v>0</v>
      </c>
      <c r="DP51" s="3">
        <v>1</v>
      </c>
      <c r="DQ51" s="3">
        <v>1</v>
      </c>
      <c r="DU51" s="3">
        <v>1010</v>
      </c>
      <c r="DV51" s="3" t="s">
        <v>99</v>
      </c>
      <c r="DW51" s="3" t="s">
        <v>99</v>
      </c>
      <c r="DX51" s="3">
        <v>1</v>
      </c>
      <c r="DZ51" s="3" t="s">
        <v>3</v>
      </c>
      <c r="EA51" s="3" t="s">
        <v>3</v>
      </c>
      <c r="EB51" s="3" t="s">
        <v>3</v>
      </c>
      <c r="EC51" s="3" t="s">
        <v>3</v>
      </c>
      <c r="EE51" s="3">
        <v>85133523</v>
      </c>
      <c r="EF51" s="3">
        <v>130</v>
      </c>
      <c r="EG51" s="3" t="s">
        <v>86</v>
      </c>
      <c r="EH51" s="3">
        <v>0</v>
      </c>
      <c r="EI51" s="3" t="s">
        <v>3</v>
      </c>
      <c r="EJ51" s="3">
        <v>3</v>
      </c>
      <c r="EK51" s="3">
        <v>746</v>
      </c>
      <c r="EL51" s="3" t="s">
        <v>87</v>
      </c>
      <c r="EM51" s="3" t="s">
        <v>88</v>
      </c>
      <c r="EO51" s="3" t="s">
        <v>37</v>
      </c>
      <c r="EQ51" s="3">
        <v>2097152</v>
      </c>
      <c r="ER51" s="3">
        <v>8238.9500000000007</v>
      </c>
      <c r="ES51" s="3">
        <v>8238.9500000000007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Z51" s="3">
        <v>5</v>
      </c>
      <c r="FC51" s="3">
        <v>1</v>
      </c>
      <c r="FD51" s="3">
        <v>18</v>
      </c>
      <c r="FF51" s="3">
        <v>72997.8</v>
      </c>
      <c r="FQ51" s="3">
        <v>0</v>
      </c>
      <c r="FR51" s="3">
        <f>P51</f>
        <v>62368.85</v>
      </c>
      <c r="FS51" s="3">
        <v>0</v>
      </c>
      <c r="FX51" s="3">
        <v>90</v>
      </c>
      <c r="FY51" s="3">
        <v>46</v>
      </c>
      <c r="GA51" s="3" t="s">
        <v>100</v>
      </c>
      <c r="GD51" s="3">
        <v>1</v>
      </c>
      <c r="GF51" s="3">
        <v>-255262661</v>
      </c>
      <c r="GG51" s="3">
        <v>2</v>
      </c>
      <c r="GH51" s="3">
        <v>3</v>
      </c>
      <c r="GI51" s="3">
        <v>5</v>
      </c>
      <c r="GJ51" s="3">
        <v>0</v>
      </c>
      <c r="GK51" s="3">
        <v>0</v>
      </c>
      <c r="GL51" s="3">
        <f t="shared" si="38"/>
        <v>0</v>
      </c>
      <c r="GM51" s="3">
        <f t="shared" si="39"/>
        <v>62368.85</v>
      </c>
      <c r="GN51" s="3">
        <f t="shared" si="40"/>
        <v>0</v>
      </c>
      <c r="GO51" s="3">
        <f t="shared" si="41"/>
        <v>0</v>
      </c>
      <c r="GP51" s="3">
        <f t="shared" si="42"/>
        <v>0</v>
      </c>
      <c r="GR51" s="3">
        <v>1</v>
      </c>
      <c r="GS51" s="3">
        <v>1</v>
      </c>
      <c r="GT51" s="3">
        <v>0</v>
      </c>
      <c r="GU51" s="3" t="s">
        <v>3</v>
      </c>
      <c r="GV51" s="3">
        <f t="shared" si="43"/>
        <v>0</v>
      </c>
      <c r="GW51" s="3">
        <v>1</v>
      </c>
      <c r="GX51" s="3">
        <f t="shared" si="44"/>
        <v>0</v>
      </c>
      <c r="HA51" s="3">
        <v>0</v>
      </c>
      <c r="HB51" s="3">
        <v>0</v>
      </c>
      <c r="HC51" s="3">
        <f t="shared" si="45"/>
        <v>0</v>
      </c>
      <c r="HE51" s="3" t="s">
        <v>38</v>
      </c>
      <c r="HF51" s="3" t="s">
        <v>91</v>
      </c>
      <c r="HM51" s="3" t="s">
        <v>35</v>
      </c>
      <c r="HN51" s="3" t="s">
        <v>3</v>
      </c>
      <c r="HO51" s="3" t="s">
        <v>3</v>
      </c>
      <c r="HP51" s="3" t="s">
        <v>3</v>
      </c>
      <c r="HQ51" s="3" t="s">
        <v>3</v>
      </c>
      <c r="HS51" s="3">
        <v>0</v>
      </c>
      <c r="IK51" s="3">
        <v>0</v>
      </c>
    </row>
    <row r="52" spans="1:255" x14ac:dyDescent="0.2">
      <c r="A52" s="2">
        <v>17</v>
      </c>
      <c r="B52" s="2">
        <v>1</v>
      </c>
      <c r="C52" s="2">
        <f>ROW(SmtRes!A108)</f>
        <v>108</v>
      </c>
      <c r="D52" s="2">
        <f>ROW(EtalonRes!A137)</f>
        <v>137</v>
      </c>
      <c r="E52" s="2" t="s">
        <v>101</v>
      </c>
      <c r="F52" s="2" t="s">
        <v>102</v>
      </c>
      <c r="G52" s="2" t="s">
        <v>103</v>
      </c>
      <c r="H52" s="2" t="s">
        <v>23</v>
      </c>
      <c r="I52" s="2">
        <f>ROUND(9,9)</f>
        <v>9</v>
      </c>
      <c r="J52" s="2">
        <v>0</v>
      </c>
      <c r="K52" s="2">
        <f>ROUND(9,9)</f>
        <v>9</v>
      </c>
      <c r="L52" s="2"/>
      <c r="M52" s="2"/>
      <c r="N52" s="2"/>
      <c r="O52" s="2">
        <f t="shared" si="21"/>
        <v>661.28</v>
      </c>
      <c r="P52" s="2">
        <f t="shared" ref="P52:P83" si="60">ROUND((ROUND((AC52*AW52*I52),2)*BC52),2)</f>
        <v>36.36</v>
      </c>
      <c r="Q52" s="2">
        <f>(ROUND((ROUND((((ET52*1.2))*AV52*I52),2)*BB52),2)+ROUND((ROUND(((AE52-((EU52*1.2)))*AV52*I52),2)*BS52),2))</f>
        <v>28.69</v>
      </c>
      <c r="R52" s="2">
        <f>(ROUND((ROUND((((EU52*1.2))*AV52*I52),2)*BS52),2)+ROUND((ROUND(((AE52-((EU52*1.2)))*AV52*I52),2)*BS52),2))</f>
        <v>4.38</v>
      </c>
      <c r="S52" s="2">
        <f t="shared" si="23"/>
        <v>596.23</v>
      </c>
      <c r="T52" s="2">
        <f t="shared" si="24"/>
        <v>0</v>
      </c>
      <c r="U52" s="2">
        <f t="shared" si="25"/>
        <v>47.246759999999988</v>
      </c>
      <c r="V52" s="2">
        <f t="shared" si="26"/>
        <v>0</v>
      </c>
      <c r="W52" s="2">
        <f t="shared" si="27"/>
        <v>0</v>
      </c>
      <c r="X52" s="2">
        <f>(ROUND((((S52+ROUND((ROUND((((EU52*1.2))*AV52*I52),2)*BS52),2))*AT52)/100),2)+ROUND(((ROUND((ROUND(((AE52-((EU52*1.2)))*AV52*I52),2)*BS52),2)*AT52)/100),2))</f>
        <v>540.54999999999995</v>
      </c>
      <c r="Y52" s="2">
        <f>(ROUND((((S52+ROUND((ROUND((((EU52*1.2))*AV52*I52),2)*BS52),2))*AU52)/100),2)+ROUND(((ROUND((ROUND(((AE52-((EU52*1.2)))*AV52*I52),2)*BS52),2)*AU52)/100),2))</f>
        <v>276.27999999999997</v>
      </c>
      <c r="Z52" s="2"/>
      <c r="AA52" s="2">
        <v>85739205</v>
      </c>
      <c r="AB52" s="2">
        <f t="shared" si="28"/>
        <v>69.006</v>
      </c>
      <c r="AC52" s="2">
        <f>ROUND(((ES52*1)),6)</f>
        <v>3.93</v>
      </c>
      <c r="AD52" s="2">
        <f>ROUND(((((ET52*1.2))-((EU52*1.2)))+AE52),6)</f>
        <v>2.988</v>
      </c>
      <c r="AE52" s="2">
        <f>ROUND(((EU52*1.2)),6)</f>
        <v>0.45600000000000002</v>
      </c>
      <c r="AF52" s="2">
        <f>ROUND(((EV52*1.2)),6)</f>
        <v>62.088000000000001</v>
      </c>
      <c r="AG52" s="2">
        <f t="shared" si="29"/>
        <v>0</v>
      </c>
      <c r="AH52" s="2">
        <f>((EW52*1.2))</f>
        <v>4.919999999999999</v>
      </c>
      <c r="AI52" s="2">
        <f>((EX52*1.2))</f>
        <v>0</v>
      </c>
      <c r="AJ52" s="2">
        <f t="shared" si="30"/>
        <v>0</v>
      </c>
      <c r="AK52" s="2">
        <v>58.16</v>
      </c>
      <c r="AL52" s="2">
        <v>3.93</v>
      </c>
      <c r="AM52" s="2">
        <v>2.4900000000000002</v>
      </c>
      <c r="AN52" s="2">
        <v>0.38</v>
      </c>
      <c r="AO52" s="2">
        <v>51.74</v>
      </c>
      <c r="AP52" s="2">
        <v>0</v>
      </c>
      <c r="AQ52" s="2">
        <v>4.0999999999999996</v>
      </c>
      <c r="AR52" s="2">
        <v>0</v>
      </c>
      <c r="AS52" s="2">
        <v>0</v>
      </c>
      <c r="AT52" s="2">
        <v>90</v>
      </c>
      <c r="AU52" s="2">
        <v>46</v>
      </c>
      <c r="AV52" s="2">
        <v>1.0669999999999999</v>
      </c>
      <c r="AW52" s="2">
        <v>1.028</v>
      </c>
      <c r="AX52" s="2"/>
      <c r="AY52" s="2"/>
      <c r="AZ52" s="2">
        <v>1</v>
      </c>
      <c r="BA52" s="2">
        <v>1</v>
      </c>
      <c r="BB52" s="2">
        <v>1</v>
      </c>
      <c r="BC52" s="2">
        <v>1</v>
      </c>
      <c r="BD52" s="2" t="s">
        <v>3</v>
      </c>
      <c r="BE52" s="2" t="s">
        <v>3</v>
      </c>
      <c r="BF52" s="2" t="s">
        <v>3</v>
      </c>
      <c r="BG52" s="2" t="s">
        <v>3</v>
      </c>
      <c r="BH52" s="2">
        <v>0</v>
      </c>
      <c r="BI52" s="2">
        <v>2</v>
      </c>
      <c r="BJ52" s="2" t="s">
        <v>104</v>
      </c>
      <c r="BK52" s="2"/>
      <c r="BL52" s="2"/>
      <c r="BM52" s="2">
        <v>73</v>
      </c>
      <c r="BN52" s="2">
        <v>0</v>
      </c>
      <c r="BO52" s="2" t="s">
        <v>102</v>
      </c>
      <c r="BP52" s="2">
        <v>1</v>
      </c>
      <c r="BQ52" s="2">
        <v>40</v>
      </c>
      <c r="BR52" s="2">
        <v>0</v>
      </c>
      <c r="BS52" s="2">
        <v>1</v>
      </c>
      <c r="BT52" s="2">
        <v>1</v>
      </c>
      <c r="BU52" s="2">
        <v>1</v>
      </c>
      <c r="BV52" s="2">
        <v>1</v>
      </c>
      <c r="BW52" s="2">
        <v>1</v>
      </c>
      <c r="BX52" s="2">
        <v>1</v>
      </c>
      <c r="BY52" s="2" t="s">
        <v>3</v>
      </c>
      <c r="BZ52" s="2">
        <v>90</v>
      </c>
      <c r="CA52" s="2">
        <v>46</v>
      </c>
      <c r="CB52" s="2" t="s">
        <v>3</v>
      </c>
      <c r="CC52" s="2"/>
      <c r="CD52" s="2"/>
      <c r="CE52" s="2">
        <v>1566</v>
      </c>
      <c r="CF52" s="2">
        <v>0</v>
      </c>
      <c r="CG52" s="2">
        <v>0</v>
      </c>
      <c r="CH52" s="2"/>
      <c r="CI52" s="2"/>
      <c r="CJ52" s="2"/>
      <c r="CK52" s="2"/>
      <c r="CL52" s="2"/>
      <c r="CM52" s="2">
        <v>0</v>
      </c>
      <c r="CN52" s="2" t="s">
        <v>677</v>
      </c>
      <c r="CO52" s="2">
        <v>0</v>
      </c>
      <c r="CP52" s="2">
        <f t="shared" si="31"/>
        <v>661.28</v>
      </c>
      <c r="CQ52" s="2">
        <f t="shared" ref="CQ52:CQ83" si="61">ROUND((ROUND((AC52*AW52*1),2)*BC52),2)</f>
        <v>4.04</v>
      </c>
      <c r="CR52" s="2">
        <f>(ROUND((ROUND((((ET52*1.2))*AV52*1),2)*BB52),2)+ROUND((ROUND(((AE52-((EU52*1.2)))*AV52*1),2)*BS52),2))</f>
        <v>3.19</v>
      </c>
      <c r="CS52" s="2">
        <f>(ROUND((ROUND((((EU52*1.2))*AV52*1),2)*BS52),2)+ROUND((ROUND(((AE52-((EU52*1.2)))*AV52*1),2)*BS52),2))</f>
        <v>0.49</v>
      </c>
      <c r="CT52" s="2">
        <f t="shared" si="33"/>
        <v>66.25</v>
      </c>
      <c r="CU52" s="2">
        <f t="shared" si="34"/>
        <v>0</v>
      </c>
      <c r="CV52" s="2">
        <f t="shared" si="35"/>
        <v>5.2496399999999985</v>
      </c>
      <c r="CW52" s="2">
        <f t="shared" si="36"/>
        <v>0</v>
      </c>
      <c r="CX52" s="2">
        <f t="shared" si="37"/>
        <v>0</v>
      </c>
      <c r="CY52" s="2">
        <f>(ROUND((((S52+ROUND((ROUND((((EU52*1.2))*AV52*1),2)*BS52),2))*AT52)/100),2)+ROUND(((ROUND((ROUND(((AE52-((EU52*1.2)))*AV52*1),2)*BS52),2)*AT52)/100),2))</f>
        <v>537.04999999999995</v>
      </c>
      <c r="CZ52" s="2">
        <f>(ROUND((((S52+ROUND((ROUND((((EU52*1.2))*AV52*1),2)*BS52),2))*AU52)/100),2)+ROUND(((ROUND((ROUND(((AE52-((EU52*1.2)))*AV52*1),2)*BS52),2)*AU52)/100),2))</f>
        <v>274.49</v>
      </c>
      <c r="DA52" s="2"/>
      <c r="DB52" s="2">
        <v>23</v>
      </c>
      <c r="DC52" s="2" t="s">
        <v>3</v>
      </c>
      <c r="DD52" s="2" t="s">
        <v>35</v>
      </c>
      <c r="DE52" s="2" t="s">
        <v>36</v>
      </c>
      <c r="DF52" s="2" t="s">
        <v>36</v>
      </c>
      <c r="DG52" s="2" t="s">
        <v>36</v>
      </c>
      <c r="DH52" s="2" t="s">
        <v>3</v>
      </c>
      <c r="DI52" s="2" t="s">
        <v>36</v>
      </c>
      <c r="DJ52" s="2" t="s">
        <v>36</v>
      </c>
      <c r="DK52" s="2" t="s">
        <v>3</v>
      </c>
      <c r="DL52" s="2" t="s">
        <v>3</v>
      </c>
      <c r="DM52" s="2" t="s">
        <v>3</v>
      </c>
      <c r="DN52" s="2">
        <v>0</v>
      </c>
      <c r="DO52" s="2">
        <v>0</v>
      </c>
      <c r="DP52" s="2">
        <v>1</v>
      </c>
      <c r="DQ52" s="2">
        <v>1</v>
      </c>
      <c r="DR52" s="2"/>
      <c r="DS52" s="2"/>
      <c r="DT52" s="2"/>
      <c r="DU52" s="2">
        <v>1013</v>
      </c>
      <c r="DV52" s="2" t="s">
        <v>23</v>
      </c>
      <c r="DW52" s="2" t="s">
        <v>23</v>
      </c>
      <c r="DX52" s="2">
        <v>1</v>
      </c>
      <c r="DY52" s="2"/>
      <c r="DZ52" s="2" t="s">
        <v>3</v>
      </c>
      <c r="EA52" s="2" t="s">
        <v>3</v>
      </c>
      <c r="EB52" s="2" t="s">
        <v>3</v>
      </c>
      <c r="EC52" s="2" t="s">
        <v>3</v>
      </c>
      <c r="ED52" s="2"/>
      <c r="EE52" s="2">
        <v>85133422</v>
      </c>
      <c r="EF52" s="2">
        <v>40</v>
      </c>
      <c r="EG52" s="2" t="s">
        <v>27</v>
      </c>
      <c r="EH52" s="2">
        <v>0</v>
      </c>
      <c r="EI52" s="2" t="s">
        <v>3</v>
      </c>
      <c r="EJ52" s="2">
        <v>2</v>
      </c>
      <c r="EK52" s="2">
        <v>73</v>
      </c>
      <c r="EL52" s="2" t="s">
        <v>62</v>
      </c>
      <c r="EM52" s="2" t="s">
        <v>63</v>
      </c>
      <c r="EN52" s="2"/>
      <c r="EO52" s="2" t="s">
        <v>37</v>
      </c>
      <c r="EP52" s="2"/>
      <c r="EQ52" s="2">
        <v>0</v>
      </c>
      <c r="ER52" s="2">
        <v>58.16</v>
      </c>
      <c r="ES52" s="2">
        <v>3.93</v>
      </c>
      <c r="ET52" s="2">
        <v>2.4900000000000002</v>
      </c>
      <c r="EU52" s="2">
        <v>0.38</v>
      </c>
      <c r="EV52" s="2">
        <v>51.74</v>
      </c>
      <c r="EW52" s="2">
        <v>4.0999999999999996</v>
      </c>
      <c r="EX52" s="2">
        <v>0</v>
      </c>
      <c r="EY52" s="2">
        <v>0</v>
      </c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>
        <v>0</v>
      </c>
      <c r="FR52" s="2">
        <v>0</v>
      </c>
      <c r="FS52" s="2">
        <v>2</v>
      </c>
      <c r="FT52" s="2"/>
      <c r="FU52" s="2"/>
      <c r="FV52" s="2"/>
      <c r="FW52" s="2"/>
      <c r="FX52" s="2">
        <v>90</v>
      </c>
      <c r="FY52" s="2">
        <v>46</v>
      </c>
      <c r="FZ52" s="2"/>
      <c r="GA52" s="2" t="s">
        <v>3</v>
      </c>
      <c r="GB52" s="2"/>
      <c r="GC52" s="2"/>
      <c r="GD52" s="2">
        <v>1</v>
      </c>
      <c r="GE52" s="2"/>
      <c r="GF52" s="2">
        <v>1723816868</v>
      </c>
      <c r="GG52" s="2">
        <v>2</v>
      </c>
      <c r="GH52" s="2">
        <v>1</v>
      </c>
      <c r="GI52" s="2">
        <v>2</v>
      </c>
      <c r="GJ52" s="2">
        <v>0</v>
      </c>
      <c r="GK52" s="2">
        <v>0</v>
      </c>
      <c r="GL52" s="2">
        <f t="shared" si="38"/>
        <v>0</v>
      </c>
      <c r="GM52" s="2">
        <f t="shared" si="39"/>
        <v>1478.11</v>
      </c>
      <c r="GN52" s="2">
        <f t="shared" si="40"/>
        <v>0</v>
      </c>
      <c r="GO52" s="2">
        <f t="shared" si="41"/>
        <v>1478.11</v>
      </c>
      <c r="GP52" s="2">
        <f t="shared" si="42"/>
        <v>0</v>
      </c>
      <c r="GQ52" s="2"/>
      <c r="GR52" s="2">
        <v>0</v>
      </c>
      <c r="GS52" s="2">
        <v>3</v>
      </c>
      <c r="GT52" s="2">
        <v>0</v>
      </c>
      <c r="GU52" s="2" t="s">
        <v>3</v>
      </c>
      <c r="GV52" s="2">
        <f t="shared" si="43"/>
        <v>0</v>
      </c>
      <c r="GW52" s="2">
        <v>1</v>
      </c>
      <c r="GX52" s="2">
        <f t="shared" si="44"/>
        <v>0</v>
      </c>
      <c r="GY52" s="2"/>
      <c r="GZ52" s="2"/>
      <c r="HA52" s="2">
        <v>0</v>
      </c>
      <c r="HB52" s="2">
        <v>0</v>
      </c>
      <c r="HC52" s="2">
        <f t="shared" si="45"/>
        <v>0</v>
      </c>
      <c r="HD52" s="2"/>
      <c r="HE52" s="2" t="s">
        <v>3</v>
      </c>
      <c r="HF52" s="2" t="s">
        <v>3</v>
      </c>
      <c r="HG52" s="2"/>
      <c r="HH52" s="2"/>
      <c r="HI52" s="2"/>
      <c r="HJ52" s="2"/>
      <c r="HK52" s="2"/>
      <c r="HL52" s="2"/>
      <c r="HM52" s="2" t="s">
        <v>3</v>
      </c>
      <c r="HN52" s="2" t="s">
        <v>3</v>
      </c>
      <c r="HO52" s="2" t="s">
        <v>3</v>
      </c>
      <c r="HP52" s="2" t="s">
        <v>3</v>
      </c>
      <c r="HQ52" s="2" t="s">
        <v>3</v>
      </c>
      <c r="HR52" s="2"/>
      <c r="HS52" s="2">
        <v>0</v>
      </c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>
        <v>0</v>
      </c>
      <c r="IL52" s="2"/>
      <c r="IM52" s="2"/>
      <c r="IN52" s="2"/>
      <c r="IO52" s="2"/>
      <c r="IP52" s="2"/>
      <c r="IQ52" s="2"/>
      <c r="IR52" s="2"/>
      <c r="IS52" s="2"/>
      <c r="IT52" s="2"/>
      <c r="IU52" s="2"/>
    </row>
    <row r="53" spans="1:255" x14ac:dyDescent="0.2">
      <c r="A53" s="3">
        <v>17</v>
      </c>
      <c r="B53" s="3">
        <v>1</v>
      </c>
      <c r="C53" s="3">
        <f>ROW(SmtRes!A112)</f>
        <v>112</v>
      </c>
      <c r="D53" s="3">
        <f>ROW(EtalonRes!A142)</f>
        <v>142</v>
      </c>
      <c r="E53" s="3" t="s">
        <v>101</v>
      </c>
      <c r="F53" s="3" t="s">
        <v>102</v>
      </c>
      <c r="G53" s="3" t="s">
        <v>103</v>
      </c>
      <c r="H53" s="3" t="s">
        <v>23</v>
      </c>
      <c r="I53" s="3">
        <f>ROUND(9,9)</f>
        <v>9</v>
      </c>
      <c r="J53" s="3">
        <v>0</v>
      </c>
      <c r="K53" s="3">
        <f>ROUND(9,9)</f>
        <v>9</v>
      </c>
      <c r="O53" s="3">
        <f t="shared" si="21"/>
        <v>34251.129999999997</v>
      </c>
      <c r="P53" s="3">
        <f t="shared" si="60"/>
        <v>163.26</v>
      </c>
      <c r="Q53" s="3">
        <f>(ROUND((ROUND((((ET53*1.2))*AV53*I53),2)*BB53),2)+ROUND((ROUND(((AE53-((EU53*1.2)))*AV53*I53),2)*BS53),2))</f>
        <v>490.31</v>
      </c>
      <c r="R53" s="3">
        <f>(ROUND((ROUND((((EU53*1.2))*AV53*I53),2)*BS53),2)+ROUND((ROUND(((AE53-((EU53*1.2)))*AV53*I53),2)*BS53),2))</f>
        <v>246.81</v>
      </c>
      <c r="S53" s="3">
        <f t="shared" si="23"/>
        <v>33597.56</v>
      </c>
      <c r="T53" s="3">
        <f t="shared" si="24"/>
        <v>0</v>
      </c>
      <c r="U53" s="3">
        <f t="shared" si="25"/>
        <v>47.246759999999988</v>
      </c>
      <c r="V53" s="3">
        <f t="shared" si="26"/>
        <v>0</v>
      </c>
      <c r="W53" s="3">
        <f t="shared" si="27"/>
        <v>0</v>
      </c>
      <c r="X53" s="3">
        <f>(ROUND((((S53+ROUND((ROUND((((EU53*1.2))*AV53*I53),2)*BS53),2))*AT53)/100),2)+ROUND(((ROUND((ROUND(((AE53-((EU53*1.2)))*AV53*I53),2)*BS53),2)*AT53)/100),2))</f>
        <v>30459.93</v>
      </c>
      <c r="Y53" s="3">
        <f>(ROUND((((S53+ROUND((ROUND((((EU53*1.2))*AV53*I53),2)*BS53),2))*AU53)/100),2)+ROUND(((ROUND((ROUND(((AE53-((EU53*1.2)))*AV53*I53),2)*BS53),2)*AU53)/100),2))</f>
        <v>15568.41</v>
      </c>
      <c r="AA53" s="3">
        <v>85739207</v>
      </c>
      <c r="AB53" s="3">
        <f t="shared" si="28"/>
        <v>69.006</v>
      </c>
      <c r="AC53" s="3">
        <f>ROUND(((ES53*1)),6)</f>
        <v>3.93</v>
      </c>
      <c r="AD53" s="3">
        <f>ROUND(((((ET53*1.2))-((EU53*1.2)))+AE53),6)</f>
        <v>2.988</v>
      </c>
      <c r="AE53" s="3">
        <f>ROUND(((EU53*1.2)),6)</f>
        <v>0.45600000000000002</v>
      </c>
      <c r="AF53" s="3">
        <f>ROUND(((EV53*1.2)),6)</f>
        <v>62.088000000000001</v>
      </c>
      <c r="AG53" s="3">
        <f t="shared" si="29"/>
        <v>0</v>
      </c>
      <c r="AH53" s="3">
        <f>((EW53*1.2))</f>
        <v>4.919999999999999</v>
      </c>
      <c r="AI53" s="3">
        <f>((EX53*1.2))</f>
        <v>0</v>
      </c>
      <c r="AJ53" s="3">
        <f t="shared" si="30"/>
        <v>0</v>
      </c>
      <c r="AK53" s="3">
        <v>58.16</v>
      </c>
      <c r="AL53" s="3">
        <v>3.93</v>
      </c>
      <c r="AM53" s="3">
        <v>2.4900000000000002</v>
      </c>
      <c r="AN53" s="3">
        <v>0.38</v>
      </c>
      <c r="AO53" s="3">
        <v>51.74</v>
      </c>
      <c r="AP53" s="3">
        <v>0</v>
      </c>
      <c r="AQ53" s="3">
        <v>4.0999999999999996</v>
      </c>
      <c r="AR53" s="3">
        <v>0</v>
      </c>
      <c r="AS53" s="3">
        <v>0</v>
      </c>
      <c r="AT53" s="3">
        <v>90</v>
      </c>
      <c r="AU53" s="3">
        <v>46</v>
      </c>
      <c r="AV53" s="3">
        <v>1.0669999999999999</v>
      </c>
      <c r="AW53" s="3">
        <v>1.028</v>
      </c>
      <c r="AZ53" s="3">
        <v>1</v>
      </c>
      <c r="BA53" s="3">
        <v>56.35</v>
      </c>
      <c r="BB53" s="3">
        <v>17.09</v>
      </c>
      <c r="BC53" s="3">
        <v>4.49</v>
      </c>
      <c r="BD53" s="3" t="s">
        <v>3</v>
      </c>
      <c r="BE53" s="3" t="s">
        <v>3</v>
      </c>
      <c r="BF53" s="3" t="s">
        <v>3</v>
      </c>
      <c r="BG53" s="3" t="s">
        <v>3</v>
      </c>
      <c r="BH53" s="3">
        <v>0</v>
      </c>
      <c r="BI53" s="3">
        <v>2</v>
      </c>
      <c r="BJ53" s="3" t="s">
        <v>104</v>
      </c>
      <c r="BM53" s="3">
        <v>73</v>
      </c>
      <c r="BN53" s="3">
        <v>0</v>
      </c>
      <c r="BO53" s="3" t="s">
        <v>102</v>
      </c>
      <c r="BP53" s="3">
        <v>1</v>
      </c>
      <c r="BQ53" s="3">
        <v>40</v>
      </c>
      <c r="BR53" s="3">
        <v>0</v>
      </c>
      <c r="BS53" s="3">
        <v>56.35</v>
      </c>
      <c r="BT53" s="3">
        <v>1</v>
      </c>
      <c r="BU53" s="3">
        <v>1</v>
      </c>
      <c r="BV53" s="3">
        <v>1</v>
      </c>
      <c r="BW53" s="3">
        <v>1</v>
      </c>
      <c r="BX53" s="3">
        <v>1</v>
      </c>
      <c r="BY53" s="3" t="s">
        <v>3</v>
      </c>
      <c r="BZ53" s="3">
        <v>90</v>
      </c>
      <c r="CA53" s="3">
        <v>46</v>
      </c>
      <c r="CB53" s="3" t="s">
        <v>3</v>
      </c>
      <c r="CE53" s="3">
        <v>1566</v>
      </c>
      <c r="CF53" s="3">
        <v>0</v>
      </c>
      <c r="CG53" s="3">
        <v>0</v>
      </c>
      <c r="CM53" s="3">
        <v>0</v>
      </c>
      <c r="CN53" s="3" t="s">
        <v>677</v>
      </c>
      <c r="CO53" s="3">
        <v>0</v>
      </c>
      <c r="CP53" s="3">
        <f t="shared" si="31"/>
        <v>34251.129999999997</v>
      </c>
      <c r="CQ53" s="3">
        <f t="shared" si="61"/>
        <v>18.14</v>
      </c>
      <c r="CR53" s="3">
        <f>(ROUND((ROUND((((ET53*1.2))*AV53*1),2)*BB53),2)+ROUND((ROUND(((AE53-((EU53*1.2)))*AV53*1),2)*BS53),2))</f>
        <v>54.52</v>
      </c>
      <c r="CS53" s="3">
        <f>(ROUND((ROUND((((EU53*1.2))*AV53*1),2)*BS53),2)+ROUND((ROUND(((AE53-((EU53*1.2)))*AV53*1),2)*BS53),2))</f>
        <v>27.61</v>
      </c>
      <c r="CT53" s="3">
        <f t="shared" si="33"/>
        <v>3733.19</v>
      </c>
      <c r="CU53" s="3">
        <f t="shared" si="34"/>
        <v>0</v>
      </c>
      <c r="CV53" s="3">
        <f t="shared" si="35"/>
        <v>5.2496399999999985</v>
      </c>
      <c r="CW53" s="3">
        <f t="shared" si="36"/>
        <v>0</v>
      </c>
      <c r="CX53" s="3">
        <f t="shared" si="37"/>
        <v>0</v>
      </c>
      <c r="CY53" s="3">
        <f>(ROUND((((S53+ROUND((ROUND((((EU53*1.2))*AV53*1),2)*BS53),2))*AT53)/100),2)+ROUND(((ROUND((ROUND(((AE53-((EU53*1.2)))*AV53*1),2)*BS53),2)*AT53)/100),2))</f>
        <v>30262.65</v>
      </c>
      <c r="CZ53" s="3">
        <f>(ROUND((((S53+ROUND((ROUND((((EU53*1.2))*AV53*1),2)*BS53),2))*AU53)/100),2)+ROUND(((ROUND((ROUND(((AE53-((EU53*1.2)))*AV53*1),2)*BS53),2)*AU53)/100),2))</f>
        <v>15467.58</v>
      </c>
      <c r="DB53" s="3">
        <v>24</v>
      </c>
      <c r="DC53" s="3" t="s">
        <v>3</v>
      </c>
      <c r="DD53" s="3" t="s">
        <v>35</v>
      </c>
      <c r="DE53" s="3" t="s">
        <v>36</v>
      </c>
      <c r="DF53" s="3" t="s">
        <v>36</v>
      </c>
      <c r="DG53" s="3" t="s">
        <v>36</v>
      </c>
      <c r="DH53" s="3" t="s">
        <v>3</v>
      </c>
      <c r="DI53" s="3" t="s">
        <v>36</v>
      </c>
      <c r="DJ53" s="3" t="s">
        <v>36</v>
      </c>
      <c r="DK53" s="3" t="s">
        <v>3</v>
      </c>
      <c r="DL53" s="3" t="s">
        <v>3</v>
      </c>
      <c r="DM53" s="3" t="s">
        <v>3</v>
      </c>
      <c r="DN53" s="3">
        <v>0</v>
      </c>
      <c r="DO53" s="3">
        <v>0</v>
      </c>
      <c r="DP53" s="3">
        <v>1</v>
      </c>
      <c r="DQ53" s="3">
        <v>1</v>
      </c>
      <c r="DU53" s="3">
        <v>1013</v>
      </c>
      <c r="DV53" s="3" t="s">
        <v>23</v>
      </c>
      <c r="DW53" s="3" t="s">
        <v>23</v>
      </c>
      <c r="DX53" s="3">
        <v>1</v>
      </c>
      <c r="DZ53" s="3" t="s">
        <v>3</v>
      </c>
      <c r="EA53" s="3" t="s">
        <v>3</v>
      </c>
      <c r="EB53" s="3" t="s">
        <v>3</v>
      </c>
      <c r="EC53" s="3" t="s">
        <v>3</v>
      </c>
      <c r="EE53" s="3">
        <v>85133422</v>
      </c>
      <c r="EF53" s="3">
        <v>40</v>
      </c>
      <c r="EG53" s="3" t="s">
        <v>27</v>
      </c>
      <c r="EH53" s="3">
        <v>0</v>
      </c>
      <c r="EI53" s="3" t="s">
        <v>3</v>
      </c>
      <c r="EJ53" s="3">
        <v>2</v>
      </c>
      <c r="EK53" s="3">
        <v>73</v>
      </c>
      <c r="EL53" s="3" t="s">
        <v>62</v>
      </c>
      <c r="EM53" s="3" t="s">
        <v>63</v>
      </c>
      <c r="EO53" s="3" t="s">
        <v>37</v>
      </c>
      <c r="EQ53" s="3">
        <v>0</v>
      </c>
      <c r="ER53" s="3">
        <v>58.16</v>
      </c>
      <c r="ES53" s="3">
        <v>3.93</v>
      </c>
      <c r="ET53" s="3">
        <v>2.4900000000000002</v>
      </c>
      <c r="EU53" s="3">
        <v>0.38</v>
      </c>
      <c r="EV53" s="3">
        <v>51.74</v>
      </c>
      <c r="EW53" s="3">
        <v>4.0999999999999996</v>
      </c>
      <c r="EX53" s="3">
        <v>0</v>
      </c>
      <c r="EY53" s="3">
        <v>0</v>
      </c>
      <c r="FQ53" s="3">
        <v>0</v>
      </c>
      <c r="FR53" s="3">
        <v>0</v>
      </c>
      <c r="FS53" s="3">
        <v>2</v>
      </c>
      <c r="FX53" s="3">
        <v>90</v>
      </c>
      <c r="FY53" s="3">
        <v>46</v>
      </c>
      <c r="GA53" s="3" t="s">
        <v>3</v>
      </c>
      <c r="GD53" s="3">
        <v>1</v>
      </c>
      <c r="GF53" s="3">
        <v>1723816868</v>
      </c>
      <c r="GG53" s="3">
        <v>2</v>
      </c>
      <c r="GH53" s="3">
        <v>1</v>
      </c>
      <c r="GI53" s="3">
        <v>2</v>
      </c>
      <c r="GJ53" s="3">
        <v>0</v>
      </c>
      <c r="GK53" s="3">
        <v>0</v>
      </c>
      <c r="GL53" s="3">
        <f t="shared" si="38"/>
        <v>0</v>
      </c>
      <c r="GM53" s="3">
        <f t="shared" si="39"/>
        <v>80279.47</v>
      </c>
      <c r="GN53" s="3">
        <f t="shared" si="40"/>
        <v>0</v>
      </c>
      <c r="GO53" s="3">
        <f t="shared" si="41"/>
        <v>80279.47</v>
      </c>
      <c r="GP53" s="3">
        <f t="shared" si="42"/>
        <v>0</v>
      </c>
      <c r="GR53" s="3">
        <v>0</v>
      </c>
      <c r="GS53" s="3">
        <v>3</v>
      </c>
      <c r="GT53" s="3">
        <v>0</v>
      </c>
      <c r="GU53" s="3" t="s">
        <v>3</v>
      </c>
      <c r="GV53" s="3">
        <f t="shared" si="43"/>
        <v>0</v>
      </c>
      <c r="GW53" s="3">
        <v>1</v>
      </c>
      <c r="GX53" s="3">
        <f t="shared" si="44"/>
        <v>0</v>
      </c>
      <c r="HA53" s="3">
        <v>0</v>
      </c>
      <c r="HB53" s="3">
        <v>0</v>
      </c>
      <c r="HC53" s="3">
        <f t="shared" si="45"/>
        <v>0</v>
      </c>
      <c r="HE53" s="3" t="s">
        <v>3</v>
      </c>
      <c r="HF53" s="3" t="s">
        <v>3</v>
      </c>
      <c r="HM53" s="3" t="s">
        <v>3</v>
      </c>
      <c r="HN53" s="3" t="s">
        <v>3</v>
      </c>
      <c r="HO53" s="3" t="s">
        <v>3</v>
      </c>
      <c r="HP53" s="3" t="s">
        <v>3</v>
      </c>
      <c r="HQ53" s="3" t="s">
        <v>3</v>
      </c>
      <c r="HS53" s="3">
        <v>0</v>
      </c>
      <c r="IK53" s="3">
        <v>0</v>
      </c>
    </row>
    <row r="54" spans="1:255" x14ac:dyDescent="0.2">
      <c r="A54" s="2">
        <v>18</v>
      </c>
      <c r="B54" s="2">
        <v>1</v>
      </c>
      <c r="C54" s="2">
        <v>108</v>
      </c>
      <c r="D54" s="2"/>
      <c r="E54" s="2" t="s">
        <v>105</v>
      </c>
      <c r="F54" s="2" t="s">
        <v>106</v>
      </c>
      <c r="G54" s="2" t="s">
        <v>107</v>
      </c>
      <c r="H54" s="2" t="s">
        <v>99</v>
      </c>
      <c r="I54" s="2">
        <f>I52*J54</f>
        <v>9</v>
      </c>
      <c r="J54" s="2">
        <v>1</v>
      </c>
      <c r="K54" s="2">
        <v>1</v>
      </c>
      <c r="L54" s="2"/>
      <c r="M54" s="2"/>
      <c r="N54" s="2"/>
      <c r="O54" s="2">
        <f t="shared" si="21"/>
        <v>19601.37</v>
      </c>
      <c r="P54" s="2">
        <f t="shared" si="60"/>
        <v>19601.37</v>
      </c>
      <c r="Q54" s="2">
        <f>(ROUND((ROUND(((ET54)*AV54*I54),2)*BB54),2)+ROUND((ROUND(((AE54-(EU54))*AV54*I54),2)*BS54),2))</f>
        <v>0</v>
      </c>
      <c r="R54" s="2">
        <f>(ROUND((ROUND(((EU54)*AV54*I54),2)*BS54),2)+ROUND((ROUND(((AE54-(EU54))*AV54*I54),2)*BS54),2))</f>
        <v>0</v>
      </c>
      <c r="S54" s="2">
        <f t="shared" si="23"/>
        <v>0</v>
      </c>
      <c r="T54" s="2">
        <f t="shared" si="24"/>
        <v>0</v>
      </c>
      <c r="U54" s="2">
        <f t="shared" si="25"/>
        <v>0</v>
      </c>
      <c r="V54" s="2">
        <f t="shared" si="26"/>
        <v>0</v>
      </c>
      <c r="W54" s="2">
        <f t="shared" si="27"/>
        <v>0</v>
      </c>
      <c r="X54" s="2">
        <f>(ROUND((((S54+ROUND((ROUND(((EU54)*AV54*I54),2)*BS54),2))*AT54)/100),2)+ROUND(((ROUND((ROUND(((AE54-(EU54))*AV54*I54),2)*BS54),2)*AT54)/100),2))</f>
        <v>0</v>
      </c>
      <c r="Y54" s="2">
        <f>(ROUND((((S54+ROUND((ROUND(((EU54)*AV54*I54),2)*BS54),2))*AU54)/100),2)+ROUND(((ROUND((ROUND(((AE54-(EU54))*AV54*I54),2)*BS54),2)*AU54)/100),2))</f>
        <v>0</v>
      </c>
      <c r="Z54" s="2"/>
      <c r="AA54" s="2">
        <v>85739205</v>
      </c>
      <c r="AB54" s="2">
        <f t="shared" si="28"/>
        <v>2177.9299999999998</v>
      </c>
      <c r="AC54" s="2">
        <f>ROUND((ES54),6)</f>
        <v>2177.9299999999998</v>
      </c>
      <c r="AD54" s="2">
        <f>ROUND((((ET54)-(EU54))+AE54),6)</f>
        <v>0</v>
      </c>
      <c r="AE54" s="2">
        <f>ROUND((EU54),6)</f>
        <v>0</v>
      </c>
      <c r="AF54" s="2">
        <f>ROUND((EV54),6)</f>
        <v>0</v>
      </c>
      <c r="AG54" s="2">
        <f t="shared" si="29"/>
        <v>0</v>
      </c>
      <c r="AH54" s="2">
        <f>(EW54)</f>
        <v>0</v>
      </c>
      <c r="AI54" s="2">
        <f>(EX54)</f>
        <v>0</v>
      </c>
      <c r="AJ54" s="2">
        <f t="shared" si="30"/>
        <v>0</v>
      </c>
      <c r="AK54" s="2">
        <v>2177.9299999999998</v>
      </c>
      <c r="AL54" s="2">
        <v>2177.9299999999998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90</v>
      </c>
      <c r="AU54" s="2">
        <v>46</v>
      </c>
      <c r="AV54" s="2">
        <v>1</v>
      </c>
      <c r="AW54" s="2">
        <v>1</v>
      </c>
      <c r="AX54" s="2"/>
      <c r="AY54" s="2"/>
      <c r="AZ54" s="2">
        <v>1</v>
      </c>
      <c r="BA54" s="2">
        <v>1</v>
      </c>
      <c r="BB54" s="2">
        <v>1</v>
      </c>
      <c r="BC54" s="2">
        <v>1</v>
      </c>
      <c r="BD54" s="2" t="s">
        <v>3</v>
      </c>
      <c r="BE54" s="2" t="s">
        <v>3</v>
      </c>
      <c r="BF54" s="2" t="s">
        <v>3</v>
      </c>
      <c r="BG54" s="2" t="s">
        <v>3</v>
      </c>
      <c r="BH54" s="2">
        <v>3</v>
      </c>
      <c r="BI54" s="2">
        <v>2</v>
      </c>
      <c r="BJ54" s="2" t="s">
        <v>108</v>
      </c>
      <c r="BK54" s="2"/>
      <c r="BL54" s="2"/>
      <c r="BM54" s="2">
        <v>73</v>
      </c>
      <c r="BN54" s="2">
        <v>0</v>
      </c>
      <c r="BO54" s="2" t="s">
        <v>3</v>
      </c>
      <c r="BP54" s="2">
        <v>0</v>
      </c>
      <c r="BQ54" s="2">
        <v>40</v>
      </c>
      <c r="BR54" s="2">
        <v>0</v>
      </c>
      <c r="BS54" s="2">
        <v>1</v>
      </c>
      <c r="BT54" s="2">
        <v>1</v>
      </c>
      <c r="BU54" s="2">
        <v>1</v>
      </c>
      <c r="BV54" s="2">
        <v>1</v>
      </c>
      <c r="BW54" s="2">
        <v>1</v>
      </c>
      <c r="BX54" s="2">
        <v>1</v>
      </c>
      <c r="BY54" s="2" t="s">
        <v>3</v>
      </c>
      <c r="BZ54" s="2">
        <v>90</v>
      </c>
      <c r="CA54" s="2">
        <v>46</v>
      </c>
      <c r="CB54" s="2" t="s">
        <v>3</v>
      </c>
      <c r="CC54" s="2"/>
      <c r="CD54" s="2"/>
      <c r="CE54" s="2">
        <v>1566</v>
      </c>
      <c r="CF54" s="2">
        <v>0</v>
      </c>
      <c r="CG54" s="2">
        <v>0</v>
      </c>
      <c r="CH54" s="2"/>
      <c r="CI54" s="2"/>
      <c r="CJ54" s="2"/>
      <c r="CK54" s="2"/>
      <c r="CL54" s="2"/>
      <c r="CM54" s="2">
        <v>0</v>
      </c>
      <c r="CN54" s="2" t="s">
        <v>679</v>
      </c>
      <c r="CO54" s="2">
        <v>0</v>
      </c>
      <c r="CP54" s="2">
        <f t="shared" si="31"/>
        <v>19601.37</v>
      </c>
      <c r="CQ54" s="2">
        <f t="shared" si="61"/>
        <v>2177.9299999999998</v>
      </c>
      <c r="CR54" s="2">
        <f>(ROUND((ROUND(((ET54)*AV54*1),2)*BB54),2)+ROUND((ROUND(((AE54-(EU54))*AV54*1),2)*BS54),2))</f>
        <v>0</v>
      </c>
      <c r="CS54" s="2">
        <f>(ROUND((ROUND(((EU54)*AV54*1),2)*BS54),2)+ROUND((ROUND(((AE54-(EU54))*AV54*1),2)*BS54),2))</f>
        <v>0</v>
      </c>
      <c r="CT54" s="2">
        <f t="shared" si="33"/>
        <v>0</v>
      </c>
      <c r="CU54" s="2">
        <f t="shared" si="34"/>
        <v>0</v>
      </c>
      <c r="CV54" s="2">
        <f t="shared" si="35"/>
        <v>0</v>
      </c>
      <c r="CW54" s="2">
        <f t="shared" si="36"/>
        <v>0</v>
      </c>
      <c r="CX54" s="2">
        <f t="shared" si="37"/>
        <v>0</v>
      </c>
      <c r="CY54" s="2">
        <f>(ROUND((((S54+ROUND((ROUND(((EU54)*AV54*1),2)*BS54),2))*AT54)/100),2)+ROUND(((ROUND((ROUND(((AE54-(EU54))*AV54*1),2)*BS54),2)*AT54)/100),2))</f>
        <v>0</v>
      </c>
      <c r="CZ54" s="2">
        <f>(ROUND((((S54+ROUND((ROUND(((EU54)*AV54*1),2)*BS54),2))*AU54)/100),2)+ROUND(((ROUND((ROUND(((AE54-(EU54))*AV54*1),2)*BS54),2)*AU54)/100),2))</f>
        <v>0</v>
      </c>
      <c r="DA54" s="2"/>
      <c r="DB54" s="2"/>
      <c r="DC54" s="2" t="s">
        <v>3</v>
      </c>
      <c r="DD54" s="2" t="s">
        <v>3</v>
      </c>
      <c r="DE54" s="2" t="s">
        <v>3</v>
      </c>
      <c r="DF54" s="2" t="s">
        <v>3</v>
      </c>
      <c r="DG54" s="2" t="s">
        <v>3</v>
      </c>
      <c r="DH54" s="2" t="s">
        <v>3</v>
      </c>
      <c r="DI54" s="2" t="s">
        <v>3</v>
      </c>
      <c r="DJ54" s="2" t="s">
        <v>3</v>
      </c>
      <c r="DK54" s="2" t="s">
        <v>3</v>
      </c>
      <c r="DL54" s="2" t="s">
        <v>3</v>
      </c>
      <c r="DM54" s="2" t="s">
        <v>3</v>
      </c>
      <c r="DN54" s="2">
        <v>0</v>
      </c>
      <c r="DO54" s="2">
        <v>0</v>
      </c>
      <c r="DP54" s="2">
        <v>1</v>
      </c>
      <c r="DQ54" s="2">
        <v>1</v>
      </c>
      <c r="DR54" s="2"/>
      <c r="DS54" s="2"/>
      <c r="DT54" s="2"/>
      <c r="DU54" s="2">
        <v>1010</v>
      </c>
      <c r="DV54" s="2" t="s">
        <v>99</v>
      </c>
      <c r="DW54" s="2" t="s">
        <v>99</v>
      </c>
      <c r="DX54" s="2">
        <v>1</v>
      </c>
      <c r="DY54" s="2"/>
      <c r="DZ54" s="2" t="s">
        <v>3</v>
      </c>
      <c r="EA54" s="2" t="s">
        <v>3</v>
      </c>
      <c r="EB54" s="2" t="s">
        <v>3</v>
      </c>
      <c r="EC54" s="2" t="s">
        <v>3</v>
      </c>
      <c r="ED54" s="2"/>
      <c r="EE54" s="2">
        <v>85133422</v>
      </c>
      <c r="EF54" s="2">
        <v>40</v>
      </c>
      <c r="EG54" s="2" t="s">
        <v>27</v>
      </c>
      <c r="EH54" s="2">
        <v>0</v>
      </c>
      <c r="EI54" s="2" t="s">
        <v>3</v>
      </c>
      <c r="EJ54" s="2">
        <v>2</v>
      </c>
      <c r="EK54" s="2">
        <v>73</v>
      </c>
      <c r="EL54" s="2" t="s">
        <v>62</v>
      </c>
      <c r="EM54" s="2" t="s">
        <v>63</v>
      </c>
      <c r="EN54" s="2"/>
      <c r="EO54" s="2" t="s">
        <v>37</v>
      </c>
      <c r="EP54" s="2"/>
      <c r="EQ54" s="2">
        <v>0</v>
      </c>
      <c r="ER54" s="2">
        <v>2177.9299999999998</v>
      </c>
      <c r="ES54" s="2">
        <v>2177.9299999999998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>
        <v>0</v>
      </c>
      <c r="FR54" s="2">
        <v>0</v>
      </c>
      <c r="FS54" s="2">
        <v>0</v>
      </c>
      <c r="FT54" s="2"/>
      <c r="FU54" s="2"/>
      <c r="FV54" s="2"/>
      <c r="FW54" s="2"/>
      <c r="FX54" s="2">
        <v>90</v>
      </c>
      <c r="FY54" s="2">
        <v>46</v>
      </c>
      <c r="FZ54" s="2"/>
      <c r="GA54" s="2" t="s">
        <v>3</v>
      </c>
      <c r="GB54" s="2"/>
      <c r="GC54" s="2"/>
      <c r="GD54" s="2">
        <v>1</v>
      </c>
      <c r="GE54" s="2"/>
      <c r="GF54" s="2">
        <v>873960273</v>
      </c>
      <c r="GG54" s="2">
        <v>2</v>
      </c>
      <c r="GH54" s="2">
        <v>1</v>
      </c>
      <c r="GI54" s="2">
        <v>-2</v>
      </c>
      <c r="GJ54" s="2">
        <v>0</v>
      </c>
      <c r="GK54" s="2">
        <v>0</v>
      </c>
      <c r="GL54" s="2">
        <f t="shared" si="38"/>
        <v>0</v>
      </c>
      <c r="GM54" s="2">
        <f t="shared" si="39"/>
        <v>19601.37</v>
      </c>
      <c r="GN54" s="2">
        <f t="shared" si="40"/>
        <v>0</v>
      </c>
      <c r="GO54" s="2">
        <f t="shared" si="41"/>
        <v>19601.37</v>
      </c>
      <c r="GP54" s="2">
        <f t="shared" si="42"/>
        <v>0</v>
      </c>
      <c r="GQ54" s="2"/>
      <c r="GR54" s="2">
        <v>0</v>
      </c>
      <c r="GS54" s="2">
        <v>3</v>
      </c>
      <c r="GT54" s="2">
        <v>0</v>
      </c>
      <c r="GU54" s="2" t="s">
        <v>3</v>
      </c>
      <c r="GV54" s="2">
        <f t="shared" si="43"/>
        <v>0</v>
      </c>
      <c r="GW54" s="2">
        <v>1</v>
      </c>
      <c r="GX54" s="2">
        <f t="shared" si="44"/>
        <v>0</v>
      </c>
      <c r="GY54" s="2"/>
      <c r="GZ54" s="2"/>
      <c r="HA54" s="2">
        <v>0</v>
      </c>
      <c r="HB54" s="2">
        <v>0</v>
      </c>
      <c r="HC54" s="2">
        <f t="shared" si="45"/>
        <v>0</v>
      </c>
      <c r="HD54" s="2"/>
      <c r="HE54" s="2" t="s">
        <v>3</v>
      </c>
      <c r="HF54" s="2" t="s">
        <v>3</v>
      </c>
      <c r="HG54" s="2"/>
      <c r="HH54" s="2"/>
      <c r="HI54" s="2"/>
      <c r="HJ54" s="2"/>
      <c r="HK54" s="2"/>
      <c r="HL54" s="2"/>
      <c r="HM54" s="2" t="s">
        <v>35</v>
      </c>
      <c r="HN54" s="2" t="s">
        <v>3</v>
      </c>
      <c r="HO54" s="2" t="s">
        <v>3</v>
      </c>
      <c r="HP54" s="2" t="s">
        <v>3</v>
      </c>
      <c r="HQ54" s="2" t="s">
        <v>3</v>
      </c>
      <c r="HR54" s="2"/>
      <c r="HS54" s="2">
        <v>0</v>
      </c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>
        <v>0</v>
      </c>
      <c r="IL54" s="2"/>
      <c r="IM54" s="2"/>
      <c r="IN54" s="2"/>
      <c r="IO54" s="2"/>
      <c r="IP54" s="2"/>
      <c r="IQ54" s="2"/>
      <c r="IR54" s="2"/>
      <c r="IS54" s="2"/>
      <c r="IT54" s="2"/>
      <c r="IU54" s="2"/>
    </row>
    <row r="55" spans="1:255" x14ac:dyDescent="0.2">
      <c r="A55" s="3">
        <v>18</v>
      </c>
      <c r="B55" s="3">
        <v>1</v>
      </c>
      <c r="C55" s="3">
        <v>112</v>
      </c>
      <c r="E55" s="3" t="s">
        <v>105</v>
      </c>
      <c r="F55" s="3" t="s">
        <v>106</v>
      </c>
      <c r="G55" s="3" t="s">
        <v>107</v>
      </c>
      <c r="H55" s="3" t="s">
        <v>99</v>
      </c>
      <c r="I55" s="3">
        <f>I53*J55</f>
        <v>9</v>
      </c>
      <c r="J55" s="3">
        <v>1</v>
      </c>
      <c r="K55" s="3">
        <v>1</v>
      </c>
      <c r="O55" s="3">
        <f t="shared" si="21"/>
        <v>60960.26</v>
      </c>
      <c r="P55" s="3">
        <f t="shared" si="60"/>
        <v>60960.26</v>
      </c>
      <c r="Q55" s="3">
        <f>(ROUND((ROUND(((ET55)*AV55*I55),2)*BB55),2)+ROUND((ROUND(((AE55-(EU55))*AV55*I55),2)*BS55),2))</f>
        <v>0</v>
      </c>
      <c r="R55" s="3">
        <f>(ROUND((ROUND(((EU55)*AV55*I55),2)*BS55),2)+ROUND((ROUND(((AE55-(EU55))*AV55*I55),2)*BS55),2))</f>
        <v>0</v>
      </c>
      <c r="S55" s="3">
        <f t="shared" si="23"/>
        <v>0</v>
      </c>
      <c r="T55" s="3">
        <f t="shared" si="24"/>
        <v>0</v>
      </c>
      <c r="U55" s="3">
        <f t="shared" si="25"/>
        <v>0</v>
      </c>
      <c r="V55" s="3">
        <f t="shared" si="26"/>
        <v>0</v>
      </c>
      <c r="W55" s="3">
        <f t="shared" si="27"/>
        <v>0</v>
      </c>
      <c r="X55" s="3">
        <f>(ROUND((((S55+ROUND((ROUND(((EU55)*AV55*I55),2)*BS55),2))*AT55)/100),2)+ROUND(((ROUND((ROUND(((AE55-(EU55))*AV55*I55),2)*BS55),2)*AT55)/100),2))</f>
        <v>0</v>
      </c>
      <c r="Y55" s="3">
        <f>(ROUND((((S55+ROUND((ROUND(((EU55)*AV55*I55),2)*BS55),2))*AU55)/100),2)+ROUND(((ROUND((ROUND(((AE55-(EU55))*AV55*I55),2)*BS55),2)*AU55)/100),2))</f>
        <v>0</v>
      </c>
      <c r="AA55" s="3">
        <v>85739207</v>
      </c>
      <c r="AB55" s="3">
        <f t="shared" si="28"/>
        <v>2177.9299999999998</v>
      </c>
      <c r="AC55" s="3">
        <f>ROUND((ES55),6)</f>
        <v>2177.9299999999998</v>
      </c>
      <c r="AD55" s="3">
        <f>ROUND((((ET55)-(EU55))+AE55),6)</f>
        <v>0</v>
      </c>
      <c r="AE55" s="3">
        <f>ROUND((EU55),6)</f>
        <v>0</v>
      </c>
      <c r="AF55" s="3">
        <f>ROUND((EV55),6)</f>
        <v>0</v>
      </c>
      <c r="AG55" s="3">
        <f t="shared" si="29"/>
        <v>0</v>
      </c>
      <c r="AH55" s="3">
        <f>(EW55)</f>
        <v>0</v>
      </c>
      <c r="AI55" s="3">
        <f>(EX55)</f>
        <v>0</v>
      </c>
      <c r="AJ55" s="3">
        <f t="shared" si="30"/>
        <v>0</v>
      </c>
      <c r="AK55" s="3">
        <v>2177.9299999999998</v>
      </c>
      <c r="AL55" s="3">
        <v>2177.9299999999998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90</v>
      </c>
      <c r="AU55" s="3">
        <v>46</v>
      </c>
      <c r="AV55" s="3">
        <v>1</v>
      </c>
      <c r="AW55" s="3">
        <v>1</v>
      </c>
      <c r="AZ55" s="3">
        <v>1</v>
      </c>
      <c r="BA55" s="3">
        <v>1</v>
      </c>
      <c r="BB55" s="3">
        <v>1</v>
      </c>
      <c r="BC55" s="3">
        <v>3.11</v>
      </c>
      <c r="BD55" s="3" t="s">
        <v>3</v>
      </c>
      <c r="BE55" s="3" t="s">
        <v>3</v>
      </c>
      <c r="BF55" s="3" t="s">
        <v>3</v>
      </c>
      <c r="BG55" s="3" t="s">
        <v>3</v>
      </c>
      <c r="BH55" s="3">
        <v>3</v>
      </c>
      <c r="BI55" s="3">
        <v>2</v>
      </c>
      <c r="BJ55" s="3" t="s">
        <v>108</v>
      </c>
      <c r="BM55" s="3">
        <v>73</v>
      </c>
      <c r="BN55" s="3">
        <v>0</v>
      </c>
      <c r="BO55" s="3" t="s">
        <v>106</v>
      </c>
      <c r="BP55" s="3">
        <v>1</v>
      </c>
      <c r="BQ55" s="3">
        <v>40</v>
      </c>
      <c r="BR55" s="3">
        <v>0</v>
      </c>
      <c r="BS55" s="3">
        <v>1</v>
      </c>
      <c r="BT55" s="3">
        <v>1</v>
      </c>
      <c r="BU55" s="3">
        <v>1</v>
      </c>
      <c r="BV55" s="3">
        <v>1</v>
      </c>
      <c r="BW55" s="3">
        <v>1</v>
      </c>
      <c r="BX55" s="3">
        <v>1</v>
      </c>
      <c r="BY55" s="3" t="s">
        <v>3</v>
      </c>
      <c r="BZ55" s="3">
        <v>90</v>
      </c>
      <c r="CA55" s="3">
        <v>46</v>
      </c>
      <c r="CB55" s="3" t="s">
        <v>3</v>
      </c>
      <c r="CE55" s="3">
        <v>1566</v>
      </c>
      <c r="CF55" s="3">
        <v>0</v>
      </c>
      <c r="CG55" s="3">
        <v>0</v>
      </c>
      <c r="CM55" s="3">
        <v>0</v>
      </c>
      <c r="CN55" s="3" t="s">
        <v>679</v>
      </c>
      <c r="CO55" s="3">
        <v>0</v>
      </c>
      <c r="CP55" s="3">
        <f t="shared" si="31"/>
        <v>60960.26</v>
      </c>
      <c r="CQ55" s="3">
        <f t="shared" si="61"/>
        <v>6773.36</v>
      </c>
      <c r="CR55" s="3">
        <f>(ROUND((ROUND(((ET55)*AV55*1),2)*BB55),2)+ROUND((ROUND(((AE55-(EU55))*AV55*1),2)*BS55),2))</f>
        <v>0</v>
      </c>
      <c r="CS55" s="3">
        <f>(ROUND((ROUND(((EU55)*AV55*1),2)*BS55),2)+ROUND((ROUND(((AE55-(EU55))*AV55*1),2)*BS55),2))</f>
        <v>0</v>
      </c>
      <c r="CT55" s="3">
        <f t="shared" si="33"/>
        <v>0</v>
      </c>
      <c r="CU55" s="3">
        <f t="shared" si="34"/>
        <v>0</v>
      </c>
      <c r="CV55" s="3">
        <f t="shared" si="35"/>
        <v>0</v>
      </c>
      <c r="CW55" s="3">
        <f t="shared" si="36"/>
        <v>0</v>
      </c>
      <c r="CX55" s="3">
        <f t="shared" si="37"/>
        <v>0</v>
      </c>
      <c r="CY55" s="3">
        <f>(ROUND((((S55+ROUND((ROUND(((EU55)*AV55*1),2)*BS55),2))*AT55)/100),2)+ROUND(((ROUND((ROUND(((AE55-(EU55))*AV55*1),2)*BS55),2)*AT55)/100),2))</f>
        <v>0</v>
      </c>
      <c r="CZ55" s="3">
        <f>(ROUND((((S55+ROUND((ROUND(((EU55)*AV55*1),2)*BS55),2))*AU55)/100),2)+ROUND(((ROUND((ROUND(((AE55-(EU55))*AV55*1),2)*BS55),2)*AU55)/100),2))</f>
        <v>0</v>
      </c>
      <c r="DC55" s="3" t="s">
        <v>3</v>
      </c>
      <c r="DD55" s="3" t="s">
        <v>3</v>
      </c>
      <c r="DE55" s="3" t="s">
        <v>3</v>
      </c>
      <c r="DF55" s="3" t="s">
        <v>3</v>
      </c>
      <c r="DG55" s="3" t="s">
        <v>3</v>
      </c>
      <c r="DH55" s="3" t="s">
        <v>3</v>
      </c>
      <c r="DI55" s="3" t="s">
        <v>3</v>
      </c>
      <c r="DJ55" s="3" t="s">
        <v>3</v>
      </c>
      <c r="DK55" s="3" t="s">
        <v>3</v>
      </c>
      <c r="DL55" s="3" t="s">
        <v>3</v>
      </c>
      <c r="DM55" s="3" t="s">
        <v>3</v>
      </c>
      <c r="DN55" s="3">
        <v>0</v>
      </c>
      <c r="DO55" s="3">
        <v>0</v>
      </c>
      <c r="DP55" s="3">
        <v>1</v>
      </c>
      <c r="DQ55" s="3">
        <v>1</v>
      </c>
      <c r="DU55" s="3">
        <v>1010</v>
      </c>
      <c r="DV55" s="3" t="s">
        <v>99</v>
      </c>
      <c r="DW55" s="3" t="s">
        <v>99</v>
      </c>
      <c r="DX55" s="3">
        <v>1</v>
      </c>
      <c r="DZ55" s="3" t="s">
        <v>3</v>
      </c>
      <c r="EA55" s="3" t="s">
        <v>3</v>
      </c>
      <c r="EB55" s="3" t="s">
        <v>3</v>
      </c>
      <c r="EC55" s="3" t="s">
        <v>3</v>
      </c>
      <c r="EE55" s="3">
        <v>85133422</v>
      </c>
      <c r="EF55" s="3">
        <v>40</v>
      </c>
      <c r="EG55" s="3" t="s">
        <v>27</v>
      </c>
      <c r="EH55" s="3">
        <v>0</v>
      </c>
      <c r="EI55" s="3" t="s">
        <v>3</v>
      </c>
      <c r="EJ55" s="3">
        <v>2</v>
      </c>
      <c r="EK55" s="3">
        <v>73</v>
      </c>
      <c r="EL55" s="3" t="s">
        <v>62</v>
      </c>
      <c r="EM55" s="3" t="s">
        <v>63</v>
      </c>
      <c r="EO55" s="3" t="s">
        <v>37</v>
      </c>
      <c r="EQ55" s="3">
        <v>0</v>
      </c>
      <c r="ER55" s="3">
        <v>2177.9299999999998</v>
      </c>
      <c r="ES55" s="3">
        <v>2177.9299999999998</v>
      </c>
      <c r="ET55" s="3">
        <v>0</v>
      </c>
      <c r="EU55" s="3">
        <v>0</v>
      </c>
      <c r="EV55" s="3">
        <v>0</v>
      </c>
      <c r="EW55" s="3">
        <v>0</v>
      </c>
      <c r="EX55" s="3">
        <v>0</v>
      </c>
      <c r="FQ55" s="3">
        <v>0</v>
      </c>
      <c r="FR55" s="3">
        <v>0</v>
      </c>
      <c r="FS55" s="3">
        <v>0</v>
      </c>
      <c r="FX55" s="3">
        <v>90</v>
      </c>
      <c r="FY55" s="3">
        <v>46</v>
      </c>
      <c r="GA55" s="3" t="s">
        <v>3</v>
      </c>
      <c r="GD55" s="3">
        <v>1</v>
      </c>
      <c r="GF55" s="3">
        <v>873960273</v>
      </c>
      <c r="GG55" s="3">
        <v>2</v>
      </c>
      <c r="GH55" s="3">
        <v>1</v>
      </c>
      <c r="GI55" s="3">
        <v>2</v>
      </c>
      <c r="GJ55" s="3">
        <v>0</v>
      </c>
      <c r="GK55" s="3">
        <v>0</v>
      </c>
      <c r="GL55" s="3">
        <f t="shared" si="38"/>
        <v>0</v>
      </c>
      <c r="GM55" s="3">
        <f t="shared" si="39"/>
        <v>60960.26</v>
      </c>
      <c r="GN55" s="3">
        <f t="shared" si="40"/>
        <v>0</v>
      </c>
      <c r="GO55" s="3">
        <f t="shared" si="41"/>
        <v>60960.26</v>
      </c>
      <c r="GP55" s="3">
        <f t="shared" si="42"/>
        <v>0</v>
      </c>
      <c r="GR55" s="3">
        <v>0</v>
      </c>
      <c r="GS55" s="3">
        <v>3</v>
      </c>
      <c r="GT55" s="3">
        <v>0</v>
      </c>
      <c r="GU55" s="3" t="s">
        <v>3</v>
      </c>
      <c r="GV55" s="3">
        <f t="shared" si="43"/>
        <v>0</v>
      </c>
      <c r="GW55" s="3">
        <v>1</v>
      </c>
      <c r="GX55" s="3">
        <f t="shared" si="44"/>
        <v>0</v>
      </c>
      <c r="HA55" s="3">
        <v>0</v>
      </c>
      <c r="HB55" s="3">
        <v>0</v>
      </c>
      <c r="HC55" s="3">
        <f t="shared" si="45"/>
        <v>0</v>
      </c>
      <c r="HE55" s="3" t="s">
        <v>3</v>
      </c>
      <c r="HF55" s="3" t="s">
        <v>3</v>
      </c>
      <c r="HM55" s="3" t="s">
        <v>35</v>
      </c>
      <c r="HN55" s="3" t="s">
        <v>3</v>
      </c>
      <c r="HO55" s="3" t="s">
        <v>3</v>
      </c>
      <c r="HP55" s="3" t="s">
        <v>3</v>
      </c>
      <c r="HQ55" s="3" t="s">
        <v>3</v>
      </c>
      <c r="HS55" s="3">
        <v>0</v>
      </c>
      <c r="IK55" s="3">
        <v>0</v>
      </c>
    </row>
    <row r="56" spans="1:255" x14ac:dyDescent="0.2">
      <c r="A56" s="2">
        <v>17</v>
      </c>
      <c r="B56" s="2">
        <v>1</v>
      </c>
      <c r="C56" s="2">
        <f>ROW(SmtRes!A117)</f>
        <v>117</v>
      </c>
      <c r="D56" s="2">
        <f>ROW(EtalonRes!A147)</f>
        <v>147</v>
      </c>
      <c r="E56" s="2" t="s">
        <v>109</v>
      </c>
      <c r="F56" s="2" t="s">
        <v>59</v>
      </c>
      <c r="G56" s="2" t="s">
        <v>110</v>
      </c>
      <c r="H56" s="2" t="s">
        <v>23</v>
      </c>
      <c r="I56" s="2">
        <f>ROUND(4+4,9)</f>
        <v>8</v>
      </c>
      <c r="J56" s="2">
        <v>0</v>
      </c>
      <c r="K56" s="2">
        <f>ROUND(4+4,9)</f>
        <v>8</v>
      </c>
      <c r="L56" s="2"/>
      <c r="M56" s="2"/>
      <c r="N56" s="2"/>
      <c r="O56" s="2">
        <f t="shared" si="21"/>
        <v>556.86</v>
      </c>
      <c r="P56" s="2">
        <f t="shared" si="60"/>
        <v>22.78</v>
      </c>
      <c r="Q56" s="2">
        <f>(ROUND((ROUND((((ET56*1.2))*AV56*I56),2)*BB56),2)+ROUND((ROUND(((AE56-((EU56*1.2)))*AV56*I56),2)*BS56),2))</f>
        <v>17</v>
      </c>
      <c r="R56" s="2">
        <f>(ROUND((ROUND((((EU56*1.2))*AV56*I56),2)*BS56),2)+ROUND((ROUND(((AE56-((EU56*1.2)))*AV56*I56),2)*BS56),2))</f>
        <v>2.56</v>
      </c>
      <c r="S56" s="2">
        <f t="shared" si="23"/>
        <v>517.08000000000004</v>
      </c>
      <c r="T56" s="2">
        <f t="shared" si="24"/>
        <v>0</v>
      </c>
      <c r="U56" s="2">
        <f t="shared" si="25"/>
        <v>40.972799999999999</v>
      </c>
      <c r="V56" s="2">
        <f t="shared" si="26"/>
        <v>0</v>
      </c>
      <c r="W56" s="2">
        <f t="shared" si="27"/>
        <v>0</v>
      </c>
      <c r="X56" s="2">
        <f>(ROUND((((S56+ROUND((ROUND((((EU56*1.2))*AV56*I56),2)*BS56),2))*AT56)/100),2)+ROUND(((ROUND((ROUND(((AE56-((EU56*1.2)))*AV56*I56),2)*BS56),2)*AT56)/100),2))</f>
        <v>467.68</v>
      </c>
      <c r="Y56" s="2">
        <f>(ROUND((((S56+ROUND((ROUND((((EU56*1.2))*AV56*I56),2)*BS56),2))*AU56)/100),2)+ROUND(((ROUND((ROUND(((AE56-((EU56*1.2)))*AV56*I56),2)*BS56),2)*AU56)/100),2))</f>
        <v>239.03</v>
      </c>
      <c r="Z56" s="2"/>
      <c r="AA56" s="2">
        <v>85739205</v>
      </c>
      <c r="AB56" s="2">
        <f t="shared" si="28"/>
        <v>65.337999999999994</v>
      </c>
      <c r="AC56" s="2">
        <f>ROUND(((ES56*1)),6)</f>
        <v>2.77</v>
      </c>
      <c r="AD56" s="2">
        <f>ROUND(((((ET56*1.2))-((EU56*1.2)))+AE56),6)</f>
        <v>1.992</v>
      </c>
      <c r="AE56" s="2">
        <f>ROUND(((EU56*1.2)),6)</f>
        <v>0.3</v>
      </c>
      <c r="AF56" s="2">
        <f>ROUND(((EV56*1.2)),6)</f>
        <v>60.576000000000001</v>
      </c>
      <c r="AG56" s="2">
        <f t="shared" si="29"/>
        <v>0</v>
      </c>
      <c r="AH56" s="2">
        <f>((EW56*1.2))</f>
        <v>4.8</v>
      </c>
      <c r="AI56" s="2">
        <f>((EX56*1.2))</f>
        <v>0</v>
      </c>
      <c r="AJ56" s="2">
        <f t="shared" si="30"/>
        <v>0</v>
      </c>
      <c r="AK56" s="2">
        <v>54.91</v>
      </c>
      <c r="AL56" s="2">
        <v>2.77</v>
      </c>
      <c r="AM56" s="2">
        <v>1.66</v>
      </c>
      <c r="AN56" s="2">
        <v>0.25</v>
      </c>
      <c r="AO56" s="2">
        <v>50.48</v>
      </c>
      <c r="AP56" s="2">
        <v>0</v>
      </c>
      <c r="AQ56" s="2">
        <v>4</v>
      </c>
      <c r="AR56" s="2">
        <v>0</v>
      </c>
      <c r="AS56" s="2">
        <v>0</v>
      </c>
      <c r="AT56" s="2">
        <v>90</v>
      </c>
      <c r="AU56" s="2">
        <v>46</v>
      </c>
      <c r="AV56" s="2">
        <v>1.0669999999999999</v>
      </c>
      <c r="AW56" s="2">
        <v>1.028</v>
      </c>
      <c r="AX56" s="2"/>
      <c r="AY56" s="2"/>
      <c r="AZ56" s="2">
        <v>1</v>
      </c>
      <c r="BA56" s="2">
        <v>1</v>
      </c>
      <c r="BB56" s="2">
        <v>1</v>
      </c>
      <c r="BC56" s="2">
        <v>1</v>
      </c>
      <c r="BD56" s="2" t="s">
        <v>3</v>
      </c>
      <c r="BE56" s="2" t="s">
        <v>3</v>
      </c>
      <c r="BF56" s="2" t="s">
        <v>3</v>
      </c>
      <c r="BG56" s="2" t="s">
        <v>3</v>
      </c>
      <c r="BH56" s="2">
        <v>0</v>
      </c>
      <c r="BI56" s="2">
        <v>2</v>
      </c>
      <c r="BJ56" s="2" t="s">
        <v>61</v>
      </c>
      <c r="BK56" s="2"/>
      <c r="BL56" s="2"/>
      <c r="BM56" s="2">
        <v>73</v>
      </c>
      <c r="BN56" s="2">
        <v>0</v>
      </c>
      <c r="BO56" s="2" t="s">
        <v>59</v>
      </c>
      <c r="BP56" s="2">
        <v>1</v>
      </c>
      <c r="BQ56" s="2">
        <v>40</v>
      </c>
      <c r="BR56" s="2">
        <v>0</v>
      </c>
      <c r="BS56" s="2">
        <v>1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 t="s">
        <v>3</v>
      </c>
      <c r="BZ56" s="2">
        <v>90</v>
      </c>
      <c r="CA56" s="2">
        <v>46</v>
      </c>
      <c r="CB56" s="2" t="s">
        <v>3</v>
      </c>
      <c r="CC56" s="2"/>
      <c r="CD56" s="2"/>
      <c r="CE56" s="2">
        <v>1566</v>
      </c>
      <c r="CF56" s="2">
        <v>0</v>
      </c>
      <c r="CG56" s="2">
        <v>0</v>
      </c>
      <c r="CH56" s="2"/>
      <c r="CI56" s="2"/>
      <c r="CJ56" s="2"/>
      <c r="CK56" s="2"/>
      <c r="CL56" s="2"/>
      <c r="CM56" s="2">
        <v>0</v>
      </c>
      <c r="CN56" s="2" t="s">
        <v>677</v>
      </c>
      <c r="CO56" s="2">
        <v>0</v>
      </c>
      <c r="CP56" s="2">
        <f t="shared" si="31"/>
        <v>556.86</v>
      </c>
      <c r="CQ56" s="2">
        <f t="shared" si="61"/>
        <v>2.85</v>
      </c>
      <c r="CR56" s="2">
        <f>(ROUND((ROUND((((ET56*1.2))*AV56*1),2)*BB56),2)+ROUND((ROUND(((AE56-((EU56*1.2)))*AV56*1),2)*BS56),2))</f>
        <v>2.13</v>
      </c>
      <c r="CS56" s="2">
        <f>(ROUND((ROUND((((EU56*1.2))*AV56*1),2)*BS56),2)+ROUND((ROUND(((AE56-((EU56*1.2)))*AV56*1),2)*BS56),2))</f>
        <v>0.32</v>
      </c>
      <c r="CT56" s="2">
        <f t="shared" si="33"/>
        <v>64.63</v>
      </c>
      <c r="CU56" s="2">
        <f t="shared" si="34"/>
        <v>0</v>
      </c>
      <c r="CV56" s="2">
        <f t="shared" si="35"/>
        <v>5.1215999999999999</v>
      </c>
      <c r="CW56" s="2">
        <f t="shared" si="36"/>
        <v>0</v>
      </c>
      <c r="CX56" s="2">
        <f t="shared" si="37"/>
        <v>0</v>
      </c>
      <c r="CY56" s="2">
        <f>(ROUND((((S56+ROUND((ROUND((((EU56*1.2))*AV56*1),2)*BS56),2))*AT56)/100),2)+ROUND(((ROUND((ROUND(((AE56-((EU56*1.2)))*AV56*1),2)*BS56),2)*AT56)/100),2))</f>
        <v>465.66</v>
      </c>
      <c r="CZ56" s="2">
        <f>(ROUND((((S56+ROUND((ROUND((((EU56*1.2))*AV56*1),2)*BS56),2))*AU56)/100),2)+ROUND(((ROUND((ROUND(((AE56-((EU56*1.2)))*AV56*1),2)*BS56),2)*AU56)/100),2))</f>
        <v>238</v>
      </c>
      <c r="DA56" s="2"/>
      <c r="DB56" s="2">
        <v>25</v>
      </c>
      <c r="DC56" s="2" t="s">
        <v>3</v>
      </c>
      <c r="DD56" s="2" t="s">
        <v>35</v>
      </c>
      <c r="DE56" s="2" t="s">
        <v>36</v>
      </c>
      <c r="DF56" s="2" t="s">
        <v>36</v>
      </c>
      <c r="DG56" s="2" t="s">
        <v>36</v>
      </c>
      <c r="DH56" s="2" t="s">
        <v>3</v>
      </c>
      <c r="DI56" s="2" t="s">
        <v>36</v>
      </c>
      <c r="DJ56" s="2" t="s">
        <v>36</v>
      </c>
      <c r="DK56" s="2" t="s">
        <v>3</v>
      </c>
      <c r="DL56" s="2" t="s">
        <v>3</v>
      </c>
      <c r="DM56" s="2" t="s">
        <v>3</v>
      </c>
      <c r="DN56" s="2">
        <v>0</v>
      </c>
      <c r="DO56" s="2">
        <v>0</v>
      </c>
      <c r="DP56" s="2">
        <v>1</v>
      </c>
      <c r="DQ56" s="2">
        <v>1</v>
      </c>
      <c r="DR56" s="2"/>
      <c r="DS56" s="2"/>
      <c r="DT56" s="2"/>
      <c r="DU56" s="2">
        <v>1013</v>
      </c>
      <c r="DV56" s="2" t="s">
        <v>23</v>
      </c>
      <c r="DW56" s="2" t="s">
        <v>23</v>
      </c>
      <c r="DX56" s="2">
        <v>1</v>
      </c>
      <c r="DY56" s="2"/>
      <c r="DZ56" s="2" t="s">
        <v>3</v>
      </c>
      <c r="EA56" s="2" t="s">
        <v>3</v>
      </c>
      <c r="EB56" s="2" t="s">
        <v>3</v>
      </c>
      <c r="EC56" s="2" t="s">
        <v>3</v>
      </c>
      <c r="ED56" s="2"/>
      <c r="EE56" s="2">
        <v>85133422</v>
      </c>
      <c r="EF56" s="2">
        <v>40</v>
      </c>
      <c r="EG56" s="2" t="s">
        <v>27</v>
      </c>
      <c r="EH56" s="2">
        <v>0</v>
      </c>
      <c r="EI56" s="2" t="s">
        <v>3</v>
      </c>
      <c r="EJ56" s="2">
        <v>2</v>
      </c>
      <c r="EK56" s="2">
        <v>73</v>
      </c>
      <c r="EL56" s="2" t="s">
        <v>62</v>
      </c>
      <c r="EM56" s="2" t="s">
        <v>63</v>
      </c>
      <c r="EN56" s="2"/>
      <c r="EO56" s="2" t="s">
        <v>37</v>
      </c>
      <c r="EP56" s="2"/>
      <c r="EQ56" s="2">
        <v>0</v>
      </c>
      <c r="ER56" s="2">
        <v>54.91</v>
      </c>
      <c r="ES56" s="2">
        <v>2.77</v>
      </c>
      <c r="ET56" s="2">
        <v>1.66</v>
      </c>
      <c r="EU56" s="2">
        <v>0.25</v>
      </c>
      <c r="EV56" s="2">
        <v>50.48</v>
      </c>
      <c r="EW56" s="2">
        <v>4</v>
      </c>
      <c r="EX56" s="2">
        <v>0</v>
      </c>
      <c r="EY56" s="2">
        <v>0</v>
      </c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>
        <v>0</v>
      </c>
      <c r="FR56" s="2">
        <v>0</v>
      </c>
      <c r="FS56" s="2">
        <v>2</v>
      </c>
      <c r="FT56" s="2"/>
      <c r="FU56" s="2"/>
      <c r="FV56" s="2"/>
      <c r="FW56" s="2"/>
      <c r="FX56" s="2">
        <v>90</v>
      </c>
      <c r="FY56" s="2">
        <v>46</v>
      </c>
      <c r="FZ56" s="2"/>
      <c r="GA56" s="2" t="s">
        <v>3</v>
      </c>
      <c r="GB56" s="2"/>
      <c r="GC56" s="2"/>
      <c r="GD56" s="2">
        <v>1</v>
      </c>
      <c r="GE56" s="2"/>
      <c r="GF56" s="2">
        <v>-202371068</v>
      </c>
      <c r="GG56" s="2">
        <v>2</v>
      </c>
      <c r="GH56" s="2">
        <v>1</v>
      </c>
      <c r="GI56" s="2">
        <v>2</v>
      </c>
      <c r="GJ56" s="2">
        <v>0</v>
      </c>
      <c r="GK56" s="2">
        <v>0</v>
      </c>
      <c r="GL56" s="2">
        <f t="shared" si="38"/>
        <v>0</v>
      </c>
      <c r="GM56" s="2">
        <f t="shared" si="39"/>
        <v>1263.57</v>
      </c>
      <c r="GN56" s="2">
        <f t="shared" si="40"/>
        <v>0</v>
      </c>
      <c r="GO56" s="2">
        <f t="shared" si="41"/>
        <v>1263.57</v>
      </c>
      <c r="GP56" s="2">
        <f t="shared" si="42"/>
        <v>0</v>
      </c>
      <c r="GQ56" s="2"/>
      <c r="GR56" s="2">
        <v>0</v>
      </c>
      <c r="GS56" s="2">
        <v>3</v>
      </c>
      <c r="GT56" s="2">
        <v>0</v>
      </c>
      <c r="GU56" s="2" t="s">
        <v>3</v>
      </c>
      <c r="GV56" s="2">
        <f t="shared" si="43"/>
        <v>0</v>
      </c>
      <c r="GW56" s="2">
        <v>1</v>
      </c>
      <c r="GX56" s="2">
        <f t="shared" si="44"/>
        <v>0</v>
      </c>
      <c r="GY56" s="2"/>
      <c r="GZ56" s="2"/>
      <c r="HA56" s="2">
        <v>0</v>
      </c>
      <c r="HB56" s="2">
        <v>0</v>
      </c>
      <c r="HC56" s="2">
        <f t="shared" si="45"/>
        <v>0</v>
      </c>
      <c r="HD56" s="2"/>
      <c r="HE56" s="2" t="s">
        <v>3</v>
      </c>
      <c r="HF56" s="2" t="s">
        <v>3</v>
      </c>
      <c r="HG56" s="2"/>
      <c r="HH56" s="2"/>
      <c r="HI56" s="2"/>
      <c r="HJ56" s="2"/>
      <c r="HK56" s="2"/>
      <c r="HL56" s="2"/>
      <c r="HM56" s="2" t="s">
        <v>3</v>
      </c>
      <c r="HN56" s="2" t="s">
        <v>3</v>
      </c>
      <c r="HO56" s="2" t="s">
        <v>3</v>
      </c>
      <c r="HP56" s="2" t="s">
        <v>3</v>
      </c>
      <c r="HQ56" s="2" t="s">
        <v>3</v>
      </c>
      <c r="HR56" s="2"/>
      <c r="HS56" s="2">
        <v>0</v>
      </c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>
        <v>0</v>
      </c>
      <c r="IL56" s="2"/>
      <c r="IM56" s="2"/>
      <c r="IN56" s="2"/>
      <c r="IO56" s="2"/>
      <c r="IP56" s="2"/>
      <c r="IQ56" s="2"/>
      <c r="IR56" s="2"/>
      <c r="IS56" s="2"/>
      <c r="IT56" s="2"/>
      <c r="IU56" s="2"/>
    </row>
    <row r="57" spans="1:255" x14ac:dyDescent="0.2">
      <c r="A57" s="3">
        <v>17</v>
      </c>
      <c r="B57" s="3">
        <v>1</v>
      </c>
      <c r="C57" s="3">
        <f>ROW(SmtRes!A122)</f>
        <v>122</v>
      </c>
      <c r="D57" s="3">
        <f>ROW(EtalonRes!A152)</f>
        <v>152</v>
      </c>
      <c r="E57" s="3" t="s">
        <v>109</v>
      </c>
      <c r="F57" s="3" t="s">
        <v>59</v>
      </c>
      <c r="G57" s="3" t="s">
        <v>110</v>
      </c>
      <c r="H57" s="3" t="s">
        <v>23</v>
      </c>
      <c r="I57" s="3">
        <f>ROUND(4+4,9)</f>
        <v>8</v>
      </c>
      <c r="J57" s="3">
        <v>0</v>
      </c>
      <c r="K57" s="3">
        <f>ROUND(4+4,9)</f>
        <v>8</v>
      </c>
      <c r="O57" s="3">
        <f t="shared" si="21"/>
        <v>29530.5</v>
      </c>
      <c r="P57" s="3">
        <f t="shared" si="60"/>
        <v>102.51</v>
      </c>
      <c r="Q57" s="3">
        <f>(ROUND((ROUND((((ET57*1.2))*AV57*I57),2)*BB57),2)+ROUND((ROUND(((AE57-((EU57*1.2)))*AV57*I57),2)*BS57),2))</f>
        <v>290.52999999999997</v>
      </c>
      <c r="R57" s="3">
        <f>(ROUND((ROUND((((EU57*1.2))*AV57*I57),2)*BS57),2)+ROUND((ROUND(((AE57-((EU57*1.2)))*AV57*I57),2)*BS57),2))</f>
        <v>144.26</v>
      </c>
      <c r="S57" s="3">
        <f t="shared" si="23"/>
        <v>29137.46</v>
      </c>
      <c r="T57" s="3">
        <f t="shared" si="24"/>
        <v>0</v>
      </c>
      <c r="U57" s="3">
        <f t="shared" si="25"/>
        <v>40.972799999999999</v>
      </c>
      <c r="V57" s="3">
        <f t="shared" si="26"/>
        <v>0</v>
      </c>
      <c r="W57" s="3">
        <f t="shared" si="27"/>
        <v>0</v>
      </c>
      <c r="X57" s="3">
        <f>(ROUND((((S57+ROUND((ROUND((((EU57*1.2))*AV57*I57),2)*BS57),2))*AT57)/100),2)+ROUND(((ROUND((ROUND(((AE57-((EU57*1.2)))*AV57*I57),2)*BS57),2)*AT57)/100),2))</f>
        <v>26353.55</v>
      </c>
      <c r="Y57" s="3">
        <f>(ROUND((((S57+ROUND((ROUND((((EU57*1.2))*AV57*I57),2)*BS57),2))*AU57)/100),2)+ROUND(((ROUND((ROUND(((AE57-((EU57*1.2)))*AV57*I57),2)*BS57),2)*AU57)/100),2))</f>
        <v>13469.59</v>
      </c>
      <c r="AA57" s="3">
        <v>85739207</v>
      </c>
      <c r="AB57" s="3">
        <f t="shared" si="28"/>
        <v>65.337999999999994</v>
      </c>
      <c r="AC57" s="3">
        <f>ROUND(((ES57*1)),6)</f>
        <v>2.77</v>
      </c>
      <c r="AD57" s="3">
        <f>ROUND(((((ET57*1.2))-((EU57*1.2)))+AE57),6)</f>
        <v>1.992</v>
      </c>
      <c r="AE57" s="3">
        <f>ROUND(((EU57*1.2)),6)</f>
        <v>0.3</v>
      </c>
      <c r="AF57" s="3">
        <f>ROUND(((EV57*1.2)),6)</f>
        <v>60.576000000000001</v>
      </c>
      <c r="AG57" s="3">
        <f t="shared" si="29"/>
        <v>0</v>
      </c>
      <c r="AH57" s="3">
        <f>((EW57*1.2))</f>
        <v>4.8</v>
      </c>
      <c r="AI57" s="3">
        <f>((EX57*1.2))</f>
        <v>0</v>
      </c>
      <c r="AJ57" s="3">
        <f t="shared" si="30"/>
        <v>0</v>
      </c>
      <c r="AK57" s="3">
        <v>54.91</v>
      </c>
      <c r="AL57" s="3">
        <v>2.77</v>
      </c>
      <c r="AM57" s="3">
        <v>1.66</v>
      </c>
      <c r="AN57" s="3">
        <v>0.25</v>
      </c>
      <c r="AO57" s="3">
        <v>50.48</v>
      </c>
      <c r="AP57" s="3">
        <v>0</v>
      </c>
      <c r="AQ57" s="3">
        <v>4</v>
      </c>
      <c r="AR57" s="3">
        <v>0</v>
      </c>
      <c r="AS57" s="3">
        <v>0</v>
      </c>
      <c r="AT57" s="3">
        <v>90</v>
      </c>
      <c r="AU57" s="3">
        <v>46</v>
      </c>
      <c r="AV57" s="3">
        <v>1.0669999999999999</v>
      </c>
      <c r="AW57" s="3">
        <v>1.028</v>
      </c>
      <c r="AZ57" s="3">
        <v>1</v>
      </c>
      <c r="BA57" s="3">
        <v>56.35</v>
      </c>
      <c r="BB57" s="3">
        <v>17.09</v>
      </c>
      <c r="BC57" s="3">
        <v>4.5</v>
      </c>
      <c r="BD57" s="3" t="s">
        <v>3</v>
      </c>
      <c r="BE57" s="3" t="s">
        <v>3</v>
      </c>
      <c r="BF57" s="3" t="s">
        <v>3</v>
      </c>
      <c r="BG57" s="3" t="s">
        <v>3</v>
      </c>
      <c r="BH57" s="3">
        <v>0</v>
      </c>
      <c r="BI57" s="3">
        <v>2</v>
      </c>
      <c r="BJ57" s="3" t="s">
        <v>61</v>
      </c>
      <c r="BM57" s="3">
        <v>73</v>
      </c>
      <c r="BN57" s="3">
        <v>0</v>
      </c>
      <c r="BO57" s="3" t="s">
        <v>59</v>
      </c>
      <c r="BP57" s="3">
        <v>1</v>
      </c>
      <c r="BQ57" s="3">
        <v>40</v>
      </c>
      <c r="BR57" s="3">
        <v>0</v>
      </c>
      <c r="BS57" s="3">
        <v>56.35</v>
      </c>
      <c r="BT57" s="3">
        <v>1</v>
      </c>
      <c r="BU57" s="3">
        <v>1</v>
      </c>
      <c r="BV57" s="3">
        <v>1</v>
      </c>
      <c r="BW57" s="3">
        <v>1</v>
      </c>
      <c r="BX57" s="3">
        <v>1</v>
      </c>
      <c r="BY57" s="3" t="s">
        <v>3</v>
      </c>
      <c r="BZ57" s="3">
        <v>90</v>
      </c>
      <c r="CA57" s="3">
        <v>46</v>
      </c>
      <c r="CB57" s="3" t="s">
        <v>3</v>
      </c>
      <c r="CE57" s="3">
        <v>1566</v>
      </c>
      <c r="CF57" s="3">
        <v>0</v>
      </c>
      <c r="CG57" s="3">
        <v>0</v>
      </c>
      <c r="CM57" s="3">
        <v>0</v>
      </c>
      <c r="CN57" s="3" t="s">
        <v>677</v>
      </c>
      <c r="CO57" s="3">
        <v>0</v>
      </c>
      <c r="CP57" s="3">
        <f t="shared" si="31"/>
        <v>29530.5</v>
      </c>
      <c r="CQ57" s="3">
        <f t="shared" si="61"/>
        <v>12.83</v>
      </c>
      <c r="CR57" s="3">
        <f>(ROUND((ROUND((((ET57*1.2))*AV57*1),2)*BB57),2)+ROUND((ROUND(((AE57-((EU57*1.2)))*AV57*1),2)*BS57),2))</f>
        <v>36.4</v>
      </c>
      <c r="CS57" s="3">
        <f>(ROUND((ROUND((((EU57*1.2))*AV57*1),2)*BS57),2)+ROUND((ROUND(((AE57-((EU57*1.2)))*AV57*1),2)*BS57),2))</f>
        <v>18.03</v>
      </c>
      <c r="CT57" s="3">
        <f t="shared" si="33"/>
        <v>3641.9</v>
      </c>
      <c r="CU57" s="3">
        <f t="shared" si="34"/>
        <v>0</v>
      </c>
      <c r="CV57" s="3">
        <f t="shared" si="35"/>
        <v>5.1215999999999999</v>
      </c>
      <c r="CW57" s="3">
        <f t="shared" si="36"/>
        <v>0</v>
      </c>
      <c r="CX57" s="3">
        <f t="shared" si="37"/>
        <v>0</v>
      </c>
      <c r="CY57" s="3">
        <f>(ROUND((((S57+ROUND((ROUND((((EU57*1.2))*AV57*1),2)*BS57),2))*AT57)/100),2)+ROUND(((ROUND((ROUND(((AE57-((EU57*1.2)))*AV57*1),2)*BS57),2)*AT57)/100),2))</f>
        <v>26239.94</v>
      </c>
      <c r="CZ57" s="3">
        <f>(ROUND((((S57+ROUND((ROUND((((EU57*1.2))*AV57*1),2)*BS57),2))*AU57)/100),2)+ROUND(((ROUND((ROUND(((AE57-((EU57*1.2)))*AV57*1),2)*BS57),2)*AU57)/100),2))</f>
        <v>13411.53</v>
      </c>
      <c r="DB57" s="3">
        <v>26</v>
      </c>
      <c r="DC57" s="3" t="s">
        <v>3</v>
      </c>
      <c r="DD57" s="3" t="s">
        <v>35</v>
      </c>
      <c r="DE57" s="3" t="s">
        <v>36</v>
      </c>
      <c r="DF57" s="3" t="s">
        <v>36</v>
      </c>
      <c r="DG57" s="3" t="s">
        <v>36</v>
      </c>
      <c r="DH57" s="3" t="s">
        <v>3</v>
      </c>
      <c r="DI57" s="3" t="s">
        <v>36</v>
      </c>
      <c r="DJ57" s="3" t="s">
        <v>36</v>
      </c>
      <c r="DK57" s="3" t="s">
        <v>3</v>
      </c>
      <c r="DL57" s="3" t="s">
        <v>3</v>
      </c>
      <c r="DM57" s="3" t="s">
        <v>3</v>
      </c>
      <c r="DN57" s="3">
        <v>0</v>
      </c>
      <c r="DO57" s="3">
        <v>0</v>
      </c>
      <c r="DP57" s="3">
        <v>1</v>
      </c>
      <c r="DQ57" s="3">
        <v>1</v>
      </c>
      <c r="DU57" s="3">
        <v>1013</v>
      </c>
      <c r="DV57" s="3" t="s">
        <v>23</v>
      </c>
      <c r="DW57" s="3" t="s">
        <v>23</v>
      </c>
      <c r="DX57" s="3">
        <v>1</v>
      </c>
      <c r="DZ57" s="3" t="s">
        <v>3</v>
      </c>
      <c r="EA57" s="3" t="s">
        <v>3</v>
      </c>
      <c r="EB57" s="3" t="s">
        <v>3</v>
      </c>
      <c r="EC57" s="3" t="s">
        <v>3</v>
      </c>
      <c r="EE57" s="3">
        <v>85133422</v>
      </c>
      <c r="EF57" s="3">
        <v>40</v>
      </c>
      <c r="EG57" s="3" t="s">
        <v>27</v>
      </c>
      <c r="EH57" s="3">
        <v>0</v>
      </c>
      <c r="EI57" s="3" t="s">
        <v>3</v>
      </c>
      <c r="EJ57" s="3">
        <v>2</v>
      </c>
      <c r="EK57" s="3">
        <v>73</v>
      </c>
      <c r="EL57" s="3" t="s">
        <v>62</v>
      </c>
      <c r="EM57" s="3" t="s">
        <v>63</v>
      </c>
      <c r="EO57" s="3" t="s">
        <v>37</v>
      </c>
      <c r="EQ57" s="3">
        <v>0</v>
      </c>
      <c r="ER57" s="3">
        <v>54.91</v>
      </c>
      <c r="ES57" s="3">
        <v>2.77</v>
      </c>
      <c r="ET57" s="3">
        <v>1.66</v>
      </c>
      <c r="EU57" s="3">
        <v>0.25</v>
      </c>
      <c r="EV57" s="3">
        <v>50.48</v>
      </c>
      <c r="EW57" s="3">
        <v>4</v>
      </c>
      <c r="EX57" s="3">
        <v>0</v>
      </c>
      <c r="EY57" s="3">
        <v>0</v>
      </c>
      <c r="FQ57" s="3">
        <v>0</v>
      </c>
      <c r="FR57" s="3">
        <v>0</v>
      </c>
      <c r="FS57" s="3">
        <v>2</v>
      </c>
      <c r="FX57" s="3">
        <v>90</v>
      </c>
      <c r="FY57" s="3">
        <v>46</v>
      </c>
      <c r="GA57" s="3" t="s">
        <v>3</v>
      </c>
      <c r="GD57" s="3">
        <v>1</v>
      </c>
      <c r="GF57" s="3">
        <v>-202371068</v>
      </c>
      <c r="GG57" s="3">
        <v>2</v>
      </c>
      <c r="GH57" s="3">
        <v>1</v>
      </c>
      <c r="GI57" s="3">
        <v>2</v>
      </c>
      <c r="GJ57" s="3">
        <v>0</v>
      </c>
      <c r="GK57" s="3">
        <v>0</v>
      </c>
      <c r="GL57" s="3">
        <f t="shared" si="38"/>
        <v>0</v>
      </c>
      <c r="GM57" s="3">
        <f t="shared" si="39"/>
        <v>69353.64</v>
      </c>
      <c r="GN57" s="3">
        <f t="shared" si="40"/>
        <v>0</v>
      </c>
      <c r="GO57" s="3">
        <f t="shared" si="41"/>
        <v>69353.64</v>
      </c>
      <c r="GP57" s="3">
        <f t="shared" si="42"/>
        <v>0</v>
      </c>
      <c r="GR57" s="3">
        <v>0</v>
      </c>
      <c r="GS57" s="3">
        <v>3</v>
      </c>
      <c r="GT57" s="3">
        <v>0</v>
      </c>
      <c r="GU57" s="3" t="s">
        <v>3</v>
      </c>
      <c r="GV57" s="3">
        <f t="shared" si="43"/>
        <v>0</v>
      </c>
      <c r="GW57" s="3">
        <v>1</v>
      </c>
      <c r="GX57" s="3">
        <f t="shared" si="44"/>
        <v>0</v>
      </c>
      <c r="HA57" s="3">
        <v>0</v>
      </c>
      <c r="HB57" s="3">
        <v>0</v>
      </c>
      <c r="HC57" s="3">
        <f t="shared" si="45"/>
        <v>0</v>
      </c>
      <c r="HE57" s="3" t="s">
        <v>3</v>
      </c>
      <c r="HF57" s="3" t="s">
        <v>3</v>
      </c>
      <c r="HM57" s="3" t="s">
        <v>3</v>
      </c>
      <c r="HN57" s="3" t="s">
        <v>3</v>
      </c>
      <c r="HO57" s="3" t="s">
        <v>3</v>
      </c>
      <c r="HP57" s="3" t="s">
        <v>3</v>
      </c>
      <c r="HQ57" s="3" t="s">
        <v>3</v>
      </c>
      <c r="HS57" s="3">
        <v>0</v>
      </c>
      <c r="IK57" s="3">
        <v>0</v>
      </c>
    </row>
    <row r="58" spans="1:255" x14ac:dyDescent="0.2">
      <c r="A58" s="2">
        <v>18</v>
      </c>
      <c r="B58" s="2">
        <v>1</v>
      </c>
      <c r="C58" s="2">
        <v>116</v>
      </c>
      <c r="D58" s="2"/>
      <c r="E58" s="2" t="s">
        <v>111</v>
      </c>
      <c r="F58" s="2" t="s">
        <v>112</v>
      </c>
      <c r="G58" s="2" t="s">
        <v>113</v>
      </c>
      <c r="H58" s="2" t="s">
        <v>99</v>
      </c>
      <c r="I58" s="2">
        <f>I56*J58</f>
        <v>4</v>
      </c>
      <c r="J58" s="2">
        <v>0.5</v>
      </c>
      <c r="K58" s="2">
        <v>0.5</v>
      </c>
      <c r="L58" s="2"/>
      <c r="M58" s="2"/>
      <c r="N58" s="2"/>
      <c r="O58" s="2">
        <f t="shared" si="21"/>
        <v>12121.96</v>
      </c>
      <c r="P58" s="2">
        <f t="shared" si="60"/>
        <v>12121.96</v>
      </c>
      <c r="Q58" s="2">
        <f>(ROUND((ROUND(((ET58)*AV58*I58),2)*BB58),2)+ROUND((ROUND(((AE58-(EU58))*AV58*I58),2)*BS58),2))</f>
        <v>0</v>
      </c>
      <c r="R58" s="2">
        <f>(ROUND((ROUND(((EU58)*AV58*I58),2)*BS58),2)+ROUND((ROUND(((AE58-(EU58))*AV58*I58),2)*BS58),2))</f>
        <v>0</v>
      </c>
      <c r="S58" s="2">
        <f t="shared" si="23"/>
        <v>0</v>
      </c>
      <c r="T58" s="2">
        <f t="shared" si="24"/>
        <v>0</v>
      </c>
      <c r="U58" s="2">
        <f t="shared" si="25"/>
        <v>0</v>
      </c>
      <c r="V58" s="2">
        <f t="shared" si="26"/>
        <v>0</v>
      </c>
      <c r="W58" s="2">
        <f t="shared" si="27"/>
        <v>0</v>
      </c>
      <c r="X58" s="2">
        <f>(ROUND((((S58+ROUND((ROUND(((EU58)*AV58*I58),2)*BS58),2))*AT58)/100),2)+ROUND(((ROUND((ROUND(((AE58-(EU58))*AV58*I58),2)*BS58),2)*AT58)/100),2))</f>
        <v>0</v>
      </c>
      <c r="Y58" s="2">
        <f>(ROUND((((S58+ROUND((ROUND(((EU58)*AV58*I58),2)*BS58),2))*AU58)/100),2)+ROUND(((ROUND((ROUND(((AE58-(EU58))*AV58*I58),2)*BS58),2)*AU58)/100),2))</f>
        <v>0</v>
      </c>
      <c r="Z58" s="2"/>
      <c r="AA58" s="2">
        <v>85739205</v>
      </c>
      <c r="AB58" s="2">
        <f t="shared" si="28"/>
        <v>3030.49</v>
      </c>
      <c r="AC58" s="2">
        <f>ROUND((ES58),6)</f>
        <v>3030.49</v>
      </c>
      <c r="AD58" s="2">
        <f>ROUND((((ET58)-(EU58))+AE58),6)</f>
        <v>0</v>
      </c>
      <c r="AE58" s="2">
        <f t="shared" ref="AE58:AF61" si="62">ROUND((EU58),6)</f>
        <v>0</v>
      </c>
      <c r="AF58" s="2">
        <f t="shared" si="62"/>
        <v>0</v>
      </c>
      <c r="AG58" s="2">
        <f t="shared" si="29"/>
        <v>0</v>
      </c>
      <c r="AH58" s="2">
        <f t="shared" ref="AH58:AI61" si="63">(EW58)</f>
        <v>0</v>
      </c>
      <c r="AI58" s="2">
        <f t="shared" si="63"/>
        <v>0</v>
      </c>
      <c r="AJ58" s="2">
        <f t="shared" si="30"/>
        <v>0</v>
      </c>
      <c r="AK58" s="2">
        <v>3030.49</v>
      </c>
      <c r="AL58" s="2">
        <v>3030.49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90</v>
      </c>
      <c r="AU58" s="2">
        <v>46</v>
      </c>
      <c r="AV58" s="2">
        <v>1</v>
      </c>
      <c r="AW58" s="2">
        <v>1</v>
      </c>
      <c r="AX58" s="2"/>
      <c r="AY58" s="2"/>
      <c r="AZ58" s="2">
        <v>1</v>
      </c>
      <c r="BA58" s="2">
        <v>1</v>
      </c>
      <c r="BB58" s="2">
        <v>1</v>
      </c>
      <c r="BC58" s="2">
        <v>1</v>
      </c>
      <c r="BD58" s="2" t="s">
        <v>3</v>
      </c>
      <c r="BE58" s="2" t="s">
        <v>3</v>
      </c>
      <c r="BF58" s="2" t="s">
        <v>3</v>
      </c>
      <c r="BG58" s="2" t="s">
        <v>3</v>
      </c>
      <c r="BH58" s="2">
        <v>3</v>
      </c>
      <c r="BI58" s="2">
        <v>2</v>
      </c>
      <c r="BJ58" s="2" t="s">
        <v>114</v>
      </c>
      <c r="BK58" s="2"/>
      <c r="BL58" s="2"/>
      <c r="BM58" s="2">
        <v>73</v>
      </c>
      <c r="BN58" s="2">
        <v>0</v>
      </c>
      <c r="BO58" s="2" t="s">
        <v>3</v>
      </c>
      <c r="BP58" s="2">
        <v>0</v>
      </c>
      <c r="BQ58" s="2">
        <v>40</v>
      </c>
      <c r="BR58" s="2">
        <v>0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 t="s">
        <v>3</v>
      </c>
      <c r="BZ58" s="2">
        <v>90</v>
      </c>
      <c r="CA58" s="2">
        <v>46</v>
      </c>
      <c r="CB58" s="2" t="s">
        <v>3</v>
      </c>
      <c r="CC58" s="2"/>
      <c r="CD58" s="2"/>
      <c r="CE58" s="2">
        <v>1566</v>
      </c>
      <c r="CF58" s="2">
        <v>0</v>
      </c>
      <c r="CG58" s="2">
        <v>0</v>
      </c>
      <c r="CH58" s="2"/>
      <c r="CI58" s="2"/>
      <c r="CJ58" s="2"/>
      <c r="CK58" s="2"/>
      <c r="CL58" s="2"/>
      <c r="CM58" s="2">
        <v>0</v>
      </c>
      <c r="CN58" s="2" t="s">
        <v>679</v>
      </c>
      <c r="CO58" s="2">
        <v>0</v>
      </c>
      <c r="CP58" s="2">
        <f t="shared" si="31"/>
        <v>12121.96</v>
      </c>
      <c r="CQ58" s="2">
        <f t="shared" si="61"/>
        <v>3030.49</v>
      </c>
      <c r="CR58" s="2">
        <f>(ROUND((ROUND(((ET58)*AV58*1),2)*BB58),2)+ROUND((ROUND(((AE58-(EU58))*AV58*1),2)*BS58),2))</f>
        <v>0</v>
      </c>
      <c r="CS58" s="2">
        <f>(ROUND((ROUND(((EU58)*AV58*1),2)*BS58),2)+ROUND((ROUND(((AE58-(EU58))*AV58*1),2)*BS58),2))</f>
        <v>0</v>
      </c>
      <c r="CT58" s="2">
        <f t="shared" si="33"/>
        <v>0</v>
      </c>
      <c r="CU58" s="2">
        <f t="shared" si="34"/>
        <v>0</v>
      </c>
      <c r="CV58" s="2">
        <f t="shared" si="35"/>
        <v>0</v>
      </c>
      <c r="CW58" s="2">
        <f t="shared" si="36"/>
        <v>0</v>
      </c>
      <c r="CX58" s="2">
        <f t="shared" si="37"/>
        <v>0</v>
      </c>
      <c r="CY58" s="2">
        <f>(ROUND((((S58+ROUND((ROUND(((EU58)*AV58*1),2)*BS58),2))*AT58)/100),2)+ROUND(((ROUND((ROUND(((AE58-(EU58))*AV58*1),2)*BS58),2)*AT58)/100),2))</f>
        <v>0</v>
      </c>
      <c r="CZ58" s="2">
        <f>(ROUND((((S58+ROUND((ROUND(((EU58)*AV58*1),2)*BS58),2))*AU58)/100),2)+ROUND(((ROUND((ROUND(((AE58-(EU58))*AV58*1),2)*BS58),2)*AU58)/100),2))</f>
        <v>0</v>
      </c>
      <c r="DA58" s="2"/>
      <c r="DB58" s="2"/>
      <c r="DC58" s="2" t="s">
        <v>3</v>
      </c>
      <c r="DD58" s="2" t="s">
        <v>3</v>
      </c>
      <c r="DE58" s="2" t="s">
        <v>3</v>
      </c>
      <c r="DF58" s="2" t="s">
        <v>3</v>
      </c>
      <c r="DG58" s="2" t="s">
        <v>3</v>
      </c>
      <c r="DH58" s="2" t="s">
        <v>3</v>
      </c>
      <c r="DI58" s="2" t="s">
        <v>3</v>
      </c>
      <c r="DJ58" s="2" t="s">
        <v>3</v>
      </c>
      <c r="DK58" s="2" t="s">
        <v>3</v>
      </c>
      <c r="DL58" s="2" t="s">
        <v>3</v>
      </c>
      <c r="DM58" s="2" t="s">
        <v>3</v>
      </c>
      <c r="DN58" s="2">
        <v>0</v>
      </c>
      <c r="DO58" s="2">
        <v>0</v>
      </c>
      <c r="DP58" s="2">
        <v>1</v>
      </c>
      <c r="DQ58" s="2">
        <v>1</v>
      </c>
      <c r="DR58" s="2"/>
      <c r="DS58" s="2"/>
      <c r="DT58" s="2"/>
      <c r="DU58" s="2">
        <v>1010</v>
      </c>
      <c r="DV58" s="2" t="s">
        <v>99</v>
      </c>
      <c r="DW58" s="2" t="s">
        <v>99</v>
      </c>
      <c r="DX58" s="2">
        <v>1</v>
      </c>
      <c r="DY58" s="2"/>
      <c r="DZ58" s="2" t="s">
        <v>3</v>
      </c>
      <c r="EA58" s="2" t="s">
        <v>3</v>
      </c>
      <c r="EB58" s="2" t="s">
        <v>3</v>
      </c>
      <c r="EC58" s="2" t="s">
        <v>3</v>
      </c>
      <c r="ED58" s="2"/>
      <c r="EE58" s="2">
        <v>85133422</v>
      </c>
      <c r="EF58" s="2">
        <v>40</v>
      </c>
      <c r="EG58" s="2" t="s">
        <v>27</v>
      </c>
      <c r="EH58" s="2">
        <v>0</v>
      </c>
      <c r="EI58" s="2" t="s">
        <v>3</v>
      </c>
      <c r="EJ58" s="2">
        <v>2</v>
      </c>
      <c r="EK58" s="2">
        <v>73</v>
      </c>
      <c r="EL58" s="2" t="s">
        <v>62</v>
      </c>
      <c r="EM58" s="2" t="s">
        <v>63</v>
      </c>
      <c r="EN58" s="2"/>
      <c r="EO58" s="2" t="s">
        <v>37</v>
      </c>
      <c r="EP58" s="2"/>
      <c r="EQ58" s="2">
        <v>0</v>
      </c>
      <c r="ER58" s="2">
        <v>3030.49</v>
      </c>
      <c r="ES58" s="2">
        <v>3030.49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>
        <v>0</v>
      </c>
      <c r="FR58" s="2">
        <v>0</v>
      </c>
      <c r="FS58" s="2">
        <v>0</v>
      </c>
      <c r="FT58" s="2"/>
      <c r="FU58" s="2"/>
      <c r="FV58" s="2"/>
      <c r="FW58" s="2"/>
      <c r="FX58" s="2">
        <v>90</v>
      </c>
      <c r="FY58" s="2">
        <v>46</v>
      </c>
      <c r="FZ58" s="2"/>
      <c r="GA58" s="2" t="s">
        <v>3</v>
      </c>
      <c r="GB58" s="2"/>
      <c r="GC58" s="2"/>
      <c r="GD58" s="2">
        <v>1</v>
      </c>
      <c r="GE58" s="2"/>
      <c r="GF58" s="2">
        <v>-1962529768</v>
      </c>
      <c r="GG58" s="2">
        <v>2</v>
      </c>
      <c r="GH58" s="2">
        <v>1</v>
      </c>
      <c r="GI58" s="2">
        <v>-2</v>
      </c>
      <c r="GJ58" s="2">
        <v>0</v>
      </c>
      <c r="GK58" s="2">
        <v>0</v>
      </c>
      <c r="GL58" s="2">
        <f t="shared" si="38"/>
        <v>0</v>
      </c>
      <c r="GM58" s="2">
        <f t="shared" si="39"/>
        <v>12121.96</v>
      </c>
      <c r="GN58" s="2">
        <f t="shared" si="40"/>
        <v>0</v>
      </c>
      <c r="GO58" s="2">
        <f t="shared" si="41"/>
        <v>12121.96</v>
      </c>
      <c r="GP58" s="2">
        <f t="shared" si="42"/>
        <v>0</v>
      </c>
      <c r="GQ58" s="2"/>
      <c r="GR58" s="2">
        <v>0</v>
      </c>
      <c r="GS58" s="2">
        <v>3</v>
      </c>
      <c r="GT58" s="2">
        <v>0</v>
      </c>
      <c r="GU58" s="2" t="s">
        <v>3</v>
      </c>
      <c r="GV58" s="2">
        <f t="shared" si="43"/>
        <v>0</v>
      </c>
      <c r="GW58" s="2">
        <v>1</v>
      </c>
      <c r="GX58" s="2">
        <f t="shared" si="44"/>
        <v>0</v>
      </c>
      <c r="GY58" s="2"/>
      <c r="GZ58" s="2"/>
      <c r="HA58" s="2">
        <v>0</v>
      </c>
      <c r="HB58" s="2">
        <v>0</v>
      </c>
      <c r="HC58" s="2">
        <f t="shared" si="45"/>
        <v>0</v>
      </c>
      <c r="HD58" s="2"/>
      <c r="HE58" s="2" t="s">
        <v>3</v>
      </c>
      <c r="HF58" s="2" t="s">
        <v>3</v>
      </c>
      <c r="HG58" s="2"/>
      <c r="HH58" s="2"/>
      <c r="HI58" s="2"/>
      <c r="HJ58" s="2"/>
      <c r="HK58" s="2"/>
      <c r="HL58" s="2"/>
      <c r="HM58" s="2" t="s">
        <v>35</v>
      </c>
      <c r="HN58" s="2" t="s">
        <v>3</v>
      </c>
      <c r="HO58" s="2" t="s">
        <v>3</v>
      </c>
      <c r="HP58" s="2" t="s">
        <v>3</v>
      </c>
      <c r="HQ58" s="2" t="s">
        <v>3</v>
      </c>
      <c r="HR58" s="2"/>
      <c r="HS58" s="2">
        <v>0</v>
      </c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>
        <v>0</v>
      </c>
      <c r="IL58" s="2"/>
      <c r="IM58" s="2"/>
      <c r="IN58" s="2"/>
      <c r="IO58" s="2"/>
      <c r="IP58" s="2"/>
      <c r="IQ58" s="2"/>
      <c r="IR58" s="2"/>
      <c r="IS58" s="2"/>
      <c r="IT58" s="2"/>
      <c r="IU58" s="2"/>
    </row>
    <row r="59" spans="1:255" x14ac:dyDescent="0.2">
      <c r="A59" s="3">
        <v>18</v>
      </c>
      <c r="B59" s="3">
        <v>1</v>
      </c>
      <c r="C59" s="3">
        <v>121</v>
      </c>
      <c r="E59" s="3" t="s">
        <v>111</v>
      </c>
      <c r="F59" s="3" t="s">
        <v>112</v>
      </c>
      <c r="G59" s="3" t="s">
        <v>113</v>
      </c>
      <c r="H59" s="3" t="s">
        <v>99</v>
      </c>
      <c r="I59" s="3">
        <f>I57*J59</f>
        <v>4</v>
      </c>
      <c r="J59" s="3">
        <v>0.5</v>
      </c>
      <c r="K59" s="3">
        <v>0.5</v>
      </c>
      <c r="O59" s="3">
        <f t="shared" si="21"/>
        <v>75762.25</v>
      </c>
      <c r="P59" s="3">
        <f t="shared" si="60"/>
        <v>75762.25</v>
      </c>
      <c r="Q59" s="3">
        <f>(ROUND((ROUND(((ET59)*AV59*I59),2)*BB59),2)+ROUND((ROUND(((AE59-(EU59))*AV59*I59),2)*BS59),2))</f>
        <v>0</v>
      </c>
      <c r="R59" s="3">
        <f>(ROUND((ROUND(((EU59)*AV59*I59),2)*BS59),2)+ROUND((ROUND(((AE59-(EU59))*AV59*I59),2)*BS59),2))</f>
        <v>0</v>
      </c>
      <c r="S59" s="3">
        <f t="shared" si="23"/>
        <v>0</v>
      </c>
      <c r="T59" s="3">
        <f t="shared" si="24"/>
        <v>0</v>
      </c>
      <c r="U59" s="3">
        <f t="shared" si="25"/>
        <v>0</v>
      </c>
      <c r="V59" s="3">
        <f t="shared" si="26"/>
        <v>0</v>
      </c>
      <c r="W59" s="3">
        <f t="shared" si="27"/>
        <v>0</v>
      </c>
      <c r="X59" s="3">
        <f>(ROUND((((S59+ROUND((ROUND(((EU59)*AV59*I59),2)*BS59),2))*AT59)/100),2)+ROUND(((ROUND((ROUND(((AE59-(EU59))*AV59*I59),2)*BS59),2)*AT59)/100),2))</f>
        <v>0</v>
      </c>
      <c r="Y59" s="3">
        <f>(ROUND((((S59+ROUND((ROUND(((EU59)*AV59*I59),2)*BS59),2))*AU59)/100),2)+ROUND(((ROUND((ROUND(((AE59-(EU59))*AV59*I59),2)*BS59),2)*AU59)/100),2))</f>
        <v>0</v>
      </c>
      <c r="AA59" s="3">
        <v>85739207</v>
      </c>
      <c r="AB59" s="3">
        <f t="shared" si="28"/>
        <v>3030.49</v>
      </c>
      <c r="AC59" s="3">
        <f>ROUND((ES59),6)</f>
        <v>3030.49</v>
      </c>
      <c r="AD59" s="3">
        <f>ROUND((((ET59)-(EU59))+AE59),6)</f>
        <v>0</v>
      </c>
      <c r="AE59" s="3">
        <f t="shared" si="62"/>
        <v>0</v>
      </c>
      <c r="AF59" s="3">
        <f t="shared" si="62"/>
        <v>0</v>
      </c>
      <c r="AG59" s="3">
        <f t="shared" si="29"/>
        <v>0</v>
      </c>
      <c r="AH59" s="3">
        <f t="shared" si="63"/>
        <v>0</v>
      </c>
      <c r="AI59" s="3">
        <f t="shared" si="63"/>
        <v>0</v>
      </c>
      <c r="AJ59" s="3">
        <f t="shared" si="30"/>
        <v>0</v>
      </c>
      <c r="AK59" s="3">
        <v>3030.49</v>
      </c>
      <c r="AL59" s="3">
        <v>3030.49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90</v>
      </c>
      <c r="AU59" s="3">
        <v>46</v>
      </c>
      <c r="AV59" s="3">
        <v>1</v>
      </c>
      <c r="AW59" s="3">
        <v>1</v>
      </c>
      <c r="AZ59" s="3">
        <v>1</v>
      </c>
      <c r="BA59" s="3">
        <v>1</v>
      </c>
      <c r="BB59" s="3">
        <v>1</v>
      </c>
      <c r="BC59" s="3">
        <v>6.25</v>
      </c>
      <c r="BD59" s="3" t="s">
        <v>3</v>
      </c>
      <c r="BE59" s="3" t="s">
        <v>3</v>
      </c>
      <c r="BF59" s="3" t="s">
        <v>3</v>
      </c>
      <c r="BG59" s="3" t="s">
        <v>3</v>
      </c>
      <c r="BH59" s="3">
        <v>3</v>
      </c>
      <c r="BI59" s="3">
        <v>2</v>
      </c>
      <c r="BJ59" s="3" t="s">
        <v>114</v>
      </c>
      <c r="BM59" s="3">
        <v>73</v>
      </c>
      <c r="BN59" s="3">
        <v>0</v>
      </c>
      <c r="BO59" s="3" t="s">
        <v>112</v>
      </c>
      <c r="BP59" s="3">
        <v>1</v>
      </c>
      <c r="BQ59" s="3">
        <v>40</v>
      </c>
      <c r="BR59" s="3">
        <v>0</v>
      </c>
      <c r="BS59" s="3">
        <v>1</v>
      </c>
      <c r="BT59" s="3">
        <v>1</v>
      </c>
      <c r="BU59" s="3">
        <v>1</v>
      </c>
      <c r="BV59" s="3">
        <v>1</v>
      </c>
      <c r="BW59" s="3">
        <v>1</v>
      </c>
      <c r="BX59" s="3">
        <v>1</v>
      </c>
      <c r="BY59" s="3" t="s">
        <v>3</v>
      </c>
      <c r="BZ59" s="3">
        <v>90</v>
      </c>
      <c r="CA59" s="3">
        <v>46</v>
      </c>
      <c r="CB59" s="3" t="s">
        <v>3</v>
      </c>
      <c r="CE59" s="3">
        <v>1566</v>
      </c>
      <c r="CF59" s="3">
        <v>0</v>
      </c>
      <c r="CG59" s="3">
        <v>0</v>
      </c>
      <c r="CM59" s="3">
        <v>0</v>
      </c>
      <c r="CN59" s="3" t="s">
        <v>679</v>
      </c>
      <c r="CO59" s="3">
        <v>0</v>
      </c>
      <c r="CP59" s="3">
        <f t="shared" si="31"/>
        <v>75762.25</v>
      </c>
      <c r="CQ59" s="3">
        <f t="shared" si="61"/>
        <v>18940.560000000001</v>
      </c>
      <c r="CR59" s="3">
        <f>(ROUND((ROUND(((ET59)*AV59*1),2)*BB59),2)+ROUND((ROUND(((AE59-(EU59))*AV59*1),2)*BS59),2))</f>
        <v>0</v>
      </c>
      <c r="CS59" s="3">
        <f>(ROUND((ROUND(((EU59)*AV59*1),2)*BS59),2)+ROUND((ROUND(((AE59-(EU59))*AV59*1),2)*BS59),2))</f>
        <v>0</v>
      </c>
      <c r="CT59" s="3">
        <f t="shared" si="33"/>
        <v>0</v>
      </c>
      <c r="CU59" s="3">
        <f t="shared" si="34"/>
        <v>0</v>
      </c>
      <c r="CV59" s="3">
        <f t="shared" si="35"/>
        <v>0</v>
      </c>
      <c r="CW59" s="3">
        <f t="shared" si="36"/>
        <v>0</v>
      </c>
      <c r="CX59" s="3">
        <f t="shared" si="37"/>
        <v>0</v>
      </c>
      <c r="CY59" s="3">
        <f>(ROUND((((S59+ROUND((ROUND(((EU59)*AV59*1),2)*BS59),2))*AT59)/100),2)+ROUND(((ROUND((ROUND(((AE59-(EU59))*AV59*1),2)*BS59),2)*AT59)/100),2))</f>
        <v>0</v>
      </c>
      <c r="CZ59" s="3">
        <f>(ROUND((((S59+ROUND((ROUND(((EU59)*AV59*1),2)*BS59),2))*AU59)/100),2)+ROUND(((ROUND((ROUND(((AE59-(EU59))*AV59*1),2)*BS59),2)*AU59)/100),2))</f>
        <v>0</v>
      </c>
      <c r="DC59" s="3" t="s">
        <v>3</v>
      </c>
      <c r="DD59" s="3" t="s">
        <v>3</v>
      </c>
      <c r="DE59" s="3" t="s">
        <v>3</v>
      </c>
      <c r="DF59" s="3" t="s">
        <v>3</v>
      </c>
      <c r="DG59" s="3" t="s">
        <v>3</v>
      </c>
      <c r="DH59" s="3" t="s">
        <v>3</v>
      </c>
      <c r="DI59" s="3" t="s">
        <v>3</v>
      </c>
      <c r="DJ59" s="3" t="s">
        <v>3</v>
      </c>
      <c r="DK59" s="3" t="s">
        <v>3</v>
      </c>
      <c r="DL59" s="3" t="s">
        <v>3</v>
      </c>
      <c r="DM59" s="3" t="s">
        <v>3</v>
      </c>
      <c r="DN59" s="3">
        <v>0</v>
      </c>
      <c r="DO59" s="3">
        <v>0</v>
      </c>
      <c r="DP59" s="3">
        <v>1</v>
      </c>
      <c r="DQ59" s="3">
        <v>1</v>
      </c>
      <c r="DU59" s="3">
        <v>1010</v>
      </c>
      <c r="DV59" s="3" t="s">
        <v>99</v>
      </c>
      <c r="DW59" s="3" t="s">
        <v>99</v>
      </c>
      <c r="DX59" s="3">
        <v>1</v>
      </c>
      <c r="DZ59" s="3" t="s">
        <v>3</v>
      </c>
      <c r="EA59" s="3" t="s">
        <v>3</v>
      </c>
      <c r="EB59" s="3" t="s">
        <v>3</v>
      </c>
      <c r="EC59" s="3" t="s">
        <v>3</v>
      </c>
      <c r="EE59" s="3">
        <v>85133422</v>
      </c>
      <c r="EF59" s="3">
        <v>40</v>
      </c>
      <c r="EG59" s="3" t="s">
        <v>27</v>
      </c>
      <c r="EH59" s="3">
        <v>0</v>
      </c>
      <c r="EI59" s="3" t="s">
        <v>3</v>
      </c>
      <c r="EJ59" s="3">
        <v>2</v>
      </c>
      <c r="EK59" s="3">
        <v>73</v>
      </c>
      <c r="EL59" s="3" t="s">
        <v>62</v>
      </c>
      <c r="EM59" s="3" t="s">
        <v>63</v>
      </c>
      <c r="EO59" s="3" t="s">
        <v>37</v>
      </c>
      <c r="EQ59" s="3">
        <v>0</v>
      </c>
      <c r="ER59" s="3">
        <v>3030.49</v>
      </c>
      <c r="ES59" s="3">
        <v>3030.49</v>
      </c>
      <c r="ET59" s="3">
        <v>0</v>
      </c>
      <c r="EU59" s="3">
        <v>0</v>
      </c>
      <c r="EV59" s="3">
        <v>0</v>
      </c>
      <c r="EW59" s="3">
        <v>0</v>
      </c>
      <c r="EX59" s="3">
        <v>0</v>
      </c>
      <c r="FQ59" s="3">
        <v>0</v>
      </c>
      <c r="FR59" s="3">
        <v>0</v>
      </c>
      <c r="FS59" s="3">
        <v>0</v>
      </c>
      <c r="FX59" s="3">
        <v>90</v>
      </c>
      <c r="FY59" s="3">
        <v>46</v>
      </c>
      <c r="GA59" s="3" t="s">
        <v>3</v>
      </c>
      <c r="GD59" s="3">
        <v>1</v>
      </c>
      <c r="GF59" s="3">
        <v>-1962529768</v>
      </c>
      <c r="GG59" s="3">
        <v>2</v>
      </c>
      <c r="GH59" s="3">
        <v>1</v>
      </c>
      <c r="GI59" s="3">
        <v>2</v>
      </c>
      <c r="GJ59" s="3">
        <v>0</v>
      </c>
      <c r="GK59" s="3">
        <v>0</v>
      </c>
      <c r="GL59" s="3">
        <f t="shared" si="38"/>
        <v>0</v>
      </c>
      <c r="GM59" s="3">
        <f t="shared" si="39"/>
        <v>75762.25</v>
      </c>
      <c r="GN59" s="3">
        <f t="shared" si="40"/>
        <v>0</v>
      </c>
      <c r="GO59" s="3">
        <f t="shared" si="41"/>
        <v>75762.25</v>
      </c>
      <c r="GP59" s="3">
        <f t="shared" si="42"/>
        <v>0</v>
      </c>
      <c r="GR59" s="3">
        <v>0</v>
      </c>
      <c r="GS59" s="3">
        <v>3</v>
      </c>
      <c r="GT59" s="3">
        <v>0</v>
      </c>
      <c r="GU59" s="3" t="s">
        <v>3</v>
      </c>
      <c r="GV59" s="3">
        <f t="shared" si="43"/>
        <v>0</v>
      </c>
      <c r="GW59" s="3">
        <v>1</v>
      </c>
      <c r="GX59" s="3">
        <f t="shared" si="44"/>
        <v>0</v>
      </c>
      <c r="HA59" s="3">
        <v>0</v>
      </c>
      <c r="HB59" s="3">
        <v>0</v>
      </c>
      <c r="HC59" s="3">
        <f t="shared" si="45"/>
        <v>0</v>
      </c>
      <c r="HE59" s="3" t="s">
        <v>3</v>
      </c>
      <c r="HF59" s="3" t="s">
        <v>3</v>
      </c>
      <c r="HM59" s="3" t="s">
        <v>35</v>
      </c>
      <c r="HN59" s="3" t="s">
        <v>3</v>
      </c>
      <c r="HO59" s="3" t="s">
        <v>3</v>
      </c>
      <c r="HP59" s="3" t="s">
        <v>3</v>
      </c>
      <c r="HQ59" s="3" t="s">
        <v>3</v>
      </c>
      <c r="HS59" s="3">
        <v>0</v>
      </c>
      <c r="IK59" s="3">
        <v>0</v>
      </c>
    </row>
    <row r="60" spans="1:255" x14ac:dyDescent="0.2">
      <c r="A60" s="2">
        <v>18</v>
      </c>
      <c r="B60" s="2">
        <v>1</v>
      </c>
      <c r="C60" s="2">
        <v>117</v>
      </c>
      <c r="D60" s="2"/>
      <c r="E60" s="2" t="s">
        <v>115</v>
      </c>
      <c r="F60" s="2" t="s">
        <v>116</v>
      </c>
      <c r="G60" s="2" t="s">
        <v>117</v>
      </c>
      <c r="H60" s="2" t="s">
        <v>99</v>
      </c>
      <c r="I60" s="2">
        <f>I56*J60</f>
        <v>4</v>
      </c>
      <c r="J60" s="2">
        <v>0.5</v>
      </c>
      <c r="K60" s="2">
        <v>0.5</v>
      </c>
      <c r="L60" s="2"/>
      <c r="M60" s="2"/>
      <c r="N60" s="2"/>
      <c r="O60" s="2">
        <f t="shared" ref="O60:O91" si="64">ROUND(CP60,2)</f>
        <v>7897.72</v>
      </c>
      <c r="P60" s="2">
        <f t="shared" si="60"/>
        <v>7897.72</v>
      </c>
      <c r="Q60" s="2">
        <f>(ROUND((ROUND(((ET60)*AV60*I60),2)*BB60),2)+ROUND((ROUND(((AE60-(EU60))*AV60*I60),2)*BS60),2))</f>
        <v>0</v>
      </c>
      <c r="R60" s="2">
        <f>(ROUND((ROUND(((EU60)*AV60*I60),2)*BS60),2)+ROUND((ROUND(((AE60-(EU60))*AV60*I60),2)*BS60),2))</f>
        <v>0</v>
      </c>
      <c r="S60" s="2">
        <f t="shared" ref="S60:S91" si="65">ROUND((ROUND((AF60*AV60*I60),2)*BA60),2)</f>
        <v>0</v>
      </c>
      <c r="T60" s="2">
        <f t="shared" ref="T60:T91" si="66">ROUND(CU60*I60,2)</f>
        <v>0</v>
      </c>
      <c r="U60" s="2">
        <f t="shared" ref="U60:U91" si="67">CV60*I60</f>
        <v>0</v>
      </c>
      <c r="V60" s="2">
        <f t="shared" ref="V60:V91" si="68">CW60*I60</f>
        <v>0</v>
      </c>
      <c r="W60" s="2">
        <f t="shared" ref="W60:W91" si="69">ROUND(CX60*I60,2)</f>
        <v>0</v>
      </c>
      <c r="X60" s="2">
        <f>(ROUND((((S60+ROUND((ROUND(((EU60)*AV60*I60),2)*BS60),2))*AT60)/100),2)+ROUND(((ROUND((ROUND(((AE60-(EU60))*AV60*I60),2)*BS60),2)*AT60)/100),2))</f>
        <v>0</v>
      </c>
      <c r="Y60" s="2">
        <f>(ROUND((((S60+ROUND((ROUND(((EU60)*AV60*I60),2)*BS60),2))*AU60)/100),2)+ROUND(((ROUND((ROUND(((AE60-(EU60))*AV60*I60),2)*BS60),2)*AU60)/100),2))</f>
        <v>0</v>
      </c>
      <c r="Z60" s="2"/>
      <c r="AA60" s="2">
        <v>85739205</v>
      </c>
      <c r="AB60" s="2">
        <f t="shared" ref="AB60:AB91" si="70">ROUND((AC60+AD60+AF60),6)</f>
        <v>1974.43</v>
      </c>
      <c r="AC60" s="2">
        <f>ROUND((ES60),6)</f>
        <v>1974.43</v>
      </c>
      <c r="AD60" s="2">
        <f>ROUND((((ET60)-(EU60))+AE60),6)</f>
        <v>0</v>
      </c>
      <c r="AE60" s="2">
        <f t="shared" si="62"/>
        <v>0</v>
      </c>
      <c r="AF60" s="2">
        <f t="shared" si="62"/>
        <v>0</v>
      </c>
      <c r="AG60" s="2">
        <f t="shared" ref="AG60:AG91" si="71">ROUND((AP60),6)</f>
        <v>0</v>
      </c>
      <c r="AH60" s="2">
        <f t="shared" si="63"/>
        <v>0</v>
      </c>
      <c r="AI60" s="2">
        <f t="shared" si="63"/>
        <v>0</v>
      </c>
      <c r="AJ60" s="2">
        <f t="shared" ref="AJ60:AJ91" si="72">(AS60)</f>
        <v>0</v>
      </c>
      <c r="AK60" s="2">
        <v>1974.43</v>
      </c>
      <c r="AL60" s="2">
        <v>1974.43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90</v>
      </c>
      <c r="AU60" s="2">
        <v>46</v>
      </c>
      <c r="AV60" s="2">
        <v>1</v>
      </c>
      <c r="AW60" s="2">
        <v>1</v>
      </c>
      <c r="AX60" s="2"/>
      <c r="AY60" s="2"/>
      <c r="AZ60" s="2">
        <v>1</v>
      </c>
      <c r="BA60" s="2">
        <v>1</v>
      </c>
      <c r="BB60" s="2">
        <v>1</v>
      </c>
      <c r="BC60" s="2">
        <v>1</v>
      </c>
      <c r="BD60" s="2" t="s">
        <v>3</v>
      </c>
      <c r="BE60" s="2" t="s">
        <v>3</v>
      </c>
      <c r="BF60" s="2" t="s">
        <v>3</v>
      </c>
      <c r="BG60" s="2" t="s">
        <v>3</v>
      </c>
      <c r="BH60" s="2">
        <v>3</v>
      </c>
      <c r="BI60" s="2">
        <v>2</v>
      </c>
      <c r="BJ60" s="2" t="s">
        <v>118</v>
      </c>
      <c r="BK60" s="2"/>
      <c r="BL60" s="2"/>
      <c r="BM60" s="2">
        <v>73</v>
      </c>
      <c r="BN60" s="2">
        <v>0</v>
      </c>
      <c r="BO60" s="2" t="s">
        <v>3</v>
      </c>
      <c r="BP60" s="2">
        <v>0</v>
      </c>
      <c r="BQ60" s="2">
        <v>40</v>
      </c>
      <c r="BR60" s="2">
        <v>0</v>
      </c>
      <c r="BS60" s="2">
        <v>1</v>
      </c>
      <c r="BT60" s="2">
        <v>1</v>
      </c>
      <c r="BU60" s="2">
        <v>1</v>
      </c>
      <c r="BV60" s="2">
        <v>1</v>
      </c>
      <c r="BW60" s="2">
        <v>1</v>
      </c>
      <c r="BX60" s="2">
        <v>1</v>
      </c>
      <c r="BY60" s="2" t="s">
        <v>3</v>
      </c>
      <c r="BZ60" s="2">
        <v>90</v>
      </c>
      <c r="CA60" s="2">
        <v>46</v>
      </c>
      <c r="CB60" s="2" t="s">
        <v>3</v>
      </c>
      <c r="CC60" s="2"/>
      <c r="CD60" s="2"/>
      <c r="CE60" s="2">
        <v>1566</v>
      </c>
      <c r="CF60" s="2">
        <v>0</v>
      </c>
      <c r="CG60" s="2">
        <v>0</v>
      </c>
      <c r="CH60" s="2"/>
      <c r="CI60" s="2"/>
      <c r="CJ60" s="2"/>
      <c r="CK60" s="2"/>
      <c r="CL60" s="2"/>
      <c r="CM60" s="2">
        <v>0</v>
      </c>
      <c r="CN60" s="2" t="s">
        <v>679</v>
      </c>
      <c r="CO60" s="2">
        <v>0</v>
      </c>
      <c r="CP60" s="2">
        <f t="shared" ref="CP60:CP91" si="73">(P60+Q60+S60)</f>
        <v>7897.72</v>
      </c>
      <c r="CQ60" s="2">
        <f t="shared" si="61"/>
        <v>1974.43</v>
      </c>
      <c r="CR60" s="2">
        <f>(ROUND((ROUND(((ET60)*AV60*1),2)*BB60),2)+ROUND((ROUND(((AE60-(EU60))*AV60*1),2)*BS60),2))</f>
        <v>0</v>
      </c>
      <c r="CS60" s="2">
        <f>(ROUND((ROUND(((EU60)*AV60*1),2)*BS60),2)+ROUND((ROUND(((AE60-(EU60))*AV60*1),2)*BS60),2))</f>
        <v>0</v>
      </c>
      <c r="CT60" s="2">
        <f t="shared" ref="CT60:CT91" si="74">ROUND((ROUND((AF60*AV60*1),2)*BA60),2)</f>
        <v>0</v>
      </c>
      <c r="CU60" s="2">
        <f t="shared" ref="CU60:CU91" si="75">AG60</f>
        <v>0</v>
      </c>
      <c r="CV60" s="2">
        <f t="shared" ref="CV60:CV91" si="76">(AH60*AV60)</f>
        <v>0</v>
      </c>
      <c r="CW60" s="2">
        <f t="shared" ref="CW60:CW91" si="77">AI60</f>
        <v>0</v>
      </c>
      <c r="CX60" s="2">
        <f t="shared" ref="CX60:CX91" si="78">AJ60</f>
        <v>0</v>
      </c>
      <c r="CY60" s="2">
        <f>(ROUND((((S60+ROUND((ROUND(((EU60)*AV60*1),2)*BS60),2))*AT60)/100),2)+ROUND(((ROUND((ROUND(((AE60-(EU60))*AV60*1),2)*BS60),2)*AT60)/100),2))</f>
        <v>0</v>
      </c>
      <c r="CZ60" s="2">
        <f>(ROUND((((S60+ROUND((ROUND(((EU60)*AV60*1),2)*BS60),2))*AU60)/100),2)+ROUND(((ROUND((ROUND(((AE60-(EU60))*AV60*1),2)*BS60),2)*AU60)/100),2))</f>
        <v>0</v>
      </c>
      <c r="DA60" s="2"/>
      <c r="DB60" s="2"/>
      <c r="DC60" s="2" t="s">
        <v>3</v>
      </c>
      <c r="DD60" s="2" t="s">
        <v>3</v>
      </c>
      <c r="DE60" s="2" t="s">
        <v>3</v>
      </c>
      <c r="DF60" s="2" t="s">
        <v>3</v>
      </c>
      <c r="DG60" s="2" t="s">
        <v>3</v>
      </c>
      <c r="DH60" s="2" t="s">
        <v>3</v>
      </c>
      <c r="DI60" s="2" t="s">
        <v>3</v>
      </c>
      <c r="DJ60" s="2" t="s">
        <v>3</v>
      </c>
      <c r="DK60" s="2" t="s">
        <v>3</v>
      </c>
      <c r="DL60" s="2" t="s">
        <v>3</v>
      </c>
      <c r="DM60" s="2" t="s">
        <v>3</v>
      </c>
      <c r="DN60" s="2">
        <v>0</v>
      </c>
      <c r="DO60" s="2">
        <v>0</v>
      </c>
      <c r="DP60" s="2">
        <v>1</v>
      </c>
      <c r="DQ60" s="2">
        <v>1</v>
      </c>
      <c r="DR60" s="2"/>
      <c r="DS60" s="2"/>
      <c r="DT60" s="2"/>
      <c r="DU60" s="2">
        <v>1010</v>
      </c>
      <c r="DV60" s="2" t="s">
        <v>99</v>
      </c>
      <c r="DW60" s="2" t="s">
        <v>99</v>
      </c>
      <c r="DX60" s="2">
        <v>1</v>
      </c>
      <c r="DY60" s="2"/>
      <c r="DZ60" s="2" t="s">
        <v>3</v>
      </c>
      <c r="EA60" s="2" t="s">
        <v>3</v>
      </c>
      <c r="EB60" s="2" t="s">
        <v>3</v>
      </c>
      <c r="EC60" s="2" t="s">
        <v>3</v>
      </c>
      <c r="ED60" s="2"/>
      <c r="EE60" s="2">
        <v>85133422</v>
      </c>
      <c r="EF60" s="2">
        <v>40</v>
      </c>
      <c r="EG60" s="2" t="s">
        <v>27</v>
      </c>
      <c r="EH60" s="2">
        <v>0</v>
      </c>
      <c r="EI60" s="2" t="s">
        <v>3</v>
      </c>
      <c r="EJ60" s="2">
        <v>2</v>
      </c>
      <c r="EK60" s="2">
        <v>73</v>
      </c>
      <c r="EL60" s="2" t="s">
        <v>62</v>
      </c>
      <c r="EM60" s="2" t="s">
        <v>63</v>
      </c>
      <c r="EN60" s="2"/>
      <c r="EO60" s="2" t="s">
        <v>37</v>
      </c>
      <c r="EP60" s="2"/>
      <c r="EQ60" s="2">
        <v>0</v>
      </c>
      <c r="ER60" s="2">
        <v>1974.43</v>
      </c>
      <c r="ES60" s="2">
        <v>1974.43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>
        <v>0</v>
      </c>
      <c r="FR60" s="2">
        <v>0</v>
      </c>
      <c r="FS60" s="2">
        <v>0</v>
      </c>
      <c r="FT60" s="2"/>
      <c r="FU60" s="2"/>
      <c r="FV60" s="2"/>
      <c r="FW60" s="2"/>
      <c r="FX60" s="2">
        <v>90</v>
      </c>
      <c r="FY60" s="2">
        <v>46</v>
      </c>
      <c r="FZ60" s="2"/>
      <c r="GA60" s="2" t="s">
        <v>3</v>
      </c>
      <c r="GB60" s="2"/>
      <c r="GC60" s="2"/>
      <c r="GD60" s="2">
        <v>1</v>
      </c>
      <c r="GE60" s="2"/>
      <c r="GF60" s="2">
        <v>-2105799508</v>
      </c>
      <c r="GG60" s="2">
        <v>2</v>
      </c>
      <c r="GH60" s="2">
        <v>1</v>
      </c>
      <c r="GI60" s="2">
        <v>-2</v>
      </c>
      <c r="GJ60" s="2">
        <v>0</v>
      </c>
      <c r="GK60" s="2">
        <v>0</v>
      </c>
      <c r="GL60" s="2">
        <f t="shared" ref="GL60:GL91" si="79">ROUND(IF(AND(BH60=3,BI60=3,FS60&lt;&gt;0),P60,0),2)</f>
        <v>0</v>
      </c>
      <c r="GM60" s="2">
        <f t="shared" ref="GM60:GM91" si="80">ROUND(O60+X60+Y60,2)+GX60</f>
        <v>7897.72</v>
      </c>
      <c r="GN60" s="2">
        <f t="shared" ref="GN60:GN91" si="81">IF(OR(BI60=0,BI60=1),GM60-GX60,0)</f>
        <v>0</v>
      </c>
      <c r="GO60" s="2">
        <f t="shared" ref="GO60:GO91" si="82">IF(BI60=2,GM60-GX60,0)</f>
        <v>7897.72</v>
      </c>
      <c r="GP60" s="2">
        <f t="shared" ref="GP60:GP91" si="83">IF(BI60=4,GM60-GX60,0)</f>
        <v>0</v>
      </c>
      <c r="GQ60" s="2"/>
      <c r="GR60" s="2">
        <v>0</v>
      </c>
      <c r="GS60" s="2">
        <v>3</v>
      </c>
      <c r="GT60" s="2">
        <v>0</v>
      </c>
      <c r="GU60" s="2" t="s">
        <v>3</v>
      </c>
      <c r="GV60" s="2">
        <f t="shared" ref="GV60:GV91" si="84">ROUND((GT60),6)</f>
        <v>0</v>
      </c>
      <c r="GW60" s="2">
        <v>1</v>
      </c>
      <c r="GX60" s="2">
        <f t="shared" ref="GX60:GX91" si="85">ROUND(HC60*I60,2)</f>
        <v>0</v>
      </c>
      <c r="GY60" s="2"/>
      <c r="GZ60" s="2"/>
      <c r="HA60" s="2">
        <v>0</v>
      </c>
      <c r="HB60" s="2">
        <v>0</v>
      </c>
      <c r="HC60" s="2">
        <f t="shared" ref="HC60:HC91" si="86">GV60*GW60</f>
        <v>0</v>
      </c>
      <c r="HD60" s="2"/>
      <c r="HE60" s="2" t="s">
        <v>3</v>
      </c>
      <c r="HF60" s="2" t="s">
        <v>3</v>
      </c>
      <c r="HG60" s="2"/>
      <c r="HH60" s="2"/>
      <c r="HI60" s="2"/>
      <c r="HJ60" s="2"/>
      <c r="HK60" s="2"/>
      <c r="HL60" s="2"/>
      <c r="HM60" s="2" t="s">
        <v>35</v>
      </c>
      <c r="HN60" s="2" t="s">
        <v>3</v>
      </c>
      <c r="HO60" s="2" t="s">
        <v>3</v>
      </c>
      <c r="HP60" s="2" t="s">
        <v>3</v>
      </c>
      <c r="HQ60" s="2" t="s">
        <v>3</v>
      </c>
      <c r="HR60" s="2"/>
      <c r="HS60" s="2">
        <v>0</v>
      </c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>
        <v>0</v>
      </c>
      <c r="IL60" s="2"/>
      <c r="IM60" s="2"/>
      <c r="IN60" s="2"/>
      <c r="IO60" s="2"/>
      <c r="IP60" s="2"/>
      <c r="IQ60" s="2"/>
      <c r="IR60" s="2"/>
      <c r="IS60" s="2"/>
      <c r="IT60" s="2"/>
      <c r="IU60" s="2"/>
    </row>
    <row r="61" spans="1:255" x14ac:dyDescent="0.2">
      <c r="A61" s="3">
        <v>18</v>
      </c>
      <c r="B61" s="3">
        <v>1</v>
      </c>
      <c r="C61" s="3">
        <v>122</v>
      </c>
      <c r="E61" s="3" t="s">
        <v>115</v>
      </c>
      <c r="F61" s="3" t="s">
        <v>116</v>
      </c>
      <c r="G61" s="3" t="s">
        <v>117</v>
      </c>
      <c r="H61" s="3" t="s">
        <v>99</v>
      </c>
      <c r="I61" s="3">
        <f>I57*J61</f>
        <v>4</v>
      </c>
      <c r="J61" s="3">
        <v>0.5</v>
      </c>
      <c r="K61" s="3">
        <v>0.5</v>
      </c>
      <c r="O61" s="3">
        <f t="shared" si="64"/>
        <v>14057.94</v>
      </c>
      <c r="P61" s="3">
        <f t="shared" si="60"/>
        <v>14057.94</v>
      </c>
      <c r="Q61" s="3">
        <f>(ROUND((ROUND(((ET61)*AV61*I61),2)*BB61),2)+ROUND((ROUND(((AE61-(EU61))*AV61*I61),2)*BS61),2))</f>
        <v>0</v>
      </c>
      <c r="R61" s="3">
        <f>(ROUND((ROUND(((EU61)*AV61*I61),2)*BS61),2)+ROUND((ROUND(((AE61-(EU61))*AV61*I61),2)*BS61),2))</f>
        <v>0</v>
      </c>
      <c r="S61" s="3">
        <f t="shared" si="65"/>
        <v>0</v>
      </c>
      <c r="T61" s="3">
        <f t="shared" si="66"/>
        <v>0</v>
      </c>
      <c r="U61" s="3">
        <f t="shared" si="67"/>
        <v>0</v>
      </c>
      <c r="V61" s="3">
        <f t="shared" si="68"/>
        <v>0</v>
      </c>
      <c r="W61" s="3">
        <f t="shared" si="69"/>
        <v>0</v>
      </c>
      <c r="X61" s="3">
        <f>(ROUND((((S61+ROUND((ROUND(((EU61)*AV61*I61),2)*BS61),2))*AT61)/100),2)+ROUND(((ROUND((ROUND(((AE61-(EU61))*AV61*I61),2)*BS61),2)*AT61)/100),2))</f>
        <v>0</v>
      </c>
      <c r="Y61" s="3">
        <f>(ROUND((((S61+ROUND((ROUND(((EU61)*AV61*I61),2)*BS61),2))*AU61)/100),2)+ROUND(((ROUND((ROUND(((AE61-(EU61))*AV61*I61),2)*BS61),2)*AU61)/100),2))</f>
        <v>0</v>
      </c>
      <c r="AA61" s="3">
        <v>85739207</v>
      </c>
      <c r="AB61" s="3">
        <f t="shared" si="70"/>
        <v>1974.43</v>
      </c>
      <c r="AC61" s="3">
        <f>ROUND((ES61),6)</f>
        <v>1974.43</v>
      </c>
      <c r="AD61" s="3">
        <f>ROUND((((ET61)-(EU61))+AE61),6)</f>
        <v>0</v>
      </c>
      <c r="AE61" s="3">
        <f t="shared" si="62"/>
        <v>0</v>
      </c>
      <c r="AF61" s="3">
        <f t="shared" si="62"/>
        <v>0</v>
      </c>
      <c r="AG61" s="3">
        <f t="shared" si="71"/>
        <v>0</v>
      </c>
      <c r="AH61" s="3">
        <f t="shared" si="63"/>
        <v>0</v>
      </c>
      <c r="AI61" s="3">
        <f t="shared" si="63"/>
        <v>0</v>
      </c>
      <c r="AJ61" s="3">
        <f t="shared" si="72"/>
        <v>0</v>
      </c>
      <c r="AK61" s="3">
        <v>1974.43</v>
      </c>
      <c r="AL61" s="3">
        <v>1974.43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90</v>
      </c>
      <c r="AU61" s="3">
        <v>46</v>
      </c>
      <c r="AV61" s="3">
        <v>1</v>
      </c>
      <c r="AW61" s="3">
        <v>1</v>
      </c>
      <c r="AZ61" s="3">
        <v>1</v>
      </c>
      <c r="BA61" s="3">
        <v>1</v>
      </c>
      <c r="BB61" s="3">
        <v>1</v>
      </c>
      <c r="BC61" s="3">
        <v>1.78</v>
      </c>
      <c r="BD61" s="3" t="s">
        <v>3</v>
      </c>
      <c r="BE61" s="3" t="s">
        <v>3</v>
      </c>
      <c r="BF61" s="3" t="s">
        <v>3</v>
      </c>
      <c r="BG61" s="3" t="s">
        <v>3</v>
      </c>
      <c r="BH61" s="3">
        <v>3</v>
      </c>
      <c r="BI61" s="3">
        <v>2</v>
      </c>
      <c r="BJ61" s="3" t="s">
        <v>118</v>
      </c>
      <c r="BM61" s="3">
        <v>73</v>
      </c>
      <c r="BN61" s="3">
        <v>0</v>
      </c>
      <c r="BO61" s="3" t="s">
        <v>116</v>
      </c>
      <c r="BP61" s="3">
        <v>1</v>
      </c>
      <c r="BQ61" s="3">
        <v>40</v>
      </c>
      <c r="BR61" s="3">
        <v>0</v>
      </c>
      <c r="BS61" s="3">
        <v>1</v>
      </c>
      <c r="BT61" s="3">
        <v>1</v>
      </c>
      <c r="BU61" s="3">
        <v>1</v>
      </c>
      <c r="BV61" s="3">
        <v>1</v>
      </c>
      <c r="BW61" s="3">
        <v>1</v>
      </c>
      <c r="BX61" s="3">
        <v>1</v>
      </c>
      <c r="BY61" s="3" t="s">
        <v>3</v>
      </c>
      <c r="BZ61" s="3">
        <v>90</v>
      </c>
      <c r="CA61" s="3">
        <v>46</v>
      </c>
      <c r="CB61" s="3" t="s">
        <v>3</v>
      </c>
      <c r="CE61" s="3">
        <v>1566</v>
      </c>
      <c r="CF61" s="3">
        <v>0</v>
      </c>
      <c r="CG61" s="3">
        <v>0</v>
      </c>
      <c r="CM61" s="3">
        <v>0</v>
      </c>
      <c r="CN61" s="3" t="s">
        <v>679</v>
      </c>
      <c r="CO61" s="3">
        <v>0</v>
      </c>
      <c r="CP61" s="3">
        <f t="shared" si="73"/>
        <v>14057.94</v>
      </c>
      <c r="CQ61" s="3">
        <f t="shared" si="61"/>
        <v>3514.49</v>
      </c>
      <c r="CR61" s="3">
        <f>(ROUND((ROUND(((ET61)*AV61*1),2)*BB61),2)+ROUND((ROUND(((AE61-(EU61))*AV61*1),2)*BS61),2))</f>
        <v>0</v>
      </c>
      <c r="CS61" s="3">
        <f>(ROUND((ROUND(((EU61)*AV61*1),2)*BS61),2)+ROUND((ROUND(((AE61-(EU61))*AV61*1),2)*BS61),2))</f>
        <v>0</v>
      </c>
      <c r="CT61" s="3">
        <f t="shared" si="74"/>
        <v>0</v>
      </c>
      <c r="CU61" s="3">
        <f t="shared" si="75"/>
        <v>0</v>
      </c>
      <c r="CV61" s="3">
        <f t="shared" si="76"/>
        <v>0</v>
      </c>
      <c r="CW61" s="3">
        <f t="shared" si="77"/>
        <v>0</v>
      </c>
      <c r="CX61" s="3">
        <f t="shared" si="78"/>
        <v>0</v>
      </c>
      <c r="CY61" s="3">
        <f>(ROUND((((S61+ROUND((ROUND(((EU61)*AV61*1),2)*BS61),2))*AT61)/100),2)+ROUND(((ROUND((ROUND(((AE61-(EU61))*AV61*1),2)*BS61),2)*AT61)/100),2))</f>
        <v>0</v>
      </c>
      <c r="CZ61" s="3">
        <f>(ROUND((((S61+ROUND((ROUND(((EU61)*AV61*1),2)*BS61),2))*AU61)/100),2)+ROUND(((ROUND((ROUND(((AE61-(EU61))*AV61*1),2)*BS61),2)*AU61)/100),2))</f>
        <v>0</v>
      </c>
      <c r="DC61" s="3" t="s">
        <v>3</v>
      </c>
      <c r="DD61" s="3" t="s">
        <v>3</v>
      </c>
      <c r="DE61" s="3" t="s">
        <v>3</v>
      </c>
      <c r="DF61" s="3" t="s">
        <v>3</v>
      </c>
      <c r="DG61" s="3" t="s">
        <v>3</v>
      </c>
      <c r="DH61" s="3" t="s">
        <v>3</v>
      </c>
      <c r="DI61" s="3" t="s">
        <v>3</v>
      </c>
      <c r="DJ61" s="3" t="s">
        <v>3</v>
      </c>
      <c r="DK61" s="3" t="s">
        <v>3</v>
      </c>
      <c r="DL61" s="3" t="s">
        <v>3</v>
      </c>
      <c r="DM61" s="3" t="s">
        <v>3</v>
      </c>
      <c r="DN61" s="3">
        <v>0</v>
      </c>
      <c r="DO61" s="3">
        <v>0</v>
      </c>
      <c r="DP61" s="3">
        <v>1</v>
      </c>
      <c r="DQ61" s="3">
        <v>1</v>
      </c>
      <c r="DU61" s="3">
        <v>1010</v>
      </c>
      <c r="DV61" s="3" t="s">
        <v>99</v>
      </c>
      <c r="DW61" s="3" t="s">
        <v>99</v>
      </c>
      <c r="DX61" s="3">
        <v>1</v>
      </c>
      <c r="DZ61" s="3" t="s">
        <v>3</v>
      </c>
      <c r="EA61" s="3" t="s">
        <v>3</v>
      </c>
      <c r="EB61" s="3" t="s">
        <v>3</v>
      </c>
      <c r="EC61" s="3" t="s">
        <v>3</v>
      </c>
      <c r="EE61" s="3">
        <v>85133422</v>
      </c>
      <c r="EF61" s="3">
        <v>40</v>
      </c>
      <c r="EG61" s="3" t="s">
        <v>27</v>
      </c>
      <c r="EH61" s="3">
        <v>0</v>
      </c>
      <c r="EI61" s="3" t="s">
        <v>3</v>
      </c>
      <c r="EJ61" s="3">
        <v>2</v>
      </c>
      <c r="EK61" s="3">
        <v>73</v>
      </c>
      <c r="EL61" s="3" t="s">
        <v>62</v>
      </c>
      <c r="EM61" s="3" t="s">
        <v>63</v>
      </c>
      <c r="EO61" s="3" t="s">
        <v>37</v>
      </c>
      <c r="EQ61" s="3">
        <v>0</v>
      </c>
      <c r="ER61" s="3">
        <v>1974.43</v>
      </c>
      <c r="ES61" s="3">
        <v>1974.43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FQ61" s="3">
        <v>0</v>
      </c>
      <c r="FR61" s="3">
        <v>0</v>
      </c>
      <c r="FS61" s="3">
        <v>0</v>
      </c>
      <c r="FX61" s="3">
        <v>90</v>
      </c>
      <c r="FY61" s="3">
        <v>46</v>
      </c>
      <c r="GA61" s="3" t="s">
        <v>3</v>
      </c>
      <c r="GD61" s="3">
        <v>1</v>
      </c>
      <c r="GF61" s="3">
        <v>-2105799508</v>
      </c>
      <c r="GG61" s="3">
        <v>2</v>
      </c>
      <c r="GH61" s="3">
        <v>1</v>
      </c>
      <c r="GI61" s="3">
        <v>2</v>
      </c>
      <c r="GJ61" s="3">
        <v>0</v>
      </c>
      <c r="GK61" s="3">
        <v>0</v>
      </c>
      <c r="GL61" s="3">
        <f t="shared" si="79"/>
        <v>0</v>
      </c>
      <c r="GM61" s="3">
        <f t="shared" si="80"/>
        <v>14057.94</v>
      </c>
      <c r="GN61" s="3">
        <f t="shared" si="81"/>
        <v>0</v>
      </c>
      <c r="GO61" s="3">
        <f t="shared" si="82"/>
        <v>14057.94</v>
      </c>
      <c r="GP61" s="3">
        <f t="shared" si="83"/>
        <v>0</v>
      </c>
      <c r="GR61" s="3">
        <v>0</v>
      </c>
      <c r="GS61" s="3">
        <v>3</v>
      </c>
      <c r="GT61" s="3">
        <v>0</v>
      </c>
      <c r="GU61" s="3" t="s">
        <v>3</v>
      </c>
      <c r="GV61" s="3">
        <f t="shared" si="84"/>
        <v>0</v>
      </c>
      <c r="GW61" s="3">
        <v>1</v>
      </c>
      <c r="GX61" s="3">
        <f t="shared" si="85"/>
        <v>0</v>
      </c>
      <c r="HA61" s="3">
        <v>0</v>
      </c>
      <c r="HB61" s="3">
        <v>0</v>
      </c>
      <c r="HC61" s="3">
        <f t="shared" si="86"/>
        <v>0</v>
      </c>
      <c r="HE61" s="3" t="s">
        <v>3</v>
      </c>
      <c r="HF61" s="3" t="s">
        <v>3</v>
      </c>
      <c r="HM61" s="3" t="s">
        <v>35</v>
      </c>
      <c r="HN61" s="3" t="s">
        <v>3</v>
      </c>
      <c r="HO61" s="3" t="s">
        <v>3</v>
      </c>
      <c r="HP61" s="3" t="s">
        <v>3</v>
      </c>
      <c r="HQ61" s="3" t="s">
        <v>3</v>
      </c>
      <c r="HS61" s="3">
        <v>0</v>
      </c>
      <c r="IK61" s="3">
        <v>0</v>
      </c>
    </row>
    <row r="62" spans="1:255" x14ac:dyDescent="0.2">
      <c r="A62" s="2">
        <v>17</v>
      </c>
      <c r="B62" s="2">
        <v>1</v>
      </c>
      <c r="C62" s="2">
        <f>ROW(SmtRes!A129)</f>
        <v>129</v>
      </c>
      <c r="D62" s="2">
        <f>ROW(EtalonRes!A159)</f>
        <v>159</v>
      </c>
      <c r="E62" s="2" t="s">
        <v>119</v>
      </c>
      <c r="F62" s="2" t="s">
        <v>120</v>
      </c>
      <c r="G62" s="2" t="s">
        <v>121</v>
      </c>
      <c r="H62" s="2" t="s">
        <v>23</v>
      </c>
      <c r="I62" s="2">
        <v>4</v>
      </c>
      <c r="J62" s="2">
        <v>0</v>
      </c>
      <c r="K62" s="2">
        <v>4</v>
      </c>
      <c r="L62" s="2"/>
      <c r="M62" s="2"/>
      <c r="N62" s="2"/>
      <c r="O62" s="2">
        <f t="shared" si="64"/>
        <v>593.22</v>
      </c>
      <c r="P62" s="2">
        <f t="shared" si="60"/>
        <v>27.34</v>
      </c>
      <c r="Q62" s="2">
        <f>(ROUND((ROUND((((ET62*1.2))*AV62*I62),2)*BB62),2)+ROUND((ROUND(((AE62-((EU62*1.2)))*AV62*I62),2)*BS62),2))</f>
        <v>74.67</v>
      </c>
      <c r="R62" s="2">
        <f>(ROUND((ROUND((((EU62*1.2))*AV62*I62),2)*BS62),2)+ROUND((ROUND(((AE62-((EU62*1.2)))*AV62*I62),2)*BS62),2))</f>
        <v>1.95</v>
      </c>
      <c r="S62" s="2">
        <f t="shared" si="65"/>
        <v>491.21</v>
      </c>
      <c r="T62" s="2">
        <f t="shared" si="66"/>
        <v>0</v>
      </c>
      <c r="U62" s="2">
        <f t="shared" si="67"/>
        <v>38.924159999999993</v>
      </c>
      <c r="V62" s="2">
        <f t="shared" si="68"/>
        <v>0</v>
      </c>
      <c r="W62" s="2">
        <f t="shared" si="69"/>
        <v>0</v>
      </c>
      <c r="X62" s="2">
        <f>(ROUND((((S62+ROUND((ROUND((((EU62*1.2))*AV62*I62),2)*BS62),2))*AT62)/100),2)+ROUND(((ROUND((ROUND(((AE62-((EU62*1.2)))*AV62*I62),2)*BS62),2)*AT62)/100),2))</f>
        <v>443.84</v>
      </c>
      <c r="Y62" s="2">
        <f>(ROUND((((S62+ROUND((ROUND((((EU62*1.2))*AV62*I62),2)*BS62),2))*AU62)/100),2)+ROUND(((ROUND((ROUND(((AE62-((EU62*1.2)))*AV62*I62),2)*BS62),2)*AU62)/100),2))</f>
        <v>226.85</v>
      </c>
      <c r="Z62" s="2"/>
      <c r="AA62" s="2">
        <v>85739205</v>
      </c>
      <c r="AB62" s="2">
        <f t="shared" si="70"/>
        <v>139.238</v>
      </c>
      <c r="AC62" s="2">
        <f>ROUND(((ES62*1)),6)</f>
        <v>6.65</v>
      </c>
      <c r="AD62" s="2">
        <f>ROUND(((((ET62*1.2))-((EU62*1.2)))+AE62),6)</f>
        <v>17.495999999999999</v>
      </c>
      <c r="AE62" s="2">
        <f>ROUND(((EU62*1.2)),6)</f>
        <v>0.45600000000000002</v>
      </c>
      <c r="AF62" s="2">
        <f>ROUND(((EV62*1.2)),6)</f>
        <v>115.092</v>
      </c>
      <c r="AG62" s="2">
        <f t="shared" si="71"/>
        <v>0</v>
      </c>
      <c r="AH62" s="2">
        <f>((EW62*1.2))</f>
        <v>9.1199999999999992</v>
      </c>
      <c r="AI62" s="2">
        <f>((EX62*1.2))</f>
        <v>0</v>
      </c>
      <c r="AJ62" s="2">
        <f t="shared" si="72"/>
        <v>0</v>
      </c>
      <c r="AK62" s="2">
        <v>117.14</v>
      </c>
      <c r="AL62" s="2">
        <v>6.65</v>
      </c>
      <c r="AM62" s="2">
        <v>14.58</v>
      </c>
      <c r="AN62" s="2">
        <v>0.38</v>
      </c>
      <c r="AO62" s="2">
        <v>95.91</v>
      </c>
      <c r="AP62" s="2">
        <v>0</v>
      </c>
      <c r="AQ62" s="2">
        <v>7.6</v>
      </c>
      <c r="AR62" s="2">
        <v>0</v>
      </c>
      <c r="AS62" s="2">
        <v>0</v>
      </c>
      <c r="AT62" s="2">
        <v>90</v>
      </c>
      <c r="AU62" s="2">
        <v>46</v>
      </c>
      <c r="AV62" s="2">
        <v>1.0669999999999999</v>
      </c>
      <c r="AW62" s="2">
        <v>1.028</v>
      </c>
      <c r="AX62" s="2"/>
      <c r="AY62" s="2"/>
      <c r="AZ62" s="2">
        <v>1</v>
      </c>
      <c r="BA62" s="2">
        <v>1</v>
      </c>
      <c r="BB62" s="2">
        <v>1</v>
      </c>
      <c r="BC62" s="2">
        <v>1</v>
      </c>
      <c r="BD62" s="2" t="s">
        <v>3</v>
      </c>
      <c r="BE62" s="2" t="s">
        <v>3</v>
      </c>
      <c r="BF62" s="2" t="s">
        <v>3</v>
      </c>
      <c r="BG62" s="2" t="s">
        <v>3</v>
      </c>
      <c r="BH62" s="2">
        <v>0</v>
      </c>
      <c r="BI62" s="2">
        <v>2</v>
      </c>
      <c r="BJ62" s="2" t="s">
        <v>122</v>
      </c>
      <c r="BK62" s="2"/>
      <c r="BL62" s="2"/>
      <c r="BM62" s="2">
        <v>73</v>
      </c>
      <c r="BN62" s="2">
        <v>0</v>
      </c>
      <c r="BO62" s="2" t="s">
        <v>120</v>
      </c>
      <c r="BP62" s="2">
        <v>1</v>
      </c>
      <c r="BQ62" s="2">
        <v>40</v>
      </c>
      <c r="BR62" s="2">
        <v>0</v>
      </c>
      <c r="BS62" s="2">
        <v>1</v>
      </c>
      <c r="BT62" s="2">
        <v>1</v>
      </c>
      <c r="BU62" s="2">
        <v>1</v>
      </c>
      <c r="BV62" s="2">
        <v>1</v>
      </c>
      <c r="BW62" s="2">
        <v>1</v>
      </c>
      <c r="BX62" s="2">
        <v>1</v>
      </c>
      <c r="BY62" s="2" t="s">
        <v>3</v>
      </c>
      <c r="BZ62" s="2">
        <v>90</v>
      </c>
      <c r="CA62" s="2">
        <v>46</v>
      </c>
      <c r="CB62" s="2" t="s">
        <v>3</v>
      </c>
      <c r="CC62" s="2"/>
      <c r="CD62" s="2"/>
      <c r="CE62" s="2">
        <v>1566</v>
      </c>
      <c r="CF62" s="2">
        <v>0</v>
      </c>
      <c r="CG62" s="2">
        <v>0</v>
      </c>
      <c r="CH62" s="2"/>
      <c r="CI62" s="2"/>
      <c r="CJ62" s="2"/>
      <c r="CK62" s="2"/>
      <c r="CL62" s="2"/>
      <c r="CM62" s="2">
        <v>0</v>
      </c>
      <c r="CN62" s="2" t="s">
        <v>677</v>
      </c>
      <c r="CO62" s="2">
        <v>0</v>
      </c>
      <c r="CP62" s="2">
        <f t="shared" si="73"/>
        <v>593.22</v>
      </c>
      <c r="CQ62" s="2">
        <f t="shared" si="61"/>
        <v>6.84</v>
      </c>
      <c r="CR62" s="2">
        <f>(ROUND((ROUND((((ET62*1.2))*AV62*1),2)*BB62),2)+ROUND((ROUND(((AE62-((EU62*1.2)))*AV62*1),2)*BS62),2))</f>
        <v>18.670000000000002</v>
      </c>
      <c r="CS62" s="2">
        <f>(ROUND((ROUND((((EU62*1.2))*AV62*1),2)*BS62),2)+ROUND((ROUND(((AE62-((EU62*1.2)))*AV62*1),2)*BS62),2))</f>
        <v>0.49</v>
      </c>
      <c r="CT62" s="2">
        <f t="shared" si="74"/>
        <v>122.8</v>
      </c>
      <c r="CU62" s="2">
        <f t="shared" si="75"/>
        <v>0</v>
      </c>
      <c r="CV62" s="2">
        <f t="shared" si="76"/>
        <v>9.7310399999999984</v>
      </c>
      <c r="CW62" s="2">
        <f t="shared" si="77"/>
        <v>0</v>
      </c>
      <c r="CX62" s="2">
        <f t="shared" si="78"/>
        <v>0</v>
      </c>
      <c r="CY62" s="2">
        <f>(ROUND((((S62+ROUND((ROUND((((EU62*1.2))*AV62*1),2)*BS62),2))*AT62)/100),2)+ROUND(((ROUND((ROUND(((AE62-((EU62*1.2)))*AV62*1),2)*BS62),2)*AT62)/100),2))</f>
        <v>442.53</v>
      </c>
      <c r="CZ62" s="2">
        <f>(ROUND((((S62+ROUND((ROUND((((EU62*1.2))*AV62*1),2)*BS62),2))*AU62)/100),2)+ROUND(((ROUND((ROUND(((AE62-((EU62*1.2)))*AV62*1),2)*BS62),2)*AU62)/100),2))</f>
        <v>226.18</v>
      </c>
      <c r="DA62" s="2"/>
      <c r="DB62" s="2">
        <v>27</v>
      </c>
      <c r="DC62" s="2" t="s">
        <v>3</v>
      </c>
      <c r="DD62" s="2" t="s">
        <v>35</v>
      </c>
      <c r="DE62" s="2" t="s">
        <v>36</v>
      </c>
      <c r="DF62" s="2" t="s">
        <v>36</v>
      </c>
      <c r="DG62" s="2" t="s">
        <v>36</v>
      </c>
      <c r="DH62" s="2" t="s">
        <v>3</v>
      </c>
      <c r="DI62" s="2" t="s">
        <v>36</v>
      </c>
      <c r="DJ62" s="2" t="s">
        <v>36</v>
      </c>
      <c r="DK62" s="2" t="s">
        <v>3</v>
      </c>
      <c r="DL62" s="2" t="s">
        <v>3</v>
      </c>
      <c r="DM62" s="2" t="s">
        <v>3</v>
      </c>
      <c r="DN62" s="2">
        <v>0</v>
      </c>
      <c r="DO62" s="2">
        <v>0</v>
      </c>
      <c r="DP62" s="2">
        <v>1</v>
      </c>
      <c r="DQ62" s="2">
        <v>1</v>
      </c>
      <c r="DR62" s="2"/>
      <c r="DS62" s="2"/>
      <c r="DT62" s="2"/>
      <c r="DU62" s="2">
        <v>1013</v>
      </c>
      <c r="DV62" s="2" t="s">
        <v>23</v>
      </c>
      <c r="DW62" s="2" t="s">
        <v>23</v>
      </c>
      <c r="DX62" s="2">
        <v>1</v>
      </c>
      <c r="DY62" s="2"/>
      <c r="DZ62" s="2" t="s">
        <v>3</v>
      </c>
      <c r="EA62" s="2" t="s">
        <v>3</v>
      </c>
      <c r="EB62" s="2" t="s">
        <v>3</v>
      </c>
      <c r="EC62" s="2" t="s">
        <v>3</v>
      </c>
      <c r="ED62" s="2"/>
      <c r="EE62" s="2">
        <v>85133422</v>
      </c>
      <c r="EF62" s="2">
        <v>40</v>
      </c>
      <c r="EG62" s="2" t="s">
        <v>27</v>
      </c>
      <c r="EH62" s="2">
        <v>0</v>
      </c>
      <c r="EI62" s="2" t="s">
        <v>3</v>
      </c>
      <c r="EJ62" s="2">
        <v>2</v>
      </c>
      <c r="EK62" s="2">
        <v>73</v>
      </c>
      <c r="EL62" s="2" t="s">
        <v>62</v>
      </c>
      <c r="EM62" s="2" t="s">
        <v>63</v>
      </c>
      <c r="EN62" s="2"/>
      <c r="EO62" s="2" t="s">
        <v>37</v>
      </c>
      <c r="EP62" s="2"/>
      <c r="EQ62" s="2">
        <v>0</v>
      </c>
      <c r="ER62" s="2">
        <v>117.14</v>
      </c>
      <c r="ES62" s="2">
        <v>6.65</v>
      </c>
      <c r="ET62" s="2">
        <v>14.58</v>
      </c>
      <c r="EU62" s="2">
        <v>0.38</v>
      </c>
      <c r="EV62" s="2">
        <v>95.91</v>
      </c>
      <c r="EW62" s="2">
        <v>7.6</v>
      </c>
      <c r="EX62" s="2">
        <v>0</v>
      </c>
      <c r="EY62" s="2">
        <v>0</v>
      </c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>
        <v>0</v>
      </c>
      <c r="FR62" s="2">
        <v>0</v>
      </c>
      <c r="FS62" s="2">
        <v>2</v>
      </c>
      <c r="FT62" s="2"/>
      <c r="FU62" s="2"/>
      <c r="FV62" s="2"/>
      <c r="FW62" s="2"/>
      <c r="FX62" s="2">
        <v>90</v>
      </c>
      <c r="FY62" s="2">
        <v>46</v>
      </c>
      <c r="FZ62" s="2"/>
      <c r="GA62" s="2" t="s">
        <v>3</v>
      </c>
      <c r="GB62" s="2"/>
      <c r="GC62" s="2"/>
      <c r="GD62" s="2">
        <v>1</v>
      </c>
      <c r="GE62" s="2"/>
      <c r="GF62" s="2">
        <v>295159665</v>
      </c>
      <c r="GG62" s="2">
        <v>2</v>
      </c>
      <c r="GH62" s="2">
        <v>1</v>
      </c>
      <c r="GI62" s="2">
        <v>2</v>
      </c>
      <c r="GJ62" s="2">
        <v>0</v>
      </c>
      <c r="GK62" s="2">
        <v>0</v>
      </c>
      <c r="GL62" s="2">
        <f t="shared" si="79"/>
        <v>0</v>
      </c>
      <c r="GM62" s="2">
        <f t="shared" si="80"/>
        <v>1263.9100000000001</v>
      </c>
      <c r="GN62" s="2">
        <f t="shared" si="81"/>
        <v>0</v>
      </c>
      <c r="GO62" s="2">
        <f t="shared" si="82"/>
        <v>1263.9100000000001</v>
      </c>
      <c r="GP62" s="2">
        <f t="shared" si="83"/>
        <v>0</v>
      </c>
      <c r="GQ62" s="2"/>
      <c r="GR62" s="2">
        <v>0</v>
      </c>
      <c r="GS62" s="2">
        <v>3</v>
      </c>
      <c r="GT62" s="2">
        <v>0</v>
      </c>
      <c r="GU62" s="2" t="s">
        <v>3</v>
      </c>
      <c r="GV62" s="2">
        <f t="shared" si="84"/>
        <v>0</v>
      </c>
      <c r="GW62" s="2">
        <v>1</v>
      </c>
      <c r="GX62" s="2">
        <f t="shared" si="85"/>
        <v>0</v>
      </c>
      <c r="GY62" s="2"/>
      <c r="GZ62" s="2"/>
      <c r="HA62" s="2">
        <v>0</v>
      </c>
      <c r="HB62" s="2">
        <v>0</v>
      </c>
      <c r="HC62" s="2">
        <f t="shared" si="86"/>
        <v>0</v>
      </c>
      <c r="HD62" s="2"/>
      <c r="HE62" s="2" t="s">
        <v>3</v>
      </c>
      <c r="HF62" s="2" t="s">
        <v>3</v>
      </c>
      <c r="HG62" s="2"/>
      <c r="HH62" s="2"/>
      <c r="HI62" s="2"/>
      <c r="HJ62" s="2"/>
      <c r="HK62" s="2"/>
      <c r="HL62" s="2"/>
      <c r="HM62" s="2" t="s">
        <v>3</v>
      </c>
      <c r="HN62" s="2" t="s">
        <v>3</v>
      </c>
      <c r="HO62" s="2" t="s">
        <v>3</v>
      </c>
      <c r="HP62" s="2" t="s">
        <v>3</v>
      </c>
      <c r="HQ62" s="2" t="s">
        <v>3</v>
      </c>
      <c r="HR62" s="2"/>
      <c r="HS62" s="2">
        <v>0</v>
      </c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>
        <v>0</v>
      </c>
      <c r="IL62" s="2"/>
      <c r="IM62" s="2"/>
      <c r="IN62" s="2"/>
      <c r="IO62" s="2"/>
      <c r="IP62" s="2"/>
      <c r="IQ62" s="2"/>
      <c r="IR62" s="2"/>
      <c r="IS62" s="2"/>
      <c r="IT62" s="2"/>
      <c r="IU62" s="2"/>
    </row>
    <row r="63" spans="1:255" x14ac:dyDescent="0.2">
      <c r="A63" s="3">
        <v>17</v>
      </c>
      <c r="B63" s="3">
        <v>1</v>
      </c>
      <c r="C63" s="3">
        <f>ROW(SmtRes!A136)</f>
        <v>136</v>
      </c>
      <c r="D63" s="3">
        <f>ROW(EtalonRes!A166)</f>
        <v>166</v>
      </c>
      <c r="E63" s="3" t="s">
        <v>119</v>
      </c>
      <c r="F63" s="3" t="s">
        <v>120</v>
      </c>
      <c r="G63" s="3" t="s">
        <v>121</v>
      </c>
      <c r="H63" s="3" t="s">
        <v>23</v>
      </c>
      <c r="I63" s="3">
        <v>4</v>
      </c>
      <c r="J63" s="3">
        <v>0</v>
      </c>
      <c r="K63" s="3">
        <v>4</v>
      </c>
      <c r="O63" s="3">
        <f t="shared" si="64"/>
        <v>29023.84</v>
      </c>
      <c r="P63" s="3">
        <f t="shared" si="60"/>
        <v>292.81</v>
      </c>
      <c r="Q63" s="3">
        <f>(ROUND((ROUND((((ET63*1.2))*AV63*I63),2)*BB63),2)+ROUND((ROUND(((AE63-((EU63*1.2)))*AV63*I63),2)*BS63),2))</f>
        <v>1051.3499999999999</v>
      </c>
      <c r="R63" s="3">
        <f>(ROUND((ROUND((((EU63*1.2))*AV63*I63),2)*BS63),2)+ROUND((ROUND(((AE63-((EU63*1.2)))*AV63*I63),2)*BS63),2))</f>
        <v>109.88</v>
      </c>
      <c r="S63" s="3">
        <f t="shared" si="65"/>
        <v>27679.68</v>
      </c>
      <c r="T63" s="3">
        <f t="shared" si="66"/>
        <v>0</v>
      </c>
      <c r="U63" s="3">
        <f t="shared" si="67"/>
        <v>38.924159999999993</v>
      </c>
      <c r="V63" s="3">
        <f t="shared" si="68"/>
        <v>0</v>
      </c>
      <c r="W63" s="3">
        <f t="shared" si="69"/>
        <v>0</v>
      </c>
      <c r="X63" s="3">
        <f>(ROUND((((S63+ROUND((ROUND((((EU63*1.2))*AV63*I63),2)*BS63),2))*AT63)/100),2)+ROUND(((ROUND((ROUND(((AE63-((EU63*1.2)))*AV63*I63),2)*BS63),2)*AT63)/100),2))</f>
        <v>25010.6</v>
      </c>
      <c r="Y63" s="3">
        <f>(ROUND((((S63+ROUND((ROUND((((EU63*1.2))*AV63*I63),2)*BS63),2))*AU63)/100),2)+ROUND(((ROUND((ROUND(((AE63-((EU63*1.2)))*AV63*I63),2)*BS63),2)*AU63)/100),2))</f>
        <v>12783.2</v>
      </c>
      <c r="AA63" s="3">
        <v>85739207</v>
      </c>
      <c r="AB63" s="3">
        <f t="shared" si="70"/>
        <v>139.238</v>
      </c>
      <c r="AC63" s="3">
        <f>ROUND(((ES63*1)),6)</f>
        <v>6.65</v>
      </c>
      <c r="AD63" s="3">
        <f>ROUND(((((ET63*1.2))-((EU63*1.2)))+AE63),6)</f>
        <v>17.495999999999999</v>
      </c>
      <c r="AE63" s="3">
        <f>ROUND(((EU63*1.2)),6)</f>
        <v>0.45600000000000002</v>
      </c>
      <c r="AF63" s="3">
        <f>ROUND(((EV63*1.2)),6)</f>
        <v>115.092</v>
      </c>
      <c r="AG63" s="3">
        <f t="shared" si="71"/>
        <v>0</v>
      </c>
      <c r="AH63" s="3">
        <f>((EW63*1.2))</f>
        <v>9.1199999999999992</v>
      </c>
      <c r="AI63" s="3">
        <f>((EX63*1.2))</f>
        <v>0</v>
      </c>
      <c r="AJ63" s="3">
        <f t="shared" si="72"/>
        <v>0</v>
      </c>
      <c r="AK63" s="3">
        <v>117.14</v>
      </c>
      <c r="AL63" s="3">
        <v>6.65</v>
      </c>
      <c r="AM63" s="3">
        <v>14.58</v>
      </c>
      <c r="AN63" s="3">
        <v>0.38</v>
      </c>
      <c r="AO63" s="3">
        <v>95.91</v>
      </c>
      <c r="AP63" s="3">
        <v>0</v>
      </c>
      <c r="AQ63" s="3">
        <v>7.6</v>
      </c>
      <c r="AR63" s="3">
        <v>0</v>
      </c>
      <c r="AS63" s="3">
        <v>0</v>
      </c>
      <c r="AT63" s="3">
        <v>90</v>
      </c>
      <c r="AU63" s="3">
        <v>46</v>
      </c>
      <c r="AV63" s="3">
        <v>1.0669999999999999</v>
      </c>
      <c r="AW63" s="3">
        <v>1.028</v>
      </c>
      <c r="AZ63" s="3">
        <v>1</v>
      </c>
      <c r="BA63" s="3">
        <v>56.35</v>
      </c>
      <c r="BB63" s="3">
        <v>14.08</v>
      </c>
      <c r="BC63" s="3">
        <v>10.71</v>
      </c>
      <c r="BD63" s="3" t="s">
        <v>3</v>
      </c>
      <c r="BE63" s="3" t="s">
        <v>3</v>
      </c>
      <c r="BF63" s="3" t="s">
        <v>3</v>
      </c>
      <c r="BG63" s="3" t="s">
        <v>3</v>
      </c>
      <c r="BH63" s="3">
        <v>0</v>
      </c>
      <c r="BI63" s="3">
        <v>2</v>
      </c>
      <c r="BJ63" s="3" t="s">
        <v>122</v>
      </c>
      <c r="BM63" s="3">
        <v>73</v>
      </c>
      <c r="BN63" s="3">
        <v>0</v>
      </c>
      <c r="BO63" s="3" t="s">
        <v>120</v>
      </c>
      <c r="BP63" s="3">
        <v>1</v>
      </c>
      <c r="BQ63" s="3">
        <v>40</v>
      </c>
      <c r="BR63" s="3">
        <v>0</v>
      </c>
      <c r="BS63" s="3">
        <v>56.35</v>
      </c>
      <c r="BT63" s="3">
        <v>1</v>
      </c>
      <c r="BU63" s="3">
        <v>1</v>
      </c>
      <c r="BV63" s="3">
        <v>1</v>
      </c>
      <c r="BW63" s="3">
        <v>1</v>
      </c>
      <c r="BX63" s="3">
        <v>1</v>
      </c>
      <c r="BY63" s="3" t="s">
        <v>3</v>
      </c>
      <c r="BZ63" s="3">
        <v>90</v>
      </c>
      <c r="CA63" s="3">
        <v>46</v>
      </c>
      <c r="CB63" s="3" t="s">
        <v>3</v>
      </c>
      <c r="CE63" s="3">
        <v>1566</v>
      </c>
      <c r="CF63" s="3">
        <v>0</v>
      </c>
      <c r="CG63" s="3">
        <v>0</v>
      </c>
      <c r="CM63" s="3">
        <v>0</v>
      </c>
      <c r="CN63" s="3" t="s">
        <v>677</v>
      </c>
      <c r="CO63" s="3">
        <v>0</v>
      </c>
      <c r="CP63" s="3">
        <f t="shared" si="73"/>
        <v>29023.84</v>
      </c>
      <c r="CQ63" s="3">
        <f t="shared" si="61"/>
        <v>73.260000000000005</v>
      </c>
      <c r="CR63" s="3">
        <f>(ROUND((ROUND((((ET63*1.2))*AV63*1),2)*BB63),2)+ROUND((ROUND(((AE63-((EU63*1.2)))*AV63*1),2)*BS63),2))</f>
        <v>262.87</v>
      </c>
      <c r="CS63" s="3">
        <f>(ROUND((ROUND((((EU63*1.2))*AV63*1),2)*BS63),2)+ROUND((ROUND(((AE63-((EU63*1.2)))*AV63*1),2)*BS63),2))</f>
        <v>27.61</v>
      </c>
      <c r="CT63" s="3">
        <f t="shared" si="74"/>
        <v>6919.78</v>
      </c>
      <c r="CU63" s="3">
        <f t="shared" si="75"/>
        <v>0</v>
      </c>
      <c r="CV63" s="3">
        <f t="shared" si="76"/>
        <v>9.7310399999999984</v>
      </c>
      <c r="CW63" s="3">
        <f t="shared" si="77"/>
        <v>0</v>
      </c>
      <c r="CX63" s="3">
        <f t="shared" si="78"/>
        <v>0</v>
      </c>
      <c r="CY63" s="3">
        <f>(ROUND((((S63+ROUND((ROUND((((EU63*1.2))*AV63*1),2)*BS63),2))*AT63)/100),2)+ROUND(((ROUND((ROUND(((AE63-((EU63*1.2)))*AV63*1),2)*BS63),2)*AT63)/100),2))</f>
        <v>24936.560000000001</v>
      </c>
      <c r="CZ63" s="3">
        <f>(ROUND((((S63+ROUND((ROUND((((EU63*1.2))*AV63*1),2)*BS63),2))*AU63)/100),2)+ROUND(((ROUND((ROUND(((AE63-((EU63*1.2)))*AV63*1),2)*BS63),2)*AU63)/100),2))</f>
        <v>12745.35</v>
      </c>
      <c r="DB63" s="3">
        <v>28</v>
      </c>
      <c r="DC63" s="3" t="s">
        <v>3</v>
      </c>
      <c r="DD63" s="3" t="s">
        <v>35</v>
      </c>
      <c r="DE63" s="3" t="s">
        <v>36</v>
      </c>
      <c r="DF63" s="3" t="s">
        <v>36</v>
      </c>
      <c r="DG63" s="3" t="s">
        <v>36</v>
      </c>
      <c r="DH63" s="3" t="s">
        <v>3</v>
      </c>
      <c r="DI63" s="3" t="s">
        <v>36</v>
      </c>
      <c r="DJ63" s="3" t="s">
        <v>36</v>
      </c>
      <c r="DK63" s="3" t="s">
        <v>3</v>
      </c>
      <c r="DL63" s="3" t="s">
        <v>3</v>
      </c>
      <c r="DM63" s="3" t="s">
        <v>3</v>
      </c>
      <c r="DN63" s="3">
        <v>0</v>
      </c>
      <c r="DO63" s="3">
        <v>0</v>
      </c>
      <c r="DP63" s="3">
        <v>1</v>
      </c>
      <c r="DQ63" s="3">
        <v>1</v>
      </c>
      <c r="DU63" s="3">
        <v>1013</v>
      </c>
      <c r="DV63" s="3" t="s">
        <v>23</v>
      </c>
      <c r="DW63" s="3" t="s">
        <v>23</v>
      </c>
      <c r="DX63" s="3">
        <v>1</v>
      </c>
      <c r="DZ63" s="3" t="s">
        <v>3</v>
      </c>
      <c r="EA63" s="3" t="s">
        <v>3</v>
      </c>
      <c r="EB63" s="3" t="s">
        <v>3</v>
      </c>
      <c r="EC63" s="3" t="s">
        <v>3</v>
      </c>
      <c r="EE63" s="3">
        <v>85133422</v>
      </c>
      <c r="EF63" s="3">
        <v>40</v>
      </c>
      <c r="EG63" s="3" t="s">
        <v>27</v>
      </c>
      <c r="EH63" s="3">
        <v>0</v>
      </c>
      <c r="EI63" s="3" t="s">
        <v>3</v>
      </c>
      <c r="EJ63" s="3">
        <v>2</v>
      </c>
      <c r="EK63" s="3">
        <v>73</v>
      </c>
      <c r="EL63" s="3" t="s">
        <v>62</v>
      </c>
      <c r="EM63" s="3" t="s">
        <v>63</v>
      </c>
      <c r="EO63" s="3" t="s">
        <v>37</v>
      </c>
      <c r="EQ63" s="3">
        <v>0</v>
      </c>
      <c r="ER63" s="3">
        <v>117.14</v>
      </c>
      <c r="ES63" s="3">
        <v>6.65</v>
      </c>
      <c r="ET63" s="3">
        <v>14.58</v>
      </c>
      <c r="EU63" s="3">
        <v>0.38</v>
      </c>
      <c r="EV63" s="3">
        <v>95.91</v>
      </c>
      <c r="EW63" s="3">
        <v>7.6</v>
      </c>
      <c r="EX63" s="3">
        <v>0</v>
      </c>
      <c r="EY63" s="3">
        <v>0</v>
      </c>
      <c r="FQ63" s="3">
        <v>0</v>
      </c>
      <c r="FR63" s="3">
        <v>0</v>
      </c>
      <c r="FS63" s="3">
        <v>2</v>
      </c>
      <c r="FX63" s="3">
        <v>90</v>
      </c>
      <c r="FY63" s="3">
        <v>46</v>
      </c>
      <c r="GA63" s="3" t="s">
        <v>3</v>
      </c>
      <c r="GD63" s="3">
        <v>1</v>
      </c>
      <c r="GF63" s="3">
        <v>295159665</v>
      </c>
      <c r="GG63" s="3">
        <v>2</v>
      </c>
      <c r="GH63" s="3">
        <v>1</v>
      </c>
      <c r="GI63" s="3">
        <v>2</v>
      </c>
      <c r="GJ63" s="3">
        <v>0</v>
      </c>
      <c r="GK63" s="3">
        <v>0</v>
      </c>
      <c r="GL63" s="3">
        <f t="shared" si="79"/>
        <v>0</v>
      </c>
      <c r="GM63" s="3">
        <f t="shared" si="80"/>
        <v>66817.64</v>
      </c>
      <c r="GN63" s="3">
        <f t="shared" si="81"/>
        <v>0</v>
      </c>
      <c r="GO63" s="3">
        <f t="shared" si="82"/>
        <v>66817.64</v>
      </c>
      <c r="GP63" s="3">
        <f t="shared" si="83"/>
        <v>0</v>
      </c>
      <c r="GR63" s="3">
        <v>0</v>
      </c>
      <c r="GS63" s="3">
        <v>3</v>
      </c>
      <c r="GT63" s="3">
        <v>0</v>
      </c>
      <c r="GU63" s="3" t="s">
        <v>3</v>
      </c>
      <c r="GV63" s="3">
        <f t="shared" si="84"/>
        <v>0</v>
      </c>
      <c r="GW63" s="3">
        <v>1</v>
      </c>
      <c r="GX63" s="3">
        <f t="shared" si="85"/>
        <v>0</v>
      </c>
      <c r="HA63" s="3">
        <v>0</v>
      </c>
      <c r="HB63" s="3">
        <v>0</v>
      </c>
      <c r="HC63" s="3">
        <f t="shared" si="86"/>
        <v>0</v>
      </c>
      <c r="HE63" s="3" t="s">
        <v>3</v>
      </c>
      <c r="HF63" s="3" t="s">
        <v>3</v>
      </c>
      <c r="HM63" s="3" t="s">
        <v>3</v>
      </c>
      <c r="HN63" s="3" t="s">
        <v>3</v>
      </c>
      <c r="HO63" s="3" t="s">
        <v>3</v>
      </c>
      <c r="HP63" s="3" t="s">
        <v>3</v>
      </c>
      <c r="HQ63" s="3" t="s">
        <v>3</v>
      </c>
      <c r="HS63" s="3">
        <v>0</v>
      </c>
      <c r="IK63" s="3">
        <v>0</v>
      </c>
    </row>
    <row r="64" spans="1:255" x14ac:dyDescent="0.2">
      <c r="A64" s="2">
        <v>18</v>
      </c>
      <c r="B64" s="2">
        <v>1</v>
      </c>
      <c r="C64" s="2">
        <v>129</v>
      </c>
      <c r="D64" s="2"/>
      <c r="E64" s="2" t="s">
        <v>123</v>
      </c>
      <c r="F64" s="2" t="s">
        <v>124</v>
      </c>
      <c r="G64" s="2" t="s">
        <v>125</v>
      </c>
      <c r="H64" s="2" t="s">
        <v>99</v>
      </c>
      <c r="I64" s="2">
        <f>I62*J64</f>
        <v>4</v>
      </c>
      <c r="J64" s="2">
        <v>1</v>
      </c>
      <c r="K64" s="2">
        <v>1</v>
      </c>
      <c r="L64" s="2"/>
      <c r="M64" s="2"/>
      <c r="N64" s="2"/>
      <c r="O64" s="2">
        <f t="shared" si="64"/>
        <v>1361.64</v>
      </c>
      <c r="P64" s="2">
        <f t="shared" si="60"/>
        <v>1361.64</v>
      </c>
      <c r="Q64" s="2">
        <f>(ROUND((ROUND(((ET64)*AV64*I64),2)*BB64),2)+ROUND((ROUND(((AE64-(EU64))*AV64*I64),2)*BS64),2))</f>
        <v>0</v>
      </c>
      <c r="R64" s="2">
        <f>(ROUND((ROUND(((EU64)*AV64*I64),2)*BS64),2)+ROUND((ROUND(((AE64-(EU64))*AV64*I64),2)*BS64),2))</f>
        <v>0</v>
      </c>
      <c r="S64" s="2">
        <f t="shared" si="65"/>
        <v>0</v>
      </c>
      <c r="T64" s="2">
        <f t="shared" si="66"/>
        <v>0</v>
      </c>
      <c r="U64" s="2">
        <f t="shared" si="67"/>
        <v>0</v>
      </c>
      <c r="V64" s="2">
        <f t="shared" si="68"/>
        <v>0</v>
      </c>
      <c r="W64" s="2">
        <f t="shared" si="69"/>
        <v>0</v>
      </c>
      <c r="X64" s="2">
        <f>(ROUND((((S64+ROUND((ROUND(((EU64)*AV64*I64),2)*BS64),2))*AT64)/100),2)+ROUND(((ROUND((ROUND(((AE64-(EU64))*AV64*I64),2)*BS64),2)*AT64)/100),2))</f>
        <v>0</v>
      </c>
      <c r="Y64" s="2">
        <f>(ROUND((((S64+ROUND((ROUND(((EU64)*AV64*I64),2)*BS64),2))*AU64)/100),2)+ROUND(((ROUND((ROUND(((AE64-(EU64))*AV64*I64),2)*BS64),2)*AU64)/100),2))</f>
        <v>0</v>
      </c>
      <c r="Z64" s="2"/>
      <c r="AA64" s="2">
        <v>85739205</v>
      </c>
      <c r="AB64" s="2">
        <f t="shared" si="70"/>
        <v>340.41</v>
      </c>
      <c r="AC64" s="2">
        <f>ROUND((ES64),6)</f>
        <v>340.41</v>
      </c>
      <c r="AD64" s="2">
        <f>ROUND((((ET64)-(EU64))+AE64),6)</f>
        <v>0</v>
      </c>
      <c r="AE64" s="2">
        <f>ROUND((EU64),6)</f>
        <v>0</v>
      </c>
      <c r="AF64" s="2">
        <f>ROUND((EV64),6)</f>
        <v>0</v>
      </c>
      <c r="AG64" s="2">
        <f t="shared" si="71"/>
        <v>0</v>
      </c>
      <c r="AH64" s="2">
        <f>(EW64)</f>
        <v>0</v>
      </c>
      <c r="AI64" s="2">
        <f>(EX64)</f>
        <v>0</v>
      </c>
      <c r="AJ64" s="2">
        <f t="shared" si="72"/>
        <v>0</v>
      </c>
      <c r="AK64" s="2">
        <v>340.41</v>
      </c>
      <c r="AL64" s="2">
        <v>340.41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90</v>
      </c>
      <c r="AU64" s="2">
        <v>46</v>
      </c>
      <c r="AV64" s="2">
        <v>1</v>
      </c>
      <c r="AW64" s="2">
        <v>1</v>
      </c>
      <c r="AX64" s="2"/>
      <c r="AY64" s="2"/>
      <c r="AZ64" s="2">
        <v>1</v>
      </c>
      <c r="BA64" s="2">
        <v>1</v>
      </c>
      <c r="BB64" s="2">
        <v>1</v>
      </c>
      <c r="BC64" s="2">
        <v>1</v>
      </c>
      <c r="BD64" s="2" t="s">
        <v>3</v>
      </c>
      <c r="BE64" s="2" t="s">
        <v>3</v>
      </c>
      <c r="BF64" s="2" t="s">
        <v>3</v>
      </c>
      <c r="BG64" s="2" t="s">
        <v>3</v>
      </c>
      <c r="BH64" s="2">
        <v>3</v>
      </c>
      <c r="BI64" s="2">
        <v>2</v>
      </c>
      <c r="BJ64" s="2" t="s">
        <v>126</v>
      </c>
      <c r="BK64" s="2"/>
      <c r="BL64" s="2"/>
      <c r="BM64" s="2">
        <v>73</v>
      </c>
      <c r="BN64" s="2">
        <v>0</v>
      </c>
      <c r="BO64" s="2" t="s">
        <v>3</v>
      </c>
      <c r="BP64" s="2">
        <v>0</v>
      </c>
      <c r="BQ64" s="2">
        <v>40</v>
      </c>
      <c r="BR64" s="2">
        <v>0</v>
      </c>
      <c r="BS64" s="2">
        <v>1</v>
      </c>
      <c r="BT64" s="2">
        <v>1</v>
      </c>
      <c r="BU64" s="2">
        <v>1</v>
      </c>
      <c r="BV64" s="2">
        <v>1</v>
      </c>
      <c r="BW64" s="2">
        <v>1</v>
      </c>
      <c r="BX64" s="2">
        <v>1</v>
      </c>
      <c r="BY64" s="2" t="s">
        <v>3</v>
      </c>
      <c r="BZ64" s="2">
        <v>90</v>
      </c>
      <c r="CA64" s="2">
        <v>46</v>
      </c>
      <c r="CB64" s="2" t="s">
        <v>3</v>
      </c>
      <c r="CC64" s="2"/>
      <c r="CD64" s="2"/>
      <c r="CE64" s="2">
        <v>1566</v>
      </c>
      <c r="CF64" s="2">
        <v>0</v>
      </c>
      <c r="CG64" s="2">
        <v>0</v>
      </c>
      <c r="CH64" s="2"/>
      <c r="CI64" s="2"/>
      <c r="CJ64" s="2"/>
      <c r="CK64" s="2"/>
      <c r="CL64" s="2"/>
      <c r="CM64" s="2">
        <v>0</v>
      </c>
      <c r="CN64" s="2" t="s">
        <v>679</v>
      </c>
      <c r="CO64" s="2">
        <v>0</v>
      </c>
      <c r="CP64" s="2">
        <f t="shared" si="73"/>
        <v>1361.64</v>
      </c>
      <c r="CQ64" s="2">
        <f t="shared" si="61"/>
        <v>340.41</v>
      </c>
      <c r="CR64" s="2">
        <f>(ROUND((ROUND(((ET64)*AV64*1),2)*BB64),2)+ROUND((ROUND(((AE64-(EU64))*AV64*1),2)*BS64),2))</f>
        <v>0</v>
      </c>
      <c r="CS64" s="2">
        <f>(ROUND((ROUND(((EU64)*AV64*1),2)*BS64),2)+ROUND((ROUND(((AE64-(EU64))*AV64*1),2)*BS64),2))</f>
        <v>0</v>
      </c>
      <c r="CT64" s="2">
        <f t="shared" si="74"/>
        <v>0</v>
      </c>
      <c r="CU64" s="2">
        <f t="shared" si="75"/>
        <v>0</v>
      </c>
      <c r="CV64" s="2">
        <f t="shared" si="76"/>
        <v>0</v>
      </c>
      <c r="CW64" s="2">
        <f t="shared" si="77"/>
        <v>0</v>
      </c>
      <c r="CX64" s="2">
        <f t="shared" si="78"/>
        <v>0</v>
      </c>
      <c r="CY64" s="2">
        <f>(ROUND((((S64+ROUND((ROUND(((EU64)*AV64*1),2)*BS64),2))*AT64)/100),2)+ROUND(((ROUND((ROUND(((AE64-(EU64))*AV64*1),2)*BS64),2)*AT64)/100),2))</f>
        <v>0</v>
      </c>
      <c r="CZ64" s="2">
        <f>(ROUND((((S64+ROUND((ROUND(((EU64)*AV64*1),2)*BS64),2))*AU64)/100),2)+ROUND(((ROUND((ROUND(((AE64-(EU64))*AV64*1),2)*BS64),2)*AU64)/100),2))</f>
        <v>0</v>
      </c>
      <c r="DA64" s="2"/>
      <c r="DB64" s="2"/>
      <c r="DC64" s="2" t="s">
        <v>3</v>
      </c>
      <c r="DD64" s="2" t="s">
        <v>3</v>
      </c>
      <c r="DE64" s="2" t="s">
        <v>3</v>
      </c>
      <c r="DF64" s="2" t="s">
        <v>3</v>
      </c>
      <c r="DG64" s="2" t="s">
        <v>3</v>
      </c>
      <c r="DH64" s="2" t="s">
        <v>3</v>
      </c>
      <c r="DI64" s="2" t="s">
        <v>3</v>
      </c>
      <c r="DJ64" s="2" t="s">
        <v>3</v>
      </c>
      <c r="DK64" s="2" t="s">
        <v>3</v>
      </c>
      <c r="DL64" s="2" t="s">
        <v>3</v>
      </c>
      <c r="DM64" s="2" t="s">
        <v>3</v>
      </c>
      <c r="DN64" s="2">
        <v>0</v>
      </c>
      <c r="DO64" s="2">
        <v>0</v>
      </c>
      <c r="DP64" s="2">
        <v>1</v>
      </c>
      <c r="DQ64" s="2">
        <v>1</v>
      </c>
      <c r="DR64" s="2"/>
      <c r="DS64" s="2"/>
      <c r="DT64" s="2"/>
      <c r="DU64" s="2">
        <v>1010</v>
      </c>
      <c r="DV64" s="2" t="s">
        <v>99</v>
      </c>
      <c r="DW64" s="2" t="s">
        <v>99</v>
      </c>
      <c r="DX64" s="2">
        <v>1</v>
      </c>
      <c r="DY64" s="2"/>
      <c r="DZ64" s="2" t="s">
        <v>3</v>
      </c>
      <c r="EA64" s="2" t="s">
        <v>3</v>
      </c>
      <c r="EB64" s="2" t="s">
        <v>3</v>
      </c>
      <c r="EC64" s="2" t="s">
        <v>3</v>
      </c>
      <c r="ED64" s="2"/>
      <c r="EE64" s="2">
        <v>85133422</v>
      </c>
      <c r="EF64" s="2">
        <v>40</v>
      </c>
      <c r="EG64" s="2" t="s">
        <v>27</v>
      </c>
      <c r="EH64" s="2">
        <v>0</v>
      </c>
      <c r="EI64" s="2" t="s">
        <v>3</v>
      </c>
      <c r="EJ64" s="2">
        <v>2</v>
      </c>
      <c r="EK64" s="2">
        <v>73</v>
      </c>
      <c r="EL64" s="2" t="s">
        <v>62</v>
      </c>
      <c r="EM64" s="2" t="s">
        <v>63</v>
      </c>
      <c r="EN64" s="2"/>
      <c r="EO64" s="2" t="s">
        <v>37</v>
      </c>
      <c r="EP64" s="2"/>
      <c r="EQ64" s="2">
        <v>0</v>
      </c>
      <c r="ER64" s="2">
        <v>340.41</v>
      </c>
      <c r="ES64" s="2">
        <v>340.41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>
        <v>0</v>
      </c>
      <c r="FR64" s="2">
        <v>0</v>
      </c>
      <c r="FS64" s="2">
        <v>0</v>
      </c>
      <c r="FT64" s="2"/>
      <c r="FU64" s="2"/>
      <c r="FV64" s="2"/>
      <c r="FW64" s="2"/>
      <c r="FX64" s="2">
        <v>90</v>
      </c>
      <c r="FY64" s="2">
        <v>46</v>
      </c>
      <c r="FZ64" s="2"/>
      <c r="GA64" s="2" t="s">
        <v>3</v>
      </c>
      <c r="GB64" s="2"/>
      <c r="GC64" s="2"/>
      <c r="GD64" s="2">
        <v>1</v>
      </c>
      <c r="GE64" s="2"/>
      <c r="GF64" s="2">
        <v>774186860</v>
      </c>
      <c r="GG64" s="2">
        <v>2</v>
      </c>
      <c r="GH64" s="2">
        <v>1</v>
      </c>
      <c r="GI64" s="2">
        <v>-2</v>
      </c>
      <c r="GJ64" s="2">
        <v>0</v>
      </c>
      <c r="GK64" s="2">
        <v>0</v>
      </c>
      <c r="GL64" s="2">
        <f t="shared" si="79"/>
        <v>0</v>
      </c>
      <c r="GM64" s="2">
        <f t="shared" si="80"/>
        <v>1361.64</v>
      </c>
      <c r="GN64" s="2">
        <f t="shared" si="81"/>
        <v>0</v>
      </c>
      <c r="GO64" s="2">
        <f t="shared" si="82"/>
        <v>1361.64</v>
      </c>
      <c r="GP64" s="2">
        <f t="shared" si="83"/>
        <v>0</v>
      </c>
      <c r="GQ64" s="2"/>
      <c r="GR64" s="2">
        <v>0</v>
      </c>
      <c r="GS64" s="2">
        <v>3</v>
      </c>
      <c r="GT64" s="2">
        <v>0</v>
      </c>
      <c r="GU64" s="2" t="s">
        <v>3</v>
      </c>
      <c r="GV64" s="2">
        <f t="shared" si="84"/>
        <v>0</v>
      </c>
      <c r="GW64" s="2">
        <v>1</v>
      </c>
      <c r="GX64" s="2">
        <f t="shared" si="85"/>
        <v>0</v>
      </c>
      <c r="GY64" s="2"/>
      <c r="GZ64" s="2"/>
      <c r="HA64" s="2">
        <v>0</v>
      </c>
      <c r="HB64" s="2">
        <v>0</v>
      </c>
      <c r="HC64" s="2">
        <f t="shared" si="86"/>
        <v>0</v>
      </c>
      <c r="HD64" s="2"/>
      <c r="HE64" s="2" t="s">
        <v>3</v>
      </c>
      <c r="HF64" s="2" t="s">
        <v>3</v>
      </c>
      <c r="HG64" s="2"/>
      <c r="HH64" s="2"/>
      <c r="HI64" s="2"/>
      <c r="HJ64" s="2"/>
      <c r="HK64" s="2"/>
      <c r="HL64" s="2"/>
      <c r="HM64" s="2" t="s">
        <v>35</v>
      </c>
      <c r="HN64" s="2" t="s">
        <v>3</v>
      </c>
      <c r="HO64" s="2" t="s">
        <v>3</v>
      </c>
      <c r="HP64" s="2" t="s">
        <v>3</v>
      </c>
      <c r="HQ64" s="2" t="s">
        <v>3</v>
      </c>
      <c r="HR64" s="2"/>
      <c r="HS64" s="2">
        <v>0</v>
      </c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>
        <v>0</v>
      </c>
      <c r="IL64" s="2"/>
      <c r="IM64" s="2"/>
      <c r="IN64" s="2"/>
      <c r="IO64" s="2"/>
      <c r="IP64" s="2"/>
      <c r="IQ64" s="2"/>
      <c r="IR64" s="2"/>
      <c r="IS64" s="2"/>
      <c r="IT64" s="2"/>
      <c r="IU64" s="2"/>
    </row>
    <row r="65" spans="1:255" x14ac:dyDescent="0.2">
      <c r="A65" s="3">
        <v>18</v>
      </c>
      <c r="B65" s="3">
        <v>1</v>
      </c>
      <c r="C65" s="3">
        <v>136</v>
      </c>
      <c r="E65" s="3" t="s">
        <v>123</v>
      </c>
      <c r="F65" s="3" t="s">
        <v>124</v>
      </c>
      <c r="G65" s="3" t="s">
        <v>125</v>
      </c>
      <c r="H65" s="3" t="s">
        <v>99</v>
      </c>
      <c r="I65" s="3">
        <f>I63*J65</f>
        <v>4</v>
      </c>
      <c r="J65" s="3">
        <v>1</v>
      </c>
      <c r="K65" s="3">
        <v>1</v>
      </c>
      <c r="O65" s="3">
        <f t="shared" si="64"/>
        <v>6127.38</v>
      </c>
      <c r="P65" s="3">
        <f t="shared" si="60"/>
        <v>6127.38</v>
      </c>
      <c r="Q65" s="3">
        <f>(ROUND((ROUND(((ET65)*AV65*I65),2)*BB65),2)+ROUND((ROUND(((AE65-(EU65))*AV65*I65),2)*BS65),2))</f>
        <v>0</v>
      </c>
      <c r="R65" s="3">
        <f>(ROUND((ROUND(((EU65)*AV65*I65),2)*BS65),2)+ROUND((ROUND(((AE65-(EU65))*AV65*I65),2)*BS65),2))</f>
        <v>0</v>
      </c>
      <c r="S65" s="3">
        <f t="shared" si="65"/>
        <v>0</v>
      </c>
      <c r="T65" s="3">
        <f t="shared" si="66"/>
        <v>0</v>
      </c>
      <c r="U65" s="3">
        <f t="shared" si="67"/>
        <v>0</v>
      </c>
      <c r="V65" s="3">
        <f t="shared" si="68"/>
        <v>0</v>
      </c>
      <c r="W65" s="3">
        <f t="shared" si="69"/>
        <v>0</v>
      </c>
      <c r="X65" s="3">
        <f>(ROUND((((S65+ROUND((ROUND(((EU65)*AV65*I65),2)*BS65),2))*AT65)/100),2)+ROUND(((ROUND((ROUND(((AE65-(EU65))*AV65*I65),2)*BS65),2)*AT65)/100),2))</f>
        <v>0</v>
      </c>
      <c r="Y65" s="3">
        <f>(ROUND((((S65+ROUND((ROUND(((EU65)*AV65*I65),2)*BS65),2))*AU65)/100),2)+ROUND(((ROUND((ROUND(((AE65-(EU65))*AV65*I65),2)*BS65),2)*AU65)/100),2))</f>
        <v>0</v>
      </c>
      <c r="AA65" s="3">
        <v>85739207</v>
      </c>
      <c r="AB65" s="3">
        <f t="shared" si="70"/>
        <v>340.41</v>
      </c>
      <c r="AC65" s="3">
        <f>ROUND((ES65),6)</f>
        <v>340.41</v>
      </c>
      <c r="AD65" s="3">
        <f>ROUND((((ET65)-(EU65))+AE65),6)</f>
        <v>0</v>
      </c>
      <c r="AE65" s="3">
        <f>ROUND((EU65),6)</f>
        <v>0</v>
      </c>
      <c r="AF65" s="3">
        <f>ROUND((EV65),6)</f>
        <v>0</v>
      </c>
      <c r="AG65" s="3">
        <f t="shared" si="71"/>
        <v>0</v>
      </c>
      <c r="AH65" s="3">
        <f>(EW65)</f>
        <v>0</v>
      </c>
      <c r="AI65" s="3">
        <f>(EX65)</f>
        <v>0</v>
      </c>
      <c r="AJ65" s="3">
        <f t="shared" si="72"/>
        <v>0</v>
      </c>
      <c r="AK65" s="3">
        <v>340.41</v>
      </c>
      <c r="AL65" s="3">
        <v>340.41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90</v>
      </c>
      <c r="AU65" s="3">
        <v>46</v>
      </c>
      <c r="AV65" s="3">
        <v>1</v>
      </c>
      <c r="AW65" s="3">
        <v>1</v>
      </c>
      <c r="AZ65" s="3">
        <v>1</v>
      </c>
      <c r="BA65" s="3">
        <v>1</v>
      </c>
      <c r="BB65" s="3">
        <v>1</v>
      </c>
      <c r="BC65" s="3">
        <v>4.5</v>
      </c>
      <c r="BD65" s="3" t="s">
        <v>3</v>
      </c>
      <c r="BE65" s="3" t="s">
        <v>3</v>
      </c>
      <c r="BF65" s="3" t="s">
        <v>3</v>
      </c>
      <c r="BG65" s="3" t="s">
        <v>3</v>
      </c>
      <c r="BH65" s="3">
        <v>3</v>
      </c>
      <c r="BI65" s="3">
        <v>2</v>
      </c>
      <c r="BJ65" s="3" t="s">
        <v>126</v>
      </c>
      <c r="BM65" s="3">
        <v>73</v>
      </c>
      <c r="BN65" s="3">
        <v>0</v>
      </c>
      <c r="BO65" s="3" t="s">
        <v>124</v>
      </c>
      <c r="BP65" s="3">
        <v>1</v>
      </c>
      <c r="BQ65" s="3">
        <v>40</v>
      </c>
      <c r="BR65" s="3">
        <v>0</v>
      </c>
      <c r="BS65" s="3">
        <v>1</v>
      </c>
      <c r="BT65" s="3">
        <v>1</v>
      </c>
      <c r="BU65" s="3">
        <v>1</v>
      </c>
      <c r="BV65" s="3">
        <v>1</v>
      </c>
      <c r="BW65" s="3">
        <v>1</v>
      </c>
      <c r="BX65" s="3">
        <v>1</v>
      </c>
      <c r="BY65" s="3" t="s">
        <v>3</v>
      </c>
      <c r="BZ65" s="3">
        <v>90</v>
      </c>
      <c r="CA65" s="3">
        <v>46</v>
      </c>
      <c r="CB65" s="3" t="s">
        <v>3</v>
      </c>
      <c r="CE65" s="3">
        <v>1566</v>
      </c>
      <c r="CF65" s="3">
        <v>0</v>
      </c>
      <c r="CG65" s="3">
        <v>0</v>
      </c>
      <c r="CM65" s="3">
        <v>0</v>
      </c>
      <c r="CN65" s="3" t="s">
        <v>679</v>
      </c>
      <c r="CO65" s="3">
        <v>0</v>
      </c>
      <c r="CP65" s="3">
        <f t="shared" si="73"/>
        <v>6127.38</v>
      </c>
      <c r="CQ65" s="3">
        <f t="shared" si="61"/>
        <v>1531.85</v>
      </c>
      <c r="CR65" s="3">
        <f>(ROUND((ROUND(((ET65)*AV65*1),2)*BB65),2)+ROUND((ROUND(((AE65-(EU65))*AV65*1),2)*BS65),2))</f>
        <v>0</v>
      </c>
      <c r="CS65" s="3">
        <f>(ROUND((ROUND(((EU65)*AV65*1),2)*BS65),2)+ROUND((ROUND(((AE65-(EU65))*AV65*1),2)*BS65),2))</f>
        <v>0</v>
      </c>
      <c r="CT65" s="3">
        <f t="shared" si="74"/>
        <v>0</v>
      </c>
      <c r="CU65" s="3">
        <f t="shared" si="75"/>
        <v>0</v>
      </c>
      <c r="CV65" s="3">
        <f t="shared" si="76"/>
        <v>0</v>
      </c>
      <c r="CW65" s="3">
        <f t="shared" si="77"/>
        <v>0</v>
      </c>
      <c r="CX65" s="3">
        <f t="shared" si="78"/>
        <v>0</v>
      </c>
      <c r="CY65" s="3">
        <f>(ROUND((((S65+ROUND((ROUND(((EU65)*AV65*1),2)*BS65),2))*AT65)/100),2)+ROUND(((ROUND((ROUND(((AE65-(EU65))*AV65*1),2)*BS65),2)*AT65)/100),2))</f>
        <v>0</v>
      </c>
      <c r="CZ65" s="3">
        <f>(ROUND((((S65+ROUND((ROUND(((EU65)*AV65*1),2)*BS65),2))*AU65)/100),2)+ROUND(((ROUND((ROUND(((AE65-(EU65))*AV65*1),2)*BS65),2)*AU65)/100),2))</f>
        <v>0</v>
      </c>
      <c r="DC65" s="3" t="s">
        <v>3</v>
      </c>
      <c r="DD65" s="3" t="s">
        <v>3</v>
      </c>
      <c r="DE65" s="3" t="s">
        <v>3</v>
      </c>
      <c r="DF65" s="3" t="s">
        <v>3</v>
      </c>
      <c r="DG65" s="3" t="s">
        <v>3</v>
      </c>
      <c r="DH65" s="3" t="s">
        <v>3</v>
      </c>
      <c r="DI65" s="3" t="s">
        <v>3</v>
      </c>
      <c r="DJ65" s="3" t="s">
        <v>3</v>
      </c>
      <c r="DK65" s="3" t="s">
        <v>3</v>
      </c>
      <c r="DL65" s="3" t="s">
        <v>3</v>
      </c>
      <c r="DM65" s="3" t="s">
        <v>3</v>
      </c>
      <c r="DN65" s="3">
        <v>0</v>
      </c>
      <c r="DO65" s="3">
        <v>0</v>
      </c>
      <c r="DP65" s="3">
        <v>1</v>
      </c>
      <c r="DQ65" s="3">
        <v>1</v>
      </c>
      <c r="DU65" s="3">
        <v>1010</v>
      </c>
      <c r="DV65" s="3" t="s">
        <v>99</v>
      </c>
      <c r="DW65" s="3" t="s">
        <v>99</v>
      </c>
      <c r="DX65" s="3">
        <v>1</v>
      </c>
      <c r="DZ65" s="3" t="s">
        <v>3</v>
      </c>
      <c r="EA65" s="3" t="s">
        <v>3</v>
      </c>
      <c r="EB65" s="3" t="s">
        <v>3</v>
      </c>
      <c r="EC65" s="3" t="s">
        <v>3</v>
      </c>
      <c r="EE65" s="3">
        <v>85133422</v>
      </c>
      <c r="EF65" s="3">
        <v>40</v>
      </c>
      <c r="EG65" s="3" t="s">
        <v>27</v>
      </c>
      <c r="EH65" s="3">
        <v>0</v>
      </c>
      <c r="EI65" s="3" t="s">
        <v>3</v>
      </c>
      <c r="EJ65" s="3">
        <v>2</v>
      </c>
      <c r="EK65" s="3">
        <v>73</v>
      </c>
      <c r="EL65" s="3" t="s">
        <v>62</v>
      </c>
      <c r="EM65" s="3" t="s">
        <v>63</v>
      </c>
      <c r="EO65" s="3" t="s">
        <v>37</v>
      </c>
      <c r="EQ65" s="3">
        <v>0</v>
      </c>
      <c r="ER65" s="3">
        <v>340.41</v>
      </c>
      <c r="ES65" s="3">
        <v>340.41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FQ65" s="3">
        <v>0</v>
      </c>
      <c r="FR65" s="3">
        <v>0</v>
      </c>
      <c r="FS65" s="3">
        <v>0</v>
      </c>
      <c r="FX65" s="3">
        <v>90</v>
      </c>
      <c r="FY65" s="3">
        <v>46</v>
      </c>
      <c r="GA65" s="3" t="s">
        <v>3</v>
      </c>
      <c r="GD65" s="3">
        <v>1</v>
      </c>
      <c r="GF65" s="3">
        <v>774186860</v>
      </c>
      <c r="GG65" s="3">
        <v>2</v>
      </c>
      <c r="GH65" s="3">
        <v>1</v>
      </c>
      <c r="GI65" s="3">
        <v>2</v>
      </c>
      <c r="GJ65" s="3">
        <v>0</v>
      </c>
      <c r="GK65" s="3">
        <v>0</v>
      </c>
      <c r="GL65" s="3">
        <f t="shared" si="79"/>
        <v>0</v>
      </c>
      <c r="GM65" s="3">
        <f t="shared" si="80"/>
        <v>6127.38</v>
      </c>
      <c r="GN65" s="3">
        <f t="shared" si="81"/>
        <v>0</v>
      </c>
      <c r="GO65" s="3">
        <f t="shared" si="82"/>
        <v>6127.38</v>
      </c>
      <c r="GP65" s="3">
        <f t="shared" si="83"/>
        <v>0</v>
      </c>
      <c r="GR65" s="3">
        <v>0</v>
      </c>
      <c r="GS65" s="3">
        <v>3</v>
      </c>
      <c r="GT65" s="3">
        <v>0</v>
      </c>
      <c r="GU65" s="3" t="s">
        <v>3</v>
      </c>
      <c r="GV65" s="3">
        <f t="shared" si="84"/>
        <v>0</v>
      </c>
      <c r="GW65" s="3">
        <v>1</v>
      </c>
      <c r="GX65" s="3">
        <f t="shared" si="85"/>
        <v>0</v>
      </c>
      <c r="HA65" s="3">
        <v>0</v>
      </c>
      <c r="HB65" s="3">
        <v>0</v>
      </c>
      <c r="HC65" s="3">
        <f t="shared" si="86"/>
        <v>0</v>
      </c>
      <c r="HE65" s="3" t="s">
        <v>3</v>
      </c>
      <c r="HF65" s="3" t="s">
        <v>3</v>
      </c>
      <c r="HM65" s="3" t="s">
        <v>35</v>
      </c>
      <c r="HN65" s="3" t="s">
        <v>3</v>
      </c>
      <c r="HO65" s="3" t="s">
        <v>3</v>
      </c>
      <c r="HP65" s="3" t="s">
        <v>3</v>
      </c>
      <c r="HQ65" s="3" t="s">
        <v>3</v>
      </c>
      <c r="HS65" s="3">
        <v>0</v>
      </c>
      <c r="IK65" s="3">
        <v>0</v>
      </c>
    </row>
    <row r="66" spans="1:255" x14ac:dyDescent="0.2">
      <c r="A66" s="2">
        <v>17</v>
      </c>
      <c r="B66" s="2">
        <v>1</v>
      </c>
      <c r="C66" s="2">
        <f>ROW(SmtRes!A144)</f>
        <v>144</v>
      </c>
      <c r="D66" s="2">
        <f>ROW(EtalonRes!A173)</f>
        <v>173</v>
      </c>
      <c r="E66" s="2" t="s">
        <v>127</v>
      </c>
      <c r="F66" s="2" t="s">
        <v>128</v>
      </c>
      <c r="G66" s="2" t="s">
        <v>129</v>
      </c>
      <c r="H66" s="2" t="s">
        <v>23</v>
      </c>
      <c r="I66" s="2">
        <f>ROUND(1+9+6,9)</f>
        <v>16</v>
      </c>
      <c r="J66" s="2">
        <v>0</v>
      </c>
      <c r="K66" s="2">
        <f>ROUND(1+9+6,9)</f>
        <v>16</v>
      </c>
      <c r="L66" s="2"/>
      <c r="M66" s="2"/>
      <c r="N66" s="2"/>
      <c r="O66" s="2">
        <f t="shared" si="64"/>
        <v>1632.49</v>
      </c>
      <c r="P66" s="2">
        <f t="shared" si="60"/>
        <v>71.22</v>
      </c>
      <c r="Q66" s="2">
        <f>(ROUND((ROUND((((ET66*1.2))*AV66*I66),2)*BB66),2)+ROUND((ROUND(((AE66-((EU66*1.2)))*AV66*I66),2)*BS66),2))</f>
        <v>165.12</v>
      </c>
      <c r="R66" s="2">
        <f>(ROUND((ROUND((((EU66*1.2))*AV66*I66),2)*BS66),2)+ROUND((ROUND(((AE66-((EU66*1.2)))*AV66*I66),2)*BS66),2))</f>
        <v>5.12</v>
      </c>
      <c r="S66" s="2">
        <f t="shared" si="65"/>
        <v>1396.15</v>
      </c>
      <c r="T66" s="2">
        <f t="shared" si="66"/>
        <v>0</v>
      </c>
      <c r="U66" s="2">
        <f t="shared" si="67"/>
        <v>110.62656</v>
      </c>
      <c r="V66" s="2">
        <f t="shared" si="68"/>
        <v>0</v>
      </c>
      <c r="W66" s="2">
        <f t="shared" si="69"/>
        <v>0</v>
      </c>
      <c r="X66" s="2">
        <f>(ROUND((((S66+ROUND((ROUND((((EU66*1.2))*AV66*I66),2)*BS66),2))*AT66)/100),2)+ROUND(((ROUND((ROUND(((AE66-((EU66*1.2)))*AV66*I66),2)*BS66),2)*AT66)/100),2))</f>
        <v>1261.1400000000001</v>
      </c>
      <c r="Y66" s="2">
        <f>(ROUND((((S66+ROUND((ROUND((((EU66*1.2))*AV66*I66),2)*BS66),2))*AU66)/100),2)+ROUND(((ROUND((ROUND(((AE66-((EU66*1.2)))*AV66*I66),2)*BS66),2)*AU66)/100),2))</f>
        <v>644.58000000000004</v>
      </c>
      <c r="Z66" s="2"/>
      <c r="AA66" s="2">
        <v>85739205</v>
      </c>
      <c r="AB66" s="2">
        <f t="shared" si="70"/>
        <v>95.781999999999996</v>
      </c>
      <c r="AC66" s="2">
        <f>ROUND(((ES66*1)),6)</f>
        <v>4.33</v>
      </c>
      <c r="AD66" s="2">
        <f>ROUND(((((ET66*1.2))-((EU66*1.2)))+AE66),6)</f>
        <v>9.6720000000000006</v>
      </c>
      <c r="AE66" s="2">
        <f>ROUND(((EU66*1.2)),6)</f>
        <v>0.3</v>
      </c>
      <c r="AF66" s="2">
        <f>ROUND(((EV66*1.2)),6)</f>
        <v>81.78</v>
      </c>
      <c r="AG66" s="2">
        <f t="shared" si="71"/>
        <v>0</v>
      </c>
      <c r="AH66" s="2">
        <f>((EW66*1.2))</f>
        <v>6.48</v>
      </c>
      <c r="AI66" s="2">
        <f>((EX66*1.2))</f>
        <v>0</v>
      </c>
      <c r="AJ66" s="2">
        <f t="shared" si="72"/>
        <v>0</v>
      </c>
      <c r="AK66" s="2">
        <v>80.540000000000006</v>
      </c>
      <c r="AL66" s="2">
        <v>4.33</v>
      </c>
      <c r="AM66" s="2">
        <v>8.06</v>
      </c>
      <c r="AN66" s="2">
        <v>0.25</v>
      </c>
      <c r="AO66" s="2">
        <v>68.150000000000006</v>
      </c>
      <c r="AP66" s="2">
        <v>0</v>
      </c>
      <c r="AQ66" s="2">
        <v>5.4</v>
      </c>
      <c r="AR66" s="2">
        <v>0</v>
      </c>
      <c r="AS66" s="2">
        <v>0</v>
      </c>
      <c r="AT66" s="2">
        <v>90</v>
      </c>
      <c r="AU66" s="2">
        <v>46</v>
      </c>
      <c r="AV66" s="2">
        <v>1.0669999999999999</v>
      </c>
      <c r="AW66" s="2">
        <v>1.028</v>
      </c>
      <c r="AX66" s="2"/>
      <c r="AY66" s="2"/>
      <c r="AZ66" s="2">
        <v>1</v>
      </c>
      <c r="BA66" s="2">
        <v>1</v>
      </c>
      <c r="BB66" s="2">
        <v>1</v>
      </c>
      <c r="BC66" s="2">
        <v>1</v>
      </c>
      <c r="BD66" s="2" t="s">
        <v>3</v>
      </c>
      <c r="BE66" s="2" t="s">
        <v>3</v>
      </c>
      <c r="BF66" s="2" t="s">
        <v>3</v>
      </c>
      <c r="BG66" s="2" t="s">
        <v>3</v>
      </c>
      <c r="BH66" s="2">
        <v>0</v>
      </c>
      <c r="BI66" s="2">
        <v>2</v>
      </c>
      <c r="BJ66" s="2" t="s">
        <v>130</v>
      </c>
      <c r="BK66" s="2"/>
      <c r="BL66" s="2"/>
      <c r="BM66" s="2">
        <v>73</v>
      </c>
      <c r="BN66" s="2">
        <v>0</v>
      </c>
      <c r="BO66" s="2" t="s">
        <v>128</v>
      </c>
      <c r="BP66" s="2">
        <v>1</v>
      </c>
      <c r="BQ66" s="2">
        <v>40</v>
      </c>
      <c r="BR66" s="2">
        <v>0</v>
      </c>
      <c r="BS66" s="2">
        <v>1</v>
      </c>
      <c r="BT66" s="2">
        <v>1</v>
      </c>
      <c r="BU66" s="2">
        <v>1</v>
      </c>
      <c r="BV66" s="2">
        <v>1</v>
      </c>
      <c r="BW66" s="2">
        <v>1</v>
      </c>
      <c r="BX66" s="2">
        <v>1</v>
      </c>
      <c r="BY66" s="2" t="s">
        <v>3</v>
      </c>
      <c r="BZ66" s="2">
        <v>90</v>
      </c>
      <c r="CA66" s="2">
        <v>46</v>
      </c>
      <c r="CB66" s="2" t="s">
        <v>3</v>
      </c>
      <c r="CC66" s="2"/>
      <c r="CD66" s="2"/>
      <c r="CE66" s="2">
        <v>1566</v>
      </c>
      <c r="CF66" s="2">
        <v>0</v>
      </c>
      <c r="CG66" s="2">
        <v>0</v>
      </c>
      <c r="CH66" s="2"/>
      <c r="CI66" s="2"/>
      <c r="CJ66" s="2"/>
      <c r="CK66" s="2"/>
      <c r="CL66" s="2"/>
      <c r="CM66" s="2">
        <v>0</v>
      </c>
      <c r="CN66" s="2" t="s">
        <v>677</v>
      </c>
      <c r="CO66" s="2">
        <v>0</v>
      </c>
      <c r="CP66" s="2">
        <f t="shared" si="73"/>
        <v>1632.49</v>
      </c>
      <c r="CQ66" s="2">
        <f t="shared" si="61"/>
        <v>4.45</v>
      </c>
      <c r="CR66" s="2">
        <f>(ROUND((ROUND((((ET66*1.2))*AV66*1),2)*BB66),2)+ROUND((ROUND(((AE66-((EU66*1.2)))*AV66*1),2)*BS66),2))</f>
        <v>10.32</v>
      </c>
      <c r="CS66" s="2">
        <f>(ROUND((ROUND((((EU66*1.2))*AV66*1),2)*BS66),2)+ROUND((ROUND(((AE66-((EU66*1.2)))*AV66*1),2)*BS66),2))</f>
        <v>0.32</v>
      </c>
      <c r="CT66" s="2">
        <f t="shared" si="74"/>
        <v>87.26</v>
      </c>
      <c r="CU66" s="2">
        <f t="shared" si="75"/>
        <v>0</v>
      </c>
      <c r="CV66" s="2">
        <f t="shared" si="76"/>
        <v>6.9141599999999999</v>
      </c>
      <c r="CW66" s="2">
        <f t="shared" si="77"/>
        <v>0</v>
      </c>
      <c r="CX66" s="2">
        <f t="shared" si="78"/>
        <v>0</v>
      </c>
      <c r="CY66" s="2">
        <f>(ROUND((((S66+ROUND((ROUND((((EU66*1.2))*AV66*1),2)*BS66),2))*AT66)/100),2)+ROUND(((ROUND((ROUND(((AE66-((EU66*1.2)))*AV66*1),2)*BS66),2)*AT66)/100),2))</f>
        <v>1256.82</v>
      </c>
      <c r="CZ66" s="2">
        <f>(ROUND((((S66+ROUND((ROUND((((EU66*1.2))*AV66*1),2)*BS66),2))*AU66)/100),2)+ROUND(((ROUND((ROUND(((AE66-((EU66*1.2)))*AV66*1),2)*BS66),2)*AU66)/100),2))</f>
        <v>642.38</v>
      </c>
      <c r="DA66" s="2"/>
      <c r="DB66" s="2">
        <v>29</v>
      </c>
      <c r="DC66" s="2" t="s">
        <v>3</v>
      </c>
      <c r="DD66" s="2" t="s">
        <v>35</v>
      </c>
      <c r="DE66" s="2" t="s">
        <v>36</v>
      </c>
      <c r="DF66" s="2" t="s">
        <v>36</v>
      </c>
      <c r="DG66" s="2" t="s">
        <v>36</v>
      </c>
      <c r="DH66" s="2" t="s">
        <v>3</v>
      </c>
      <c r="DI66" s="2" t="s">
        <v>36</v>
      </c>
      <c r="DJ66" s="2" t="s">
        <v>36</v>
      </c>
      <c r="DK66" s="2" t="s">
        <v>3</v>
      </c>
      <c r="DL66" s="2" t="s">
        <v>3</v>
      </c>
      <c r="DM66" s="2" t="s">
        <v>3</v>
      </c>
      <c r="DN66" s="2">
        <v>0</v>
      </c>
      <c r="DO66" s="2">
        <v>0</v>
      </c>
      <c r="DP66" s="2">
        <v>1</v>
      </c>
      <c r="DQ66" s="2">
        <v>1</v>
      </c>
      <c r="DR66" s="2"/>
      <c r="DS66" s="2"/>
      <c r="DT66" s="2"/>
      <c r="DU66" s="2">
        <v>1013</v>
      </c>
      <c r="DV66" s="2" t="s">
        <v>23</v>
      </c>
      <c r="DW66" s="2" t="s">
        <v>23</v>
      </c>
      <c r="DX66" s="2">
        <v>1</v>
      </c>
      <c r="DY66" s="2"/>
      <c r="DZ66" s="2" t="s">
        <v>3</v>
      </c>
      <c r="EA66" s="2" t="s">
        <v>3</v>
      </c>
      <c r="EB66" s="2" t="s">
        <v>3</v>
      </c>
      <c r="EC66" s="2" t="s">
        <v>3</v>
      </c>
      <c r="ED66" s="2"/>
      <c r="EE66" s="2">
        <v>85133422</v>
      </c>
      <c r="EF66" s="2">
        <v>40</v>
      </c>
      <c r="EG66" s="2" t="s">
        <v>27</v>
      </c>
      <c r="EH66" s="2">
        <v>0</v>
      </c>
      <c r="EI66" s="2" t="s">
        <v>3</v>
      </c>
      <c r="EJ66" s="2">
        <v>2</v>
      </c>
      <c r="EK66" s="2">
        <v>73</v>
      </c>
      <c r="EL66" s="2" t="s">
        <v>62</v>
      </c>
      <c r="EM66" s="2" t="s">
        <v>63</v>
      </c>
      <c r="EN66" s="2"/>
      <c r="EO66" s="2" t="s">
        <v>37</v>
      </c>
      <c r="EP66" s="2"/>
      <c r="EQ66" s="2">
        <v>0</v>
      </c>
      <c r="ER66" s="2">
        <v>80.540000000000006</v>
      </c>
      <c r="ES66" s="2">
        <v>4.33</v>
      </c>
      <c r="ET66" s="2">
        <v>8.06</v>
      </c>
      <c r="EU66" s="2">
        <v>0.25</v>
      </c>
      <c r="EV66" s="2">
        <v>68.150000000000006</v>
      </c>
      <c r="EW66" s="2">
        <v>5.4</v>
      </c>
      <c r="EX66" s="2">
        <v>0</v>
      </c>
      <c r="EY66" s="2">
        <v>0</v>
      </c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>
        <v>0</v>
      </c>
      <c r="FR66" s="2">
        <v>0</v>
      </c>
      <c r="FS66" s="2">
        <v>2</v>
      </c>
      <c r="FT66" s="2"/>
      <c r="FU66" s="2"/>
      <c r="FV66" s="2"/>
      <c r="FW66" s="2"/>
      <c r="FX66" s="2">
        <v>90</v>
      </c>
      <c r="FY66" s="2">
        <v>46</v>
      </c>
      <c r="FZ66" s="2"/>
      <c r="GA66" s="2" t="s">
        <v>3</v>
      </c>
      <c r="GB66" s="2"/>
      <c r="GC66" s="2"/>
      <c r="GD66" s="2">
        <v>1</v>
      </c>
      <c r="GE66" s="2"/>
      <c r="GF66" s="2">
        <v>-914769333</v>
      </c>
      <c r="GG66" s="2">
        <v>2</v>
      </c>
      <c r="GH66" s="2">
        <v>1</v>
      </c>
      <c r="GI66" s="2">
        <v>2</v>
      </c>
      <c r="GJ66" s="2">
        <v>0</v>
      </c>
      <c r="GK66" s="2">
        <v>0</v>
      </c>
      <c r="GL66" s="2">
        <f t="shared" si="79"/>
        <v>0</v>
      </c>
      <c r="GM66" s="2">
        <f t="shared" si="80"/>
        <v>3538.21</v>
      </c>
      <c r="GN66" s="2">
        <f t="shared" si="81"/>
        <v>0</v>
      </c>
      <c r="GO66" s="2">
        <f t="shared" si="82"/>
        <v>3538.21</v>
      </c>
      <c r="GP66" s="2">
        <f t="shared" si="83"/>
        <v>0</v>
      </c>
      <c r="GQ66" s="2"/>
      <c r="GR66" s="2">
        <v>0</v>
      </c>
      <c r="GS66" s="2">
        <v>3</v>
      </c>
      <c r="GT66" s="2">
        <v>0</v>
      </c>
      <c r="GU66" s="2" t="s">
        <v>3</v>
      </c>
      <c r="GV66" s="2">
        <f t="shared" si="84"/>
        <v>0</v>
      </c>
      <c r="GW66" s="2">
        <v>1</v>
      </c>
      <c r="GX66" s="2">
        <f t="shared" si="85"/>
        <v>0</v>
      </c>
      <c r="GY66" s="2"/>
      <c r="GZ66" s="2"/>
      <c r="HA66" s="2">
        <v>0</v>
      </c>
      <c r="HB66" s="2">
        <v>0</v>
      </c>
      <c r="HC66" s="2">
        <f t="shared" si="86"/>
        <v>0</v>
      </c>
      <c r="HD66" s="2"/>
      <c r="HE66" s="2" t="s">
        <v>3</v>
      </c>
      <c r="HF66" s="2" t="s">
        <v>3</v>
      </c>
      <c r="HG66" s="2"/>
      <c r="HH66" s="2"/>
      <c r="HI66" s="2"/>
      <c r="HJ66" s="2"/>
      <c r="HK66" s="2"/>
      <c r="HL66" s="2"/>
      <c r="HM66" s="2" t="s">
        <v>3</v>
      </c>
      <c r="HN66" s="2" t="s">
        <v>3</v>
      </c>
      <c r="HO66" s="2" t="s">
        <v>3</v>
      </c>
      <c r="HP66" s="2" t="s">
        <v>3</v>
      </c>
      <c r="HQ66" s="2" t="s">
        <v>3</v>
      </c>
      <c r="HR66" s="2"/>
      <c r="HS66" s="2">
        <v>0</v>
      </c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>
        <v>0</v>
      </c>
      <c r="IL66" s="2"/>
      <c r="IM66" s="2"/>
      <c r="IN66" s="2"/>
      <c r="IO66" s="2"/>
      <c r="IP66" s="2"/>
      <c r="IQ66" s="2"/>
      <c r="IR66" s="2"/>
      <c r="IS66" s="2"/>
      <c r="IT66" s="2"/>
      <c r="IU66" s="2"/>
    </row>
    <row r="67" spans="1:255" x14ac:dyDescent="0.2">
      <c r="A67" s="3">
        <v>17</v>
      </c>
      <c r="B67" s="3">
        <v>1</v>
      </c>
      <c r="C67" s="3">
        <f>ROW(SmtRes!A152)</f>
        <v>152</v>
      </c>
      <c r="D67" s="3">
        <f>ROW(EtalonRes!A180)</f>
        <v>180</v>
      </c>
      <c r="E67" s="3" t="s">
        <v>127</v>
      </c>
      <c r="F67" s="3" t="s">
        <v>128</v>
      </c>
      <c r="G67" s="3" t="s">
        <v>129</v>
      </c>
      <c r="H67" s="3" t="s">
        <v>23</v>
      </c>
      <c r="I67" s="3">
        <f>ROUND(1+9+6,9)</f>
        <v>16</v>
      </c>
      <c r="J67" s="3">
        <v>0</v>
      </c>
      <c r="K67" s="3">
        <f>ROUND(1+9+6,9)</f>
        <v>16</v>
      </c>
      <c r="O67" s="3">
        <f t="shared" si="64"/>
        <v>81773.63</v>
      </c>
      <c r="P67" s="3">
        <f t="shared" si="60"/>
        <v>754.22</v>
      </c>
      <c r="Q67" s="3">
        <f>(ROUND((ROUND((((ET67*1.2))*AV67*I67),2)*BB67),2)+ROUND((ROUND(((AE67-((EU67*1.2)))*AV67*I67),2)*BS67),2))</f>
        <v>2346.36</v>
      </c>
      <c r="R67" s="3">
        <f>(ROUND((ROUND((((EU67*1.2))*AV67*I67),2)*BS67),2)+ROUND((ROUND(((AE67-((EU67*1.2)))*AV67*I67),2)*BS67),2))</f>
        <v>288.51</v>
      </c>
      <c r="S67" s="3">
        <f t="shared" si="65"/>
        <v>78673.05</v>
      </c>
      <c r="T67" s="3">
        <f t="shared" si="66"/>
        <v>0</v>
      </c>
      <c r="U67" s="3">
        <f t="shared" si="67"/>
        <v>110.62656</v>
      </c>
      <c r="V67" s="3">
        <f t="shared" si="68"/>
        <v>0</v>
      </c>
      <c r="W67" s="3">
        <f t="shared" si="69"/>
        <v>0</v>
      </c>
      <c r="X67" s="3">
        <f>(ROUND((((S67+ROUND((ROUND((((EU67*1.2))*AV67*I67),2)*BS67),2))*AT67)/100),2)+ROUND(((ROUND((ROUND(((AE67-((EU67*1.2)))*AV67*I67),2)*BS67),2)*AT67)/100),2))</f>
        <v>71065.399999999994</v>
      </c>
      <c r="Y67" s="3">
        <f>(ROUND((((S67+ROUND((ROUND((((EU67*1.2))*AV67*I67),2)*BS67),2))*AU67)/100),2)+ROUND(((ROUND((ROUND(((AE67-((EU67*1.2)))*AV67*I67),2)*BS67),2)*AU67)/100),2))</f>
        <v>36322.32</v>
      </c>
      <c r="AA67" s="3">
        <v>85739207</v>
      </c>
      <c r="AB67" s="3">
        <f t="shared" si="70"/>
        <v>95.781999999999996</v>
      </c>
      <c r="AC67" s="3">
        <f>ROUND(((ES67*1)),6)</f>
        <v>4.33</v>
      </c>
      <c r="AD67" s="3">
        <f>ROUND(((((ET67*1.2))-((EU67*1.2)))+AE67),6)</f>
        <v>9.6720000000000006</v>
      </c>
      <c r="AE67" s="3">
        <f>ROUND(((EU67*1.2)),6)</f>
        <v>0.3</v>
      </c>
      <c r="AF67" s="3">
        <f>ROUND(((EV67*1.2)),6)</f>
        <v>81.78</v>
      </c>
      <c r="AG67" s="3">
        <f t="shared" si="71"/>
        <v>0</v>
      </c>
      <c r="AH67" s="3">
        <f>((EW67*1.2))</f>
        <v>6.48</v>
      </c>
      <c r="AI67" s="3">
        <f>((EX67*1.2))</f>
        <v>0</v>
      </c>
      <c r="AJ67" s="3">
        <f t="shared" si="72"/>
        <v>0</v>
      </c>
      <c r="AK67" s="3">
        <v>80.540000000000006</v>
      </c>
      <c r="AL67" s="3">
        <v>4.33</v>
      </c>
      <c r="AM67" s="3">
        <v>8.06</v>
      </c>
      <c r="AN67" s="3">
        <v>0.25</v>
      </c>
      <c r="AO67" s="3">
        <v>68.150000000000006</v>
      </c>
      <c r="AP67" s="3">
        <v>0</v>
      </c>
      <c r="AQ67" s="3">
        <v>5.4</v>
      </c>
      <c r="AR67" s="3">
        <v>0</v>
      </c>
      <c r="AS67" s="3">
        <v>0</v>
      </c>
      <c r="AT67" s="3">
        <v>90</v>
      </c>
      <c r="AU67" s="3">
        <v>46</v>
      </c>
      <c r="AV67" s="3">
        <v>1.0669999999999999</v>
      </c>
      <c r="AW67" s="3">
        <v>1.028</v>
      </c>
      <c r="AZ67" s="3">
        <v>1</v>
      </c>
      <c r="BA67" s="3">
        <v>56.35</v>
      </c>
      <c r="BB67" s="3">
        <v>14.21</v>
      </c>
      <c r="BC67" s="3">
        <v>10.59</v>
      </c>
      <c r="BD67" s="3" t="s">
        <v>3</v>
      </c>
      <c r="BE67" s="3" t="s">
        <v>3</v>
      </c>
      <c r="BF67" s="3" t="s">
        <v>3</v>
      </c>
      <c r="BG67" s="3" t="s">
        <v>3</v>
      </c>
      <c r="BH67" s="3">
        <v>0</v>
      </c>
      <c r="BI67" s="3">
        <v>2</v>
      </c>
      <c r="BJ67" s="3" t="s">
        <v>130</v>
      </c>
      <c r="BM67" s="3">
        <v>73</v>
      </c>
      <c r="BN67" s="3">
        <v>0</v>
      </c>
      <c r="BO67" s="3" t="s">
        <v>128</v>
      </c>
      <c r="BP67" s="3">
        <v>1</v>
      </c>
      <c r="BQ67" s="3">
        <v>40</v>
      </c>
      <c r="BR67" s="3">
        <v>0</v>
      </c>
      <c r="BS67" s="3">
        <v>56.35</v>
      </c>
      <c r="BT67" s="3">
        <v>1</v>
      </c>
      <c r="BU67" s="3">
        <v>1</v>
      </c>
      <c r="BV67" s="3">
        <v>1</v>
      </c>
      <c r="BW67" s="3">
        <v>1</v>
      </c>
      <c r="BX67" s="3">
        <v>1</v>
      </c>
      <c r="BY67" s="3" t="s">
        <v>3</v>
      </c>
      <c r="BZ67" s="3">
        <v>90</v>
      </c>
      <c r="CA67" s="3">
        <v>46</v>
      </c>
      <c r="CB67" s="3" t="s">
        <v>3</v>
      </c>
      <c r="CE67" s="3">
        <v>1566</v>
      </c>
      <c r="CF67" s="3">
        <v>0</v>
      </c>
      <c r="CG67" s="3">
        <v>0</v>
      </c>
      <c r="CM67" s="3">
        <v>0</v>
      </c>
      <c r="CN67" s="3" t="s">
        <v>677</v>
      </c>
      <c r="CO67" s="3">
        <v>0</v>
      </c>
      <c r="CP67" s="3">
        <f t="shared" si="73"/>
        <v>81773.63</v>
      </c>
      <c r="CQ67" s="3">
        <f t="shared" si="61"/>
        <v>47.13</v>
      </c>
      <c r="CR67" s="3">
        <f>(ROUND((ROUND((((ET67*1.2))*AV67*1),2)*BB67),2)+ROUND((ROUND(((AE67-((EU67*1.2)))*AV67*1),2)*BS67),2))</f>
        <v>146.65</v>
      </c>
      <c r="CS67" s="3">
        <f>(ROUND((ROUND((((EU67*1.2))*AV67*1),2)*BS67),2)+ROUND((ROUND(((AE67-((EU67*1.2)))*AV67*1),2)*BS67),2))</f>
        <v>18.03</v>
      </c>
      <c r="CT67" s="3">
        <f t="shared" si="74"/>
        <v>4917.1000000000004</v>
      </c>
      <c r="CU67" s="3">
        <f t="shared" si="75"/>
        <v>0</v>
      </c>
      <c r="CV67" s="3">
        <f t="shared" si="76"/>
        <v>6.9141599999999999</v>
      </c>
      <c r="CW67" s="3">
        <f t="shared" si="77"/>
        <v>0</v>
      </c>
      <c r="CX67" s="3">
        <f t="shared" si="78"/>
        <v>0</v>
      </c>
      <c r="CY67" s="3">
        <f>(ROUND((((S67+ROUND((ROUND((((EU67*1.2))*AV67*1),2)*BS67),2))*AT67)/100),2)+ROUND(((ROUND((ROUND(((AE67-((EU67*1.2)))*AV67*1),2)*BS67),2)*AT67)/100),2))</f>
        <v>70821.97</v>
      </c>
      <c r="CZ67" s="3">
        <f>(ROUND((((S67+ROUND((ROUND((((EU67*1.2))*AV67*1),2)*BS67),2))*AU67)/100),2)+ROUND(((ROUND((ROUND(((AE67-((EU67*1.2)))*AV67*1),2)*BS67),2)*AU67)/100),2))</f>
        <v>36197.9</v>
      </c>
      <c r="DB67" s="3">
        <v>30</v>
      </c>
      <c r="DC67" s="3" t="s">
        <v>3</v>
      </c>
      <c r="DD67" s="3" t="s">
        <v>35</v>
      </c>
      <c r="DE67" s="3" t="s">
        <v>36</v>
      </c>
      <c r="DF67" s="3" t="s">
        <v>36</v>
      </c>
      <c r="DG67" s="3" t="s">
        <v>36</v>
      </c>
      <c r="DH67" s="3" t="s">
        <v>3</v>
      </c>
      <c r="DI67" s="3" t="s">
        <v>36</v>
      </c>
      <c r="DJ67" s="3" t="s">
        <v>36</v>
      </c>
      <c r="DK67" s="3" t="s">
        <v>3</v>
      </c>
      <c r="DL67" s="3" t="s">
        <v>3</v>
      </c>
      <c r="DM67" s="3" t="s">
        <v>3</v>
      </c>
      <c r="DN67" s="3">
        <v>0</v>
      </c>
      <c r="DO67" s="3">
        <v>0</v>
      </c>
      <c r="DP67" s="3">
        <v>1</v>
      </c>
      <c r="DQ67" s="3">
        <v>1</v>
      </c>
      <c r="DU67" s="3">
        <v>1013</v>
      </c>
      <c r="DV67" s="3" t="s">
        <v>23</v>
      </c>
      <c r="DW67" s="3" t="s">
        <v>23</v>
      </c>
      <c r="DX67" s="3">
        <v>1</v>
      </c>
      <c r="DZ67" s="3" t="s">
        <v>3</v>
      </c>
      <c r="EA67" s="3" t="s">
        <v>3</v>
      </c>
      <c r="EB67" s="3" t="s">
        <v>3</v>
      </c>
      <c r="EC67" s="3" t="s">
        <v>3</v>
      </c>
      <c r="EE67" s="3">
        <v>85133422</v>
      </c>
      <c r="EF67" s="3">
        <v>40</v>
      </c>
      <c r="EG67" s="3" t="s">
        <v>27</v>
      </c>
      <c r="EH67" s="3">
        <v>0</v>
      </c>
      <c r="EI67" s="3" t="s">
        <v>3</v>
      </c>
      <c r="EJ67" s="3">
        <v>2</v>
      </c>
      <c r="EK67" s="3">
        <v>73</v>
      </c>
      <c r="EL67" s="3" t="s">
        <v>62</v>
      </c>
      <c r="EM67" s="3" t="s">
        <v>63</v>
      </c>
      <c r="EO67" s="3" t="s">
        <v>37</v>
      </c>
      <c r="EQ67" s="3">
        <v>0</v>
      </c>
      <c r="ER67" s="3">
        <v>80.540000000000006</v>
      </c>
      <c r="ES67" s="3">
        <v>4.33</v>
      </c>
      <c r="ET67" s="3">
        <v>8.06</v>
      </c>
      <c r="EU67" s="3">
        <v>0.25</v>
      </c>
      <c r="EV67" s="3">
        <v>68.150000000000006</v>
      </c>
      <c r="EW67" s="3">
        <v>5.4</v>
      </c>
      <c r="EX67" s="3">
        <v>0</v>
      </c>
      <c r="EY67" s="3">
        <v>0</v>
      </c>
      <c r="FQ67" s="3">
        <v>0</v>
      </c>
      <c r="FR67" s="3">
        <v>0</v>
      </c>
      <c r="FS67" s="3">
        <v>2</v>
      </c>
      <c r="FX67" s="3">
        <v>90</v>
      </c>
      <c r="FY67" s="3">
        <v>46</v>
      </c>
      <c r="GA67" s="3" t="s">
        <v>3</v>
      </c>
      <c r="GD67" s="3">
        <v>1</v>
      </c>
      <c r="GF67" s="3">
        <v>-914769333</v>
      </c>
      <c r="GG67" s="3">
        <v>2</v>
      </c>
      <c r="GH67" s="3">
        <v>1</v>
      </c>
      <c r="GI67" s="3">
        <v>2</v>
      </c>
      <c r="GJ67" s="3">
        <v>0</v>
      </c>
      <c r="GK67" s="3">
        <v>0</v>
      </c>
      <c r="GL67" s="3">
        <f t="shared" si="79"/>
        <v>0</v>
      </c>
      <c r="GM67" s="3">
        <f t="shared" si="80"/>
        <v>189161.35</v>
      </c>
      <c r="GN67" s="3">
        <f t="shared" si="81"/>
        <v>0</v>
      </c>
      <c r="GO67" s="3">
        <f t="shared" si="82"/>
        <v>189161.35</v>
      </c>
      <c r="GP67" s="3">
        <f t="shared" si="83"/>
        <v>0</v>
      </c>
      <c r="GR67" s="3">
        <v>0</v>
      </c>
      <c r="GS67" s="3">
        <v>3</v>
      </c>
      <c r="GT67" s="3">
        <v>0</v>
      </c>
      <c r="GU67" s="3" t="s">
        <v>3</v>
      </c>
      <c r="GV67" s="3">
        <f t="shared" si="84"/>
        <v>0</v>
      </c>
      <c r="GW67" s="3">
        <v>1</v>
      </c>
      <c r="GX67" s="3">
        <f t="shared" si="85"/>
        <v>0</v>
      </c>
      <c r="HA67" s="3">
        <v>0</v>
      </c>
      <c r="HB67" s="3">
        <v>0</v>
      </c>
      <c r="HC67" s="3">
        <f t="shared" si="86"/>
        <v>0</v>
      </c>
      <c r="HE67" s="3" t="s">
        <v>3</v>
      </c>
      <c r="HF67" s="3" t="s">
        <v>3</v>
      </c>
      <c r="HM67" s="3" t="s">
        <v>3</v>
      </c>
      <c r="HN67" s="3" t="s">
        <v>3</v>
      </c>
      <c r="HO67" s="3" t="s">
        <v>3</v>
      </c>
      <c r="HP67" s="3" t="s">
        <v>3</v>
      </c>
      <c r="HQ67" s="3" t="s">
        <v>3</v>
      </c>
      <c r="HS67" s="3">
        <v>0</v>
      </c>
      <c r="IK67" s="3">
        <v>0</v>
      </c>
    </row>
    <row r="68" spans="1:255" x14ac:dyDescent="0.2">
      <c r="A68" s="2">
        <v>18</v>
      </c>
      <c r="B68" s="2">
        <v>1</v>
      </c>
      <c r="C68" s="2">
        <v>144</v>
      </c>
      <c r="D68" s="2"/>
      <c r="E68" s="2" t="s">
        <v>131</v>
      </c>
      <c r="F68" s="2" t="s">
        <v>132</v>
      </c>
      <c r="G68" s="2" t="s">
        <v>133</v>
      </c>
      <c r="H68" s="2" t="s">
        <v>99</v>
      </c>
      <c r="I68" s="2">
        <f>I66*J68</f>
        <v>20</v>
      </c>
      <c r="J68" s="2">
        <v>1.25</v>
      </c>
      <c r="K68" s="2">
        <v>1.25</v>
      </c>
      <c r="L68" s="2"/>
      <c r="M68" s="2"/>
      <c r="N68" s="2"/>
      <c r="O68" s="2">
        <f t="shared" si="64"/>
        <v>2144.6</v>
      </c>
      <c r="P68" s="2">
        <f t="shared" si="60"/>
        <v>2144.6</v>
      </c>
      <c r="Q68" s="2">
        <f>(ROUND((ROUND(((ET68)*AV68*I68),2)*BB68),2)+ROUND((ROUND(((AE68-(EU68))*AV68*I68),2)*BS68),2))</f>
        <v>0</v>
      </c>
      <c r="R68" s="2">
        <f>(ROUND((ROUND(((EU68)*AV68*I68),2)*BS68),2)+ROUND((ROUND(((AE68-(EU68))*AV68*I68),2)*BS68),2))</f>
        <v>0</v>
      </c>
      <c r="S68" s="2">
        <f t="shared" si="65"/>
        <v>0</v>
      </c>
      <c r="T68" s="2">
        <f t="shared" si="66"/>
        <v>0</v>
      </c>
      <c r="U68" s="2">
        <f t="shared" si="67"/>
        <v>0</v>
      </c>
      <c r="V68" s="2">
        <f t="shared" si="68"/>
        <v>0</v>
      </c>
      <c r="W68" s="2">
        <f t="shared" si="69"/>
        <v>0</v>
      </c>
      <c r="X68" s="2">
        <f>(ROUND((((S68+ROUND((ROUND(((EU68)*AV68*I68),2)*BS68),2))*AT68)/100),2)+ROUND(((ROUND((ROUND(((AE68-(EU68))*AV68*I68),2)*BS68),2)*AT68)/100),2))</f>
        <v>0</v>
      </c>
      <c r="Y68" s="2">
        <f>(ROUND((((S68+ROUND((ROUND(((EU68)*AV68*I68),2)*BS68),2))*AU68)/100),2)+ROUND(((ROUND((ROUND(((AE68-(EU68))*AV68*I68),2)*BS68),2)*AU68)/100),2))</f>
        <v>0</v>
      </c>
      <c r="Z68" s="2"/>
      <c r="AA68" s="2">
        <v>85739205</v>
      </c>
      <c r="AB68" s="2">
        <f t="shared" si="70"/>
        <v>107.23</v>
      </c>
      <c r="AC68" s="2">
        <f>ROUND((ES68),6)</f>
        <v>107.23</v>
      </c>
      <c r="AD68" s="2">
        <f>ROUND((((ET68)-(EU68))+AE68),6)</f>
        <v>0</v>
      </c>
      <c r="AE68" s="2">
        <f t="shared" ref="AE68:AF71" si="87">ROUND((EU68),6)</f>
        <v>0</v>
      </c>
      <c r="AF68" s="2">
        <f t="shared" si="87"/>
        <v>0</v>
      </c>
      <c r="AG68" s="2">
        <f t="shared" si="71"/>
        <v>0</v>
      </c>
      <c r="AH68" s="2">
        <f t="shared" ref="AH68:AI71" si="88">(EW68)</f>
        <v>0</v>
      </c>
      <c r="AI68" s="2">
        <f t="shared" si="88"/>
        <v>0</v>
      </c>
      <c r="AJ68" s="2">
        <f t="shared" si="72"/>
        <v>0</v>
      </c>
      <c r="AK68" s="2">
        <v>107.23</v>
      </c>
      <c r="AL68" s="2">
        <v>107.23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90</v>
      </c>
      <c r="AU68" s="2">
        <v>46</v>
      </c>
      <c r="AV68" s="2">
        <v>1</v>
      </c>
      <c r="AW68" s="2">
        <v>1</v>
      </c>
      <c r="AX68" s="2"/>
      <c r="AY68" s="2"/>
      <c r="AZ68" s="2">
        <v>1</v>
      </c>
      <c r="BA68" s="2">
        <v>1</v>
      </c>
      <c r="BB68" s="2">
        <v>1</v>
      </c>
      <c r="BC68" s="2">
        <v>1</v>
      </c>
      <c r="BD68" s="2" t="s">
        <v>3</v>
      </c>
      <c r="BE68" s="2" t="s">
        <v>3</v>
      </c>
      <c r="BF68" s="2" t="s">
        <v>3</v>
      </c>
      <c r="BG68" s="2" t="s">
        <v>3</v>
      </c>
      <c r="BH68" s="2">
        <v>3</v>
      </c>
      <c r="BI68" s="2">
        <v>2</v>
      </c>
      <c r="BJ68" s="2" t="s">
        <v>134</v>
      </c>
      <c r="BK68" s="2"/>
      <c r="BL68" s="2"/>
      <c r="BM68" s="2">
        <v>73</v>
      </c>
      <c r="BN68" s="2">
        <v>0</v>
      </c>
      <c r="BO68" s="2" t="s">
        <v>3</v>
      </c>
      <c r="BP68" s="2">
        <v>0</v>
      </c>
      <c r="BQ68" s="2">
        <v>40</v>
      </c>
      <c r="BR68" s="2">
        <v>0</v>
      </c>
      <c r="BS68" s="2">
        <v>1</v>
      </c>
      <c r="BT68" s="2">
        <v>1</v>
      </c>
      <c r="BU68" s="2">
        <v>1</v>
      </c>
      <c r="BV68" s="2">
        <v>1</v>
      </c>
      <c r="BW68" s="2">
        <v>1</v>
      </c>
      <c r="BX68" s="2">
        <v>1</v>
      </c>
      <c r="BY68" s="2" t="s">
        <v>3</v>
      </c>
      <c r="BZ68" s="2">
        <v>90</v>
      </c>
      <c r="CA68" s="2">
        <v>46</v>
      </c>
      <c r="CB68" s="2" t="s">
        <v>3</v>
      </c>
      <c r="CC68" s="2"/>
      <c r="CD68" s="2"/>
      <c r="CE68" s="2">
        <v>1566</v>
      </c>
      <c r="CF68" s="2">
        <v>0</v>
      </c>
      <c r="CG68" s="2">
        <v>0</v>
      </c>
      <c r="CH68" s="2"/>
      <c r="CI68" s="2"/>
      <c r="CJ68" s="2"/>
      <c r="CK68" s="2"/>
      <c r="CL68" s="2"/>
      <c r="CM68" s="2">
        <v>0</v>
      </c>
      <c r="CN68" s="2" t="s">
        <v>679</v>
      </c>
      <c r="CO68" s="2">
        <v>0</v>
      </c>
      <c r="CP68" s="2">
        <f t="shared" si="73"/>
        <v>2144.6</v>
      </c>
      <c r="CQ68" s="2">
        <f t="shared" si="61"/>
        <v>107.23</v>
      </c>
      <c r="CR68" s="2">
        <f>(ROUND((ROUND(((ET68)*AV68*1),2)*BB68),2)+ROUND((ROUND(((AE68-(EU68))*AV68*1),2)*BS68),2))</f>
        <v>0</v>
      </c>
      <c r="CS68" s="2">
        <f>(ROUND((ROUND(((EU68)*AV68*1),2)*BS68),2)+ROUND((ROUND(((AE68-(EU68))*AV68*1),2)*BS68),2))</f>
        <v>0</v>
      </c>
      <c r="CT68" s="2">
        <f t="shared" si="74"/>
        <v>0</v>
      </c>
      <c r="CU68" s="2">
        <f t="shared" si="75"/>
        <v>0</v>
      </c>
      <c r="CV68" s="2">
        <f t="shared" si="76"/>
        <v>0</v>
      </c>
      <c r="CW68" s="2">
        <f t="shared" si="77"/>
        <v>0</v>
      </c>
      <c r="CX68" s="2">
        <f t="shared" si="78"/>
        <v>0</v>
      </c>
      <c r="CY68" s="2">
        <f>(ROUND((((S68+ROUND((ROUND(((EU68)*AV68*1),2)*BS68),2))*AT68)/100),2)+ROUND(((ROUND((ROUND(((AE68-(EU68))*AV68*1),2)*BS68),2)*AT68)/100),2))</f>
        <v>0</v>
      </c>
      <c r="CZ68" s="2">
        <f>(ROUND((((S68+ROUND((ROUND(((EU68)*AV68*1),2)*BS68),2))*AU68)/100),2)+ROUND(((ROUND((ROUND(((AE68-(EU68))*AV68*1),2)*BS68),2)*AU68)/100),2))</f>
        <v>0</v>
      </c>
      <c r="DA68" s="2"/>
      <c r="DB68" s="2"/>
      <c r="DC68" s="2" t="s">
        <v>3</v>
      </c>
      <c r="DD68" s="2" t="s">
        <v>3</v>
      </c>
      <c r="DE68" s="2" t="s">
        <v>3</v>
      </c>
      <c r="DF68" s="2" t="s">
        <v>3</v>
      </c>
      <c r="DG68" s="2" t="s">
        <v>3</v>
      </c>
      <c r="DH68" s="2" t="s">
        <v>3</v>
      </c>
      <c r="DI68" s="2" t="s">
        <v>3</v>
      </c>
      <c r="DJ68" s="2" t="s">
        <v>3</v>
      </c>
      <c r="DK68" s="2" t="s">
        <v>3</v>
      </c>
      <c r="DL68" s="2" t="s">
        <v>3</v>
      </c>
      <c r="DM68" s="2" t="s">
        <v>3</v>
      </c>
      <c r="DN68" s="2">
        <v>0</v>
      </c>
      <c r="DO68" s="2">
        <v>0</v>
      </c>
      <c r="DP68" s="2">
        <v>1</v>
      </c>
      <c r="DQ68" s="2">
        <v>1</v>
      </c>
      <c r="DR68" s="2"/>
      <c r="DS68" s="2"/>
      <c r="DT68" s="2"/>
      <c r="DU68" s="2">
        <v>1010</v>
      </c>
      <c r="DV68" s="2" t="s">
        <v>99</v>
      </c>
      <c r="DW68" s="2" t="s">
        <v>99</v>
      </c>
      <c r="DX68" s="2">
        <v>1</v>
      </c>
      <c r="DY68" s="2"/>
      <c r="DZ68" s="2" t="s">
        <v>3</v>
      </c>
      <c r="EA68" s="2" t="s">
        <v>3</v>
      </c>
      <c r="EB68" s="2" t="s">
        <v>3</v>
      </c>
      <c r="EC68" s="2" t="s">
        <v>3</v>
      </c>
      <c r="ED68" s="2"/>
      <c r="EE68" s="2">
        <v>85133422</v>
      </c>
      <c r="EF68" s="2">
        <v>40</v>
      </c>
      <c r="EG68" s="2" t="s">
        <v>27</v>
      </c>
      <c r="EH68" s="2">
        <v>0</v>
      </c>
      <c r="EI68" s="2" t="s">
        <v>3</v>
      </c>
      <c r="EJ68" s="2">
        <v>2</v>
      </c>
      <c r="EK68" s="2">
        <v>73</v>
      </c>
      <c r="EL68" s="2" t="s">
        <v>62</v>
      </c>
      <c r="EM68" s="2" t="s">
        <v>63</v>
      </c>
      <c r="EN68" s="2"/>
      <c r="EO68" s="2" t="s">
        <v>37</v>
      </c>
      <c r="EP68" s="2"/>
      <c r="EQ68" s="2">
        <v>0</v>
      </c>
      <c r="ER68" s="2">
        <v>107.23</v>
      </c>
      <c r="ES68" s="2">
        <v>107.23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>
        <v>0</v>
      </c>
      <c r="FR68" s="2">
        <v>0</v>
      </c>
      <c r="FS68" s="2">
        <v>0</v>
      </c>
      <c r="FT68" s="2"/>
      <c r="FU68" s="2"/>
      <c r="FV68" s="2"/>
      <c r="FW68" s="2"/>
      <c r="FX68" s="2">
        <v>90</v>
      </c>
      <c r="FY68" s="2">
        <v>46</v>
      </c>
      <c r="FZ68" s="2"/>
      <c r="GA68" s="2" t="s">
        <v>3</v>
      </c>
      <c r="GB68" s="2"/>
      <c r="GC68" s="2"/>
      <c r="GD68" s="2">
        <v>1</v>
      </c>
      <c r="GE68" s="2"/>
      <c r="GF68" s="2">
        <v>235948314</v>
      </c>
      <c r="GG68" s="2">
        <v>2</v>
      </c>
      <c r="GH68" s="2">
        <v>1</v>
      </c>
      <c r="GI68" s="2">
        <v>-2</v>
      </c>
      <c r="GJ68" s="2">
        <v>0</v>
      </c>
      <c r="GK68" s="2">
        <v>0</v>
      </c>
      <c r="GL68" s="2">
        <f t="shared" si="79"/>
        <v>0</v>
      </c>
      <c r="GM68" s="2">
        <f t="shared" si="80"/>
        <v>2144.6</v>
      </c>
      <c r="GN68" s="2">
        <f t="shared" si="81"/>
        <v>0</v>
      </c>
      <c r="GO68" s="2">
        <f t="shared" si="82"/>
        <v>2144.6</v>
      </c>
      <c r="GP68" s="2">
        <f t="shared" si="83"/>
        <v>0</v>
      </c>
      <c r="GQ68" s="2"/>
      <c r="GR68" s="2">
        <v>0</v>
      </c>
      <c r="GS68" s="2">
        <v>3</v>
      </c>
      <c r="GT68" s="2">
        <v>0</v>
      </c>
      <c r="GU68" s="2" t="s">
        <v>3</v>
      </c>
      <c r="GV68" s="2">
        <f t="shared" si="84"/>
        <v>0</v>
      </c>
      <c r="GW68" s="2">
        <v>1</v>
      </c>
      <c r="GX68" s="2">
        <f t="shared" si="85"/>
        <v>0</v>
      </c>
      <c r="GY68" s="2"/>
      <c r="GZ68" s="2"/>
      <c r="HA68" s="2">
        <v>0</v>
      </c>
      <c r="HB68" s="2">
        <v>0</v>
      </c>
      <c r="HC68" s="2">
        <f t="shared" si="86"/>
        <v>0</v>
      </c>
      <c r="HD68" s="2"/>
      <c r="HE68" s="2" t="s">
        <v>3</v>
      </c>
      <c r="HF68" s="2" t="s">
        <v>3</v>
      </c>
      <c r="HG68" s="2"/>
      <c r="HH68" s="2"/>
      <c r="HI68" s="2"/>
      <c r="HJ68" s="2"/>
      <c r="HK68" s="2"/>
      <c r="HL68" s="2"/>
      <c r="HM68" s="2" t="s">
        <v>35</v>
      </c>
      <c r="HN68" s="2" t="s">
        <v>3</v>
      </c>
      <c r="HO68" s="2" t="s">
        <v>3</v>
      </c>
      <c r="HP68" s="2" t="s">
        <v>3</v>
      </c>
      <c r="HQ68" s="2" t="s">
        <v>3</v>
      </c>
      <c r="HR68" s="2"/>
      <c r="HS68" s="2">
        <v>0</v>
      </c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>
        <v>0</v>
      </c>
      <c r="IL68" s="2"/>
      <c r="IM68" s="2"/>
      <c r="IN68" s="2"/>
      <c r="IO68" s="2"/>
      <c r="IP68" s="2"/>
      <c r="IQ68" s="2"/>
      <c r="IR68" s="2"/>
      <c r="IS68" s="2"/>
      <c r="IT68" s="2"/>
      <c r="IU68" s="2"/>
    </row>
    <row r="69" spans="1:255" x14ac:dyDescent="0.2">
      <c r="A69" s="3">
        <v>18</v>
      </c>
      <c r="B69" s="3">
        <v>1</v>
      </c>
      <c r="C69" s="3">
        <v>152</v>
      </c>
      <c r="E69" s="3" t="s">
        <v>131</v>
      </c>
      <c r="F69" s="3" t="s">
        <v>132</v>
      </c>
      <c r="G69" s="3" t="s">
        <v>133</v>
      </c>
      <c r="H69" s="3" t="s">
        <v>99</v>
      </c>
      <c r="I69" s="3">
        <f>I67*J69</f>
        <v>20</v>
      </c>
      <c r="J69" s="3">
        <v>1.25</v>
      </c>
      <c r="K69" s="3">
        <v>1.25</v>
      </c>
      <c r="O69" s="3">
        <f t="shared" si="64"/>
        <v>14883.52</v>
      </c>
      <c r="P69" s="3">
        <f t="shared" si="60"/>
        <v>14883.52</v>
      </c>
      <c r="Q69" s="3">
        <f>(ROUND((ROUND(((ET69)*AV69*I69),2)*BB69),2)+ROUND((ROUND(((AE69-(EU69))*AV69*I69),2)*BS69),2))</f>
        <v>0</v>
      </c>
      <c r="R69" s="3">
        <f>(ROUND((ROUND(((EU69)*AV69*I69),2)*BS69),2)+ROUND((ROUND(((AE69-(EU69))*AV69*I69),2)*BS69),2))</f>
        <v>0</v>
      </c>
      <c r="S69" s="3">
        <f t="shared" si="65"/>
        <v>0</v>
      </c>
      <c r="T69" s="3">
        <f t="shared" si="66"/>
        <v>0</v>
      </c>
      <c r="U69" s="3">
        <f t="shared" si="67"/>
        <v>0</v>
      </c>
      <c r="V69" s="3">
        <f t="shared" si="68"/>
        <v>0</v>
      </c>
      <c r="W69" s="3">
        <f t="shared" si="69"/>
        <v>0</v>
      </c>
      <c r="X69" s="3">
        <f>(ROUND((((S69+ROUND((ROUND(((EU69)*AV69*I69),2)*BS69),2))*AT69)/100),2)+ROUND(((ROUND((ROUND(((AE69-(EU69))*AV69*I69),2)*BS69),2)*AT69)/100),2))</f>
        <v>0</v>
      </c>
      <c r="Y69" s="3">
        <f>(ROUND((((S69+ROUND((ROUND(((EU69)*AV69*I69),2)*BS69),2))*AU69)/100),2)+ROUND(((ROUND((ROUND(((AE69-(EU69))*AV69*I69),2)*BS69),2)*AU69)/100),2))</f>
        <v>0</v>
      </c>
      <c r="AA69" s="3">
        <v>85739207</v>
      </c>
      <c r="AB69" s="3">
        <f t="shared" si="70"/>
        <v>107.23</v>
      </c>
      <c r="AC69" s="3">
        <f>ROUND((ES69),6)</f>
        <v>107.23</v>
      </c>
      <c r="AD69" s="3">
        <f>ROUND((((ET69)-(EU69))+AE69),6)</f>
        <v>0</v>
      </c>
      <c r="AE69" s="3">
        <f t="shared" si="87"/>
        <v>0</v>
      </c>
      <c r="AF69" s="3">
        <f t="shared" si="87"/>
        <v>0</v>
      </c>
      <c r="AG69" s="3">
        <f t="shared" si="71"/>
        <v>0</v>
      </c>
      <c r="AH69" s="3">
        <f t="shared" si="88"/>
        <v>0</v>
      </c>
      <c r="AI69" s="3">
        <f t="shared" si="88"/>
        <v>0</v>
      </c>
      <c r="AJ69" s="3">
        <f t="shared" si="72"/>
        <v>0</v>
      </c>
      <c r="AK69" s="3">
        <v>107.23</v>
      </c>
      <c r="AL69" s="3">
        <v>107.23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90</v>
      </c>
      <c r="AU69" s="3">
        <v>46</v>
      </c>
      <c r="AV69" s="3">
        <v>1</v>
      </c>
      <c r="AW69" s="3">
        <v>1</v>
      </c>
      <c r="AZ69" s="3">
        <v>1</v>
      </c>
      <c r="BA69" s="3">
        <v>1</v>
      </c>
      <c r="BB69" s="3">
        <v>1</v>
      </c>
      <c r="BC69" s="3">
        <v>6.94</v>
      </c>
      <c r="BD69" s="3" t="s">
        <v>3</v>
      </c>
      <c r="BE69" s="3" t="s">
        <v>3</v>
      </c>
      <c r="BF69" s="3" t="s">
        <v>3</v>
      </c>
      <c r="BG69" s="3" t="s">
        <v>3</v>
      </c>
      <c r="BH69" s="3">
        <v>3</v>
      </c>
      <c r="BI69" s="3">
        <v>2</v>
      </c>
      <c r="BJ69" s="3" t="s">
        <v>134</v>
      </c>
      <c r="BM69" s="3">
        <v>73</v>
      </c>
      <c r="BN69" s="3">
        <v>0</v>
      </c>
      <c r="BO69" s="3" t="s">
        <v>132</v>
      </c>
      <c r="BP69" s="3">
        <v>1</v>
      </c>
      <c r="BQ69" s="3">
        <v>40</v>
      </c>
      <c r="BR69" s="3">
        <v>0</v>
      </c>
      <c r="BS69" s="3">
        <v>1</v>
      </c>
      <c r="BT69" s="3">
        <v>1</v>
      </c>
      <c r="BU69" s="3">
        <v>1</v>
      </c>
      <c r="BV69" s="3">
        <v>1</v>
      </c>
      <c r="BW69" s="3">
        <v>1</v>
      </c>
      <c r="BX69" s="3">
        <v>1</v>
      </c>
      <c r="BY69" s="3" t="s">
        <v>3</v>
      </c>
      <c r="BZ69" s="3">
        <v>90</v>
      </c>
      <c r="CA69" s="3">
        <v>46</v>
      </c>
      <c r="CB69" s="3" t="s">
        <v>3</v>
      </c>
      <c r="CE69" s="3">
        <v>1566</v>
      </c>
      <c r="CF69" s="3">
        <v>0</v>
      </c>
      <c r="CG69" s="3">
        <v>0</v>
      </c>
      <c r="CM69" s="3">
        <v>0</v>
      </c>
      <c r="CN69" s="3" t="s">
        <v>679</v>
      </c>
      <c r="CO69" s="3">
        <v>0</v>
      </c>
      <c r="CP69" s="3">
        <f t="shared" si="73"/>
        <v>14883.52</v>
      </c>
      <c r="CQ69" s="3">
        <f t="shared" si="61"/>
        <v>744.18</v>
      </c>
      <c r="CR69" s="3">
        <f>(ROUND((ROUND(((ET69)*AV69*1),2)*BB69),2)+ROUND((ROUND(((AE69-(EU69))*AV69*1),2)*BS69),2))</f>
        <v>0</v>
      </c>
      <c r="CS69" s="3">
        <f>(ROUND((ROUND(((EU69)*AV69*1),2)*BS69),2)+ROUND((ROUND(((AE69-(EU69))*AV69*1),2)*BS69),2))</f>
        <v>0</v>
      </c>
      <c r="CT69" s="3">
        <f t="shared" si="74"/>
        <v>0</v>
      </c>
      <c r="CU69" s="3">
        <f t="shared" si="75"/>
        <v>0</v>
      </c>
      <c r="CV69" s="3">
        <f t="shared" si="76"/>
        <v>0</v>
      </c>
      <c r="CW69" s="3">
        <f t="shared" si="77"/>
        <v>0</v>
      </c>
      <c r="CX69" s="3">
        <f t="shared" si="78"/>
        <v>0</v>
      </c>
      <c r="CY69" s="3">
        <f>(ROUND((((S69+ROUND((ROUND(((EU69)*AV69*1),2)*BS69),2))*AT69)/100),2)+ROUND(((ROUND((ROUND(((AE69-(EU69))*AV69*1),2)*BS69),2)*AT69)/100),2))</f>
        <v>0</v>
      </c>
      <c r="CZ69" s="3">
        <f>(ROUND((((S69+ROUND((ROUND(((EU69)*AV69*1),2)*BS69),2))*AU69)/100),2)+ROUND(((ROUND((ROUND(((AE69-(EU69))*AV69*1),2)*BS69),2)*AU69)/100),2))</f>
        <v>0</v>
      </c>
      <c r="DC69" s="3" t="s">
        <v>3</v>
      </c>
      <c r="DD69" s="3" t="s">
        <v>3</v>
      </c>
      <c r="DE69" s="3" t="s">
        <v>3</v>
      </c>
      <c r="DF69" s="3" t="s">
        <v>3</v>
      </c>
      <c r="DG69" s="3" t="s">
        <v>3</v>
      </c>
      <c r="DH69" s="3" t="s">
        <v>3</v>
      </c>
      <c r="DI69" s="3" t="s">
        <v>3</v>
      </c>
      <c r="DJ69" s="3" t="s">
        <v>3</v>
      </c>
      <c r="DK69" s="3" t="s">
        <v>3</v>
      </c>
      <c r="DL69" s="3" t="s">
        <v>3</v>
      </c>
      <c r="DM69" s="3" t="s">
        <v>3</v>
      </c>
      <c r="DN69" s="3">
        <v>0</v>
      </c>
      <c r="DO69" s="3">
        <v>0</v>
      </c>
      <c r="DP69" s="3">
        <v>1</v>
      </c>
      <c r="DQ69" s="3">
        <v>1</v>
      </c>
      <c r="DU69" s="3">
        <v>1010</v>
      </c>
      <c r="DV69" s="3" t="s">
        <v>99</v>
      </c>
      <c r="DW69" s="3" t="s">
        <v>99</v>
      </c>
      <c r="DX69" s="3">
        <v>1</v>
      </c>
      <c r="DZ69" s="3" t="s">
        <v>3</v>
      </c>
      <c r="EA69" s="3" t="s">
        <v>3</v>
      </c>
      <c r="EB69" s="3" t="s">
        <v>3</v>
      </c>
      <c r="EC69" s="3" t="s">
        <v>3</v>
      </c>
      <c r="EE69" s="3">
        <v>85133422</v>
      </c>
      <c r="EF69" s="3">
        <v>40</v>
      </c>
      <c r="EG69" s="3" t="s">
        <v>27</v>
      </c>
      <c r="EH69" s="3">
        <v>0</v>
      </c>
      <c r="EI69" s="3" t="s">
        <v>3</v>
      </c>
      <c r="EJ69" s="3">
        <v>2</v>
      </c>
      <c r="EK69" s="3">
        <v>73</v>
      </c>
      <c r="EL69" s="3" t="s">
        <v>62</v>
      </c>
      <c r="EM69" s="3" t="s">
        <v>63</v>
      </c>
      <c r="EO69" s="3" t="s">
        <v>37</v>
      </c>
      <c r="EQ69" s="3">
        <v>0</v>
      </c>
      <c r="ER69" s="3">
        <v>107.23</v>
      </c>
      <c r="ES69" s="3">
        <v>107.23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FQ69" s="3">
        <v>0</v>
      </c>
      <c r="FR69" s="3">
        <v>0</v>
      </c>
      <c r="FS69" s="3">
        <v>0</v>
      </c>
      <c r="FX69" s="3">
        <v>90</v>
      </c>
      <c r="FY69" s="3">
        <v>46</v>
      </c>
      <c r="GA69" s="3" t="s">
        <v>3</v>
      </c>
      <c r="GD69" s="3">
        <v>1</v>
      </c>
      <c r="GF69" s="3">
        <v>235948314</v>
      </c>
      <c r="GG69" s="3">
        <v>2</v>
      </c>
      <c r="GH69" s="3">
        <v>1</v>
      </c>
      <c r="GI69" s="3">
        <v>2</v>
      </c>
      <c r="GJ69" s="3">
        <v>0</v>
      </c>
      <c r="GK69" s="3">
        <v>0</v>
      </c>
      <c r="GL69" s="3">
        <f t="shared" si="79"/>
        <v>0</v>
      </c>
      <c r="GM69" s="3">
        <f t="shared" si="80"/>
        <v>14883.52</v>
      </c>
      <c r="GN69" s="3">
        <f t="shared" si="81"/>
        <v>0</v>
      </c>
      <c r="GO69" s="3">
        <f t="shared" si="82"/>
        <v>14883.52</v>
      </c>
      <c r="GP69" s="3">
        <f t="shared" si="83"/>
        <v>0</v>
      </c>
      <c r="GR69" s="3">
        <v>0</v>
      </c>
      <c r="GS69" s="3">
        <v>3</v>
      </c>
      <c r="GT69" s="3">
        <v>0</v>
      </c>
      <c r="GU69" s="3" t="s">
        <v>3</v>
      </c>
      <c r="GV69" s="3">
        <f t="shared" si="84"/>
        <v>0</v>
      </c>
      <c r="GW69" s="3">
        <v>1</v>
      </c>
      <c r="GX69" s="3">
        <f t="shared" si="85"/>
        <v>0</v>
      </c>
      <c r="HA69" s="3">
        <v>0</v>
      </c>
      <c r="HB69" s="3">
        <v>0</v>
      </c>
      <c r="HC69" s="3">
        <f t="shared" si="86"/>
        <v>0</v>
      </c>
      <c r="HE69" s="3" t="s">
        <v>3</v>
      </c>
      <c r="HF69" s="3" t="s">
        <v>3</v>
      </c>
      <c r="HM69" s="3" t="s">
        <v>35</v>
      </c>
      <c r="HN69" s="3" t="s">
        <v>3</v>
      </c>
      <c r="HO69" s="3" t="s">
        <v>3</v>
      </c>
      <c r="HP69" s="3" t="s">
        <v>3</v>
      </c>
      <c r="HQ69" s="3" t="s">
        <v>3</v>
      </c>
      <c r="HS69" s="3">
        <v>0</v>
      </c>
      <c r="IK69" s="3">
        <v>0</v>
      </c>
    </row>
    <row r="70" spans="1:255" x14ac:dyDescent="0.2">
      <c r="A70" s="2">
        <v>18</v>
      </c>
      <c r="B70" s="2">
        <v>1</v>
      </c>
      <c r="C70" s="2">
        <v>143</v>
      </c>
      <c r="D70" s="2"/>
      <c r="E70" s="2" t="s">
        <v>135</v>
      </c>
      <c r="F70" s="2" t="s">
        <v>136</v>
      </c>
      <c r="G70" s="2" t="s">
        <v>137</v>
      </c>
      <c r="H70" s="2" t="s">
        <v>99</v>
      </c>
      <c r="I70" s="2">
        <f>I66*J70</f>
        <v>6</v>
      </c>
      <c r="J70" s="2">
        <v>0.375</v>
      </c>
      <c r="K70" s="2">
        <v>0.375</v>
      </c>
      <c r="L70" s="2"/>
      <c r="M70" s="2"/>
      <c r="N70" s="2"/>
      <c r="O70" s="2">
        <f t="shared" si="64"/>
        <v>780.42</v>
      </c>
      <c r="P70" s="2">
        <f t="shared" si="60"/>
        <v>780.42</v>
      </c>
      <c r="Q70" s="2">
        <f>(ROUND((ROUND(((ET70)*AV70*I70),2)*BB70),2)+ROUND((ROUND(((AE70-(EU70))*AV70*I70),2)*BS70),2))</f>
        <v>0</v>
      </c>
      <c r="R70" s="2">
        <f>(ROUND((ROUND(((EU70)*AV70*I70),2)*BS70),2)+ROUND((ROUND(((AE70-(EU70))*AV70*I70),2)*BS70),2))</f>
        <v>0</v>
      </c>
      <c r="S70" s="2">
        <f t="shared" si="65"/>
        <v>0</v>
      </c>
      <c r="T70" s="2">
        <f t="shared" si="66"/>
        <v>0</v>
      </c>
      <c r="U70" s="2">
        <f t="shared" si="67"/>
        <v>0</v>
      </c>
      <c r="V70" s="2">
        <f t="shared" si="68"/>
        <v>0</v>
      </c>
      <c r="W70" s="2">
        <f t="shared" si="69"/>
        <v>0</v>
      </c>
      <c r="X70" s="2">
        <f>(ROUND((((S70+ROUND((ROUND(((EU70)*AV70*I70),2)*BS70),2))*AT70)/100),2)+ROUND(((ROUND((ROUND(((AE70-(EU70))*AV70*I70),2)*BS70),2)*AT70)/100),2))</f>
        <v>0</v>
      </c>
      <c r="Y70" s="2">
        <f>(ROUND((((S70+ROUND((ROUND(((EU70)*AV70*I70),2)*BS70),2))*AU70)/100),2)+ROUND(((ROUND((ROUND(((AE70-(EU70))*AV70*I70),2)*BS70),2)*AU70)/100),2))</f>
        <v>0</v>
      </c>
      <c r="Z70" s="2"/>
      <c r="AA70" s="2">
        <v>85739205</v>
      </c>
      <c r="AB70" s="2">
        <f t="shared" si="70"/>
        <v>130.07</v>
      </c>
      <c r="AC70" s="2">
        <f>ROUND((ES70),6)</f>
        <v>130.07</v>
      </c>
      <c r="AD70" s="2">
        <f>ROUND((((ET70)-(EU70))+AE70),6)</f>
        <v>0</v>
      </c>
      <c r="AE70" s="2">
        <f t="shared" si="87"/>
        <v>0</v>
      </c>
      <c r="AF70" s="2">
        <f t="shared" si="87"/>
        <v>0</v>
      </c>
      <c r="AG70" s="2">
        <f t="shared" si="71"/>
        <v>0</v>
      </c>
      <c r="AH70" s="2">
        <f t="shared" si="88"/>
        <v>0</v>
      </c>
      <c r="AI70" s="2">
        <f t="shared" si="88"/>
        <v>0</v>
      </c>
      <c r="AJ70" s="2">
        <f t="shared" si="72"/>
        <v>0</v>
      </c>
      <c r="AK70" s="2">
        <v>130.07</v>
      </c>
      <c r="AL70" s="2">
        <v>130.07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90</v>
      </c>
      <c r="AU70" s="2">
        <v>46</v>
      </c>
      <c r="AV70" s="2">
        <v>1</v>
      </c>
      <c r="AW70" s="2">
        <v>1</v>
      </c>
      <c r="AX70" s="2"/>
      <c r="AY70" s="2"/>
      <c r="AZ70" s="2">
        <v>1</v>
      </c>
      <c r="BA70" s="2">
        <v>1</v>
      </c>
      <c r="BB70" s="2">
        <v>1</v>
      </c>
      <c r="BC70" s="2">
        <v>1</v>
      </c>
      <c r="BD70" s="2" t="s">
        <v>3</v>
      </c>
      <c r="BE70" s="2" t="s">
        <v>3</v>
      </c>
      <c r="BF70" s="2" t="s">
        <v>3</v>
      </c>
      <c r="BG70" s="2" t="s">
        <v>3</v>
      </c>
      <c r="BH70" s="2">
        <v>3</v>
      </c>
      <c r="BI70" s="2">
        <v>2</v>
      </c>
      <c r="BJ70" s="2" t="s">
        <v>138</v>
      </c>
      <c r="BK70" s="2"/>
      <c r="BL70" s="2"/>
      <c r="BM70" s="2">
        <v>73</v>
      </c>
      <c r="BN70" s="2">
        <v>0</v>
      </c>
      <c r="BO70" s="2" t="s">
        <v>3</v>
      </c>
      <c r="BP70" s="2">
        <v>0</v>
      </c>
      <c r="BQ70" s="2">
        <v>40</v>
      </c>
      <c r="BR70" s="2">
        <v>0</v>
      </c>
      <c r="BS70" s="2">
        <v>1</v>
      </c>
      <c r="BT70" s="2">
        <v>1</v>
      </c>
      <c r="BU70" s="2">
        <v>1</v>
      </c>
      <c r="BV70" s="2">
        <v>1</v>
      </c>
      <c r="BW70" s="2">
        <v>1</v>
      </c>
      <c r="BX70" s="2">
        <v>1</v>
      </c>
      <c r="BY70" s="2" t="s">
        <v>3</v>
      </c>
      <c r="BZ70" s="2">
        <v>90</v>
      </c>
      <c r="CA70" s="2">
        <v>46</v>
      </c>
      <c r="CB70" s="2" t="s">
        <v>3</v>
      </c>
      <c r="CC70" s="2"/>
      <c r="CD70" s="2"/>
      <c r="CE70" s="2">
        <v>1566</v>
      </c>
      <c r="CF70" s="2">
        <v>0</v>
      </c>
      <c r="CG70" s="2">
        <v>0</v>
      </c>
      <c r="CH70" s="2"/>
      <c r="CI70" s="2"/>
      <c r="CJ70" s="2"/>
      <c r="CK70" s="2"/>
      <c r="CL70" s="2"/>
      <c r="CM70" s="2">
        <v>0</v>
      </c>
      <c r="CN70" s="2" t="s">
        <v>679</v>
      </c>
      <c r="CO70" s="2">
        <v>0</v>
      </c>
      <c r="CP70" s="2">
        <f t="shared" si="73"/>
        <v>780.42</v>
      </c>
      <c r="CQ70" s="2">
        <f t="shared" si="61"/>
        <v>130.07</v>
      </c>
      <c r="CR70" s="2">
        <f>(ROUND((ROUND(((ET70)*AV70*1),2)*BB70),2)+ROUND((ROUND(((AE70-(EU70))*AV70*1),2)*BS70),2))</f>
        <v>0</v>
      </c>
      <c r="CS70" s="2">
        <f>(ROUND((ROUND(((EU70)*AV70*1),2)*BS70),2)+ROUND((ROUND(((AE70-(EU70))*AV70*1),2)*BS70),2))</f>
        <v>0</v>
      </c>
      <c r="CT70" s="2">
        <f t="shared" si="74"/>
        <v>0</v>
      </c>
      <c r="CU70" s="2">
        <f t="shared" si="75"/>
        <v>0</v>
      </c>
      <c r="CV70" s="2">
        <f t="shared" si="76"/>
        <v>0</v>
      </c>
      <c r="CW70" s="2">
        <f t="shared" si="77"/>
        <v>0</v>
      </c>
      <c r="CX70" s="2">
        <f t="shared" si="78"/>
        <v>0</v>
      </c>
      <c r="CY70" s="2">
        <f>(ROUND((((S70+ROUND((ROUND(((EU70)*AV70*1),2)*BS70),2))*AT70)/100),2)+ROUND(((ROUND((ROUND(((AE70-(EU70))*AV70*1),2)*BS70),2)*AT70)/100),2))</f>
        <v>0</v>
      </c>
      <c r="CZ70" s="2">
        <f>(ROUND((((S70+ROUND((ROUND(((EU70)*AV70*1),2)*BS70),2))*AU70)/100),2)+ROUND(((ROUND((ROUND(((AE70-(EU70))*AV70*1),2)*BS70),2)*AU70)/100),2))</f>
        <v>0</v>
      </c>
      <c r="DA70" s="2"/>
      <c r="DB70" s="2"/>
      <c r="DC70" s="2" t="s">
        <v>3</v>
      </c>
      <c r="DD70" s="2" t="s">
        <v>3</v>
      </c>
      <c r="DE70" s="2" t="s">
        <v>3</v>
      </c>
      <c r="DF70" s="2" t="s">
        <v>3</v>
      </c>
      <c r="DG70" s="2" t="s">
        <v>3</v>
      </c>
      <c r="DH70" s="2" t="s">
        <v>3</v>
      </c>
      <c r="DI70" s="2" t="s">
        <v>3</v>
      </c>
      <c r="DJ70" s="2" t="s">
        <v>3</v>
      </c>
      <c r="DK70" s="2" t="s">
        <v>3</v>
      </c>
      <c r="DL70" s="2" t="s">
        <v>3</v>
      </c>
      <c r="DM70" s="2" t="s">
        <v>3</v>
      </c>
      <c r="DN70" s="2">
        <v>0</v>
      </c>
      <c r="DO70" s="2">
        <v>0</v>
      </c>
      <c r="DP70" s="2">
        <v>1</v>
      </c>
      <c r="DQ70" s="2">
        <v>1</v>
      </c>
      <c r="DR70" s="2"/>
      <c r="DS70" s="2"/>
      <c r="DT70" s="2"/>
      <c r="DU70" s="2">
        <v>1010</v>
      </c>
      <c r="DV70" s="2" t="s">
        <v>99</v>
      </c>
      <c r="DW70" s="2" t="s">
        <v>99</v>
      </c>
      <c r="DX70" s="2">
        <v>1</v>
      </c>
      <c r="DY70" s="2"/>
      <c r="DZ70" s="2" t="s">
        <v>3</v>
      </c>
      <c r="EA70" s="2" t="s">
        <v>3</v>
      </c>
      <c r="EB70" s="2" t="s">
        <v>3</v>
      </c>
      <c r="EC70" s="2" t="s">
        <v>3</v>
      </c>
      <c r="ED70" s="2"/>
      <c r="EE70" s="2">
        <v>85133422</v>
      </c>
      <c r="EF70" s="2">
        <v>40</v>
      </c>
      <c r="EG70" s="2" t="s">
        <v>27</v>
      </c>
      <c r="EH70" s="2">
        <v>0</v>
      </c>
      <c r="EI70" s="2" t="s">
        <v>3</v>
      </c>
      <c r="EJ70" s="2">
        <v>2</v>
      </c>
      <c r="EK70" s="2">
        <v>73</v>
      </c>
      <c r="EL70" s="2" t="s">
        <v>62</v>
      </c>
      <c r="EM70" s="2" t="s">
        <v>63</v>
      </c>
      <c r="EN70" s="2"/>
      <c r="EO70" s="2" t="s">
        <v>37</v>
      </c>
      <c r="EP70" s="2"/>
      <c r="EQ70" s="2">
        <v>0</v>
      </c>
      <c r="ER70" s="2">
        <v>130.07</v>
      </c>
      <c r="ES70" s="2">
        <v>130.07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>
        <v>0</v>
      </c>
      <c r="FR70" s="2">
        <v>0</v>
      </c>
      <c r="FS70" s="2">
        <v>0</v>
      </c>
      <c r="FT70" s="2"/>
      <c r="FU70" s="2"/>
      <c r="FV70" s="2"/>
      <c r="FW70" s="2"/>
      <c r="FX70" s="2">
        <v>90</v>
      </c>
      <c r="FY70" s="2">
        <v>46</v>
      </c>
      <c r="FZ70" s="2"/>
      <c r="GA70" s="2" t="s">
        <v>3</v>
      </c>
      <c r="GB70" s="2"/>
      <c r="GC70" s="2"/>
      <c r="GD70" s="2">
        <v>1</v>
      </c>
      <c r="GE70" s="2"/>
      <c r="GF70" s="2">
        <v>-1214401210</v>
      </c>
      <c r="GG70" s="2">
        <v>2</v>
      </c>
      <c r="GH70" s="2">
        <v>1</v>
      </c>
      <c r="GI70" s="2">
        <v>-2</v>
      </c>
      <c r="GJ70" s="2">
        <v>0</v>
      </c>
      <c r="GK70" s="2">
        <v>0</v>
      </c>
      <c r="GL70" s="2">
        <f t="shared" si="79"/>
        <v>0</v>
      </c>
      <c r="GM70" s="2">
        <f t="shared" si="80"/>
        <v>780.42</v>
      </c>
      <c r="GN70" s="2">
        <f t="shared" si="81"/>
        <v>0</v>
      </c>
      <c r="GO70" s="2">
        <f t="shared" si="82"/>
        <v>780.42</v>
      </c>
      <c r="GP70" s="2">
        <f t="shared" si="83"/>
        <v>0</v>
      </c>
      <c r="GQ70" s="2"/>
      <c r="GR70" s="2">
        <v>0</v>
      </c>
      <c r="GS70" s="2">
        <v>3</v>
      </c>
      <c r="GT70" s="2">
        <v>0</v>
      </c>
      <c r="GU70" s="2" t="s">
        <v>3</v>
      </c>
      <c r="GV70" s="2">
        <f t="shared" si="84"/>
        <v>0</v>
      </c>
      <c r="GW70" s="2">
        <v>1</v>
      </c>
      <c r="GX70" s="2">
        <f t="shared" si="85"/>
        <v>0</v>
      </c>
      <c r="GY70" s="2"/>
      <c r="GZ70" s="2"/>
      <c r="HA70" s="2">
        <v>0</v>
      </c>
      <c r="HB70" s="2">
        <v>0</v>
      </c>
      <c r="HC70" s="2">
        <f t="shared" si="86"/>
        <v>0</v>
      </c>
      <c r="HD70" s="2"/>
      <c r="HE70" s="2" t="s">
        <v>3</v>
      </c>
      <c r="HF70" s="2" t="s">
        <v>3</v>
      </c>
      <c r="HG70" s="2"/>
      <c r="HH70" s="2"/>
      <c r="HI70" s="2"/>
      <c r="HJ70" s="2"/>
      <c r="HK70" s="2"/>
      <c r="HL70" s="2"/>
      <c r="HM70" s="2" t="s">
        <v>35</v>
      </c>
      <c r="HN70" s="2" t="s">
        <v>3</v>
      </c>
      <c r="HO70" s="2" t="s">
        <v>3</v>
      </c>
      <c r="HP70" s="2" t="s">
        <v>3</v>
      </c>
      <c r="HQ70" s="2" t="s">
        <v>3</v>
      </c>
      <c r="HR70" s="2"/>
      <c r="HS70" s="2">
        <v>0</v>
      </c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>
        <v>0</v>
      </c>
      <c r="IL70" s="2"/>
      <c r="IM70" s="2"/>
      <c r="IN70" s="2"/>
      <c r="IO70" s="2"/>
      <c r="IP70" s="2"/>
      <c r="IQ70" s="2"/>
      <c r="IR70" s="2"/>
      <c r="IS70" s="2"/>
      <c r="IT70" s="2"/>
      <c r="IU70" s="2"/>
    </row>
    <row r="71" spans="1:255" x14ac:dyDescent="0.2">
      <c r="A71" s="3">
        <v>18</v>
      </c>
      <c r="B71" s="3">
        <v>1</v>
      </c>
      <c r="C71" s="3">
        <v>151</v>
      </c>
      <c r="E71" s="3" t="s">
        <v>135</v>
      </c>
      <c r="F71" s="3" t="s">
        <v>136</v>
      </c>
      <c r="G71" s="3" t="s">
        <v>137</v>
      </c>
      <c r="H71" s="3" t="s">
        <v>99</v>
      </c>
      <c r="I71" s="3">
        <f>I67*J71</f>
        <v>6</v>
      </c>
      <c r="J71" s="3">
        <v>0.375</v>
      </c>
      <c r="K71" s="3">
        <v>0.375</v>
      </c>
      <c r="O71" s="3">
        <f t="shared" si="64"/>
        <v>3761.62</v>
      </c>
      <c r="P71" s="3">
        <f t="shared" si="60"/>
        <v>3761.62</v>
      </c>
      <c r="Q71" s="3">
        <f>(ROUND((ROUND(((ET71)*AV71*I71),2)*BB71),2)+ROUND((ROUND(((AE71-(EU71))*AV71*I71),2)*BS71),2))</f>
        <v>0</v>
      </c>
      <c r="R71" s="3">
        <f>(ROUND((ROUND(((EU71)*AV71*I71),2)*BS71),2)+ROUND((ROUND(((AE71-(EU71))*AV71*I71),2)*BS71),2))</f>
        <v>0</v>
      </c>
      <c r="S71" s="3">
        <f t="shared" si="65"/>
        <v>0</v>
      </c>
      <c r="T71" s="3">
        <f t="shared" si="66"/>
        <v>0</v>
      </c>
      <c r="U71" s="3">
        <f t="shared" si="67"/>
        <v>0</v>
      </c>
      <c r="V71" s="3">
        <f t="shared" si="68"/>
        <v>0</v>
      </c>
      <c r="W71" s="3">
        <f t="shared" si="69"/>
        <v>0</v>
      </c>
      <c r="X71" s="3">
        <f>(ROUND((((S71+ROUND((ROUND(((EU71)*AV71*I71),2)*BS71),2))*AT71)/100),2)+ROUND(((ROUND((ROUND(((AE71-(EU71))*AV71*I71),2)*BS71),2)*AT71)/100),2))</f>
        <v>0</v>
      </c>
      <c r="Y71" s="3">
        <f>(ROUND((((S71+ROUND((ROUND(((EU71)*AV71*I71),2)*BS71),2))*AU71)/100),2)+ROUND(((ROUND((ROUND(((AE71-(EU71))*AV71*I71),2)*BS71),2)*AU71)/100),2))</f>
        <v>0</v>
      </c>
      <c r="AA71" s="3">
        <v>85739207</v>
      </c>
      <c r="AB71" s="3">
        <f t="shared" si="70"/>
        <v>130.07</v>
      </c>
      <c r="AC71" s="3">
        <f>ROUND((ES71),6)</f>
        <v>130.07</v>
      </c>
      <c r="AD71" s="3">
        <f>ROUND((((ET71)-(EU71))+AE71),6)</f>
        <v>0</v>
      </c>
      <c r="AE71" s="3">
        <f t="shared" si="87"/>
        <v>0</v>
      </c>
      <c r="AF71" s="3">
        <f t="shared" si="87"/>
        <v>0</v>
      </c>
      <c r="AG71" s="3">
        <f t="shared" si="71"/>
        <v>0</v>
      </c>
      <c r="AH71" s="3">
        <f t="shared" si="88"/>
        <v>0</v>
      </c>
      <c r="AI71" s="3">
        <f t="shared" si="88"/>
        <v>0</v>
      </c>
      <c r="AJ71" s="3">
        <f t="shared" si="72"/>
        <v>0</v>
      </c>
      <c r="AK71" s="3">
        <v>130.07</v>
      </c>
      <c r="AL71" s="3">
        <v>130.07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90</v>
      </c>
      <c r="AU71" s="3">
        <v>46</v>
      </c>
      <c r="AV71" s="3">
        <v>1</v>
      </c>
      <c r="AW71" s="3">
        <v>1</v>
      </c>
      <c r="AZ71" s="3">
        <v>1</v>
      </c>
      <c r="BA71" s="3">
        <v>1</v>
      </c>
      <c r="BB71" s="3">
        <v>1</v>
      </c>
      <c r="BC71" s="3">
        <v>4.82</v>
      </c>
      <c r="BD71" s="3" t="s">
        <v>3</v>
      </c>
      <c r="BE71" s="3" t="s">
        <v>3</v>
      </c>
      <c r="BF71" s="3" t="s">
        <v>3</v>
      </c>
      <c r="BG71" s="3" t="s">
        <v>3</v>
      </c>
      <c r="BH71" s="3">
        <v>3</v>
      </c>
      <c r="BI71" s="3">
        <v>2</v>
      </c>
      <c r="BJ71" s="3" t="s">
        <v>138</v>
      </c>
      <c r="BM71" s="3">
        <v>73</v>
      </c>
      <c r="BN71" s="3">
        <v>0</v>
      </c>
      <c r="BO71" s="3" t="s">
        <v>136</v>
      </c>
      <c r="BP71" s="3">
        <v>1</v>
      </c>
      <c r="BQ71" s="3">
        <v>40</v>
      </c>
      <c r="BR71" s="3">
        <v>0</v>
      </c>
      <c r="BS71" s="3">
        <v>1</v>
      </c>
      <c r="BT71" s="3">
        <v>1</v>
      </c>
      <c r="BU71" s="3">
        <v>1</v>
      </c>
      <c r="BV71" s="3">
        <v>1</v>
      </c>
      <c r="BW71" s="3">
        <v>1</v>
      </c>
      <c r="BX71" s="3">
        <v>1</v>
      </c>
      <c r="BY71" s="3" t="s">
        <v>3</v>
      </c>
      <c r="BZ71" s="3">
        <v>90</v>
      </c>
      <c r="CA71" s="3">
        <v>46</v>
      </c>
      <c r="CB71" s="3" t="s">
        <v>3</v>
      </c>
      <c r="CE71" s="3">
        <v>1566</v>
      </c>
      <c r="CF71" s="3">
        <v>0</v>
      </c>
      <c r="CG71" s="3">
        <v>0</v>
      </c>
      <c r="CM71" s="3">
        <v>0</v>
      </c>
      <c r="CN71" s="3" t="s">
        <v>679</v>
      </c>
      <c r="CO71" s="3">
        <v>0</v>
      </c>
      <c r="CP71" s="3">
        <f t="shared" si="73"/>
        <v>3761.62</v>
      </c>
      <c r="CQ71" s="3">
        <f t="shared" si="61"/>
        <v>626.94000000000005</v>
      </c>
      <c r="CR71" s="3">
        <f>(ROUND((ROUND(((ET71)*AV71*1),2)*BB71),2)+ROUND((ROUND(((AE71-(EU71))*AV71*1),2)*BS71),2))</f>
        <v>0</v>
      </c>
      <c r="CS71" s="3">
        <f>(ROUND((ROUND(((EU71)*AV71*1),2)*BS71),2)+ROUND((ROUND(((AE71-(EU71))*AV71*1),2)*BS71),2))</f>
        <v>0</v>
      </c>
      <c r="CT71" s="3">
        <f t="shared" si="74"/>
        <v>0</v>
      </c>
      <c r="CU71" s="3">
        <f t="shared" si="75"/>
        <v>0</v>
      </c>
      <c r="CV71" s="3">
        <f t="shared" si="76"/>
        <v>0</v>
      </c>
      <c r="CW71" s="3">
        <f t="shared" si="77"/>
        <v>0</v>
      </c>
      <c r="CX71" s="3">
        <f t="shared" si="78"/>
        <v>0</v>
      </c>
      <c r="CY71" s="3">
        <f>(ROUND((((S71+ROUND((ROUND(((EU71)*AV71*1),2)*BS71),2))*AT71)/100),2)+ROUND(((ROUND((ROUND(((AE71-(EU71))*AV71*1),2)*BS71),2)*AT71)/100),2))</f>
        <v>0</v>
      </c>
      <c r="CZ71" s="3">
        <f>(ROUND((((S71+ROUND((ROUND(((EU71)*AV71*1),2)*BS71),2))*AU71)/100),2)+ROUND(((ROUND((ROUND(((AE71-(EU71))*AV71*1),2)*BS71),2)*AU71)/100),2))</f>
        <v>0</v>
      </c>
      <c r="DC71" s="3" t="s">
        <v>3</v>
      </c>
      <c r="DD71" s="3" t="s">
        <v>3</v>
      </c>
      <c r="DE71" s="3" t="s">
        <v>3</v>
      </c>
      <c r="DF71" s="3" t="s">
        <v>3</v>
      </c>
      <c r="DG71" s="3" t="s">
        <v>3</v>
      </c>
      <c r="DH71" s="3" t="s">
        <v>3</v>
      </c>
      <c r="DI71" s="3" t="s">
        <v>3</v>
      </c>
      <c r="DJ71" s="3" t="s">
        <v>3</v>
      </c>
      <c r="DK71" s="3" t="s">
        <v>3</v>
      </c>
      <c r="DL71" s="3" t="s">
        <v>3</v>
      </c>
      <c r="DM71" s="3" t="s">
        <v>3</v>
      </c>
      <c r="DN71" s="3">
        <v>0</v>
      </c>
      <c r="DO71" s="3">
        <v>0</v>
      </c>
      <c r="DP71" s="3">
        <v>1</v>
      </c>
      <c r="DQ71" s="3">
        <v>1</v>
      </c>
      <c r="DU71" s="3">
        <v>1010</v>
      </c>
      <c r="DV71" s="3" t="s">
        <v>99</v>
      </c>
      <c r="DW71" s="3" t="s">
        <v>99</v>
      </c>
      <c r="DX71" s="3">
        <v>1</v>
      </c>
      <c r="DZ71" s="3" t="s">
        <v>3</v>
      </c>
      <c r="EA71" s="3" t="s">
        <v>3</v>
      </c>
      <c r="EB71" s="3" t="s">
        <v>3</v>
      </c>
      <c r="EC71" s="3" t="s">
        <v>3</v>
      </c>
      <c r="EE71" s="3">
        <v>85133422</v>
      </c>
      <c r="EF71" s="3">
        <v>40</v>
      </c>
      <c r="EG71" s="3" t="s">
        <v>27</v>
      </c>
      <c r="EH71" s="3">
        <v>0</v>
      </c>
      <c r="EI71" s="3" t="s">
        <v>3</v>
      </c>
      <c r="EJ71" s="3">
        <v>2</v>
      </c>
      <c r="EK71" s="3">
        <v>73</v>
      </c>
      <c r="EL71" s="3" t="s">
        <v>62</v>
      </c>
      <c r="EM71" s="3" t="s">
        <v>63</v>
      </c>
      <c r="EO71" s="3" t="s">
        <v>37</v>
      </c>
      <c r="EQ71" s="3">
        <v>0</v>
      </c>
      <c r="ER71" s="3">
        <v>130.07</v>
      </c>
      <c r="ES71" s="3">
        <v>130.07</v>
      </c>
      <c r="ET71" s="3">
        <v>0</v>
      </c>
      <c r="EU71" s="3">
        <v>0</v>
      </c>
      <c r="EV71" s="3">
        <v>0</v>
      </c>
      <c r="EW71" s="3">
        <v>0</v>
      </c>
      <c r="EX71" s="3">
        <v>0</v>
      </c>
      <c r="FQ71" s="3">
        <v>0</v>
      </c>
      <c r="FR71" s="3">
        <v>0</v>
      </c>
      <c r="FS71" s="3">
        <v>0</v>
      </c>
      <c r="FX71" s="3">
        <v>90</v>
      </c>
      <c r="FY71" s="3">
        <v>46</v>
      </c>
      <c r="GA71" s="3" t="s">
        <v>3</v>
      </c>
      <c r="GD71" s="3">
        <v>1</v>
      </c>
      <c r="GF71" s="3">
        <v>-1214401210</v>
      </c>
      <c r="GG71" s="3">
        <v>2</v>
      </c>
      <c r="GH71" s="3">
        <v>1</v>
      </c>
      <c r="GI71" s="3">
        <v>2</v>
      </c>
      <c r="GJ71" s="3">
        <v>0</v>
      </c>
      <c r="GK71" s="3">
        <v>0</v>
      </c>
      <c r="GL71" s="3">
        <f t="shared" si="79"/>
        <v>0</v>
      </c>
      <c r="GM71" s="3">
        <f t="shared" si="80"/>
        <v>3761.62</v>
      </c>
      <c r="GN71" s="3">
        <f t="shared" si="81"/>
        <v>0</v>
      </c>
      <c r="GO71" s="3">
        <f t="shared" si="82"/>
        <v>3761.62</v>
      </c>
      <c r="GP71" s="3">
        <f t="shared" si="83"/>
        <v>0</v>
      </c>
      <c r="GR71" s="3">
        <v>0</v>
      </c>
      <c r="GS71" s="3">
        <v>3</v>
      </c>
      <c r="GT71" s="3">
        <v>0</v>
      </c>
      <c r="GU71" s="3" t="s">
        <v>3</v>
      </c>
      <c r="GV71" s="3">
        <f t="shared" si="84"/>
        <v>0</v>
      </c>
      <c r="GW71" s="3">
        <v>1</v>
      </c>
      <c r="GX71" s="3">
        <f t="shared" si="85"/>
        <v>0</v>
      </c>
      <c r="HA71" s="3">
        <v>0</v>
      </c>
      <c r="HB71" s="3">
        <v>0</v>
      </c>
      <c r="HC71" s="3">
        <f t="shared" si="86"/>
        <v>0</v>
      </c>
      <c r="HE71" s="3" t="s">
        <v>3</v>
      </c>
      <c r="HF71" s="3" t="s">
        <v>3</v>
      </c>
      <c r="HM71" s="3" t="s">
        <v>35</v>
      </c>
      <c r="HN71" s="3" t="s">
        <v>3</v>
      </c>
      <c r="HO71" s="3" t="s">
        <v>3</v>
      </c>
      <c r="HP71" s="3" t="s">
        <v>3</v>
      </c>
      <c r="HQ71" s="3" t="s">
        <v>3</v>
      </c>
      <c r="HS71" s="3">
        <v>0</v>
      </c>
      <c r="IK71" s="3">
        <v>0</v>
      </c>
    </row>
    <row r="72" spans="1:255" x14ac:dyDescent="0.2">
      <c r="A72" s="2">
        <v>17</v>
      </c>
      <c r="B72" s="2">
        <v>1</v>
      </c>
      <c r="C72" s="2">
        <f>ROW(SmtRes!A160)</f>
        <v>160</v>
      </c>
      <c r="D72" s="2">
        <f>ROW(EtalonRes!A187)</f>
        <v>187</v>
      </c>
      <c r="E72" s="2" t="s">
        <v>139</v>
      </c>
      <c r="F72" s="2" t="s">
        <v>140</v>
      </c>
      <c r="G72" s="2" t="s">
        <v>141</v>
      </c>
      <c r="H72" s="2" t="s">
        <v>23</v>
      </c>
      <c r="I72" s="2">
        <f>ROUND(4+4+8,9)</f>
        <v>16</v>
      </c>
      <c r="J72" s="2">
        <v>0</v>
      </c>
      <c r="K72" s="2">
        <f>ROUND(4+4+8,9)</f>
        <v>16</v>
      </c>
      <c r="L72" s="2"/>
      <c r="M72" s="2"/>
      <c r="N72" s="2"/>
      <c r="O72" s="2">
        <f t="shared" si="64"/>
        <v>1471.74</v>
      </c>
      <c r="P72" s="2">
        <f t="shared" si="60"/>
        <v>57.57</v>
      </c>
      <c r="Q72" s="2">
        <f>(ROUND((ROUND((((ET72*1.2))*AV72*I72),2)*BB72),2)+ROUND((ROUND(((AE72-((EU72*1.2)))*AV72*I72),2)*BS72),2))</f>
        <v>121.48</v>
      </c>
      <c r="R72" s="2">
        <f>(ROUND((ROUND((((EU72*1.2))*AV72*I72),2)*BS72),2)+ROUND((ROUND(((AE72-((EU72*1.2)))*AV72*I72),2)*BS72),2))</f>
        <v>5.12</v>
      </c>
      <c r="S72" s="2">
        <f t="shared" si="65"/>
        <v>1292.69</v>
      </c>
      <c r="T72" s="2">
        <f t="shared" si="66"/>
        <v>0</v>
      </c>
      <c r="U72" s="2">
        <f t="shared" si="67"/>
        <v>102.43199999999999</v>
      </c>
      <c r="V72" s="2">
        <f t="shared" si="68"/>
        <v>0</v>
      </c>
      <c r="W72" s="2">
        <f t="shared" si="69"/>
        <v>0</v>
      </c>
      <c r="X72" s="2">
        <f>(ROUND((((S72+ROUND((ROUND((((EU72*1.2))*AV72*I72),2)*BS72),2))*AT72)/100),2)+ROUND(((ROUND((ROUND(((AE72-((EU72*1.2)))*AV72*I72),2)*BS72),2)*AT72)/100),2))</f>
        <v>1168.03</v>
      </c>
      <c r="Y72" s="2">
        <f>(ROUND((((S72+ROUND((ROUND((((EU72*1.2))*AV72*I72),2)*BS72),2))*AU72)/100),2)+ROUND(((ROUND((ROUND(((AE72-((EU72*1.2)))*AV72*I72),2)*BS72),2)*AU72)/100),2))</f>
        <v>596.99</v>
      </c>
      <c r="Z72" s="2"/>
      <c r="AA72" s="2">
        <v>85739205</v>
      </c>
      <c r="AB72" s="2">
        <f t="shared" si="70"/>
        <v>86.335999999999999</v>
      </c>
      <c r="AC72" s="2">
        <f>ROUND(((ES72*1)),6)</f>
        <v>3.5</v>
      </c>
      <c r="AD72" s="2">
        <f>ROUND(((((ET72*1.2))-((EU72*1.2)))+AE72),6)</f>
        <v>7.1159999999999997</v>
      </c>
      <c r="AE72" s="2">
        <f>ROUND(((EU72*1.2)),6)</f>
        <v>0.3</v>
      </c>
      <c r="AF72" s="2">
        <f>ROUND(((EV72*1.2)),6)</f>
        <v>75.72</v>
      </c>
      <c r="AG72" s="2">
        <f t="shared" si="71"/>
        <v>0</v>
      </c>
      <c r="AH72" s="2">
        <f>((EW72*1.2))</f>
        <v>6</v>
      </c>
      <c r="AI72" s="2">
        <f>((EX72*1.2))</f>
        <v>0</v>
      </c>
      <c r="AJ72" s="2">
        <f t="shared" si="72"/>
        <v>0</v>
      </c>
      <c r="AK72" s="2">
        <v>72.53</v>
      </c>
      <c r="AL72" s="2">
        <v>3.5</v>
      </c>
      <c r="AM72" s="2">
        <v>5.93</v>
      </c>
      <c r="AN72" s="2">
        <v>0.25</v>
      </c>
      <c r="AO72" s="2">
        <v>63.1</v>
      </c>
      <c r="AP72" s="2">
        <v>0</v>
      </c>
      <c r="AQ72" s="2">
        <v>5</v>
      </c>
      <c r="AR72" s="2">
        <v>0</v>
      </c>
      <c r="AS72" s="2">
        <v>0</v>
      </c>
      <c r="AT72" s="2">
        <v>90</v>
      </c>
      <c r="AU72" s="2">
        <v>46</v>
      </c>
      <c r="AV72" s="2">
        <v>1.0669999999999999</v>
      </c>
      <c r="AW72" s="2">
        <v>1.028</v>
      </c>
      <c r="AX72" s="2"/>
      <c r="AY72" s="2"/>
      <c r="AZ72" s="2">
        <v>1</v>
      </c>
      <c r="BA72" s="2">
        <v>1</v>
      </c>
      <c r="BB72" s="2">
        <v>1</v>
      </c>
      <c r="BC72" s="2">
        <v>1</v>
      </c>
      <c r="BD72" s="2" t="s">
        <v>3</v>
      </c>
      <c r="BE72" s="2" t="s">
        <v>3</v>
      </c>
      <c r="BF72" s="2" t="s">
        <v>3</v>
      </c>
      <c r="BG72" s="2" t="s">
        <v>3</v>
      </c>
      <c r="BH72" s="2">
        <v>0</v>
      </c>
      <c r="BI72" s="2">
        <v>2</v>
      </c>
      <c r="BJ72" s="2" t="s">
        <v>142</v>
      </c>
      <c r="BK72" s="2"/>
      <c r="BL72" s="2"/>
      <c r="BM72" s="2">
        <v>73</v>
      </c>
      <c r="BN72" s="2">
        <v>0</v>
      </c>
      <c r="BO72" s="2" t="s">
        <v>140</v>
      </c>
      <c r="BP72" s="2">
        <v>1</v>
      </c>
      <c r="BQ72" s="2">
        <v>40</v>
      </c>
      <c r="BR72" s="2">
        <v>0</v>
      </c>
      <c r="BS72" s="2">
        <v>1</v>
      </c>
      <c r="BT72" s="2">
        <v>1</v>
      </c>
      <c r="BU72" s="2">
        <v>1</v>
      </c>
      <c r="BV72" s="2">
        <v>1</v>
      </c>
      <c r="BW72" s="2">
        <v>1</v>
      </c>
      <c r="BX72" s="2">
        <v>1</v>
      </c>
      <c r="BY72" s="2" t="s">
        <v>3</v>
      </c>
      <c r="BZ72" s="2">
        <v>90</v>
      </c>
      <c r="CA72" s="2">
        <v>46</v>
      </c>
      <c r="CB72" s="2" t="s">
        <v>3</v>
      </c>
      <c r="CC72" s="2"/>
      <c r="CD72" s="2"/>
      <c r="CE72" s="2">
        <v>1566</v>
      </c>
      <c r="CF72" s="2">
        <v>0</v>
      </c>
      <c r="CG72" s="2">
        <v>0</v>
      </c>
      <c r="CH72" s="2"/>
      <c r="CI72" s="2"/>
      <c r="CJ72" s="2"/>
      <c r="CK72" s="2"/>
      <c r="CL72" s="2"/>
      <c r="CM72" s="2">
        <v>0</v>
      </c>
      <c r="CN72" s="2" t="s">
        <v>677</v>
      </c>
      <c r="CO72" s="2">
        <v>0</v>
      </c>
      <c r="CP72" s="2">
        <f t="shared" si="73"/>
        <v>1471.74</v>
      </c>
      <c r="CQ72" s="2">
        <f t="shared" si="61"/>
        <v>3.6</v>
      </c>
      <c r="CR72" s="2">
        <f>(ROUND((ROUND((((ET72*1.2))*AV72*1),2)*BB72),2)+ROUND((ROUND(((AE72-((EU72*1.2)))*AV72*1),2)*BS72),2))</f>
        <v>7.59</v>
      </c>
      <c r="CS72" s="2">
        <f>(ROUND((ROUND((((EU72*1.2))*AV72*1),2)*BS72),2)+ROUND((ROUND(((AE72-((EU72*1.2)))*AV72*1),2)*BS72),2))</f>
        <v>0.32</v>
      </c>
      <c r="CT72" s="2">
        <f t="shared" si="74"/>
        <v>80.790000000000006</v>
      </c>
      <c r="CU72" s="2">
        <f t="shared" si="75"/>
        <v>0</v>
      </c>
      <c r="CV72" s="2">
        <f t="shared" si="76"/>
        <v>6.4019999999999992</v>
      </c>
      <c r="CW72" s="2">
        <f t="shared" si="77"/>
        <v>0</v>
      </c>
      <c r="CX72" s="2">
        <f t="shared" si="78"/>
        <v>0</v>
      </c>
      <c r="CY72" s="2">
        <f>(ROUND((((S72+ROUND((ROUND((((EU72*1.2))*AV72*1),2)*BS72),2))*AT72)/100),2)+ROUND(((ROUND((ROUND(((AE72-((EU72*1.2)))*AV72*1),2)*BS72),2)*AT72)/100),2))</f>
        <v>1163.71</v>
      </c>
      <c r="CZ72" s="2">
        <f>(ROUND((((S72+ROUND((ROUND((((EU72*1.2))*AV72*1),2)*BS72),2))*AU72)/100),2)+ROUND(((ROUND((ROUND(((AE72-((EU72*1.2)))*AV72*1),2)*BS72),2)*AU72)/100),2))</f>
        <v>594.78</v>
      </c>
      <c r="DA72" s="2"/>
      <c r="DB72" s="2">
        <v>31</v>
      </c>
      <c r="DC72" s="2" t="s">
        <v>3</v>
      </c>
      <c r="DD72" s="2" t="s">
        <v>35</v>
      </c>
      <c r="DE72" s="2" t="s">
        <v>36</v>
      </c>
      <c r="DF72" s="2" t="s">
        <v>36</v>
      </c>
      <c r="DG72" s="2" t="s">
        <v>36</v>
      </c>
      <c r="DH72" s="2" t="s">
        <v>3</v>
      </c>
      <c r="DI72" s="2" t="s">
        <v>36</v>
      </c>
      <c r="DJ72" s="2" t="s">
        <v>36</v>
      </c>
      <c r="DK72" s="2" t="s">
        <v>3</v>
      </c>
      <c r="DL72" s="2" t="s">
        <v>3</v>
      </c>
      <c r="DM72" s="2" t="s">
        <v>3</v>
      </c>
      <c r="DN72" s="2">
        <v>0</v>
      </c>
      <c r="DO72" s="2">
        <v>0</v>
      </c>
      <c r="DP72" s="2">
        <v>1</v>
      </c>
      <c r="DQ72" s="2">
        <v>1</v>
      </c>
      <c r="DR72" s="2"/>
      <c r="DS72" s="2"/>
      <c r="DT72" s="2"/>
      <c r="DU72" s="2">
        <v>1013</v>
      </c>
      <c r="DV72" s="2" t="s">
        <v>23</v>
      </c>
      <c r="DW72" s="2" t="s">
        <v>23</v>
      </c>
      <c r="DX72" s="2">
        <v>1</v>
      </c>
      <c r="DY72" s="2"/>
      <c r="DZ72" s="2" t="s">
        <v>3</v>
      </c>
      <c r="EA72" s="2" t="s">
        <v>3</v>
      </c>
      <c r="EB72" s="2" t="s">
        <v>3</v>
      </c>
      <c r="EC72" s="2" t="s">
        <v>3</v>
      </c>
      <c r="ED72" s="2"/>
      <c r="EE72" s="2">
        <v>85133422</v>
      </c>
      <c r="EF72" s="2">
        <v>40</v>
      </c>
      <c r="EG72" s="2" t="s">
        <v>27</v>
      </c>
      <c r="EH72" s="2">
        <v>0</v>
      </c>
      <c r="EI72" s="2" t="s">
        <v>3</v>
      </c>
      <c r="EJ72" s="2">
        <v>2</v>
      </c>
      <c r="EK72" s="2">
        <v>73</v>
      </c>
      <c r="EL72" s="2" t="s">
        <v>62</v>
      </c>
      <c r="EM72" s="2" t="s">
        <v>63</v>
      </c>
      <c r="EN72" s="2"/>
      <c r="EO72" s="2" t="s">
        <v>37</v>
      </c>
      <c r="EP72" s="2"/>
      <c r="EQ72" s="2">
        <v>0</v>
      </c>
      <c r="ER72" s="2">
        <v>72.53</v>
      </c>
      <c r="ES72" s="2">
        <v>3.5</v>
      </c>
      <c r="ET72" s="2">
        <v>5.93</v>
      </c>
      <c r="EU72" s="2">
        <v>0.25</v>
      </c>
      <c r="EV72" s="2">
        <v>63.1</v>
      </c>
      <c r="EW72" s="2">
        <v>5</v>
      </c>
      <c r="EX72" s="2">
        <v>0</v>
      </c>
      <c r="EY72" s="2">
        <v>0</v>
      </c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>
        <v>0</v>
      </c>
      <c r="FR72" s="2">
        <v>0</v>
      </c>
      <c r="FS72" s="2">
        <v>2</v>
      </c>
      <c r="FT72" s="2"/>
      <c r="FU72" s="2"/>
      <c r="FV72" s="2"/>
      <c r="FW72" s="2"/>
      <c r="FX72" s="2">
        <v>90</v>
      </c>
      <c r="FY72" s="2">
        <v>46</v>
      </c>
      <c r="FZ72" s="2"/>
      <c r="GA72" s="2" t="s">
        <v>3</v>
      </c>
      <c r="GB72" s="2"/>
      <c r="GC72" s="2"/>
      <c r="GD72" s="2">
        <v>1</v>
      </c>
      <c r="GE72" s="2"/>
      <c r="GF72" s="2">
        <v>212044751</v>
      </c>
      <c r="GG72" s="2">
        <v>2</v>
      </c>
      <c r="GH72" s="2">
        <v>1</v>
      </c>
      <c r="GI72" s="2">
        <v>2</v>
      </c>
      <c r="GJ72" s="2">
        <v>0</v>
      </c>
      <c r="GK72" s="2">
        <v>0</v>
      </c>
      <c r="GL72" s="2">
        <f t="shared" si="79"/>
        <v>0</v>
      </c>
      <c r="GM72" s="2">
        <f t="shared" si="80"/>
        <v>3236.76</v>
      </c>
      <c r="GN72" s="2">
        <f t="shared" si="81"/>
        <v>0</v>
      </c>
      <c r="GO72" s="2">
        <f t="shared" si="82"/>
        <v>3236.76</v>
      </c>
      <c r="GP72" s="2">
        <f t="shared" si="83"/>
        <v>0</v>
      </c>
      <c r="GQ72" s="2"/>
      <c r="GR72" s="2">
        <v>0</v>
      </c>
      <c r="GS72" s="2">
        <v>3</v>
      </c>
      <c r="GT72" s="2">
        <v>0</v>
      </c>
      <c r="GU72" s="2" t="s">
        <v>3</v>
      </c>
      <c r="GV72" s="2">
        <f t="shared" si="84"/>
        <v>0</v>
      </c>
      <c r="GW72" s="2">
        <v>1</v>
      </c>
      <c r="GX72" s="2">
        <f t="shared" si="85"/>
        <v>0</v>
      </c>
      <c r="GY72" s="2"/>
      <c r="GZ72" s="2"/>
      <c r="HA72" s="2">
        <v>0</v>
      </c>
      <c r="HB72" s="2">
        <v>0</v>
      </c>
      <c r="HC72" s="2">
        <f t="shared" si="86"/>
        <v>0</v>
      </c>
      <c r="HD72" s="2"/>
      <c r="HE72" s="2" t="s">
        <v>3</v>
      </c>
      <c r="HF72" s="2" t="s">
        <v>3</v>
      </c>
      <c r="HG72" s="2"/>
      <c r="HH72" s="2"/>
      <c r="HI72" s="2"/>
      <c r="HJ72" s="2"/>
      <c r="HK72" s="2"/>
      <c r="HL72" s="2"/>
      <c r="HM72" s="2" t="s">
        <v>3</v>
      </c>
      <c r="HN72" s="2" t="s">
        <v>3</v>
      </c>
      <c r="HO72" s="2" t="s">
        <v>3</v>
      </c>
      <c r="HP72" s="2" t="s">
        <v>3</v>
      </c>
      <c r="HQ72" s="2" t="s">
        <v>3</v>
      </c>
      <c r="HR72" s="2"/>
      <c r="HS72" s="2">
        <v>0</v>
      </c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>
        <v>0</v>
      </c>
      <c r="IL72" s="2"/>
      <c r="IM72" s="2"/>
      <c r="IN72" s="2"/>
      <c r="IO72" s="2"/>
      <c r="IP72" s="2"/>
      <c r="IQ72" s="2"/>
      <c r="IR72" s="2"/>
      <c r="IS72" s="2"/>
      <c r="IT72" s="2"/>
      <c r="IU72" s="2"/>
    </row>
    <row r="73" spans="1:255" x14ac:dyDescent="0.2">
      <c r="A73" s="3">
        <v>17</v>
      </c>
      <c r="B73" s="3">
        <v>1</v>
      </c>
      <c r="C73" s="3">
        <f>ROW(SmtRes!A168)</f>
        <v>168</v>
      </c>
      <c r="D73" s="3">
        <f>ROW(EtalonRes!A194)</f>
        <v>194</v>
      </c>
      <c r="E73" s="3" t="s">
        <v>139</v>
      </c>
      <c r="F73" s="3" t="s">
        <v>140</v>
      </c>
      <c r="G73" s="3" t="s">
        <v>141</v>
      </c>
      <c r="H73" s="3" t="s">
        <v>23</v>
      </c>
      <c r="I73" s="3">
        <f>ROUND(4+4+8,9)</f>
        <v>16</v>
      </c>
      <c r="J73" s="3">
        <v>0</v>
      </c>
      <c r="K73" s="3">
        <f>ROUND(4+4+8,9)</f>
        <v>16</v>
      </c>
      <c r="O73" s="3">
        <f t="shared" si="64"/>
        <v>75205.960000000006</v>
      </c>
      <c r="P73" s="3">
        <f t="shared" si="60"/>
        <v>605.05999999999995</v>
      </c>
      <c r="Q73" s="3">
        <f>(ROUND((ROUND((((ET73*1.2))*AV73*I73),2)*BB73),2)+ROUND((ROUND(((AE73-((EU73*1.2)))*AV73*I73),2)*BS73),2))</f>
        <v>1757.82</v>
      </c>
      <c r="R73" s="3">
        <f>(ROUND((ROUND((((EU73*1.2))*AV73*I73),2)*BS73),2)+ROUND((ROUND(((AE73-((EU73*1.2)))*AV73*I73),2)*BS73),2))</f>
        <v>288.51</v>
      </c>
      <c r="S73" s="3">
        <f t="shared" si="65"/>
        <v>72843.08</v>
      </c>
      <c r="T73" s="3">
        <f t="shared" si="66"/>
        <v>0</v>
      </c>
      <c r="U73" s="3">
        <f t="shared" si="67"/>
        <v>102.43199999999999</v>
      </c>
      <c r="V73" s="3">
        <f t="shared" si="68"/>
        <v>0</v>
      </c>
      <c r="W73" s="3">
        <f t="shared" si="69"/>
        <v>0</v>
      </c>
      <c r="X73" s="3">
        <f>(ROUND((((S73+ROUND((ROUND((((EU73*1.2))*AV73*I73),2)*BS73),2))*AT73)/100),2)+ROUND(((ROUND((ROUND(((AE73-((EU73*1.2)))*AV73*I73),2)*BS73),2)*AT73)/100),2))</f>
        <v>65818.429999999993</v>
      </c>
      <c r="Y73" s="3">
        <f>(ROUND((((S73+ROUND((ROUND((((EU73*1.2))*AV73*I73),2)*BS73),2))*AU73)/100),2)+ROUND(((ROUND((ROUND(((AE73-((EU73*1.2)))*AV73*I73),2)*BS73),2)*AU73)/100),2))</f>
        <v>33640.53</v>
      </c>
      <c r="AA73" s="3">
        <v>85739207</v>
      </c>
      <c r="AB73" s="3">
        <f t="shared" si="70"/>
        <v>86.335999999999999</v>
      </c>
      <c r="AC73" s="3">
        <f>ROUND(((ES73*1)),6)</f>
        <v>3.5</v>
      </c>
      <c r="AD73" s="3">
        <f>ROUND(((((ET73*1.2))-((EU73*1.2)))+AE73),6)</f>
        <v>7.1159999999999997</v>
      </c>
      <c r="AE73" s="3">
        <f>ROUND(((EU73*1.2)),6)</f>
        <v>0.3</v>
      </c>
      <c r="AF73" s="3">
        <f>ROUND(((EV73*1.2)),6)</f>
        <v>75.72</v>
      </c>
      <c r="AG73" s="3">
        <f t="shared" si="71"/>
        <v>0</v>
      </c>
      <c r="AH73" s="3">
        <f>((EW73*1.2))</f>
        <v>6</v>
      </c>
      <c r="AI73" s="3">
        <f>((EX73*1.2))</f>
        <v>0</v>
      </c>
      <c r="AJ73" s="3">
        <f t="shared" si="72"/>
        <v>0</v>
      </c>
      <c r="AK73" s="3">
        <v>72.53</v>
      </c>
      <c r="AL73" s="3">
        <v>3.5</v>
      </c>
      <c r="AM73" s="3">
        <v>5.93</v>
      </c>
      <c r="AN73" s="3">
        <v>0.25</v>
      </c>
      <c r="AO73" s="3">
        <v>63.1</v>
      </c>
      <c r="AP73" s="3">
        <v>0</v>
      </c>
      <c r="AQ73" s="3">
        <v>5</v>
      </c>
      <c r="AR73" s="3">
        <v>0</v>
      </c>
      <c r="AS73" s="3">
        <v>0</v>
      </c>
      <c r="AT73" s="3">
        <v>90</v>
      </c>
      <c r="AU73" s="3">
        <v>46</v>
      </c>
      <c r="AV73" s="3">
        <v>1.0669999999999999</v>
      </c>
      <c r="AW73" s="3">
        <v>1.028</v>
      </c>
      <c r="AZ73" s="3">
        <v>1</v>
      </c>
      <c r="BA73" s="3">
        <v>56.35</v>
      </c>
      <c r="BB73" s="3">
        <v>14.47</v>
      </c>
      <c r="BC73" s="3">
        <v>10.51</v>
      </c>
      <c r="BD73" s="3" t="s">
        <v>3</v>
      </c>
      <c r="BE73" s="3" t="s">
        <v>3</v>
      </c>
      <c r="BF73" s="3" t="s">
        <v>3</v>
      </c>
      <c r="BG73" s="3" t="s">
        <v>3</v>
      </c>
      <c r="BH73" s="3">
        <v>0</v>
      </c>
      <c r="BI73" s="3">
        <v>2</v>
      </c>
      <c r="BJ73" s="3" t="s">
        <v>142</v>
      </c>
      <c r="BM73" s="3">
        <v>73</v>
      </c>
      <c r="BN73" s="3">
        <v>0</v>
      </c>
      <c r="BO73" s="3" t="s">
        <v>140</v>
      </c>
      <c r="BP73" s="3">
        <v>1</v>
      </c>
      <c r="BQ73" s="3">
        <v>40</v>
      </c>
      <c r="BR73" s="3">
        <v>0</v>
      </c>
      <c r="BS73" s="3">
        <v>56.35</v>
      </c>
      <c r="BT73" s="3">
        <v>1</v>
      </c>
      <c r="BU73" s="3">
        <v>1</v>
      </c>
      <c r="BV73" s="3">
        <v>1</v>
      </c>
      <c r="BW73" s="3">
        <v>1</v>
      </c>
      <c r="BX73" s="3">
        <v>1</v>
      </c>
      <c r="BY73" s="3" t="s">
        <v>3</v>
      </c>
      <c r="BZ73" s="3">
        <v>90</v>
      </c>
      <c r="CA73" s="3">
        <v>46</v>
      </c>
      <c r="CB73" s="3" t="s">
        <v>3</v>
      </c>
      <c r="CE73" s="3">
        <v>1566</v>
      </c>
      <c r="CF73" s="3">
        <v>0</v>
      </c>
      <c r="CG73" s="3">
        <v>0</v>
      </c>
      <c r="CM73" s="3">
        <v>0</v>
      </c>
      <c r="CN73" s="3" t="s">
        <v>677</v>
      </c>
      <c r="CO73" s="3">
        <v>0</v>
      </c>
      <c r="CP73" s="3">
        <f t="shared" si="73"/>
        <v>75205.960000000006</v>
      </c>
      <c r="CQ73" s="3">
        <f t="shared" si="61"/>
        <v>37.840000000000003</v>
      </c>
      <c r="CR73" s="3">
        <f>(ROUND((ROUND((((ET73*1.2))*AV73*1),2)*BB73),2)+ROUND((ROUND(((AE73-((EU73*1.2)))*AV73*1),2)*BS73),2))</f>
        <v>109.83</v>
      </c>
      <c r="CS73" s="3">
        <f>(ROUND((ROUND((((EU73*1.2))*AV73*1),2)*BS73),2)+ROUND((ROUND(((AE73-((EU73*1.2)))*AV73*1),2)*BS73),2))</f>
        <v>18.03</v>
      </c>
      <c r="CT73" s="3">
        <f t="shared" si="74"/>
        <v>4552.5200000000004</v>
      </c>
      <c r="CU73" s="3">
        <f t="shared" si="75"/>
        <v>0</v>
      </c>
      <c r="CV73" s="3">
        <f t="shared" si="76"/>
        <v>6.4019999999999992</v>
      </c>
      <c r="CW73" s="3">
        <f t="shared" si="77"/>
        <v>0</v>
      </c>
      <c r="CX73" s="3">
        <f t="shared" si="78"/>
        <v>0</v>
      </c>
      <c r="CY73" s="3">
        <f>(ROUND((((S73+ROUND((ROUND((((EU73*1.2))*AV73*1),2)*BS73),2))*AT73)/100),2)+ROUND(((ROUND((ROUND(((AE73-((EU73*1.2)))*AV73*1),2)*BS73),2)*AT73)/100),2))</f>
        <v>65575</v>
      </c>
      <c r="CZ73" s="3">
        <f>(ROUND((((S73+ROUND((ROUND((((EU73*1.2))*AV73*1),2)*BS73),2))*AU73)/100),2)+ROUND(((ROUND((ROUND(((AE73-((EU73*1.2)))*AV73*1),2)*BS73),2)*AU73)/100),2))</f>
        <v>33516.11</v>
      </c>
      <c r="DB73" s="3">
        <v>32</v>
      </c>
      <c r="DC73" s="3" t="s">
        <v>3</v>
      </c>
      <c r="DD73" s="3" t="s">
        <v>35</v>
      </c>
      <c r="DE73" s="3" t="s">
        <v>36</v>
      </c>
      <c r="DF73" s="3" t="s">
        <v>36</v>
      </c>
      <c r="DG73" s="3" t="s">
        <v>36</v>
      </c>
      <c r="DH73" s="3" t="s">
        <v>3</v>
      </c>
      <c r="DI73" s="3" t="s">
        <v>36</v>
      </c>
      <c r="DJ73" s="3" t="s">
        <v>36</v>
      </c>
      <c r="DK73" s="3" t="s">
        <v>3</v>
      </c>
      <c r="DL73" s="3" t="s">
        <v>3</v>
      </c>
      <c r="DM73" s="3" t="s">
        <v>3</v>
      </c>
      <c r="DN73" s="3">
        <v>0</v>
      </c>
      <c r="DO73" s="3">
        <v>0</v>
      </c>
      <c r="DP73" s="3">
        <v>1</v>
      </c>
      <c r="DQ73" s="3">
        <v>1</v>
      </c>
      <c r="DU73" s="3">
        <v>1013</v>
      </c>
      <c r="DV73" s="3" t="s">
        <v>23</v>
      </c>
      <c r="DW73" s="3" t="s">
        <v>23</v>
      </c>
      <c r="DX73" s="3">
        <v>1</v>
      </c>
      <c r="DZ73" s="3" t="s">
        <v>3</v>
      </c>
      <c r="EA73" s="3" t="s">
        <v>3</v>
      </c>
      <c r="EB73" s="3" t="s">
        <v>3</v>
      </c>
      <c r="EC73" s="3" t="s">
        <v>3</v>
      </c>
      <c r="EE73" s="3">
        <v>85133422</v>
      </c>
      <c r="EF73" s="3">
        <v>40</v>
      </c>
      <c r="EG73" s="3" t="s">
        <v>27</v>
      </c>
      <c r="EH73" s="3">
        <v>0</v>
      </c>
      <c r="EI73" s="3" t="s">
        <v>3</v>
      </c>
      <c r="EJ73" s="3">
        <v>2</v>
      </c>
      <c r="EK73" s="3">
        <v>73</v>
      </c>
      <c r="EL73" s="3" t="s">
        <v>62</v>
      </c>
      <c r="EM73" s="3" t="s">
        <v>63</v>
      </c>
      <c r="EO73" s="3" t="s">
        <v>37</v>
      </c>
      <c r="EQ73" s="3">
        <v>0</v>
      </c>
      <c r="ER73" s="3">
        <v>72.53</v>
      </c>
      <c r="ES73" s="3">
        <v>3.5</v>
      </c>
      <c r="ET73" s="3">
        <v>5.93</v>
      </c>
      <c r="EU73" s="3">
        <v>0.25</v>
      </c>
      <c r="EV73" s="3">
        <v>63.1</v>
      </c>
      <c r="EW73" s="3">
        <v>5</v>
      </c>
      <c r="EX73" s="3">
        <v>0</v>
      </c>
      <c r="EY73" s="3">
        <v>0</v>
      </c>
      <c r="FQ73" s="3">
        <v>0</v>
      </c>
      <c r="FR73" s="3">
        <v>0</v>
      </c>
      <c r="FS73" s="3">
        <v>2</v>
      </c>
      <c r="FX73" s="3">
        <v>90</v>
      </c>
      <c r="FY73" s="3">
        <v>46</v>
      </c>
      <c r="GA73" s="3" t="s">
        <v>3</v>
      </c>
      <c r="GD73" s="3">
        <v>1</v>
      </c>
      <c r="GF73" s="3">
        <v>212044751</v>
      </c>
      <c r="GG73" s="3">
        <v>2</v>
      </c>
      <c r="GH73" s="3">
        <v>1</v>
      </c>
      <c r="GI73" s="3">
        <v>2</v>
      </c>
      <c r="GJ73" s="3">
        <v>0</v>
      </c>
      <c r="GK73" s="3">
        <v>0</v>
      </c>
      <c r="GL73" s="3">
        <f t="shared" si="79"/>
        <v>0</v>
      </c>
      <c r="GM73" s="3">
        <f t="shared" si="80"/>
        <v>174664.92</v>
      </c>
      <c r="GN73" s="3">
        <f t="shared" si="81"/>
        <v>0</v>
      </c>
      <c r="GO73" s="3">
        <f t="shared" si="82"/>
        <v>174664.92</v>
      </c>
      <c r="GP73" s="3">
        <f t="shared" si="83"/>
        <v>0</v>
      </c>
      <c r="GR73" s="3">
        <v>0</v>
      </c>
      <c r="GS73" s="3">
        <v>3</v>
      </c>
      <c r="GT73" s="3">
        <v>0</v>
      </c>
      <c r="GU73" s="3" t="s">
        <v>3</v>
      </c>
      <c r="GV73" s="3">
        <f t="shared" si="84"/>
        <v>0</v>
      </c>
      <c r="GW73" s="3">
        <v>1</v>
      </c>
      <c r="GX73" s="3">
        <f t="shared" si="85"/>
        <v>0</v>
      </c>
      <c r="HA73" s="3">
        <v>0</v>
      </c>
      <c r="HB73" s="3">
        <v>0</v>
      </c>
      <c r="HC73" s="3">
        <f t="shared" si="86"/>
        <v>0</v>
      </c>
      <c r="HE73" s="3" t="s">
        <v>3</v>
      </c>
      <c r="HF73" s="3" t="s">
        <v>3</v>
      </c>
      <c r="HM73" s="3" t="s">
        <v>3</v>
      </c>
      <c r="HN73" s="3" t="s">
        <v>3</v>
      </c>
      <c r="HO73" s="3" t="s">
        <v>3</v>
      </c>
      <c r="HP73" s="3" t="s">
        <v>3</v>
      </c>
      <c r="HQ73" s="3" t="s">
        <v>3</v>
      </c>
      <c r="HS73" s="3">
        <v>0</v>
      </c>
      <c r="IK73" s="3">
        <v>0</v>
      </c>
    </row>
    <row r="74" spans="1:255" x14ac:dyDescent="0.2">
      <c r="A74" s="2">
        <v>18</v>
      </c>
      <c r="B74" s="2">
        <v>1</v>
      </c>
      <c r="C74" s="2">
        <v>160</v>
      </c>
      <c r="D74" s="2"/>
      <c r="E74" s="2" t="s">
        <v>143</v>
      </c>
      <c r="F74" s="2" t="s">
        <v>144</v>
      </c>
      <c r="G74" s="2" t="s">
        <v>145</v>
      </c>
      <c r="H74" s="2" t="s">
        <v>99</v>
      </c>
      <c r="I74" s="2">
        <f>I72*J74</f>
        <v>16</v>
      </c>
      <c r="J74" s="2">
        <v>1</v>
      </c>
      <c r="K74" s="2">
        <v>1</v>
      </c>
      <c r="L74" s="2"/>
      <c r="M74" s="2"/>
      <c r="N74" s="2"/>
      <c r="O74" s="2">
        <f t="shared" si="64"/>
        <v>1278.72</v>
      </c>
      <c r="P74" s="2">
        <f t="shared" si="60"/>
        <v>1278.72</v>
      </c>
      <c r="Q74" s="2">
        <f>(ROUND((ROUND(((ET74)*AV74*I74),2)*BB74),2)+ROUND((ROUND(((AE74-(EU74))*AV74*I74),2)*BS74),2))</f>
        <v>0</v>
      </c>
      <c r="R74" s="2">
        <f>(ROUND((ROUND(((EU74)*AV74*I74),2)*BS74),2)+ROUND((ROUND(((AE74-(EU74))*AV74*I74),2)*BS74),2))</f>
        <v>0</v>
      </c>
      <c r="S74" s="2">
        <f t="shared" si="65"/>
        <v>0</v>
      </c>
      <c r="T74" s="2">
        <f t="shared" si="66"/>
        <v>0</v>
      </c>
      <c r="U74" s="2">
        <f t="shared" si="67"/>
        <v>0</v>
      </c>
      <c r="V74" s="2">
        <f t="shared" si="68"/>
        <v>0</v>
      </c>
      <c r="W74" s="2">
        <f t="shared" si="69"/>
        <v>0</v>
      </c>
      <c r="X74" s="2">
        <f>(ROUND((((S74+ROUND((ROUND(((EU74)*AV74*I74),2)*BS74),2))*AT74)/100),2)+ROUND(((ROUND((ROUND(((AE74-(EU74))*AV74*I74),2)*BS74),2)*AT74)/100),2))</f>
        <v>0</v>
      </c>
      <c r="Y74" s="2">
        <f>(ROUND((((S74+ROUND((ROUND(((EU74)*AV74*I74),2)*BS74),2))*AU74)/100),2)+ROUND(((ROUND((ROUND(((AE74-(EU74))*AV74*I74),2)*BS74),2)*AU74)/100),2))</f>
        <v>0</v>
      </c>
      <c r="Z74" s="2"/>
      <c r="AA74" s="2">
        <v>85739205</v>
      </c>
      <c r="AB74" s="2">
        <f t="shared" si="70"/>
        <v>79.92</v>
      </c>
      <c r="AC74" s="2">
        <f>ROUND((ES74),6)</f>
        <v>79.92</v>
      </c>
      <c r="AD74" s="2">
        <f>ROUND((((ET74)-(EU74))+AE74),6)</f>
        <v>0</v>
      </c>
      <c r="AE74" s="2">
        <f t="shared" ref="AE74:AF77" si="89">ROUND((EU74),6)</f>
        <v>0</v>
      </c>
      <c r="AF74" s="2">
        <f t="shared" si="89"/>
        <v>0</v>
      </c>
      <c r="AG74" s="2">
        <f t="shared" si="71"/>
        <v>0</v>
      </c>
      <c r="AH74" s="2">
        <f t="shared" ref="AH74:AI77" si="90">(EW74)</f>
        <v>0</v>
      </c>
      <c r="AI74" s="2">
        <f t="shared" si="90"/>
        <v>0</v>
      </c>
      <c r="AJ74" s="2">
        <f t="shared" si="72"/>
        <v>0</v>
      </c>
      <c r="AK74" s="2">
        <v>79.92</v>
      </c>
      <c r="AL74" s="2">
        <v>79.92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90</v>
      </c>
      <c r="AU74" s="2">
        <v>46</v>
      </c>
      <c r="AV74" s="2">
        <v>1</v>
      </c>
      <c r="AW74" s="2">
        <v>1</v>
      </c>
      <c r="AX74" s="2"/>
      <c r="AY74" s="2"/>
      <c r="AZ74" s="2">
        <v>1</v>
      </c>
      <c r="BA74" s="2">
        <v>1</v>
      </c>
      <c r="BB74" s="2">
        <v>1</v>
      </c>
      <c r="BC74" s="2">
        <v>1</v>
      </c>
      <c r="BD74" s="2" t="s">
        <v>3</v>
      </c>
      <c r="BE74" s="2" t="s">
        <v>3</v>
      </c>
      <c r="BF74" s="2" t="s">
        <v>3</v>
      </c>
      <c r="BG74" s="2" t="s">
        <v>3</v>
      </c>
      <c r="BH74" s="2">
        <v>3</v>
      </c>
      <c r="BI74" s="2">
        <v>2</v>
      </c>
      <c r="BJ74" s="2" t="s">
        <v>146</v>
      </c>
      <c r="BK74" s="2"/>
      <c r="BL74" s="2"/>
      <c r="BM74" s="2">
        <v>73</v>
      </c>
      <c r="BN74" s="2">
        <v>0</v>
      </c>
      <c r="BO74" s="2" t="s">
        <v>3</v>
      </c>
      <c r="BP74" s="2">
        <v>0</v>
      </c>
      <c r="BQ74" s="2">
        <v>40</v>
      </c>
      <c r="BR74" s="2">
        <v>0</v>
      </c>
      <c r="BS74" s="2">
        <v>1</v>
      </c>
      <c r="BT74" s="2">
        <v>1</v>
      </c>
      <c r="BU74" s="2">
        <v>1</v>
      </c>
      <c r="BV74" s="2">
        <v>1</v>
      </c>
      <c r="BW74" s="2">
        <v>1</v>
      </c>
      <c r="BX74" s="2">
        <v>1</v>
      </c>
      <c r="BY74" s="2" t="s">
        <v>3</v>
      </c>
      <c r="BZ74" s="2">
        <v>90</v>
      </c>
      <c r="CA74" s="2">
        <v>46</v>
      </c>
      <c r="CB74" s="2" t="s">
        <v>3</v>
      </c>
      <c r="CC74" s="2"/>
      <c r="CD74" s="2"/>
      <c r="CE74" s="2">
        <v>1566</v>
      </c>
      <c r="CF74" s="2">
        <v>0</v>
      </c>
      <c r="CG74" s="2">
        <v>0</v>
      </c>
      <c r="CH74" s="2"/>
      <c r="CI74" s="2"/>
      <c r="CJ74" s="2"/>
      <c r="CK74" s="2"/>
      <c r="CL74" s="2"/>
      <c r="CM74" s="2">
        <v>0</v>
      </c>
      <c r="CN74" s="2" t="s">
        <v>679</v>
      </c>
      <c r="CO74" s="2">
        <v>0</v>
      </c>
      <c r="CP74" s="2">
        <f t="shared" si="73"/>
        <v>1278.72</v>
      </c>
      <c r="CQ74" s="2">
        <f t="shared" si="61"/>
        <v>79.92</v>
      </c>
      <c r="CR74" s="2">
        <f>(ROUND((ROUND(((ET74)*AV74*1),2)*BB74),2)+ROUND((ROUND(((AE74-(EU74))*AV74*1),2)*BS74),2))</f>
        <v>0</v>
      </c>
      <c r="CS74" s="2">
        <f>(ROUND((ROUND(((EU74)*AV74*1),2)*BS74),2)+ROUND((ROUND(((AE74-(EU74))*AV74*1),2)*BS74),2))</f>
        <v>0</v>
      </c>
      <c r="CT74" s="2">
        <f t="shared" si="74"/>
        <v>0</v>
      </c>
      <c r="CU74" s="2">
        <f t="shared" si="75"/>
        <v>0</v>
      </c>
      <c r="CV74" s="2">
        <f t="shared" si="76"/>
        <v>0</v>
      </c>
      <c r="CW74" s="2">
        <f t="shared" si="77"/>
        <v>0</v>
      </c>
      <c r="CX74" s="2">
        <f t="shared" si="78"/>
        <v>0</v>
      </c>
      <c r="CY74" s="2">
        <f>(ROUND((((S74+ROUND((ROUND(((EU74)*AV74*1),2)*BS74),2))*AT74)/100),2)+ROUND(((ROUND((ROUND(((AE74-(EU74))*AV74*1),2)*BS74),2)*AT74)/100),2))</f>
        <v>0</v>
      </c>
      <c r="CZ74" s="2">
        <f>(ROUND((((S74+ROUND((ROUND(((EU74)*AV74*1),2)*BS74),2))*AU74)/100),2)+ROUND(((ROUND((ROUND(((AE74-(EU74))*AV74*1),2)*BS74),2)*AU74)/100),2))</f>
        <v>0</v>
      </c>
      <c r="DA74" s="2"/>
      <c r="DB74" s="2"/>
      <c r="DC74" s="2" t="s">
        <v>3</v>
      </c>
      <c r="DD74" s="2" t="s">
        <v>3</v>
      </c>
      <c r="DE74" s="2" t="s">
        <v>3</v>
      </c>
      <c r="DF74" s="2" t="s">
        <v>3</v>
      </c>
      <c r="DG74" s="2" t="s">
        <v>3</v>
      </c>
      <c r="DH74" s="2" t="s">
        <v>3</v>
      </c>
      <c r="DI74" s="2" t="s">
        <v>3</v>
      </c>
      <c r="DJ74" s="2" t="s">
        <v>3</v>
      </c>
      <c r="DK74" s="2" t="s">
        <v>3</v>
      </c>
      <c r="DL74" s="2" t="s">
        <v>3</v>
      </c>
      <c r="DM74" s="2" t="s">
        <v>3</v>
      </c>
      <c r="DN74" s="2">
        <v>0</v>
      </c>
      <c r="DO74" s="2">
        <v>0</v>
      </c>
      <c r="DP74" s="2">
        <v>1</v>
      </c>
      <c r="DQ74" s="2">
        <v>1</v>
      </c>
      <c r="DR74" s="2"/>
      <c r="DS74" s="2"/>
      <c r="DT74" s="2"/>
      <c r="DU74" s="2">
        <v>1010</v>
      </c>
      <c r="DV74" s="2" t="s">
        <v>99</v>
      </c>
      <c r="DW74" s="2" t="s">
        <v>99</v>
      </c>
      <c r="DX74" s="2">
        <v>1</v>
      </c>
      <c r="DY74" s="2"/>
      <c r="DZ74" s="2" t="s">
        <v>3</v>
      </c>
      <c r="EA74" s="2" t="s">
        <v>3</v>
      </c>
      <c r="EB74" s="2" t="s">
        <v>3</v>
      </c>
      <c r="EC74" s="2" t="s">
        <v>3</v>
      </c>
      <c r="ED74" s="2"/>
      <c r="EE74" s="2">
        <v>85133422</v>
      </c>
      <c r="EF74" s="2">
        <v>40</v>
      </c>
      <c r="EG74" s="2" t="s">
        <v>27</v>
      </c>
      <c r="EH74" s="2">
        <v>0</v>
      </c>
      <c r="EI74" s="2" t="s">
        <v>3</v>
      </c>
      <c r="EJ74" s="2">
        <v>2</v>
      </c>
      <c r="EK74" s="2">
        <v>73</v>
      </c>
      <c r="EL74" s="2" t="s">
        <v>62</v>
      </c>
      <c r="EM74" s="2" t="s">
        <v>63</v>
      </c>
      <c r="EN74" s="2"/>
      <c r="EO74" s="2" t="s">
        <v>37</v>
      </c>
      <c r="EP74" s="2"/>
      <c r="EQ74" s="2">
        <v>0</v>
      </c>
      <c r="ER74" s="2">
        <v>79.92</v>
      </c>
      <c r="ES74" s="2">
        <v>79.92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>
        <v>0</v>
      </c>
      <c r="FR74" s="2">
        <v>0</v>
      </c>
      <c r="FS74" s="2">
        <v>0</v>
      </c>
      <c r="FT74" s="2"/>
      <c r="FU74" s="2"/>
      <c r="FV74" s="2"/>
      <c r="FW74" s="2"/>
      <c r="FX74" s="2">
        <v>90</v>
      </c>
      <c r="FY74" s="2">
        <v>46</v>
      </c>
      <c r="FZ74" s="2"/>
      <c r="GA74" s="2" t="s">
        <v>3</v>
      </c>
      <c r="GB74" s="2"/>
      <c r="GC74" s="2"/>
      <c r="GD74" s="2">
        <v>1</v>
      </c>
      <c r="GE74" s="2"/>
      <c r="GF74" s="2">
        <v>-2120180224</v>
      </c>
      <c r="GG74" s="2">
        <v>2</v>
      </c>
      <c r="GH74" s="2">
        <v>1</v>
      </c>
      <c r="GI74" s="2">
        <v>-2</v>
      </c>
      <c r="GJ74" s="2">
        <v>0</v>
      </c>
      <c r="GK74" s="2">
        <v>0</v>
      </c>
      <c r="GL74" s="2">
        <f t="shared" si="79"/>
        <v>0</v>
      </c>
      <c r="GM74" s="2">
        <f t="shared" si="80"/>
        <v>1278.72</v>
      </c>
      <c r="GN74" s="2">
        <f t="shared" si="81"/>
        <v>0</v>
      </c>
      <c r="GO74" s="2">
        <f t="shared" si="82"/>
        <v>1278.72</v>
      </c>
      <c r="GP74" s="2">
        <f t="shared" si="83"/>
        <v>0</v>
      </c>
      <c r="GQ74" s="2"/>
      <c r="GR74" s="2">
        <v>0</v>
      </c>
      <c r="GS74" s="2">
        <v>3</v>
      </c>
      <c r="GT74" s="2">
        <v>0</v>
      </c>
      <c r="GU74" s="2" t="s">
        <v>3</v>
      </c>
      <c r="GV74" s="2">
        <f t="shared" si="84"/>
        <v>0</v>
      </c>
      <c r="GW74" s="2">
        <v>1</v>
      </c>
      <c r="GX74" s="2">
        <f t="shared" si="85"/>
        <v>0</v>
      </c>
      <c r="GY74" s="2"/>
      <c r="GZ74" s="2"/>
      <c r="HA74" s="2">
        <v>0</v>
      </c>
      <c r="HB74" s="2">
        <v>0</v>
      </c>
      <c r="HC74" s="2">
        <f t="shared" si="86"/>
        <v>0</v>
      </c>
      <c r="HD74" s="2"/>
      <c r="HE74" s="2" t="s">
        <v>3</v>
      </c>
      <c r="HF74" s="2" t="s">
        <v>3</v>
      </c>
      <c r="HG74" s="2"/>
      <c r="HH74" s="2"/>
      <c r="HI74" s="2"/>
      <c r="HJ74" s="2"/>
      <c r="HK74" s="2"/>
      <c r="HL74" s="2"/>
      <c r="HM74" s="2" t="s">
        <v>35</v>
      </c>
      <c r="HN74" s="2" t="s">
        <v>3</v>
      </c>
      <c r="HO74" s="2" t="s">
        <v>3</v>
      </c>
      <c r="HP74" s="2" t="s">
        <v>3</v>
      </c>
      <c r="HQ74" s="2" t="s">
        <v>3</v>
      </c>
      <c r="HR74" s="2"/>
      <c r="HS74" s="2">
        <v>0</v>
      </c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>
        <v>0</v>
      </c>
      <c r="IL74" s="2"/>
      <c r="IM74" s="2"/>
      <c r="IN74" s="2"/>
      <c r="IO74" s="2"/>
      <c r="IP74" s="2"/>
      <c r="IQ74" s="2"/>
      <c r="IR74" s="2"/>
      <c r="IS74" s="2"/>
      <c r="IT74" s="2"/>
      <c r="IU74" s="2"/>
    </row>
    <row r="75" spans="1:255" x14ac:dyDescent="0.2">
      <c r="A75" s="3">
        <v>18</v>
      </c>
      <c r="B75" s="3">
        <v>1</v>
      </c>
      <c r="C75" s="3">
        <v>168</v>
      </c>
      <c r="E75" s="3" t="s">
        <v>143</v>
      </c>
      <c r="F75" s="3" t="s">
        <v>144</v>
      </c>
      <c r="G75" s="3" t="s">
        <v>145</v>
      </c>
      <c r="H75" s="3" t="s">
        <v>99</v>
      </c>
      <c r="I75" s="3">
        <f>I73*J75</f>
        <v>16</v>
      </c>
      <c r="J75" s="3">
        <v>1</v>
      </c>
      <c r="K75" s="3">
        <v>1</v>
      </c>
      <c r="O75" s="3">
        <f t="shared" si="64"/>
        <v>9756.6299999999992</v>
      </c>
      <c r="P75" s="3">
        <f t="shared" si="60"/>
        <v>9756.6299999999992</v>
      </c>
      <c r="Q75" s="3">
        <f>(ROUND((ROUND(((ET75)*AV75*I75),2)*BB75),2)+ROUND((ROUND(((AE75-(EU75))*AV75*I75),2)*BS75),2))</f>
        <v>0</v>
      </c>
      <c r="R75" s="3">
        <f>(ROUND((ROUND(((EU75)*AV75*I75),2)*BS75),2)+ROUND((ROUND(((AE75-(EU75))*AV75*I75),2)*BS75),2))</f>
        <v>0</v>
      </c>
      <c r="S75" s="3">
        <f t="shared" si="65"/>
        <v>0</v>
      </c>
      <c r="T75" s="3">
        <f t="shared" si="66"/>
        <v>0</v>
      </c>
      <c r="U75" s="3">
        <f t="shared" si="67"/>
        <v>0</v>
      </c>
      <c r="V75" s="3">
        <f t="shared" si="68"/>
        <v>0</v>
      </c>
      <c r="W75" s="3">
        <f t="shared" si="69"/>
        <v>0</v>
      </c>
      <c r="X75" s="3">
        <f>(ROUND((((S75+ROUND((ROUND(((EU75)*AV75*I75),2)*BS75),2))*AT75)/100),2)+ROUND(((ROUND((ROUND(((AE75-(EU75))*AV75*I75),2)*BS75),2)*AT75)/100),2))</f>
        <v>0</v>
      </c>
      <c r="Y75" s="3">
        <f>(ROUND((((S75+ROUND((ROUND(((EU75)*AV75*I75),2)*BS75),2))*AU75)/100),2)+ROUND(((ROUND((ROUND(((AE75-(EU75))*AV75*I75),2)*BS75),2)*AU75)/100),2))</f>
        <v>0</v>
      </c>
      <c r="AA75" s="3">
        <v>85739207</v>
      </c>
      <c r="AB75" s="3">
        <f t="shared" si="70"/>
        <v>79.92</v>
      </c>
      <c r="AC75" s="3">
        <f>ROUND((ES75),6)</f>
        <v>79.92</v>
      </c>
      <c r="AD75" s="3">
        <f>ROUND((((ET75)-(EU75))+AE75),6)</f>
        <v>0</v>
      </c>
      <c r="AE75" s="3">
        <f t="shared" si="89"/>
        <v>0</v>
      </c>
      <c r="AF75" s="3">
        <f t="shared" si="89"/>
        <v>0</v>
      </c>
      <c r="AG75" s="3">
        <f t="shared" si="71"/>
        <v>0</v>
      </c>
      <c r="AH75" s="3">
        <f t="shared" si="90"/>
        <v>0</v>
      </c>
      <c r="AI75" s="3">
        <f t="shared" si="90"/>
        <v>0</v>
      </c>
      <c r="AJ75" s="3">
        <f t="shared" si="72"/>
        <v>0</v>
      </c>
      <c r="AK75" s="3">
        <v>79.92</v>
      </c>
      <c r="AL75" s="3">
        <v>79.92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90</v>
      </c>
      <c r="AU75" s="3">
        <v>46</v>
      </c>
      <c r="AV75" s="3">
        <v>1</v>
      </c>
      <c r="AW75" s="3">
        <v>1</v>
      </c>
      <c r="AZ75" s="3">
        <v>1</v>
      </c>
      <c r="BA75" s="3">
        <v>1</v>
      </c>
      <c r="BB75" s="3">
        <v>1</v>
      </c>
      <c r="BC75" s="3">
        <v>7.63</v>
      </c>
      <c r="BD75" s="3" t="s">
        <v>3</v>
      </c>
      <c r="BE75" s="3" t="s">
        <v>3</v>
      </c>
      <c r="BF75" s="3" t="s">
        <v>3</v>
      </c>
      <c r="BG75" s="3" t="s">
        <v>3</v>
      </c>
      <c r="BH75" s="3">
        <v>3</v>
      </c>
      <c r="BI75" s="3">
        <v>2</v>
      </c>
      <c r="BJ75" s="3" t="s">
        <v>146</v>
      </c>
      <c r="BM75" s="3">
        <v>73</v>
      </c>
      <c r="BN75" s="3">
        <v>0</v>
      </c>
      <c r="BO75" s="3" t="s">
        <v>144</v>
      </c>
      <c r="BP75" s="3">
        <v>1</v>
      </c>
      <c r="BQ75" s="3">
        <v>40</v>
      </c>
      <c r="BR75" s="3">
        <v>0</v>
      </c>
      <c r="BS75" s="3">
        <v>1</v>
      </c>
      <c r="BT75" s="3">
        <v>1</v>
      </c>
      <c r="BU75" s="3">
        <v>1</v>
      </c>
      <c r="BV75" s="3">
        <v>1</v>
      </c>
      <c r="BW75" s="3">
        <v>1</v>
      </c>
      <c r="BX75" s="3">
        <v>1</v>
      </c>
      <c r="BY75" s="3" t="s">
        <v>3</v>
      </c>
      <c r="BZ75" s="3">
        <v>90</v>
      </c>
      <c r="CA75" s="3">
        <v>46</v>
      </c>
      <c r="CB75" s="3" t="s">
        <v>3</v>
      </c>
      <c r="CE75" s="3">
        <v>1566</v>
      </c>
      <c r="CF75" s="3">
        <v>0</v>
      </c>
      <c r="CG75" s="3">
        <v>0</v>
      </c>
      <c r="CM75" s="3">
        <v>0</v>
      </c>
      <c r="CN75" s="3" t="s">
        <v>679</v>
      </c>
      <c r="CO75" s="3">
        <v>0</v>
      </c>
      <c r="CP75" s="3">
        <f t="shared" si="73"/>
        <v>9756.6299999999992</v>
      </c>
      <c r="CQ75" s="3">
        <f t="shared" si="61"/>
        <v>609.79</v>
      </c>
      <c r="CR75" s="3">
        <f>(ROUND((ROUND(((ET75)*AV75*1),2)*BB75),2)+ROUND((ROUND(((AE75-(EU75))*AV75*1),2)*BS75),2))</f>
        <v>0</v>
      </c>
      <c r="CS75" s="3">
        <f>(ROUND((ROUND(((EU75)*AV75*1),2)*BS75),2)+ROUND((ROUND(((AE75-(EU75))*AV75*1),2)*BS75),2))</f>
        <v>0</v>
      </c>
      <c r="CT75" s="3">
        <f t="shared" si="74"/>
        <v>0</v>
      </c>
      <c r="CU75" s="3">
        <f t="shared" si="75"/>
        <v>0</v>
      </c>
      <c r="CV75" s="3">
        <f t="shared" si="76"/>
        <v>0</v>
      </c>
      <c r="CW75" s="3">
        <f t="shared" si="77"/>
        <v>0</v>
      </c>
      <c r="CX75" s="3">
        <f t="shared" si="78"/>
        <v>0</v>
      </c>
      <c r="CY75" s="3">
        <f>(ROUND((((S75+ROUND((ROUND(((EU75)*AV75*1),2)*BS75),2))*AT75)/100),2)+ROUND(((ROUND((ROUND(((AE75-(EU75))*AV75*1),2)*BS75),2)*AT75)/100),2))</f>
        <v>0</v>
      </c>
      <c r="CZ75" s="3">
        <f>(ROUND((((S75+ROUND((ROUND(((EU75)*AV75*1),2)*BS75),2))*AU75)/100),2)+ROUND(((ROUND((ROUND(((AE75-(EU75))*AV75*1),2)*BS75),2)*AU75)/100),2))</f>
        <v>0</v>
      </c>
      <c r="DC75" s="3" t="s">
        <v>3</v>
      </c>
      <c r="DD75" s="3" t="s">
        <v>3</v>
      </c>
      <c r="DE75" s="3" t="s">
        <v>3</v>
      </c>
      <c r="DF75" s="3" t="s">
        <v>3</v>
      </c>
      <c r="DG75" s="3" t="s">
        <v>3</v>
      </c>
      <c r="DH75" s="3" t="s">
        <v>3</v>
      </c>
      <c r="DI75" s="3" t="s">
        <v>3</v>
      </c>
      <c r="DJ75" s="3" t="s">
        <v>3</v>
      </c>
      <c r="DK75" s="3" t="s">
        <v>3</v>
      </c>
      <c r="DL75" s="3" t="s">
        <v>3</v>
      </c>
      <c r="DM75" s="3" t="s">
        <v>3</v>
      </c>
      <c r="DN75" s="3">
        <v>0</v>
      </c>
      <c r="DO75" s="3">
        <v>0</v>
      </c>
      <c r="DP75" s="3">
        <v>1</v>
      </c>
      <c r="DQ75" s="3">
        <v>1</v>
      </c>
      <c r="DU75" s="3">
        <v>1010</v>
      </c>
      <c r="DV75" s="3" t="s">
        <v>99</v>
      </c>
      <c r="DW75" s="3" t="s">
        <v>99</v>
      </c>
      <c r="DX75" s="3">
        <v>1</v>
      </c>
      <c r="DZ75" s="3" t="s">
        <v>3</v>
      </c>
      <c r="EA75" s="3" t="s">
        <v>3</v>
      </c>
      <c r="EB75" s="3" t="s">
        <v>3</v>
      </c>
      <c r="EC75" s="3" t="s">
        <v>3</v>
      </c>
      <c r="EE75" s="3">
        <v>85133422</v>
      </c>
      <c r="EF75" s="3">
        <v>40</v>
      </c>
      <c r="EG75" s="3" t="s">
        <v>27</v>
      </c>
      <c r="EH75" s="3">
        <v>0</v>
      </c>
      <c r="EI75" s="3" t="s">
        <v>3</v>
      </c>
      <c r="EJ75" s="3">
        <v>2</v>
      </c>
      <c r="EK75" s="3">
        <v>73</v>
      </c>
      <c r="EL75" s="3" t="s">
        <v>62</v>
      </c>
      <c r="EM75" s="3" t="s">
        <v>63</v>
      </c>
      <c r="EO75" s="3" t="s">
        <v>37</v>
      </c>
      <c r="EQ75" s="3">
        <v>0</v>
      </c>
      <c r="ER75" s="3">
        <v>79.92</v>
      </c>
      <c r="ES75" s="3">
        <v>79.92</v>
      </c>
      <c r="ET75" s="3">
        <v>0</v>
      </c>
      <c r="EU75" s="3">
        <v>0</v>
      </c>
      <c r="EV75" s="3">
        <v>0</v>
      </c>
      <c r="EW75" s="3">
        <v>0</v>
      </c>
      <c r="EX75" s="3">
        <v>0</v>
      </c>
      <c r="FQ75" s="3">
        <v>0</v>
      </c>
      <c r="FR75" s="3">
        <v>0</v>
      </c>
      <c r="FS75" s="3">
        <v>0</v>
      </c>
      <c r="FX75" s="3">
        <v>90</v>
      </c>
      <c r="FY75" s="3">
        <v>46</v>
      </c>
      <c r="GA75" s="3" t="s">
        <v>3</v>
      </c>
      <c r="GD75" s="3">
        <v>1</v>
      </c>
      <c r="GF75" s="3">
        <v>-2120180224</v>
      </c>
      <c r="GG75" s="3">
        <v>2</v>
      </c>
      <c r="GH75" s="3">
        <v>1</v>
      </c>
      <c r="GI75" s="3">
        <v>2</v>
      </c>
      <c r="GJ75" s="3">
        <v>0</v>
      </c>
      <c r="GK75" s="3">
        <v>0</v>
      </c>
      <c r="GL75" s="3">
        <f t="shared" si="79"/>
        <v>0</v>
      </c>
      <c r="GM75" s="3">
        <f t="shared" si="80"/>
        <v>9756.6299999999992</v>
      </c>
      <c r="GN75" s="3">
        <f t="shared" si="81"/>
        <v>0</v>
      </c>
      <c r="GO75" s="3">
        <f t="shared" si="82"/>
        <v>9756.6299999999992</v>
      </c>
      <c r="GP75" s="3">
        <f t="shared" si="83"/>
        <v>0</v>
      </c>
      <c r="GR75" s="3">
        <v>0</v>
      </c>
      <c r="GS75" s="3">
        <v>3</v>
      </c>
      <c r="GT75" s="3">
        <v>0</v>
      </c>
      <c r="GU75" s="3" t="s">
        <v>3</v>
      </c>
      <c r="GV75" s="3">
        <f t="shared" si="84"/>
        <v>0</v>
      </c>
      <c r="GW75" s="3">
        <v>1</v>
      </c>
      <c r="GX75" s="3">
        <f t="shared" si="85"/>
        <v>0</v>
      </c>
      <c r="HA75" s="3">
        <v>0</v>
      </c>
      <c r="HB75" s="3">
        <v>0</v>
      </c>
      <c r="HC75" s="3">
        <f t="shared" si="86"/>
        <v>0</v>
      </c>
      <c r="HE75" s="3" t="s">
        <v>3</v>
      </c>
      <c r="HF75" s="3" t="s">
        <v>3</v>
      </c>
      <c r="HM75" s="3" t="s">
        <v>35</v>
      </c>
      <c r="HN75" s="3" t="s">
        <v>3</v>
      </c>
      <c r="HO75" s="3" t="s">
        <v>3</v>
      </c>
      <c r="HP75" s="3" t="s">
        <v>3</v>
      </c>
      <c r="HQ75" s="3" t="s">
        <v>3</v>
      </c>
      <c r="HS75" s="3">
        <v>0</v>
      </c>
      <c r="IK75" s="3">
        <v>0</v>
      </c>
    </row>
    <row r="76" spans="1:255" x14ac:dyDescent="0.2">
      <c r="A76" s="2">
        <v>18</v>
      </c>
      <c r="B76" s="2">
        <v>1</v>
      </c>
      <c r="C76" s="2">
        <v>159</v>
      </c>
      <c r="D76" s="2"/>
      <c r="E76" s="2" t="s">
        <v>147</v>
      </c>
      <c r="F76" s="2" t="s">
        <v>148</v>
      </c>
      <c r="G76" s="2" t="s">
        <v>149</v>
      </c>
      <c r="H76" s="2" t="s">
        <v>99</v>
      </c>
      <c r="I76" s="2">
        <f>I72*J76</f>
        <v>8</v>
      </c>
      <c r="J76" s="2">
        <v>0.5</v>
      </c>
      <c r="K76" s="2">
        <v>0.5</v>
      </c>
      <c r="L76" s="2"/>
      <c r="M76" s="2"/>
      <c r="N76" s="2"/>
      <c r="O76" s="2">
        <f t="shared" si="64"/>
        <v>703.68</v>
      </c>
      <c r="P76" s="2">
        <f t="shared" si="60"/>
        <v>703.68</v>
      </c>
      <c r="Q76" s="2">
        <f>(ROUND((ROUND(((ET76)*AV76*I76),2)*BB76),2)+ROUND((ROUND(((AE76-(EU76))*AV76*I76),2)*BS76),2))</f>
        <v>0</v>
      </c>
      <c r="R76" s="2">
        <f>(ROUND((ROUND(((EU76)*AV76*I76),2)*BS76),2)+ROUND((ROUND(((AE76-(EU76))*AV76*I76),2)*BS76),2))</f>
        <v>0</v>
      </c>
      <c r="S76" s="2">
        <f t="shared" si="65"/>
        <v>0</v>
      </c>
      <c r="T76" s="2">
        <f t="shared" si="66"/>
        <v>0</v>
      </c>
      <c r="U76" s="2">
        <f t="shared" si="67"/>
        <v>0</v>
      </c>
      <c r="V76" s="2">
        <f t="shared" si="68"/>
        <v>0</v>
      </c>
      <c r="W76" s="2">
        <f t="shared" si="69"/>
        <v>0</v>
      </c>
      <c r="X76" s="2">
        <f>(ROUND((((S76+ROUND((ROUND(((EU76)*AV76*I76),2)*BS76),2))*AT76)/100),2)+ROUND(((ROUND((ROUND(((AE76-(EU76))*AV76*I76),2)*BS76),2)*AT76)/100),2))</f>
        <v>0</v>
      </c>
      <c r="Y76" s="2">
        <f>(ROUND((((S76+ROUND((ROUND(((EU76)*AV76*I76),2)*BS76),2))*AU76)/100),2)+ROUND(((ROUND((ROUND(((AE76-(EU76))*AV76*I76),2)*BS76),2)*AU76)/100),2))</f>
        <v>0</v>
      </c>
      <c r="Z76" s="2"/>
      <c r="AA76" s="2">
        <v>85739205</v>
      </c>
      <c r="AB76" s="2">
        <f t="shared" si="70"/>
        <v>87.96</v>
      </c>
      <c r="AC76" s="2">
        <f>ROUND((ES76),6)</f>
        <v>87.96</v>
      </c>
      <c r="AD76" s="2">
        <f>ROUND((((ET76)-(EU76))+AE76),6)</f>
        <v>0</v>
      </c>
      <c r="AE76" s="2">
        <f t="shared" si="89"/>
        <v>0</v>
      </c>
      <c r="AF76" s="2">
        <f t="shared" si="89"/>
        <v>0</v>
      </c>
      <c r="AG76" s="2">
        <f t="shared" si="71"/>
        <v>0</v>
      </c>
      <c r="AH76" s="2">
        <f t="shared" si="90"/>
        <v>0</v>
      </c>
      <c r="AI76" s="2">
        <f t="shared" si="90"/>
        <v>0</v>
      </c>
      <c r="AJ76" s="2">
        <f t="shared" si="72"/>
        <v>0</v>
      </c>
      <c r="AK76" s="2">
        <v>87.96</v>
      </c>
      <c r="AL76" s="2">
        <v>87.96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90</v>
      </c>
      <c r="AU76" s="2">
        <v>46</v>
      </c>
      <c r="AV76" s="2">
        <v>1</v>
      </c>
      <c r="AW76" s="2">
        <v>1</v>
      </c>
      <c r="AX76" s="2"/>
      <c r="AY76" s="2"/>
      <c r="AZ76" s="2">
        <v>1</v>
      </c>
      <c r="BA76" s="2">
        <v>1</v>
      </c>
      <c r="BB76" s="2">
        <v>1</v>
      </c>
      <c r="BC76" s="2">
        <v>1</v>
      </c>
      <c r="BD76" s="2" t="s">
        <v>3</v>
      </c>
      <c r="BE76" s="2" t="s">
        <v>3</v>
      </c>
      <c r="BF76" s="2" t="s">
        <v>3</v>
      </c>
      <c r="BG76" s="2" t="s">
        <v>3</v>
      </c>
      <c r="BH76" s="2">
        <v>3</v>
      </c>
      <c r="BI76" s="2">
        <v>2</v>
      </c>
      <c r="BJ76" s="2" t="s">
        <v>150</v>
      </c>
      <c r="BK76" s="2"/>
      <c r="BL76" s="2"/>
      <c r="BM76" s="2">
        <v>73</v>
      </c>
      <c r="BN76" s="2">
        <v>0</v>
      </c>
      <c r="BO76" s="2" t="s">
        <v>3</v>
      </c>
      <c r="BP76" s="2">
        <v>0</v>
      </c>
      <c r="BQ76" s="2">
        <v>40</v>
      </c>
      <c r="BR76" s="2">
        <v>0</v>
      </c>
      <c r="BS76" s="2">
        <v>1</v>
      </c>
      <c r="BT76" s="2">
        <v>1</v>
      </c>
      <c r="BU76" s="2">
        <v>1</v>
      </c>
      <c r="BV76" s="2">
        <v>1</v>
      </c>
      <c r="BW76" s="2">
        <v>1</v>
      </c>
      <c r="BX76" s="2">
        <v>1</v>
      </c>
      <c r="BY76" s="2" t="s">
        <v>3</v>
      </c>
      <c r="BZ76" s="2">
        <v>90</v>
      </c>
      <c r="CA76" s="2">
        <v>46</v>
      </c>
      <c r="CB76" s="2" t="s">
        <v>3</v>
      </c>
      <c r="CC76" s="2"/>
      <c r="CD76" s="2"/>
      <c r="CE76" s="2">
        <v>1566</v>
      </c>
      <c r="CF76" s="2">
        <v>0</v>
      </c>
      <c r="CG76" s="2">
        <v>0</v>
      </c>
      <c r="CH76" s="2"/>
      <c r="CI76" s="2"/>
      <c r="CJ76" s="2"/>
      <c r="CK76" s="2"/>
      <c r="CL76" s="2"/>
      <c r="CM76" s="2">
        <v>0</v>
      </c>
      <c r="CN76" s="2" t="s">
        <v>679</v>
      </c>
      <c r="CO76" s="2">
        <v>0</v>
      </c>
      <c r="CP76" s="2">
        <f t="shared" si="73"/>
        <v>703.68</v>
      </c>
      <c r="CQ76" s="2">
        <f t="shared" si="61"/>
        <v>87.96</v>
      </c>
      <c r="CR76" s="2">
        <f>(ROUND((ROUND(((ET76)*AV76*1),2)*BB76),2)+ROUND((ROUND(((AE76-(EU76))*AV76*1),2)*BS76),2))</f>
        <v>0</v>
      </c>
      <c r="CS76" s="2">
        <f>(ROUND((ROUND(((EU76)*AV76*1),2)*BS76),2)+ROUND((ROUND(((AE76-(EU76))*AV76*1),2)*BS76),2))</f>
        <v>0</v>
      </c>
      <c r="CT76" s="2">
        <f t="shared" si="74"/>
        <v>0</v>
      </c>
      <c r="CU76" s="2">
        <f t="shared" si="75"/>
        <v>0</v>
      </c>
      <c r="CV76" s="2">
        <f t="shared" si="76"/>
        <v>0</v>
      </c>
      <c r="CW76" s="2">
        <f t="shared" si="77"/>
        <v>0</v>
      </c>
      <c r="CX76" s="2">
        <f t="shared" si="78"/>
        <v>0</v>
      </c>
      <c r="CY76" s="2">
        <f>(ROUND((((S76+ROUND((ROUND(((EU76)*AV76*1),2)*BS76),2))*AT76)/100),2)+ROUND(((ROUND((ROUND(((AE76-(EU76))*AV76*1),2)*BS76),2)*AT76)/100),2))</f>
        <v>0</v>
      </c>
      <c r="CZ76" s="2">
        <f>(ROUND((((S76+ROUND((ROUND(((EU76)*AV76*1),2)*BS76),2))*AU76)/100),2)+ROUND(((ROUND((ROUND(((AE76-(EU76))*AV76*1),2)*BS76),2)*AU76)/100),2))</f>
        <v>0</v>
      </c>
      <c r="DA76" s="2"/>
      <c r="DB76" s="2"/>
      <c r="DC76" s="2" t="s">
        <v>3</v>
      </c>
      <c r="DD76" s="2" t="s">
        <v>3</v>
      </c>
      <c r="DE76" s="2" t="s">
        <v>3</v>
      </c>
      <c r="DF76" s="2" t="s">
        <v>3</v>
      </c>
      <c r="DG76" s="2" t="s">
        <v>3</v>
      </c>
      <c r="DH76" s="2" t="s">
        <v>3</v>
      </c>
      <c r="DI76" s="2" t="s">
        <v>3</v>
      </c>
      <c r="DJ76" s="2" t="s">
        <v>3</v>
      </c>
      <c r="DK76" s="2" t="s">
        <v>3</v>
      </c>
      <c r="DL76" s="2" t="s">
        <v>3</v>
      </c>
      <c r="DM76" s="2" t="s">
        <v>3</v>
      </c>
      <c r="DN76" s="2">
        <v>0</v>
      </c>
      <c r="DO76" s="2">
        <v>0</v>
      </c>
      <c r="DP76" s="2">
        <v>1</v>
      </c>
      <c r="DQ76" s="2">
        <v>1</v>
      </c>
      <c r="DR76" s="2"/>
      <c r="DS76" s="2"/>
      <c r="DT76" s="2"/>
      <c r="DU76" s="2">
        <v>1010</v>
      </c>
      <c r="DV76" s="2" t="s">
        <v>99</v>
      </c>
      <c r="DW76" s="2" t="s">
        <v>99</v>
      </c>
      <c r="DX76" s="2">
        <v>1</v>
      </c>
      <c r="DY76" s="2"/>
      <c r="DZ76" s="2" t="s">
        <v>3</v>
      </c>
      <c r="EA76" s="2" t="s">
        <v>3</v>
      </c>
      <c r="EB76" s="2" t="s">
        <v>3</v>
      </c>
      <c r="EC76" s="2" t="s">
        <v>3</v>
      </c>
      <c r="ED76" s="2"/>
      <c r="EE76" s="2">
        <v>85133422</v>
      </c>
      <c r="EF76" s="2">
        <v>40</v>
      </c>
      <c r="EG76" s="2" t="s">
        <v>27</v>
      </c>
      <c r="EH76" s="2">
        <v>0</v>
      </c>
      <c r="EI76" s="2" t="s">
        <v>3</v>
      </c>
      <c r="EJ76" s="2">
        <v>2</v>
      </c>
      <c r="EK76" s="2">
        <v>73</v>
      </c>
      <c r="EL76" s="2" t="s">
        <v>62</v>
      </c>
      <c r="EM76" s="2" t="s">
        <v>63</v>
      </c>
      <c r="EN76" s="2"/>
      <c r="EO76" s="2" t="s">
        <v>37</v>
      </c>
      <c r="EP76" s="2"/>
      <c r="EQ76" s="2">
        <v>0</v>
      </c>
      <c r="ER76" s="2">
        <v>87.96</v>
      </c>
      <c r="ES76" s="2">
        <v>87.96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>
        <v>0</v>
      </c>
      <c r="FR76" s="2">
        <v>0</v>
      </c>
      <c r="FS76" s="2">
        <v>0</v>
      </c>
      <c r="FT76" s="2"/>
      <c r="FU76" s="2"/>
      <c r="FV76" s="2"/>
      <c r="FW76" s="2"/>
      <c r="FX76" s="2">
        <v>90</v>
      </c>
      <c r="FY76" s="2">
        <v>46</v>
      </c>
      <c r="FZ76" s="2"/>
      <c r="GA76" s="2" t="s">
        <v>3</v>
      </c>
      <c r="GB76" s="2"/>
      <c r="GC76" s="2"/>
      <c r="GD76" s="2">
        <v>1</v>
      </c>
      <c r="GE76" s="2"/>
      <c r="GF76" s="2">
        <v>1397479070</v>
      </c>
      <c r="GG76" s="2">
        <v>2</v>
      </c>
      <c r="GH76" s="2">
        <v>1</v>
      </c>
      <c r="GI76" s="2">
        <v>-2</v>
      </c>
      <c r="GJ76" s="2">
        <v>0</v>
      </c>
      <c r="GK76" s="2">
        <v>0</v>
      </c>
      <c r="GL76" s="2">
        <f t="shared" si="79"/>
        <v>0</v>
      </c>
      <c r="GM76" s="2">
        <f t="shared" si="80"/>
        <v>703.68</v>
      </c>
      <c r="GN76" s="2">
        <f t="shared" si="81"/>
        <v>0</v>
      </c>
      <c r="GO76" s="2">
        <f t="shared" si="82"/>
        <v>703.68</v>
      </c>
      <c r="GP76" s="2">
        <f t="shared" si="83"/>
        <v>0</v>
      </c>
      <c r="GQ76" s="2"/>
      <c r="GR76" s="2">
        <v>0</v>
      </c>
      <c r="GS76" s="2">
        <v>3</v>
      </c>
      <c r="GT76" s="2">
        <v>0</v>
      </c>
      <c r="GU76" s="2" t="s">
        <v>3</v>
      </c>
      <c r="GV76" s="2">
        <f t="shared" si="84"/>
        <v>0</v>
      </c>
      <c r="GW76" s="2">
        <v>1</v>
      </c>
      <c r="GX76" s="2">
        <f t="shared" si="85"/>
        <v>0</v>
      </c>
      <c r="GY76" s="2"/>
      <c r="GZ76" s="2"/>
      <c r="HA76" s="2">
        <v>0</v>
      </c>
      <c r="HB76" s="2">
        <v>0</v>
      </c>
      <c r="HC76" s="2">
        <f t="shared" si="86"/>
        <v>0</v>
      </c>
      <c r="HD76" s="2"/>
      <c r="HE76" s="2" t="s">
        <v>3</v>
      </c>
      <c r="HF76" s="2" t="s">
        <v>3</v>
      </c>
      <c r="HG76" s="2"/>
      <c r="HH76" s="2"/>
      <c r="HI76" s="2"/>
      <c r="HJ76" s="2"/>
      <c r="HK76" s="2"/>
      <c r="HL76" s="2"/>
      <c r="HM76" s="2" t="s">
        <v>35</v>
      </c>
      <c r="HN76" s="2" t="s">
        <v>3</v>
      </c>
      <c r="HO76" s="2" t="s">
        <v>3</v>
      </c>
      <c r="HP76" s="2" t="s">
        <v>3</v>
      </c>
      <c r="HQ76" s="2" t="s">
        <v>3</v>
      </c>
      <c r="HR76" s="2"/>
      <c r="HS76" s="2">
        <v>0</v>
      </c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>
        <v>0</v>
      </c>
      <c r="IL76" s="2"/>
      <c r="IM76" s="2"/>
      <c r="IN76" s="2"/>
      <c r="IO76" s="2"/>
      <c r="IP76" s="2"/>
      <c r="IQ76" s="2"/>
      <c r="IR76" s="2"/>
      <c r="IS76" s="2"/>
      <c r="IT76" s="2"/>
      <c r="IU76" s="2"/>
    </row>
    <row r="77" spans="1:255" x14ac:dyDescent="0.2">
      <c r="A77" s="3">
        <v>18</v>
      </c>
      <c r="B77" s="3">
        <v>1</v>
      </c>
      <c r="C77" s="3">
        <v>167</v>
      </c>
      <c r="E77" s="3" t="s">
        <v>147</v>
      </c>
      <c r="F77" s="3" t="s">
        <v>148</v>
      </c>
      <c r="G77" s="3" t="s">
        <v>149</v>
      </c>
      <c r="H77" s="3" t="s">
        <v>99</v>
      </c>
      <c r="I77" s="3">
        <f>I73*J77</f>
        <v>8</v>
      </c>
      <c r="J77" s="3">
        <v>0.5</v>
      </c>
      <c r="K77" s="3">
        <v>0.5</v>
      </c>
      <c r="O77" s="3">
        <f t="shared" si="64"/>
        <v>2589.54</v>
      </c>
      <c r="P77" s="3">
        <f t="shared" si="60"/>
        <v>2589.54</v>
      </c>
      <c r="Q77" s="3">
        <f>(ROUND((ROUND(((ET77)*AV77*I77),2)*BB77),2)+ROUND((ROUND(((AE77-(EU77))*AV77*I77),2)*BS77),2))</f>
        <v>0</v>
      </c>
      <c r="R77" s="3">
        <f>(ROUND((ROUND(((EU77)*AV77*I77),2)*BS77),2)+ROUND((ROUND(((AE77-(EU77))*AV77*I77),2)*BS77),2))</f>
        <v>0</v>
      </c>
      <c r="S77" s="3">
        <f t="shared" si="65"/>
        <v>0</v>
      </c>
      <c r="T77" s="3">
        <f t="shared" si="66"/>
        <v>0</v>
      </c>
      <c r="U77" s="3">
        <f t="shared" si="67"/>
        <v>0</v>
      </c>
      <c r="V77" s="3">
        <f t="shared" si="68"/>
        <v>0</v>
      </c>
      <c r="W77" s="3">
        <f t="shared" si="69"/>
        <v>0</v>
      </c>
      <c r="X77" s="3">
        <f>(ROUND((((S77+ROUND((ROUND(((EU77)*AV77*I77),2)*BS77),2))*AT77)/100),2)+ROUND(((ROUND((ROUND(((AE77-(EU77))*AV77*I77),2)*BS77),2)*AT77)/100),2))</f>
        <v>0</v>
      </c>
      <c r="Y77" s="3">
        <f>(ROUND((((S77+ROUND((ROUND(((EU77)*AV77*I77),2)*BS77),2))*AU77)/100),2)+ROUND(((ROUND((ROUND(((AE77-(EU77))*AV77*I77),2)*BS77),2)*AU77)/100),2))</f>
        <v>0</v>
      </c>
      <c r="AA77" s="3">
        <v>85739207</v>
      </c>
      <c r="AB77" s="3">
        <f t="shared" si="70"/>
        <v>87.96</v>
      </c>
      <c r="AC77" s="3">
        <f>ROUND((ES77),6)</f>
        <v>87.96</v>
      </c>
      <c r="AD77" s="3">
        <f>ROUND((((ET77)-(EU77))+AE77),6)</f>
        <v>0</v>
      </c>
      <c r="AE77" s="3">
        <f t="shared" si="89"/>
        <v>0</v>
      </c>
      <c r="AF77" s="3">
        <f t="shared" si="89"/>
        <v>0</v>
      </c>
      <c r="AG77" s="3">
        <f t="shared" si="71"/>
        <v>0</v>
      </c>
      <c r="AH77" s="3">
        <f t="shared" si="90"/>
        <v>0</v>
      </c>
      <c r="AI77" s="3">
        <f t="shared" si="90"/>
        <v>0</v>
      </c>
      <c r="AJ77" s="3">
        <f t="shared" si="72"/>
        <v>0</v>
      </c>
      <c r="AK77" s="3">
        <v>87.96</v>
      </c>
      <c r="AL77" s="3">
        <v>87.96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90</v>
      </c>
      <c r="AU77" s="3">
        <v>46</v>
      </c>
      <c r="AV77" s="3">
        <v>1</v>
      </c>
      <c r="AW77" s="3">
        <v>1</v>
      </c>
      <c r="AZ77" s="3">
        <v>1</v>
      </c>
      <c r="BA77" s="3">
        <v>1</v>
      </c>
      <c r="BB77" s="3">
        <v>1</v>
      </c>
      <c r="BC77" s="3">
        <v>3.68</v>
      </c>
      <c r="BD77" s="3" t="s">
        <v>3</v>
      </c>
      <c r="BE77" s="3" t="s">
        <v>3</v>
      </c>
      <c r="BF77" s="3" t="s">
        <v>3</v>
      </c>
      <c r="BG77" s="3" t="s">
        <v>3</v>
      </c>
      <c r="BH77" s="3">
        <v>3</v>
      </c>
      <c r="BI77" s="3">
        <v>2</v>
      </c>
      <c r="BJ77" s="3" t="s">
        <v>150</v>
      </c>
      <c r="BM77" s="3">
        <v>73</v>
      </c>
      <c r="BN77" s="3">
        <v>0</v>
      </c>
      <c r="BO77" s="3" t="s">
        <v>148</v>
      </c>
      <c r="BP77" s="3">
        <v>1</v>
      </c>
      <c r="BQ77" s="3">
        <v>40</v>
      </c>
      <c r="BR77" s="3">
        <v>0</v>
      </c>
      <c r="BS77" s="3">
        <v>1</v>
      </c>
      <c r="BT77" s="3">
        <v>1</v>
      </c>
      <c r="BU77" s="3">
        <v>1</v>
      </c>
      <c r="BV77" s="3">
        <v>1</v>
      </c>
      <c r="BW77" s="3">
        <v>1</v>
      </c>
      <c r="BX77" s="3">
        <v>1</v>
      </c>
      <c r="BY77" s="3" t="s">
        <v>3</v>
      </c>
      <c r="BZ77" s="3">
        <v>90</v>
      </c>
      <c r="CA77" s="3">
        <v>46</v>
      </c>
      <c r="CB77" s="3" t="s">
        <v>3</v>
      </c>
      <c r="CE77" s="3">
        <v>1566</v>
      </c>
      <c r="CF77" s="3">
        <v>0</v>
      </c>
      <c r="CG77" s="3">
        <v>0</v>
      </c>
      <c r="CM77" s="3">
        <v>0</v>
      </c>
      <c r="CN77" s="3" t="s">
        <v>679</v>
      </c>
      <c r="CO77" s="3">
        <v>0</v>
      </c>
      <c r="CP77" s="3">
        <f t="shared" si="73"/>
        <v>2589.54</v>
      </c>
      <c r="CQ77" s="3">
        <f t="shared" si="61"/>
        <v>323.69</v>
      </c>
      <c r="CR77" s="3">
        <f>(ROUND((ROUND(((ET77)*AV77*1),2)*BB77),2)+ROUND((ROUND(((AE77-(EU77))*AV77*1),2)*BS77),2))</f>
        <v>0</v>
      </c>
      <c r="CS77" s="3">
        <f>(ROUND((ROUND(((EU77)*AV77*1),2)*BS77),2)+ROUND((ROUND(((AE77-(EU77))*AV77*1),2)*BS77),2))</f>
        <v>0</v>
      </c>
      <c r="CT77" s="3">
        <f t="shared" si="74"/>
        <v>0</v>
      </c>
      <c r="CU77" s="3">
        <f t="shared" si="75"/>
        <v>0</v>
      </c>
      <c r="CV77" s="3">
        <f t="shared" si="76"/>
        <v>0</v>
      </c>
      <c r="CW77" s="3">
        <f t="shared" si="77"/>
        <v>0</v>
      </c>
      <c r="CX77" s="3">
        <f t="shared" si="78"/>
        <v>0</v>
      </c>
      <c r="CY77" s="3">
        <f>(ROUND((((S77+ROUND((ROUND(((EU77)*AV77*1),2)*BS77),2))*AT77)/100),2)+ROUND(((ROUND((ROUND(((AE77-(EU77))*AV77*1),2)*BS77),2)*AT77)/100),2))</f>
        <v>0</v>
      </c>
      <c r="CZ77" s="3">
        <f>(ROUND((((S77+ROUND((ROUND(((EU77)*AV77*1),2)*BS77),2))*AU77)/100),2)+ROUND(((ROUND((ROUND(((AE77-(EU77))*AV77*1),2)*BS77),2)*AU77)/100),2))</f>
        <v>0</v>
      </c>
      <c r="DC77" s="3" t="s">
        <v>3</v>
      </c>
      <c r="DD77" s="3" t="s">
        <v>3</v>
      </c>
      <c r="DE77" s="3" t="s">
        <v>3</v>
      </c>
      <c r="DF77" s="3" t="s">
        <v>3</v>
      </c>
      <c r="DG77" s="3" t="s">
        <v>3</v>
      </c>
      <c r="DH77" s="3" t="s">
        <v>3</v>
      </c>
      <c r="DI77" s="3" t="s">
        <v>3</v>
      </c>
      <c r="DJ77" s="3" t="s">
        <v>3</v>
      </c>
      <c r="DK77" s="3" t="s">
        <v>3</v>
      </c>
      <c r="DL77" s="3" t="s">
        <v>3</v>
      </c>
      <c r="DM77" s="3" t="s">
        <v>3</v>
      </c>
      <c r="DN77" s="3">
        <v>0</v>
      </c>
      <c r="DO77" s="3">
        <v>0</v>
      </c>
      <c r="DP77" s="3">
        <v>1</v>
      </c>
      <c r="DQ77" s="3">
        <v>1</v>
      </c>
      <c r="DU77" s="3">
        <v>1010</v>
      </c>
      <c r="DV77" s="3" t="s">
        <v>99</v>
      </c>
      <c r="DW77" s="3" t="s">
        <v>99</v>
      </c>
      <c r="DX77" s="3">
        <v>1</v>
      </c>
      <c r="DZ77" s="3" t="s">
        <v>3</v>
      </c>
      <c r="EA77" s="3" t="s">
        <v>3</v>
      </c>
      <c r="EB77" s="3" t="s">
        <v>3</v>
      </c>
      <c r="EC77" s="3" t="s">
        <v>3</v>
      </c>
      <c r="EE77" s="3">
        <v>85133422</v>
      </c>
      <c r="EF77" s="3">
        <v>40</v>
      </c>
      <c r="EG77" s="3" t="s">
        <v>27</v>
      </c>
      <c r="EH77" s="3">
        <v>0</v>
      </c>
      <c r="EI77" s="3" t="s">
        <v>3</v>
      </c>
      <c r="EJ77" s="3">
        <v>2</v>
      </c>
      <c r="EK77" s="3">
        <v>73</v>
      </c>
      <c r="EL77" s="3" t="s">
        <v>62</v>
      </c>
      <c r="EM77" s="3" t="s">
        <v>63</v>
      </c>
      <c r="EO77" s="3" t="s">
        <v>37</v>
      </c>
      <c r="EQ77" s="3">
        <v>0</v>
      </c>
      <c r="ER77" s="3">
        <v>87.96</v>
      </c>
      <c r="ES77" s="3">
        <v>87.96</v>
      </c>
      <c r="ET77" s="3">
        <v>0</v>
      </c>
      <c r="EU77" s="3">
        <v>0</v>
      </c>
      <c r="EV77" s="3">
        <v>0</v>
      </c>
      <c r="EW77" s="3">
        <v>0</v>
      </c>
      <c r="EX77" s="3">
        <v>0</v>
      </c>
      <c r="FQ77" s="3">
        <v>0</v>
      </c>
      <c r="FR77" s="3">
        <v>0</v>
      </c>
      <c r="FS77" s="3">
        <v>0</v>
      </c>
      <c r="FX77" s="3">
        <v>90</v>
      </c>
      <c r="FY77" s="3">
        <v>46</v>
      </c>
      <c r="GA77" s="3" t="s">
        <v>3</v>
      </c>
      <c r="GD77" s="3">
        <v>1</v>
      </c>
      <c r="GF77" s="3">
        <v>1397479070</v>
      </c>
      <c r="GG77" s="3">
        <v>2</v>
      </c>
      <c r="GH77" s="3">
        <v>1</v>
      </c>
      <c r="GI77" s="3">
        <v>2</v>
      </c>
      <c r="GJ77" s="3">
        <v>0</v>
      </c>
      <c r="GK77" s="3">
        <v>0</v>
      </c>
      <c r="GL77" s="3">
        <f t="shared" si="79"/>
        <v>0</v>
      </c>
      <c r="GM77" s="3">
        <f t="shared" si="80"/>
        <v>2589.54</v>
      </c>
      <c r="GN77" s="3">
        <f t="shared" si="81"/>
        <v>0</v>
      </c>
      <c r="GO77" s="3">
        <f t="shared" si="82"/>
        <v>2589.54</v>
      </c>
      <c r="GP77" s="3">
        <f t="shared" si="83"/>
        <v>0</v>
      </c>
      <c r="GR77" s="3">
        <v>0</v>
      </c>
      <c r="GS77" s="3">
        <v>3</v>
      </c>
      <c r="GT77" s="3">
        <v>0</v>
      </c>
      <c r="GU77" s="3" t="s">
        <v>3</v>
      </c>
      <c r="GV77" s="3">
        <f t="shared" si="84"/>
        <v>0</v>
      </c>
      <c r="GW77" s="3">
        <v>1</v>
      </c>
      <c r="GX77" s="3">
        <f t="shared" si="85"/>
        <v>0</v>
      </c>
      <c r="HA77" s="3">
        <v>0</v>
      </c>
      <c r="HB77" s="3">
        <v>0</v>
      </c>
      <c r="HC77" s="3">
        <f t="shared" si="86"/>
        <v>0</v>
      </c>
      <c r="HE77" s="3" t="s">
        <v>3</v>
      </c>
      <c r="HF77" s="3" t="s">
        <v>3</v>
      </c>
      <c r="HM77" s="3" t="s">
        <v>35</v>
      </c>
      <c r="HN77" s="3" t="s">
        <v>3</v>
      </c>
      <c r="HO77" s="3" t="s">
        <v>3</v>
      </c>
      <c r="HP77" s="3" t="s">
        <v>3</v>
      </c>
      <c r="HQ77" s="3" t="s">
        <v>3</v>
      </c>
      <c r="HS77" s="3">
        <v>0</v>
      </c>
      <c r="IK77" s="3">
        <v>0</v>
      </c>
    </row>
    <row r="78" spans="1:255" x14ac:dyDescent="0.2">
      <c r="A78" s="2">
        <v>17</v>
      </c>
      <c r="B78" s="2">
        <v>1</v>
      </c>
      <c r="C78" s="2">
        <f>ROW(SmtRes!A175)</f>
        <v>175</v>
      </c>
      <c r="D78" s="2">
        <f>ROW(EtalonRes!A201)</f>
        <v>201</v>
      </c>
      <c r="E78" s="2" t="s">
        <v>151</v>
      </c>
      <c r="F78" s="2" t="s">
        <v>152</v>
      </c>
      <c r="G78" s="2" t="s">
        <v>153</v>
      </c>
      <c r="H78" s="2" t="s">
        <v>23</v>
      </c>
      <c r="I78" s="2">
        <f>ROUND(2,9)</f>
        <v>2</v>
      </c>
      <c r="J78" s="2">
        <v>0</v>
      </c>
      <c r="K78" s="2">
        <f>ROUND(2,9)</f>
        <v>2</v>
      </c>
      <c r="L78" s="2"/>
      <c r="M78" s="2"/>
      <c r="N78" s="2"/>
      <c r="O78" s="2">
        <f t="shared" si="64"/>
        <v>273.14</v>
      </c>
      <c r="P78" s="2">
        <f t="shared" si="60"/>
        <v>7.2</v>
      </c>
      <c r="Q78" s="2">
        <f>(ROUND((ROUND((((ET78*1.2))*AV78*I78),2)*BB78),2)+ROUND((ROUND(((AE78-((EU78*1.2)))*AV78*I78),2)*BS78),2))</f>
        <v>20.329999999999998</v>
      </c>
      <c r="R78" s="2">
        <f>(ROUND((ROUND((((EU78*1.2))*AV78*I78),2)*BS78),2)+ROUND((ROUND(((AE78-((EU78*1.2)))*AV78*I78),2)*BS78),2))</f>
        <v>0.33</v>
      </c>
      <c r="S78" s="2">
        <f t="shared" si="65"/>
        <v>245.61</v>
      </c>
      <c r="T78" s="2">
        <f t="shared" si="66"/>
        <v>0</v>
      </c>
      <c r="U78" s="2">
        <f t="shared" si="67"/>
        <v>19.462079999999997</v>
      </c>
      <c r="V78" s="2">
        <f t="shared" si="68"/>
        <v>0</v>
      </c>
      <c r="W78" s="2">
        <f t="shared" si="69"/>
        <v>0</v>
      </c>
      <c r="X78" s="2">
        <f>(ROUND((((S78+ROUND((ROUND((((EU78*1.2))*AV78*I78),2)*BS78),2))*AT78)/100),2)+ROUND(((ROUND((ROUND(((AE78-((EU78*1.2)))*AV78*I78),2)*BS78),2)*AT78)/100),2))</f>
        <v>221.35</v>
      </c>
      <c r="Y78" s="2">
        <f>(ROUND((((S78+ROUND((ROUND((((EU78*1.2))*AV78*I78),2)*BS78),2))*AU78)/100),2)+ROUND(((ROUND((ROUND(((AE78-((EU78*1.2)))*AV78*I78),2)*BS78),2)*AU78)/100),2))</f>
        <v>113.13</v>
      </c>
      <c r="Z78" s="2"/>
      <c r="AA78" s="2">
        <v>85739205</v>
      </c>
      <c r="AB78" s="2">
        <f t="shared" si="70"/>
        <v>128.12</v>
      </c>
      <c r="AC78" s="2">
        <f>ROUND(((ES78*1)),6)</f>
        <v>3.5</v>
      </c>
      <c r="AD78" s="2">
        <f>ROUND(((((ET78*1.2))-((EU78*1.2)))+AE78),6)</f>
        <v>9.5280000000000005</v>
      </c>
      <c r="AE78" s="2">
        <f>ROUND(((EU78*1.2)),6)</f>
        <v>0.156</v>
      </c>
      <c r="AF78" s="2">
        <f>ROUND(((EV78*1.2)),6)</f>
        <v>115.092</v>
      </c>
      <c r="AG78" s="2">
        <f t="shared" si="71"/>
        <v>0</v>
      </c>
      <c r="AH78" s="2">
        <f>((EW78*1.2))</f>
        <v>9.1199999999999992</v>
      </c>
      <c r="AI78" s="2">
        <f>((EX78*1.2))</f>
        <v>0</v>
      </c>
      <c r="AJ78" s="2">
        <f t="shared" si="72"/>
        <v>0</v>
      </c>
      <c r="AK78" s="2">
        <v>107.35</v>
      </c>
      <c r="AL78" s="2">
        <v>3.5</v>
      </c>
      <c r="AM78" s="2">
        <v>7.94</v>
      </c>
      <c r="AN78" s="2">
        <v>0.13</v>
      </c>
      <c r="AO78" s="2">
        <v>95.91</v>
      </c>
      <c r="AP78" s="2">
        <v>0</v>
      </c>
      <c r="AQ78" s="2">
        <v>7.6</v>
      </c>
      <c r="AR78" s="2">
        <v>0</v>
      </c>
      <c r="AS78" s="2">
        <v>0</v>
      </c>
      <c r="AT78" s="2">
        <v>90</v>
      </c>
      <c r="AU78" s="2">
        <v>46</v>
      </c>
      <c r="AV78" s="2">
        <v>1.0669999999999999</v>
      </c>
      <c r="AW78" s="2">
        <v>1.028</v>
      </c>
      <c r="AX78" s="2"/>
      <c r="AY78" s="2"/>
      <c r="AZ78" s="2">
        <v>1</v>
      </c>
      <c r="BA78" s="2">
        <v>1</v>
      </c>
      <c r="BB78" s="2">
        <v>1</v>
      </c>
      <c r="BC78" s="2">
        <v>1</v>
      </c>
      <c r="BD78" s="2" t="s">
        <v>3</v>
      </c>
      <c r="BE78" s="2" t="s">
        <v>3</v>
      </c>
      <c r="BF78" s="2" t="s">
        <v>3</v>
      </c>
      <c r="BG78" s="2" t="s">
        <v>3</v>
      </c>
      <c r="BH78" s="2">
        <v>0</v>
      </c>
      <c r="BI78" s="2">
        <v>2</v>
      </c>
      <c r="BJ78" s="2" t="s">
        <v>154</v>
      </c>
      <c r="BK78" s="2"/>
      <c r="BL78" s="2"/>
      <c r="BM78" s="2">
        <v>73</v>
      </c>
      <c r="BN78" s="2">
        <v>0</v>
      </c>
      <c r="BO78" s="2" t="s">
        <v>152</v>
      </c>
      <c r="BP78" s="2">
        <v>1</v>
      </c>
      <c r="BQ78" s="2">
        <v>40</v>
      </c>
      <c r="BR78" s="2">
        <v>0</v>
      </c>
      <c r="BS78" s="2">
        <v>1</v>
      </c>
      <c r="BT78" s="2">
        <v>1</v>
      </c>
      <c r="BU78" s="2">
        <v>1</v>
      </c>
      <c r="BV78" s="2">
        <v>1</v>
      </c>
      <c r="BW78" s="2">
        <v>1</v>
      </c>
      <c r="BX78" s="2">
        <v>1</v>
      </c>
      <c r="BY78" s="2" t="s">
        <v>3</v>
      </c>
      <c r="BZ78" s="2">
        <v>90</v>
      </c>
      <c r="CA78" s="2">
        <v>46</v>
      </c>
      <c r="CB78" s="2" t="s">
        <v>3</v>
      </c>
      <c r="CC78" s="2"/>
      <c r="CD78" s="2"/>
      <c r="CE78" s="2">
        <v>1566</v>
      </c>
      <c r="CF78" s="2">
        <v>0</v>
      </c>
      <c r="CG78" s="2">
        <v>0</v>
      </c>
      <c r="CH78" s="2"/>
      <c r="CI78" s="2"/>
      <c r="CJ78" s="2"/>
      <c r="CK78" s="2"/>
      <c r="CL78" s="2"/>
      <c r="CM78" s="2">
        <v>0</v>
      </c>
      <c r="CN78" s="2" t="s">
        <v>677</v>
      </c>
      <c r="CO78" s="2">
        <v>0</v>
      </c>
      <c r="CP78" s="2">
        <f t="shared" si="73"/>
        <v>273.14</v>
      </c>
      <c r="CQ78" s="2">
        <f t="shared" si="61"/>
        <v>3.6</v>
      </c>
      <c r="CR78" s="2">
        <f>(ROUND((ROUND((((ET78*1.2))*AV78*1),2)*BB78),2)+ROUND((ROUND(((AE78-((EU78*1.2)))*AV78*1),2)*BS78),2))</f>
        <v>10.17</v>
      </c>
      <c r="CS78" s="2">
        <f>(ROUND((ROUND((((EU78*1.2))*AV78*1),2)*BS78),2)+ROUND((ROUND(((AE78-((EU78*1.2)))*AV78*1),2)*BS78),2))</f>
        <v>0.17</v>
      </c>
      <c r="CT78" s="2">
        <f t="shared" si="74"/>
        <v>122.8</v>
      </c>
      <c r="CU78" s="2">
        <f t="shared" si="75"/>
        <v>0</v>
      </c>
      <c r="CV78" s="2">
        <f t="shared" si="76"/>
        <v>9.7310399999999984</v>
      </c>
      <c r="CW78" s="2">
        <f t="shared" si="77"/>
        <v>0</v>
      </c>
      <c r="CX78" s="2">
        <f t="shared" si="78"/>
        <v>0</v>
      </c>
      <c r="CY78" s="2">
        <f>(ROUND((((S78+ROUND((ROUND((((EU78*1.2))*AV78*1),2)*BS78),2))*AT78)/100),2)+ROUND(((ROUND((ROUND(((AE78-((EU78*1.2)))*AV78*1),2)*BS78),2)*AT78)/100),2))</f>
        <v>221.2</v>
      </c>
      <c r="CZ78" s="2">
        <f>(ROUND((((S78+ROUND((ROUND((((EU78*1.2))*AV78*1),2)*BS78),2))*AU78)/100),2)+ROUND(((ROUND((ROUND(((AE78-((EU78*1.2)))*AV78*1),2)*BS78),2)*AU78)/100),2))</f>
        <v>113.06</v>
      </c>
      <c r="DA78" s="2"/>
      <c r="DB78" s="2">
        <v>33</v>
      </c>
      <c r="DC78" s="2" t="s">
        <v>3</v>
      </c>
      <c r="DD78" s="2" t="s">
        <v>35</v>
      </c>
      <c r="DE78" s="2" t="s">
        <v>36</v>
      </c>
      <c r="DF78" s="2" t="s">
        <v>36</v>
      </c>
      <c r="DG78" s="2" t="s">
        <v>36</v>
      </c>
      <c r="DH78" s="2" t="s">
        <v>3</v>
      </c>
      <c r="DI78" s="2" t="s">
        <v>36</v>
      </c>
      <c r="DJ78" s="2" t="s">
        <v>36</v>
      </c>
      <c r="DK78" s="2" t="s">
        <v>3</v>
      </c>
      <c r="DL78" s="2" t="s">
        <v>3</v>
      </c>
      <c r="DM78" s="2" t="s">
        <v>3</v>
      </c>
      <c r="DN78" s="2">
        <v>0</v>
      </c>
      <c r="DO78" s="2">
        <v>0</v>
      </c>
      <c r="DP78" s="2">
        <v>1</v>
      </c>
      <c r="DQ78" s="2">
        <v>1</v>
      </c>
      <c r="DR78" s="2"/>
      <c r="DS78" s="2"/>
      <c r="DT78" s="2"/>
      <c r="DU78" s="2">
        <v>1013</v>
      </c>
      <c r="DV78" s="2" t="s">
        <v>23</v>
      </c>
      <c r="DW78" s="2" t="s">
        <v>23</v>
      </c>
      <c r="DX78" s="2">
        <v>1</v>
      </c>
      <c r="DY78" s="2"/>
      <c r="DZ78" s="2" t="s">
        <v>3</v>
      </c>
      <c r="EA78" s="2" t="s">
        <v>3</v>
      </c>
      <c r="EB78" s="2" t="s">
        <v>3</v>
      </c>
      <c r="EC78" s="2" t="s">
        <v>3</v>
      </c>
      <c r="ED78" s="2"/>
      <c r="EE78" s="2">
        <v>85133422</v>
      </c>
      <c r="EF78" s="2">
        <v>40</v>
      </c>
      <c r="EG78" s="2" t="s">
        <v>27</v>
      </c>
      <c r="EH78" s="2">
        <v>0</v>
      </c>
      <c r="EI78" s="2" t="s">
        <v>3</v>
      </c>
      <c r="EJ78" s="2">
        <v>2</v>
      </c>
      <c r="EK78" s="2">
        <v>73</v>
      </c>
      <c r="EL78" s="2" t="s">
        <v>62</v>
      </c>
      <c r="EM78" s="2" t="s">
        <v>63</v>
      </c>
      <c r="EN78" s="2"/>
      <c r="EO78" s="2" t="s">
        <v>37</v>
      </c>
      <c r="EP78" s="2"/>
      <c r="EQ78" s="2">
        <v>0</v>
      </c>
      <c r="ER78" s="2">
        <v>107.35</v>
      </c>
      <c r="ES78" s="2">
        <v>3.5</v>
      </c>
      <c r="ET78" s="2">
        <v>7.94</v>
      </c>
      <c r="EU78" s="2">
        <v>0.13</v>
      </c>
      <c r="EV78" s="2">
        <v>95.91</v>
      </c>
      <c r="EW78" s="2">
        <v>7.6</v>
      </c>
      <c r="EX78" s="2">
        <v>0</v>
      </c>
      <c r="EY78" s="2">
        <v>0</v>
      </c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>
        <v>0</v>
      </c>
      <c r="FR78" s="2">
        <v>0</v>
      </c>
      <c r="FS78" s="2">
        <v>2</v>
      </c>
      <c r="FT78" s="2"/>
      <c r="FU78" s="2"/>
      <c r="FV78" s="2"/>
      <c r="FW78" s="2"/>
      <c r="FX78" s="2">
        <v>90</v>
      </c>
      <c r="FY78" s="2">
        <v>46</v>
      </c>
      <c r="FZ78" s="2"/>
      <c r="GA78" s="2" t="s">
        <v>3</v>
      </c>
      <c r="GB78" s="2"/>
      <c r="GC78" s="2"/>
      <c r="GD78" s="2">
        <v>1</v>
      </c>
      <c r="GE78" s="2"/>
      <c r="GF78" s="2">
        <v>-1524769397</v>
      </c>
      <c r="GG78" s="2">
        <v>2</v>
      </c>
      <c r="GH78" s="2">
        <v>1</v>
      </c>
      <c r="GI78" s="2">
        <v>2</v>
      </c>
      <c r="GJ78" s="2">
        <v>0</v>
      </c>
      <c r="GK78" s="2">
        <v>0</v>
      </c>
      <c r="GL78" s="2">
        <f t="shared" si="79"/>
        <v>0</v>
      </c>
      <c r="GM78" s="2">
        <f t="shared" si="80"/>
        <v>607.62</v>
      </c>
      <c r="GN78" s="2">
        <f t="shared" si="81"/>
        <v>0</v>
      </c>
      <c r="GO78" s="2">
        <f t="shared" si="82"/>
        <v>607.62</v>
      </c>
      <c r="GP78" s="2">
        <f t="shared" si="83"/>
        <v>0</v>
      </c>
      <c r="GQ78" s="2"/>
      <c r="GR78" s="2">
        <v>0</v>
      </c>
      <c r="GS78" s="2">
        <v>3</v>
      </c>
      <c r="GT78" s="2">
        <v>0</v>
      </c>
      <c r="GU78" s="2" t="s">
        <v>3</v>
      </c>
      <c r="GV78" s="2">
        <f t="shared" si="84"/>
        <v>0</v>
      </c>
      <c r="GW78" s="2">
        <v>1</v>
      </c>
      <c r="GX78" s="2">
        <f t="shared" si="85"/>
        <v>0</v>
      </c>
      <c r="GY78" s="2"/>
      <c r="GZ78" s="2"/>
      <c r="HA78" s="2">
        <v>0</v>
      </c>
      <c r="HB78" s="2">
        <v>0</v>
      </c>
      <c r="HC78" s="2">
        <f t="shared" si="86"/>
        <v>0</v>
      </c>
      <c r="HD78" s="2"/>
      <c r="HE78" s="2" t="s">
        <v>3</v>
      </c>
      <c r="HF78" s="2" t="s">
        <v>3</v>
      </c>
      <c r="HG78" s="2"/>
      <c r="HH78" s="2"/>
      <c r="HI78" s="2"/>
      <c r="HJ78" s="2"/>
      <c r="HK78" s="2"/>
      <c r="HL78" s="2"/>
      <c r="HM78" s="2" t="s">
        <v>3</v>
      </c>
      <c r="HN78" s="2" t="s">
        <v>3</v>
      </c>
      <c r="HO78" s="2" t="s">
        <v>3</v>
      </c>
      <c r="HP78" s="2" t="s">
        <v>3</v>
      </c>
      <c r="HQ78" s="2" t="s">
        <v>3</v>
      </c>
      <c r="HR78" s="2"/>
      <c r="HS78" s="2">
        <v>0</v>
      </c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>
        <v>0</v>
      </c>
      <c r="IL78" s="2"/>
      <c r="IM78" s="2"/>
      <c r="IN78" s="2"/>
      <c r="IO78" s="2"/>
      <c r="IP78" s="2"/>
      <c r="IQ78" s="2"/>
      <c r="IR78" s="2"/>
      <c r="IS78" s="2"/>
      <c r="IT78" s="2"/>
      <c r="IU78" s="2"/>
    </row>
    <row r="79" spans="1:255" x14ac:dyDescent="0.2">
      <c r="A79" s="3">
        <v>17</v>
      </c>
      <c r="B79" s="3">
        <v>1</v>
      </c>
      <c r="C79" s="3">
        <f>ROW(SmtRes!A182)</f>
        <v>182</v>
      </c>
      <c r="D79" s="3">
        <f>ROW(EtalonRes!A208)</f>
        <v>208</v>
      </c>
      <c r="E79" s="3" t="s">
        <v>151</v>
      </c>
      <c r="F79" s="3" t="s">
        <v>152</v>
      </c>
      <c r="G79" s="3" t="s">
        <v>153</v>
      </c>
      <c r="H79" s="3" t="s">
        <v>23</v>
      </c>
      <c r="I79" s="3">
        <f>ROUND(2,9)</f>
        <v>2</v>
      </c>
      <c r="J79" s="3">
        <v>0</v>
      </c>
      <c r="K79" s="3">
        <f>ROUND(2,9)</f>
        <v>2</v>
      </c>
      <c r="O79" s="3">
        <f t="shared" si="64"/>
        <v>14197.16</v>
      </c>
      <c r="P79" s="3">
        <f t="shared" si="60"/>
        <v>75.67</v>
      </c>
      <c r="Q79" s="3">
        <f>(ROUND((ROUND((((ET79*1.2))*AV79*I79),2)*BB79),2)+ROUND((ROUND(((AE79-((EU79*1.2)))*AV79*I79),2)*BS79),2))</f>
        <v>281.37</v>
      </c>
      <c r="R79" s="3">
        <f>(ROUND((ROUND((((EU79*1.2))*AV79*I79),2)*BS79),2)+ROUND((ROUND(((AE79-((EU79*1.2)))*AV79*I79),2)*BS79),2))</f>
        <v>18.600000000000001</v>
      </c>
      <c r="S79" s="3">
        <f t="shared" si="65"/>
        <v>13840.12</v>
      </c>
      <c r="T79" s="3">
        <f t="shared" si="66"/>
        <v>0</v>
      </c>
      <c r="U79" s="3">
        <f t="shared" si="67"/>
        <v>19.462079999999997</v>
      </c>
      <c r="V79" s="3">
        <f t="shared" si="68"/>
        <v>0</v>
      </c>
      <c r="W79" s="3">
        <f t="shared" si="69"/>
        <v>0</v>
      </c>
      <c r="X79" s="3">
        <f>(ROUND((((S79+ROUND((ROUND((((EU79*1.2))*AV79*I79),2)*BS79),2))*AT79)/100),2)+ROUND(((ROUND((ROUND(((AE79-((EU79*1.2)))*AV79*I79),2)*BS79),2)*AT79)/100),2))</f>
        <v>12472.85</v>
      </c>
      <c r="Y79" s="3">
        <f>(ROUND((((S79+ROUND((ROUND((((EU79*1.2))*AV79*I79),2)*BS79),2))*AU79)/100),2)+ROUND(((ROUND((ROUND(((AE79-((EU79*1.2)))*AV79*I79),2)*BS79),2)*AU79)/100),2))</f>
        <v>6375.01</v>
      </c>
      <c r="AA79" s="3">
        <v>85739207</v>
      </c>
      <c r="AB79" s="3">
        <f t="shared" si="70"/>
        <v>128.12</v>
      </c>
      <c r="AC79" s="3">
        <f>ROUND(((ES79*1)),6)</f>
        <v>3.5</v>
      </c>
      <c r="AD79" s="3">
        <f>ROUND(((((ET79*1.2))-((EU79*1.2)))+AE79),6)</f>
        <v>9.5280000000000005</v>
      </c>
      <c r="AE79" s="3">
        <f>ROUND(((EU79*1.2)),6)</f>
        <v>0.156</v>
      </c>
      <c r="AF79" s="3">
        <f>ROUND(((EV79*1.2)),6)</f>
        <v>115.092</v>
      </c>
      <c r="AG79" s="3">
        <f t="shared" si="71"/>
        <v>0</v>
      </c>
      <c r="AH79" s="3">
        <f>((EW79*1.2))</f>
        <v>9.1199999999999992</v>
      </c>
      <c r="AI79" s="3">
        <f>((EX79*1.2))</f>
        <v>0</v>
      </c>
      <c r="AJ79" s="3">
        <f t="shared" si="72"/>
        <v>0</v>
      </c>
      <c r="AK79" s="3">
        <v>107.35</v>
      </c>
      <c r="AL79" s="3">
        <v>3.5</v>
      </c>
      <c r="AM79" s="3">
        <v>7.94</v>
      </c>
      <c r="AN79" s="3">
        <v>0.13</v>
      </c>
      <c r="AO79" s="3">
        <v>95.91</v>
      </c>
      <c r="AP79" s="3">
        <v>0</v>
      </c>
      <c r="AQ79" s="3">
        <v>7.6</v>
      </c>
      <c r="AR79" s="3">
        <v>0</v>
      </c>
      <c r="AS79" s="3">
        <v>0</v>
      </c>
      <c r="AT79" s="3">
        <v>90</v>
      </c>
      <c r="AU79" s="3">
        <v>46</v>
      </c>
      <c r="AV79" s="3">
        <v>1.0669999999999999</v>
      </c>
      <c r="AW79" s="3">
        <v>1.028</v>
      </c>
      <c r="AZ79" s="3">
        <v>1</v>
      </c>
      <c r="BA79" s="3">
        <v>56.35</v>
      </c>
      <c r="BB79" s="3">
        <v>13.84</v>
      </c>
      <c r="BC79" s="3">
        <v>10.51</v>
      </c>
      <c r="BD79" s="3" t="s">
        <v>3</v>
      </c>
      <c r="BE79" s="3" t="s">
        <v>3</v>
      </c>
      <c r="BF79" s="3" t="s">
        <v>3</v>
      </c>
      <c r="BG79" s="3" t="s">
        <v>3</v>
      </c>
      <c r="BH79" s="3">
        <v>0</v>
      </c>
      <c r="BI79" s="3">
        <v>2</v>
      </c>
      <c r="BJ79" s="3" t="s">
        <v>154</v>
      </c>
      <c r="BM79" s="3">
        <v>73</v>
      </c>
      <c r="BN79" s="3">
        <v>0</v>
      </c>
      <c r="BO79" s="3" t="s">
        <v>152</v>
      </c>
      <c r="BP79" s="3">
        <v>1</v>
      </c>
      <c r="BQ79" s="3">
        <v>40</v>
      </c>
      <c r="BR79" s="3">
        <v>0</v>
      </c>
      <c r="BS79" s="3">
        <v>56.35</v>
      </c>
      <c r="BT79" s="3">
        <v>1</v>
      </c>
      <c r="BU79" s="3">
        <v>1</v>
      </c>
      <c r="BV79" s="3">
        <v>1</v>
      </c>
      <c r="BW79" s="3">
        <v>1</v>
      </c>
      <c r="BX79" s="3">
        <v>1</v>
      </c>
      <c r="BY79" s="3" t="s">
        <v>3</v>
      </c>
      <c r="BZ79" s="3">
        <v>90</v>
      </c>
      <c r="CA79" s="3">
        <v>46</v>
      </c>
      <c r="CB79" s="3" t="s">
        <v>3</v>
      </c>
      <c r="CE79" s="3">
        <v>1566</v>
      </c>
      <c r="CF79" s="3">
        <v>0</v>
      </c>
      <c r="CG79" s="3">
        <v>0</v>
      </c>
      <c r="CM79" s="3">
        <v>0</v>
      </c>
      <c r="CN79" s="3" t="s">
        <v>677</v>
      </c>
      <c r="CO79" s="3">
        <v>0</v>
      </c>
      <c r="CP79" s="3">
        <f t="shared" si="73"/>
        <v>14197.160000000002</v>
      </c>
      <c r="CQ79" s="3">
        <f t="shared" si="61"/>
        <v>37.840000000000003</v>
      </c>
      <c r="CR79" s="3">
        <f>(ROUND((ROUND((((ET79*1.2))*AV79*1),2)*BB79),2)+ROUND((ROUND(((AE79-((EU79*1.2)))*AV79*1),2)*BS79),2))</f>
        <v>140.75</v>
      </c>
      <c r="CS79" s="3">
        <f>(ROUND((ROUND((((EU79*1.2))*AV79*1),2)*BS79),2)+ROUND((ROUND(((AE79-((EU79*1.2)))*AV79*1),2)*BS79),2))</f>
        <v>9.58</v>
      </c>
      <c r="CT79" s="3">
        <f t="shared" si="74"/>
        <v>6919.78</v>
      </c>
      <c r="CU79" s="3">
        <f t="shared" si="75"/>
        <v>0</v>
      </c>
      <c r="CV79" s="3">
        <f t="shared" si="76"/>
        <v>9.7310399999999984</v>
      </c>
      <c r="CW79" s="3">
        <f t="shared" si="77"/>
        <v>0</v>
      </c>
      <c r="CX79" s="3">
        <f t="shared" si="78"/>
        <v>0</v>
      </c>
      <c r="CY79" s="3">
        <f>(ROUND((((S79+ROUND((ROUND((((EU79*1.2))*AV79*1),2)*BS79),2))*AT79)/100),2)+ROUND(((ROUND((ROUND(((AE79-((EU79*1.2)))*AV79*1),2)*BS79),2)*AT79)/100),2))</f>
        <v>12464.73</v>
      </c>
      <c r="CZ79" s="3">
        <f>(ROUND((((S79+ROUND((ROUND((((EU79*1.2))*AV79*1),2)*BS79),2))*AU79)/100),2)+ROUND(((ROUND((ROUND(((AE79-((EU79*1.2)))*AV79*1),2)*BS79),2)*AU79)/100),2))</f>
        <v>6370.86</v>
      </c>
      <c r="DB79" s="3">
        <v>34</v>
      </c>
      <c r="DC79" s="3" t="s">
        <v>3</v>
      </c>
      <c r="DD79" s="3" t="s">
        <v>35</v>
      </c>
      <c r="DE79" s="3" t="s">
        <v>36</v>
      </c>
      <c r="DF79" s="3" t="s">
        <v>36</v>
      </c>
      <c r="DG79" s="3" t="s">
        <v>36</v>
      </c>
      <c r="DH79" s="3" t="s">
        <v>3</v>
      </c>
      <c r="DI79" s="3" t="s">
        <v>36</v>
      </c>
      <c r="DJ79" s="3" t="s">
        <v>36</v>
      </c>
      <c r="DK79" s="3" t="s">
        <v>3</v>
      </c>
      <c r="DL79" s="3" t="s">
        <v>3</v>
      </c>
      <c r="DM79" s="3" t="s">
        <v>3</v>
      </c>
      <c r="DN79" s="3">
        <v>0</v>
      </c>
      <c r="DO79" s="3">
        <v>0</v>
      </c>
      <c r="DP79" s="3">
        <v>1</v>
      </c>
      <c r="DQ79" s="3">
        <v>1</v>
      </c>
      <c r="DU79" s="3">
        <v>1013</v>
      </c>
      <c r="DV79" s="3" t="s">
        <v>23</v>
      </c>
      <c r="DW79" s="3" t="s">
        <v>23</v>
      </c>
      <c r="DX79" s="3">
        <v>1</v>
      </c>
      <c r="DZ79" s="3" t="s">
        <v>3</v>
      </c>
      <c r="EA79" s="3" t="s">
        <v>3</v>
      </c>
      <c r="EB79" s="3" t="s">
        <v>3</v>
      </c>
      <c r="EC79" s="3" t="s">
        <v>3</v>
      </c>
      <c r="EE79" s="3">
        <v>85133422</v>
      </c>
      <c r="EF79" s="3">
        <v>40</v>
      </c>
      <c r="EG79" s="3" t="s">
        <v>27</v>
      </c>
      <c r="EH79" s="3">
        <v>0</v>
      </c>
      <c r="EI79" s="3" t="s">
        <v>3</v>
      </c>
      <c r="EJ79" s="3">
        <v>2</v>
      </c>
      <c r="EK79" s="3">
        <v>73</v>
      </c>
      <c r="EL79" s="3" t="s">
        <v>62</v>
      </c>
      <c r="EM79" s="3" t="s">
        <v>63</v>
      </c>
      <c r="EO79" s="3" t="s">
        <v>37</v>
      </c>
      <c r="EQ79" s="3">
        <v>0</v>
      </c>
      <c r="ER79" s="3">
        <v>107.35</v>
      </c>
      <c r="ES79" s="3">
        <v>3.5</v>
      </c>
      <c r="ET79" s="3">
        <v>7.94</v>
      </c>
      <c r="EU79" s="3">
        <v>0.13</v>
      </c>
      <c r="EV79" s="3">
        <v>95.91</v>
      </c>
      <c r="EW79" s="3">
        <v>7.6</v>
      </c>
      <c r="EX79" s="3">
        <v>0</v>
      </c>
      <c r="EY79" s="3">
        <v>0</v>
      </c>
      <c r="FQ79" s="3">
        <v>0</v>
      </c>
      <c r="FR79" s="3">
        <v>0</v>
      </c>
      <c r="FS79" s="3">
        <v>2</v>
      </c>
      <c r="FX79" s="3">
        <v>90</v>
      </c>
      <c r="FY79" s="3">
        <v>46</v>
      </c>
      <c r="GA79" s="3" t="s">
        <v>3</v>
      </c>
      <c r="GD79" s="3">
        <v>1</v>
      </c>
      <c r="GF79" s="3">
        <v>-1524769397</v>
      </c>
      <c r="GG79" s="3">
        <v>2</v>
      </c>
      <c r="GH79" s="3">
        <v>1</v>
      </c>
      <c r="GI79" s="3">
        <v>2</v>
      </c>
      <c r="GJ79" s="3">
        <v>0</v>
      </c>
      <c r="GK79" s="3">
        <v>0</v>
      </c>
      <c r="GL79" s="3">
        <f t="shared" si="79"/>
        <v>0</v>
      </c>
      <c r="GM79" s="3">
        <f t="shared" si="80"/>
        <v>33045.019999999997</v>
      </c>
      <c r="GN79" s="3">
        <f t="shared" si="81"/>
        <v>0</v>
      </c>
      <c r="GO79" s="3">
        <f t="shared" si="82"/>
        <v>33045.019999999997</v>
      </c>
      <c r="GP79" s="3">
        <f t="shared" si="83"/>
        <v>0</v>
      </c>
      <c r="GR79" s="3">
        <v>0</v>
      </c>
      <c r="GS79" s="3">
        <v>3</v>
      </c>
      <c r="GT79" s="3">
        <v>0</v>
      </c>
      <c r="GU79" s="3" t="s">
        <v>3</v>
      </c>
      <c r="GV79" s="3">
        <f t="shared" si="84"/>
        <v>0</v>
      </c>
      <c r="GW79" s="3">
        <v>1</v>
      </c>
      <c r="GX79" s="3">
        <f t="shared" si="85"/>
        <v>0</v>
      </c>
      <c r="HA79" s="3">
        <v>0</v>
      </c>
      <c r="HB79" s="3">
        <v>0</v>
      </c>
      <c r="HC79" s="3">
        <f t="shared" si="86"/>
        <v>0</v>
      </c>
      <c r="HE79" s="3" t="s">
        <v>3</v>
      </c>
      <c r="HF79" s="3" t="s">
        <v>3</v>
      </c>
      <c r="HM79" s="3" t="s">
        <v>3</v>
      </c>
      <c r="HN79" s="3" t="s">
        <v>3</v>
      </c>
      <c r="HO79" s="3" t="s">
        <v>3</v>
      </c>
      <c r="HP79" s="3" t="s">
        <v>3</v>
      </c>
      <c r="HQ79" s="3" t="s">
        <v>3</v>
      </c>
      <c r="HS79" s="3">
        <v>0</v>
      </c>
      <c r="IK79" s="3">
        <v>0</v>
      </c>
    </row>
    <row r="80" spans="1:255" x14ac:dyDescent="0.2">
      <c r="A80" s="2">
        <v>18</v>
      </c>
      <c r="B80" s="2">
        <v>1</v>
      </c>
      <c r="C80" s="2">
        <v>175</v>
      </c>
      <c r="D80" s="2"/>
      <c r="E80" s="2" t="s">
        <v>155</v>
      </c>
      <c r="F80" s="2" t="s">
        <v>156</v>
      </c>
      <c r="G80" s="2" t="s">
        <v>157</v>
      </c>
      <c r="H80" s="2" t="s">
        <v>99</v>
      </c>
      <c r="I80" s="2">
        <f>I78*J80</f>
        <v>2</v>
      </c>
      <c r="J80" s="2">
        <v>1</v>
      </c>
      <c r="K80" s="2">
        <v>1</v>
      </c>
      <c r="L80" s="2"/>
      <c r="M80" s="2"/>
      <c r="N80" s="2"/>
      <c r="O80" s="2">
        <f t="shared" si="64"/>
        <v>77.260000000000005</v>
      </c>
      <c r="P80" s="2">
        <f t="shared" si="60"/>
        <v>77.260000000000005</v>
      </c>
      <c r="Q80" s="2">
        <f>(ROUND((ROUND(((ET80)*AV80*I80),2)*BB80),2)+ROUND((ROUND(((AE80-(EU80))*AV80*I80),2)*BS80),2))</f>
        <v>0</v>
      </c>
      <c r="R80" s="2">
        <f>(ROUND((ROUND(((EU80)*AV80*I80),2)*BS80),2)+ROUND((ROUND(((AE80-(EU80))*AV80*I80),2)*BS80),2))</f>
        <v>0</v>
      </c>
      <c r="S80" s="2">
        <f t="shared" si="65"/>
        <v>0</v>
      </c>
      <c r="T80" s="2">
        <f t="shared" si="66"/>
        <v>0</v>
      </c>
      <c r="U80" s="2">
        <f t="shared" si="67"/>
        <v>0</v>
      </c>
      <c r="V80" s="2">
        <f t="shared" si="68"/>
        <v>0</v>
      </c>
      <c r="W80" s="2">
        <f t="shared" si="69"/>
        <v>0</v>
      </c>
      <c r="X80" s="2">
        <f>(ROUND((((S80+ROUND((ROUND(((EU80)*AV80*I80),2)*BS80),2))*AT80)/100),2)+ROUND(((ROUND((ROUND(((AE80-(EU80))*AV80*I80),2)*BS80),2)*AT80)/100),2))</f>
        <v>0</v>
      </c>
      <c r="Y80" s="2">
        <f>(ROUND((((S80+ROUND((ROUND(((EU80)*AV80*I80),2)*BS80),2))*AU80)/100),2)+ROUND(((ROUND((ROUND(((AE80-(EU80))*AV80*I80),2)*BS80),2)*AU80)/100),2))</f>
        <v>0</v>
      </c>
      <c r="Z80" s="2"/>
      <c r="AA80" s="2">
        <v>85739205</v>
      </c>
      <c r="AB80" s="2">
        <f t="shared" si="70"/>
        <v>38.630000000000003</v>
      </c>
      <c r="AC80" s="2">
        <f>ROUND((ES80),6)</f>
        <v>38.630000000000003</v>
      </c>
      <c r="AD80" s="2">
        <f>ROUND((((ET80)-(EU80))+AE80),6)</f>
        <v>0</v>
      </c>
      <c r="AE80" s="2">
        <f>ROUND((EU80),6)</f>
        <v>0</v>
      </c>
      <c r="AF80" s="2">
        <f>ROUND((EV80),6)</f>
        <v>0</v>
      </c>
      <c r="AG80" s="2">
        <f t="shared" si="71"/>
        <v>0</v>
      </c>
      <c r="AH80" s="2">
        <f>(EW80)</f>
        <v>0</v>
      </c>
      <c r="AI80" s="2">
        <f>(EX80)</f>
        <v>0</v>
      </c>
      <c r="AJ80" s="2">
        <f t="shared" si="72"/>
        <v>0</v>
      </c>
      <c r="AK80" s="2">
        <v>38.630000000000003</v>
      </c>
      <c r="AL80" s="2">
        <v>38.630000000000003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90</v>
      </c>
      <c r="AU80" s="2">
        <v>46</v>
      </c>
      <c r="AV80" s="2">
        <v>1</v>
      </c>
      <c r="AW80" s="2">
        <v>1</v>
      </c>
      <c r="AX80" s="2"/>
      <c r="AY80" s="2"/>
      <c r="AZ80" s="2">
        <v>1</v>
      </c>
      <c r="BA80" s="2">
        <v>1</v>
      </c>
      <c r="BB80" s="2">
        <v>1</v>
      </c>
      <c r="BC80" s="2">
        <v>1</v>
      </c>
      <c r="BD80" s="2" t="s">
        <v>3</v>
      </c>
      <c r="BE80" s="2" t="s">
        <v>3</v>
      </c>
      <c r="BF80" s="2" t="s">
        <v>3</v>
      </c>
      <c r="BG80" s="2" t="s">
        <v>3</v>
      </c>
      <c r="BH80" s="2">
        <v>3</v>
      </c>
      <c r="BI80" s="2">
        <v>2</v>
      </c>
      <c r="BJ80" s="2" t="s">
        <v>158</v>
      </c>
      <c r="BK80" s="2"/>
      <c r="BL80" s="2"/>
      <c r="BM80" s="2">
        <v>73</v>
      </c>
      <c r="BN80" s="2">
        <v>0</v>
      </c>
      <c r="BO80" s="2" t="s">
        <v>3</v>
      </c>
      <c r="BP80" s="2">
        <v>0</v>
      </c>
      <c r="BQ80" s="2">
        <v>40</v>
      </c>
      <c r="BR80" s="2">
        <v>0</v>
      </c>
      <c r="BS80" s="2">
        <v>1</v>
      </c>
      <c r="BT80" s="2">
        <v>1</v>
      </c>
      <c r="BU80" s="2">
        <v>1</v>
      </c>
      <c r="BV80" s="2">
        <v>1</v>
      </c>
      <c r="BW80" s="2">
        <v>1</v>
      </c>
      <c r="BX80" s="2">
        <v>1</v>
      </c>
      <c r="BY80" s="2" t="s">
        <v>3</v>
      </c>
      <c r="BZ80" s="2">
        <v>90</v>
      </c>
      <c r="CA80" s="2">
        <v>46</v>
      </c>
      <c r="CB80" s="2" t="s">
        <v>3</v>
      </c>
      <c r="CC80" s="2"/>
      <c r="CD80" s="2"/>
      <c r="CE80" s="2">
        <v>1566</v>
      </c>
      <c r="CF80" s="2">
        <v>0</v>
      </c>
      <c r="CG80" s="2">
        <v>0</v>
      </c>
      <c r="CH80" s="2"/>
      <c r="CI80" s="2"/>
      <c r="CJ80" s="2"/>
      <c r="CK80" s="2"/>
      <c r="CL80" s="2"/>
      <c r="CM80" s="2">
        <v>0</v>
      </c>
      <c r="CN80" s="2" t="s">
        <v>679</v>
      </c>
      <c r="CO80" s="2">
        <v>0</v>
      </c>
      <c r="CP80" s="2">
        <f t="shared" si="73"/>
        <v>77.260000000000005</v>
      </c>
      <c r="CQ80" s="2">
        <f t="shared" si="61"/>
        <v>38.630000000000003</v>
      </c>
      <c r="CR80" s="2">
        <f>(ROUND((ROUND(((ET80)*AV80*1),2)*BB80),2)+ROUND((ROUND(((AE80-(EU80))*AV80*1),2)*BS80),2))</f>
        <v>0</v>
      </c>
      <c r="CS80" s="2">
        <f>(ROUND((ROUND(((EU80)*AV80*1),2)*BS80),2)+ROUND((ROUND(((AE80-(EU80))*AV80*1),2)*BS80),2))</f>
        <v>0</v>
      </c>
      <c r="CT80" s="2">
        <f t="shared" si="74"/>
        <v>0</v>
      </c>
      <c r="CU80" s="2">
        <f t="shared" si="75"/>
        <v>0</v>
      </c>
      <c r="CV80" s="2">
        <f t="shared" si="76"/>
        <v>0</v>
      </c>
      <c r="CW80" s="2">
        <f t="shared" si="77"/>
        <v>0</v>
      </c>
      <c r="CX80" s="2">
        <f t="shared" si="78"/>
        <v>0</v>
      </c>
      <c r="CY80" s="2">
        <f>(ROUND((((S80+ROUND((ROUND(((EU80)*AV80*1),2)*BS80),2))*AT80)/100),2)+ROUND(((ROUND((ROUND(((AE80-(EU80))*AV80*1),2)*BS80),2)*AT80)/100),2))</f>
        <v>0</v>
      </c>
      <c r="CZ80" s="2">
        <f>(ROUND((((S80+ROUND((ROUND(((EU80)*AV80*1),2)*BS80),2))*AU80)/100),2)+ROUND(((ROUND((ROUND(((AE80-(EU80))*AV80*1),2)*BS80),2)*AU80)/100),2))</f>
        <v>0</v>
      </c>
      <c r="DA80" s="2"/>
      <c r="DB80" s="2"/>
      <c r="DC80" s="2" t="s">
        <v>3</v>
      </c>
      <c r="DD80" s="2" t="s">
        <v>3</v>
      </c>
      <c r="DE80" s="2" t="s">
        <v>3</v>
      </c>
      <c r="DF80" s="2" t="s">
        <v>3</v>
      </c>
      <c r="DG80" s="2" t="s">
        <v>3</v>
      </c>
      <c r="DH80" s="2" t="s">
        <v>3</v>
      </c>
      <c r="DI80" s="2" t="s">
        <v>3</v>
      </c>
      <c r="DJ80" s="2" t="s">
        <v>3</v>
      </c>
      <c r="DK80" s="2" t="s">
        <v>3</v>
      </c>
      <c r="DL80" s="2" t="s">
        <v>3</v>
      </c>
      <c r="DM80" s="2" t="s">
        <v>3</v>
      </c>
      <c r="DN80" s="2">
        <v>0</v>
      </c>
      <c r="DO80" s="2">
        <v>0</v>
      </c>
      <c r="DP80" s="2">
        <v>1</v>
      </c>
      <c r="DQ80" s="2">
        <v>1</v>
      </c>
      <c r="DR80" s="2"/>
      <c r="DS80" s="2"/>
      <c r="DT80" s="2"/>
      <c r="DU80" s="2">
        <v>1010</v>
      </c>
      <c r="DV80" s="2" t="s">
        <v>99</v>
      </c>
      <c r="DW80" s="2" t="s">
        <v>99</v>
      </c>
      <c r="DX80" s="2">
        <v>1</v>
      </c>
      <c r="DY80" s="2"/>
      <c r="DZ80" s="2" t="s">
        <v>3</v>
      </c>
      <c r="EA80" s="2" t="s">
        <v>3</v>
      </c>
      <c r="EB80" s="2" t="s">
        <v>3</v>
      </c>
      <c r="EC80" s="2" t="s">
        <v>3</v>
      </c>
      <c r="ED80" s="2"/>
      <c r="EE80" s="2">
        <v>85133422</v>
      </c>
      <c r="EF80" s="2">
        <v>40</v>
      </c>
      <c r="EG80" s="2" t="s">
        <v>27</v>
      </c>
      <c r="EH80" s="2">
        <v>0</v>
      </c>
      <c r="EI80" s="2" t="s">
        <v>3</v>
      </c>
      <c r="EJ80" s="2">
        <v>2</v>
      </c>
      <c r="EK80" s="2">
        <v>73</v>
      </c>
      <c r="EL80" s="2" t="s">
        <v>62</v>
      </c>
      <c r="EM80" s="2" t="s">
        <v>63</v>
      </c>
      <c r="EN80" s="2"/>
      <c r="EO80" s="2" t="s">
        <v>37</v>
      </c>
      <c r="EP80" s="2"/>
      <c r="EQ80" s="2">
        <v>0</v>
      </c>
      <c r="ER80" s="2">
        <v>38.630000000000003</v>
      </c>
      <c r="ES80" s="2">
        <v>38.630000000000003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>
        <v>0</v>
      </c>
      <c r="FR80" s="2">
        <v>0</v>
      </c>
      <c r="FS80" s="2">
        <v>0</v>
      </c>
      <c r="FT80" s="2"/>
      <c r="FU80" s="2"/>
      <c r="FV80" s="2"/>
      <c r="FW80" s="2"/>
      <c r="FX80" s="2">
        <v>90</v>
      </c>
      <c r="FY80" s="2">
        <v>46</v>
      </c>
      <c r="FZ80" s="2"/>
      <c r="GA80" s="2" t="s">
        <v>3</v>
      </c>
      <c r="GB80" s="2"/>
      <c r="GC80" s="2"/>
      <c r="GD80" s="2">
        <v>1</v>
      </c>
      <c r="GE80" s="2"/>
      <c r="GF80" s="2">
        <v>-637601952</v>
      </c>
      <c r="GG80" s="2">
        <v>2</v>
      </c>
      <c r="GH80" s="2">
        <v>1</v>
      </c>
      <c r="GI80" s="2">
        <v>-2</v>
      </c>
      <c r="GJ80" s="2">
        <v>0</v>
      </c>
      <c r="GK80" s="2">
        <v>0</v>
      </c>
      <c r="GL80" s="2">
        <f t="shared" si="79"/>
        <v>0</v>
      </c>
      <c r="GM80" s="2">
        <f t="shared" si="80"/>
        <v>77.260000000000005</v>
      </c>
      <c r="GN80" s="2">
        <f t="shared" si="81"/>
        <v>0</v>
      </c>
      <c r="GO80" s="2">
        <f t="shared" si="82"/>
        <v>77.260000000000005</v>
      </c>
      <c r="GP80" s="2">
        <f t="shared" si="83"/>
        <v>0</v>
      </c>
      <c r="GQ80" s="2"/>
      <c r="GR80" s="2">
        <v>0</v>
      </c>
      <c r="GS80" s="2">
        <v>3</v>
      </c>
      <c r="GT80" s="2">
        <v>0</v>
      </c>
      <c r="GU80" s="2" t="s">
        <v>3</v>
      </c>
      <c r="GV80" s="2">
        <f t="shared" si="84"/>
        <v>0</v>
      </c>
      <c r="GW80" s="2">
        <v>1</v>
      </c>
      <c r="GX80" s="2">
        <f t="shared" si="85"/>
        <v>0</v>
      </c>
      <c r="GY80" s="2"/>
      <c r="GZ80" s="2"/>
      <c r="HA80" s="2">
        <v>0</v>
      </c>
      <c r="HB80" s="2">
        <v>0</v>
      </c>
      <c r="HC80" s="2">
        <f t="shared" si="86"/>
        <v>0</v>
      </c>
      <c r="HD80" s="2"/>
      <c r="HE80" s="2" t="s">
        <v>3</v>
      </c>
      <c r="HF80" s="2" t="s">
        <v>3</v>
      </c>
      <c r="HG80" s="2"/>
      <c r="HH80" s="2"/>
      <c r="HI80" s="2"/>
      <c r="HJ80" s="2"/>
      <c r="HK80" s="2"/>
      <c r="HL80" s="2"/>
      <c r="HM80" s="2" t="s">
        <v>35</v>
      </c>
      <c r="HN80" s="2" t="s">
        <v>3</v>
      </c>
      <c r="HO80" s="2" t="s">
        <v>3</v>
      </c>
      <c r="HP80" s="2" t="s">
        <v>3</v>
      </c>
      <c r="HQ80" s="2" t="s">
        <v>3</v>
      </c>
      <c r="HR80" s="2"/>
      <c r="HS80" s="2">
        <v>0</v>
      </c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>
        <v>0</v>
      </c>
      <c r="IL80" s="2"/>
      <c r="IM80" s="2"/>
      <c r="IN80" s="2"/>
      <c r="IO80" s="2"/>
      <c r="IP80" s="2"/>
      <c r="IQ80" s="2"/>
      <c r="IR80" s="2"/>
      <c r="IS80" s="2"/>
      <c r="IT80" s="2"/>
      <c r="IU80" s="2"/>
    </row>
    <row r="81" spans="1:255" x14ac:dyDescent="0.2">
      <c r="A81" s="3">
        <v>18</v>
      </c>
      <c r="B81" s="3">
        <v>1</v>
      </c>
      <c r="C81" s="3">
        <v>182</v>
      </c>
      <c r="E81" s="3" t="s">
        <v>155</v>
      </c>
      <c r="F81" s="3" t="s">
        <v>156</v>
      </c>
      <c r="G81" s="3" t="s">
        <v>157</v>
      </c>
      <c r="H81" s="3" t="s">
        <v>99</v>
      </c>
      <c r="I81" s="3">
        <f>I79*J81</f>
        <v>2</v>
      </c>
      <c r="J81" s="3">
        <v>1</v>
      </c>
      <c r="K81" s="3">
        <v>1</v>
      </c>
      <c r="O81" s="3">
        <f t="shared" si="64"/>
        <v>355.4</v>
      </c>
      <c r="P81" s="3">
        <f t="shared" si="60"/>
        <v>355.4</v>
      </c>
      <c r="Q81" s="3">
        <f>(ROUND((ROUND(((ET81)*AV81*I81),2)*BB81),2)+ROUND((ROUND(((AE81-(EU81))*AV81*I81),2)*BS81),2))</f>
        <v>0</v>
      </c>
      <c r="R81" s="3">
        <f>(ROUND((ROUND(((EU81)*AV81*I81),2)*BS81),2)+ROUND((ROUND(((AE81-(EU81))*AV81*I81),2)*BS81),2))</f>
        <v>0</v>
      </c>
      <c r="S81" s="3">
        <f t="shared" si="65"/>
        <v>0</v>
      </c>
      <c r="T81" s="3">
        <f t="shared" si="66"/>
        <v>0</v>
      </c>
      <c r="U81" s="3">
        <f t="shared" si="67"/>
        <v>0</v>
      </c>
      <c r="V81" s="3">
        <f t="shared" si="68"/>
        <v>0</v>
      </c>
      <c r="W81" s="3">
        <f t="shared" si="69"/>
        <v>0</v>
      </c>
      <c r="X81" s="3">
        <f>(ROUND((((S81+ROUND((ROUND(((EU81)*AV81*I81),2)*BS81),2))*AT81)/100),2)+ROUND(((ROUND((ROUND(((AE81-(EU81))*AV81*I81),2)*BS81),2)*AT81)/100),2))</f>
        <v>0</v>
      </c>
      <c r="Y81" s="3">
        <f>(ROUND((((S81+ROUND((ROUND(((EU81)*AV81*I81),2)*BS81),2))*AU81)/100),2)+ROUND(((ROUND((ROUND(((AE81-(EU81))*AV81*I81),2)*BS81),2)*AU81)/100),2))</f>
        <v>0</v>
      </c>
      <c r="AA81" s="3">
        <v>85739207</v>
      </c>
      <c r="AB81" s="3">
        <f t="shared" si="70"/>
        <v>38.630000000000003</v>
      </c>
      <c r="AC81" s="3">
        <f>ROUND((ES81),6)</f>
        <v>38.630000000000003</v>
      </c>
      <c r="AD81" s="3">
        <f>ROUND((((ET81)-(EU81))+AE81),6)</f>
        <v>0</v>
      </c>
      <c r="AE81" s="3">
        <f>ROUND((EU81),6)</f>
        <v>0</v>
      </c>
      <c r="AF81" s="3">
        <f>ROUND((EV81),6)</f>
        <v>0</v>
      </c>
      <c r="AG81" s="3">
        <f t="shared" si="71"/>
        <v>0</v>
      </c>
      <c r="AH81" s="3">
        <f>(EW81)</f>
        <v>0</v>
      </c>
      <c r="AI81" s="3">
        <f>(EX81)</f>
        <v>0</v>
      </c>
      <c r="AJ81" s="3">
        <f t="shared" si="72"/>
        <v>0</v>
      </c>
      <c r="AK81" s="3">
        <v>38.630000000000003</v>
      </c>
      <c r="AL81" s="3">
        <v>38.630000000000003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90</v>
      </c>
      <c r="AU81" s="3">
        <v>46</v>
      </c>
      <c r="AV81" s="3">
        <v>1</v>
      </c>
      <c r="AW81" s="3">
        <v>1</v>
      </c>
      <c r="AZ81" s="3">
        <v>1</v>
      </c>
      <c r="BA81" s="3">
        <v>1</v>
      </c>
      <c r="BB81" s="3">
        <v>1</v>
      </c>
      <c r="BC81" s="3">
        <v>4.5999999999999996</v>
      </c>
      <c r="BD81" s="3" t="s">
        <v>3</v>
      </c>
      <c r="BE81" s="3" t="s">
        <v>3</v>
      </c>
      <c r="BF81" s="3" t="s">
        <v>3</v>
      </c>
      <c r="BG81" s="3" t="s">
        <v>3</v>
      </c>
      <c r="BH81" s="3">
        <v>3</v>
      </c>
      <c r="BI81" s="3">
        <v>2</v>
      </c>
      <c r="BJ81" s="3" t="s">
        <v>158</v>
      </c>
      <c r="BM81" s="3">
        <v>73</v>
      </c>
      <c r="BN81" s="3">
        <v>0</v>
      </c>
      <c r="BO81" s="3" t="s">
        <v>156</v>
      </c>
      <c r="BP81" s="3">
        <v>1</v>
      </c>
      <c r="BQ81" s="3">
        <v>40</v>
      </c>
      <c r="BR81" s="3">
        <v>0</v>
      </c>
      <c r="BS81" s="3">
        <v>1</v>
      </c>
      <c r="BT81" s="3">
        <v>1</v>
      </c>
      <c r="BU81" s="3">
        <v>1</v>
      </c>
      <c r="BV81" s="3">
        <v>1</v>
      </c>
      <c r="BW81" s="3">
        <v>1</v>
      </c>
      <c r="BX81" s="3">
        <v>1</v>
      </c>
      <c r="BY81" s="3" t="s">
        <v>3</v>
      </c>
      <c r="BZ81" s="3">
        <v>90</v>
      </c>
      <c r="CA81" s="3">
        <v>46</v>
      </c>
      <c r="CB81" s="3" t="s">
        <v>3</v>
      </c>
      <c r="CE81" s="3">
        <v>1566</v>
      </c>
      <c r="CF81" s="3">
        <v>0</v>
      </c>
      <c r="CG81" s="3">
        <v>0</v>
      </c>
      <c r="CM81" s="3">
        <v>0</v>
      </c>
      <c r="CN81" s="3" t="s">
        <v>679</v>
      </c>
      <c r="CO81" s="3">
        <v>0</v>
      </c>
      <c r="CP81" s="3">
        <f t="shared" si="73"/>
        <v>355.4</v>
      </c>
      <c r="CQ81" s="3">
        <f t="shared" si="61"/>
        <v>177.7</v>
      </c>
      <c r="CR81" s="3">
        <f>(ROUND((ROUND(((ET81)*AV81*1),2)*BB81),2)+ROUND((ROUND(((AE81-(EU81))*AV81*1),2)*BS81),2))</f>
        <v>0</v>
      </c>
      <c r="CS81" s="3">
        <f>(ROUND((ROUND(((EU81)*AV81*1),2)*BS81),2)+ROUND((ROUND(((AE81-(EU81))*AV81*1),2)*BS81),2))</f>
        <v>0</v>
      </c>
      <c r="CT81" s="3">
        <f t="shared" si="74"/>
        <v>0</v>
      </c>
      <c r="CU81" s="3">
        <f t="shared" si="75"/>
        <v>0</v>
      </c>
      <c r="CV81" s="3">
        <f t="shared" si="76"/>
        <v>0</v>
      </c>
      <c r="CW81" s="3">
        <f t="shared" si="77"/>
        <v>0</v>
      </c>
      <c r="CX81" s="3">
        <f t="shared" si="78"/>
        <v>0</v>
      </c>
      <c r="CY81" s="3">
        <f>(ROUND((((S81+ROUND((ROUND(((EU81)*AV81*1),2)*BS81),2))*AT81)/100),2)+ROUND(((ROUND((ROUND(((AE81-(EU81))*AV81*1),2)*BS81),2)*AT81)/100),2))</f>
        <v>0</v>
      </c>
      <c r="CZ81" s="3">
        <f>(ROUND((((S81+ROUND((ROUND(((EU81)*AV81*1),2)*BS81),2))*AU81)/100),2)+ROUND(((ROUND((ROUND(((AE81-(EU81))*AV81*1),2)*BS81),2)*AU81)/100),2))</f>
        <v>0</v>
      </c>
      <c r="DC81" s="3" t="s">
        <v>3</v>
      </c>
      <c r="DD81" s="3" t="s">
        <v>3</v>
      </c>
      <c r="DE81" s="3" t="s">
        <v>3</v>
      </c>
      <c r="DF81" s="3" t="s">
        <v>3</v>
      </c>
      <c r="DG81" s="3" t="s">
        <v>3</v>
      </c>
      <c r="DH81" s="3" t="s">
        <v>3</v>
      </c>
      <c r="DI81" s="3" t="s">
        <v>3</v>
      </c>
      <c r="DJ81" s="3" t="s">
        <v>3</v>
      </c>
      <c r="DK81" s="3" t="s">
        <v>3</v>
      </c>
      <c r="DL81" s="3" t="s">
        <v>3</v>
      </c>
      <c r="DM81" s="3" t="s">
        <v>3</v>
      </c>
      <c r="DN81" s="3">
        <v>0</v>
      </c>
      <c r="DO81" s="3">
        <v>0</v>
      </c>
      <c r="DP81" s="3">
        <v>1</v>
      </c>
      <c r="DQ81" s="3">
        <v>1</v>
      </c>
      <c r="DU81" s="3">
        <v>1010</v>
      </c>
      <c r="DV81" s="3" t="s">
        <v>99</v>
      </c>
      <c r="DW81" s="3" t="s">
        <v>99</v>
      </c>
      <c r="DX81" s="3">
        <v>1</v>
      </c>
      <c r="DZ81" s="3" t="s">
        <v>3</v>
      </c>
      <c r="EA81" s="3" t="s">
        <v>3</v>
      </c>
      <c r="EB81" s="3" t="s">
        <v>3</v>
      </c>
      <c r="EC81" s="3" t="s">
        <v>3</v>
      </c>
      <c r="EE81" s="3">
        <v>85133422</v>
      </c>
      <c r="EF81" s="3">
        <v>40</v>
      </c>
      <c r="EG81" s="3" t="s">
        <v>27</v>
      </c>
      <c r="EH81" s="3">
        <v>0</v>
      </c>
      <c r="EI81" s="3" t="s">
        <v>3</v>
      </c>
      <c r="EJ81" s="3">
        <v>2</v>
      </c>
      <c r="EK81" s="3">
        <v>73</v>
      </c>
      <c r="EL81" s="3" t="s">
        <v>62</v>
      </c>
      <c r="EM81" s="3" t="s">
        <v>63</v>
      </c>
      <c r="EO81" s="3" t="s">
        <v>37</v>
      </c>
      <c r="EQ81" s="3">
        <v>0</v>
      </c>
      <c r="ER81" s="3">
        <v>38.630000000000003</v>
      </c>
      <c r="ES81" s="3">
        <v>38.630000000000003</v>
      </c>
      <c r="ET81" s="3">
        <v>0</v>
      </c>
      <c r="EU81" s="3">
        <v>0</v>
      </c>
      <c r="EV81" s="3">
        <v>0</v>
      </c>
      <c r="EW81" s="3">
        <v>0</v>
      </c>
      <c r="EX81" s="3">
        <v>0</v>
      </c>
      <c r="FQ81" s="3">
        <v>0</v>
      </c>
      <c r="FR81" s="3">
        <v>0</v>
      </c>
      <c r="FS81" s="3">
        <v>0</v>
      </c>
      <c r="FX81" s="3">
        <v>90</v>
      </c>
      <c r="FY81" s="3">
        <v>46</v>
      </c>
      <c r="GA81" s="3" t="s">
        <v>3</v>
      </c>
      <c r="GD81" s="3">
        <v>1</v>
      </c>
      <c r="GF81" s="3">
        <v>-637601952</v>
      </c>
      <c r="GG81" s="3">
        <v>2</v>
      </c>
      <c r="GH81" s="3">
        <v>1</v>
      </c>
      <c r="GI81" s="3">
        <v>2</v>
      </c>
      <c r="GJ81" s="3">
        <v>0</v>
      </c>
      <c r="GK81" s="3">
        <v>0</v>
      </c>
      <c r="GL81" s="3">
        <f t="shared" si="79"/>
        <v>0</v>
      </c>
      <c r="GM81" s="3">
        <f t="shared" si="80"/>
        <v>355.4</v>
      </c>
      <c r="GN81" s="3">
        <f t="shared" si="81"/>
        <v>0</v>
      </c>
      <c r="GO81" s="3">
        <f t="shared" si="82"/>
        <v>355.4</v>
      </c>
      <c r="GP81" s="3">
        <f t="shared" si="83"/>
        <v>0</v>
      </c>
      <c r="GR81" s="3">
        <v>0</v>
      </c>
      <c r="GS81" s="3">
        <v>3</v>
      </c>
      <c r="GT81" s="3">
        <v>0</v>
      </c>
      <c r="GU81" s="3" t="s">
        <v>3</v>
      </c>
      <c r="GV81" s="3">
        <f t="shared" si="84"/>
        <v>0</v>
      </c>
      <c r="GW81" s="3">
        <v>1</v>
      </c>
      <c r="GX81" s="3">
        <f t="shared" si="85"/>
        <v>0</v>
      </c>
      <c r="HA81" s="3">
        <v>0</v>
      </c>
      <c r="HB81" s="3">
        <v>0</v>
      </c>
      <c r="HC81" s="3">
        <f t="shared" si="86"/>
        <v>0</v>
      </c>
      <c r="HE81" s="3" t="s">
        <v>3</v>
      </c>
      <c r="HF81" s="3" t="s">
        <v>3</v>
      </c>
      <c r="HM81" s="3" t="s">
        <v>35</v>
      </c>
      <c r="HN81" s="3" t="s">
        <v>3</v>
      </c>
      <c r="HO81" s="3" t="s">
        <v>3</v>
      </c>
      <c r="HP81" s="3" t="s">
        <v>3</v>
      </c>
      <c r="HQ81" s="3" t="s">
        <v>3</v>
      </c>
      <c r="HS81" s="3">
        <v>0</v>
      </c>
      <c r="IK81" s="3">
        <v>0</v>
      </c>
    </row>
    <row r="82" spans="1:255" x14ac:dyDescent="0.2">
      <c r="A82" s="2">
        <v>17</v>
      </c>
      <c r="B82" s="2">
        <v>1</v>
      </c>
      <c r="C82" s="2">
        <f>ROW(SmtRes!A190)</f>
        <v>190</v>
      </c>
      <c r="D82" s="2">
        <f>ROW(EtalonRes!A215)</f>
        <v>215</v>
      </c>
      <c r="E82" s="2" t="s">
        <v>159</v>
      </c>
      <c r="F82" s="2" t="s">
        <v>160</v>
      </c>
      <c r="G82" s="2" t="s">
        <v>161</v>
      </c>
      <c r="H82" s="2" t="s">
        <v>23</v>
      </c>
      <c r="I82" s="2">
        <f>ROUND(2+1,9)</f>
        <v>3</v>
      </c>
      <c r="J82" s="2">
        <v>0</v>
      </c>
      <c r="K82" s="2">
        <f>ROUND(2+1,9)</f>
        <v>3</v>
      </c>
      <c r="L82" s="2"/>
      <c r="M82" s="2"/>
      <c r="N82" s="2"/>
      <c r="O82" s="2">
        <f t="shared" si="64"/>
        <v>288.75</v>
      </c>
      <c r="P82" s="2">
        <f t="shared" si="60"/>
        <v>41.57</v>
      </c>
      <c r="Q82" s="2">
        <f>(ROUND((ROUND((((ET82*1.2))*AV82*I82),2)*BB82),2)+ROUND((ROUND(((AE82-((EU82*1.2)))*AV82*I82),2)*BS82),2))</f>
        <v>14.48</v>
      </c>
      <c r="R82" s="2">
        <f>(ROUND((ROUND((((EU82*1.2))*AV82*I82),2)*BS82),2)+ROUND((ROUND(((AE82-((EU82*1.2)))*AV82*I82),2)*BS82),2))</f>
        <v>0</v>
      </c>
      <c r="S82" s="2">
        <f t="shared" si="65"/>
        <v>232.7</v>
      </c>
      <c r="T82" s="2">
        <f t="shared" si="66"/>
        <v>0</v>
      </c>
      <c r="U82" s="2">
        <f t="shared" si="67"/>
        <v>18.437759999999997</v>
      </c>
      <c r="V82" s="2">
        <f t="shared" si="68"/>
        <v>0</v>
      </c>
      <c r="W82" s="2">
        <f t="shared" si="69"/>
        <v>0</v>
      </c>
      <c r="X82" s="2">
        <f>(ROUND((((S82+ROUND((ROUND((((EU82*1.2))*AV82*I82),2)*BS82),2))*AT82)/100),2)+ROUND(((ROUND((ROUND(((AE82-((EU82*1.2)))*AV82*I82),2)*BS82),2)*AT82)/100),2))</f>
        <v>209.43</v>
      </c>
      <c r="Y82" s="2">
        <f>(ROUND((((S82+ROUND((ROUND((((EU82*1.2))*AV82*I82),2)*BS82),2))*AU82)/100),2)+ROUND(((ROUND((ROUND(((AE82-((EU82*1.2)))*AV82*I82),2)*BS82),2)*AU82)/100),2))</f>
        <v>107.04</v>
      </c>
      <c r="Z82" s="2"/>
      <c r="AA82" s="2">
        <v>85739205</v>
      </c>
      <c r="AB82" s="2">
        <f t="shared" si="70"/>
        <v>90.7</v>
      </c>
      <c r="AC82" s="2">
        <f>ROUND(((ES82*1)),6)</f>
        <v>13.48</v>
      </c>
      <c r="AD82" s="2">
        <f>ROUND(((((ET82*1.2))-((EU82*1.2)))+AE82),6)</f>
        <v>4.524</v>
      </c>
      <c r="AE82" s="2">
        <f>ROUND(((EU82*1.2)),6)</f>
        <v>0</v>
      </c>
      <c r="AF82" s="2">
        <f>ROUND(((EV82*1.2)),6)</f>
        <v>72.695999999999998</v>
      </c>
      <c r="AG82" s="2">
        <f t="shared" si="71"/>
        <v>0</v>
      </c>
      <c r="AH82" s="2">
        <f>((EW82*1.2))</f>
        <v>5.76</v>
      </c>
      <c r="AI82" s="2">
        <f>((EX82*1.2))</f>
        <v>0</v>
      </c>
      <c r="AJ82" s="2">
        <f t="shared" si="72"/>
        <v>0</v>
      </c>
      <c r="AK82" s="2">
        <v>77.83</v>
      </c>
      <c r="AL82" s="2">
        <v>13.48</v>
      </c>
      <c r="AM82" s="2">
        <v>3.77</v>
      </c>
      <c r="AN82" s="2">
        <v>0</v>
      </c>
      <c r="AO82" s="2">
        <v>60.58</v>
      </c>
      <c r="AP82" s="2">
        <v>0</v>
      </c>
      <c r="AQ82" s="2">
        <v>4.8</v>
      </c>
      <c r="AR82" s="2">
        <v>0</v>
      </c>
      <c r="AS82" s="2">
        <v>0</v>
      </c>
      <c r="AT82" s="2">
        <v>90</v>
      </c>
      <c r="AU82" s="2">
        <v>46</v>
      </c>
      <c r="AV82" s="2">
        <v>1.0669999999999999</v>
      </c>
      <c r="AW82" s="2">
        <v>1.028</v>
      </c>
      <c r="AX82" s="2"/>
      <c r="AY82" s="2"/>
      <c r="AZ82" s="2">
        <v>1</v>
      </c>
      <c r="BA82" s="2">
        <v>1</v>
      </c>
      <c r="BB82" s="2">
        <v>1</v>
      </c>
      <c r="BC82" s="2">
        <v>1</v>
      </c>
      <c r="BD82" s="2" t="s">
        <v>3</v>
      </c>
      <c r="BE82" s="2" t="s">
        <v>3</v>
      </c>
      <c r="BF82" s="2" t="s">
        <v>3</v>
      </c>
      <c r="BG82" s="2" t="s">
        <v>3</v>
      </c>
      <c r="BH82" s="2">
        <v>0</v>
      </c>
      <c r="BI82" s="2">
        <v>2</v>
      </c>
      <c r="BJ82" s="2" t="s">
        <v>162</v>
      </c>
      <c r="BK82" s="2"/>
      <c r="BL82" s="2"/>
      <c r="BM82" s="2">
        <v>73</v>
      </c>
      <c r="BN82" s="2">
        <v>0</v>
      </c>
      <c r="BO82" s="2" t="s">
        <v>160</v>
      </c>
      <c r="BP82" s="2">
        <v>1</v>
      </c>
      <c r="BQ82" s="2">
        <v>40</v>
      </c>
      <c r="BR82" s="2">
        <v>0</v>
      </c>
      <c r="BS82" s="2">
        <v>1</v>
      </c>
      <c r="BT82" s="2">
        <v>1</v>
      </c>
      <c r="BU82" s="2">
        <v>1</v>
      </c>
      <c r="BV82" s="2">
        <v>1</v>
      </c>
      <c r="BW82" s="2">
        <v>1</v>
      </c>
      <c r="BX82" s="2">
        <v>1</v>
      </c>
      <c r="BY82" s="2" t="s">
        <v>3</v>
      </c>
      <c r="BZ82" s="2">
        <v>90</v>
      </c>
      <c r="CA82" s="2">
        <v>46</v>
      </c>
      <c r="CB82" s="2" t="s">
        <v>3</v>
      </c>
      <c r="CC82" s="2"/>
      <c r="CD82" s="2"/>
      <c r="CE82" s="2">
        <v>1566</v>
      </c>
      <c r="CF82" s="2">
        <v>0</v>
      </c>
      <c r="CG82" s="2">
        <v>0</v>
      </c>
      <c r="CH82" s="2"/>
      <c r="CI82" s="2"/>
      <c r="CJ82" s="2"/>
      <c r="CK82" s="2"/>
      <c r="CL82" s="2"/>
      <c r="CM82" s="2">
        <v>0</v>
      </c>
      <c r="CN82" s="2" t="s">
        <v>677</v>
      </c>
      <c r="CO82" s="2">
        <v>0</v>
      </c>
      <c r="CP82" s="2">
        <f t="shared" si="73"/>
        <v>288.75</v>
      </c>
      <c r="CQ82" s="2">
        <f t="shared" si="61"/>
        <v>13.86</v>
      </c>
      <c r="CR82" s="2">
        <f>(ROUND((ROUND((((ET82*1.2))*AV82*1),2)*BB82),2)+ROUND((ROUND(((AE82-((EU82*1.2)))*AV82*1),2)*BS82),2))</f>
        <v>4.83</v>
      </c>
      <c r="CS82" s="2">
        <f>(ROUND((ROUND((((EU82*1.2))*AV82*1),2)*BS82),2)+ROUND((ROUND(((AE82-((EU82*1.2)))*AV82*1),2)*BS82),2))</f>
        <v>0</v>
      </c>
      <c r="CT82" s="2">
        <f t="shared" si="74"/>
        <v>77.569999999999993</v>
      </c>
      <c r="CU82" s="2">
        <f t="shared" si="75"/>
        <v>0</v>
      </c>
      <c r="CV82" s="2">
        <f t="shared" si="76"/>
        <v>6.1459199999999994</v>
      </c>
      <c r="CW82" s="2">
        <f t="shared" si="77"/>
        <v>0</v>
      </c>
      <c r="CX82" s="2">
        <f t="shared" si="78"/>
        <v>0</v>
      </c>
      <c r="CY82" s="2">
        <f>(ROUND((((S82+ROUND((ROUND((((EU82*1.2))*AV82*1),2)*BS82),2))*AT82)/100),2)+ROUND(((ROUND((ROUND(((AE82-((EU82*1.2)))*AV82*1),2)*BS82),2)*AT82)/100),2))</f>
        <v>209.43</v>
      </c>
      <c r="CZ82" s="2">
        <f>(ROUND((((S82+ROUND((ROUND((((EU82*1.2))*AV82*1),2)*BS82),2))*AU82)/100),2)+ROUND(((ROUND((ROUND(((AE82-((EU82*1.2)))*AV82*1),2)*BS82),2)*AU82)/100),2))</f>
        <v>107.04</v>
      </c>
      <c r="DA82" s="2"/>
      <c r="DB82" s="2">
        <v>35</v>
      </c>
      <c r="DC82" s="2" t="s">
        <v>3</v>
      </c>
      <c r="DD82" s="2" t="s">
        <v>35</v>
      </c>
      <c r="DE82" s="2" t="s">
        <v>36</v>
      </c>
      <c r="DF82" s="2" t="s">
        <v>36</v>
      </c>
      <c r="DG82" s="2" t="s">
        <v>36</v>
      </c>
      <c r="DH82" s="2" t="s">
        <v>3</v>
      </c>
      <c r="DI82" s="2" t="s">
        <v>36</v>
      </c>
      <c r="DJ82" s="2" t="s">
        <v>36</v>
      </c>
      <c r="DK82" s="2" t="s">
        <v>3</v>
      </c>
      <c r="DL82" s="2" t="s">
        <v>3</v>
      </c>
      <c r="DM82" s="2" t="s">
        <v>3</v>
      </c>
      <c r="DN82" s="2">
        <v>0</v>
      </c>
      <c r="DO82" s="2">
        <v>0</v>
      </c>
      <c r="DP82" s="2">
        <v>1</v>
      </c>
      <c r="DQ82" s="2">
        <v>1</v>
      </c>
      <c r="DR82" s="2"/>
      <c r="DS82" s="2"/>
      <c r="DT82" s="2"/>
      <c r="DU82" s="2">
        <v>1013</v>
      </c>
      <c r="DV82" s="2" t="s">
        <v>23</v>
      </c>
      <c r="DW82" s="2" t="s">
        <v>23</v>
      </c>
      <c r="DX82" s="2">
        <v>1</v>
      </c>
      <c r="DY82" s="2"/>
      <c r="DZ82" s="2" t="s">
        <v>3</v>
      </c>
      <c r="EA82" s="2" t="s">
        <v>3</v>
      </c>
      <c r="EB82" s="2" t="s">
        <v>3</v>
      </c>
      <c r="EC82" s="2" t="s">
        <v>3</v>
      </c>
      <c r="ED82" s="2"/>
      <c r="EE82" s="2">
        <v>85133422</v>
      </c>
      <c r="EF82" s="2">
        <v>40</v>
      </c>
      <c r="EG82" s="2" t="s">
        <v>27</v>
      </c>
      <c r="EH82" s="2">
        <v>0</v>
      </c>
      <c r="EI82" s="2" t="s">
        <v>3</v>
      </c>
      <c r="EJ82" s="2">
        <v>2</v>
      </c>
      <c r="EK82" s="2">
        <v>73</v>
      </c>
      <c r="EL82" s="2" t="s">
        <v>62</v>
      </c>
      <c r="EM82" s="2" t="s">
        <v>63</v>
      </c>
      <c r="EN82" s="2"/>
      <c r="EO82" s="2" t="s">
        <v>37</v>
      </c>
      <c r="EP82" s="2"/>
      <c r="EQ82" s="2">
        <v>0</v>
      </c>
      <c r="ER82" s="2">
        <v>77.83</v>
      </c>
      <c r="ES82" s="2">
        <v>13.48</v>
      </c>
      <c r="ET82" s="2">
        <v>3.77</v>
      </c>
      <c r="EU82" s="2">
        <v>0</v>
      </c>
      <c r="EV82" s="2">
        <v>60.58</v>
      </c>
      <c r="EW82" s="2">
        <v>4.8</v>
      </c>
      <c r="EX82" s="2">
        <v>0</v>
      </c>
      <c r="EY82" s="2">
        <v>0</v>
      </c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>
        <v>0</v>
      </c>
      <c r="FR82" s="2">
        <v>0</v>
      </c>
      <c r="FS82" s="2">
        <v>2</v>
      </c>
      <c r="FT82" s="2"/>
      <c r="FU82" s="2"/>
      <c r="FV82" s="2"/>
      <c r="FW82" s="2"/>
      <c r="FX82" s="2">
        <v>90</v>
      </c>
      <c r="FY82" s="2">
        <v>46</v>
      </c>
      <c r="FZ82" s="2"/>
      <c r="GA82" s="2" t="s">
        <v>3</v>
      </c>
      <c r="GB82" s="2"/>
      <c r="GC82" s="2"/>
      <c r="GD82" s="2">
        <v>1</v>
      </c>
      <c r="GE82" s="2"/>
      <c r="GF82" s="2">
        <v>-48300756</v>
      </c>
      <c r="GG82" s="2">
        <v>2</v>
      </c>
      <c r="GH82" s="2">
        <v>1</v>
      </c>
      <c r="GI82" s="2">
        <v>2</v>
      </c>
      <c r="GJ82" s="2">
        <v>0</v>
      </c>
      <c r="GK82" s="2">
        <v>0</v>
      </c>
      <c r="GL82" s="2">
        <f t="shared" si="79"/>
        <v>0</v>
      </c>
      <c r="GM82" s="2">
        <f t="shared" si="80"/>
        <v>605.22</v>
      </c>
      <c r="GN82" s="2">
        <f t="shared" si="81"/>
        <v>0</v>
      </c>
      <c r="GO82" s="2">
        <f t="shared" si="82"/>
        <v>605.22</v>
      </c>
      <c r="GP82" s="2">
        <f t="shared" si="83"/>
        <v>0</v>
      </c>
      <c r="GQ82" s="2"/>
      <c r="GR82" s="2">
        <v>0</v>
      </c>
      <c r="GS82" s="2">
        <v>3</v>
      </c>
      <c r="GT82" s="2">
        <v>0</v>
      </c>
      <c r="GU82" s="2" t="s">
        <v>3</v>
      </c>
      <c r="GV82" s="2">
        <f t="shared" si="84"/>
        <v>0</v>
      </c>
      <c r="GW82" s="2">
        <v>1</v>
      </c>
      <c r="GX82" s="2">
        <f t="shared" si="85"/>
        <v>0</v>
      </c>
      <c r="GY82" s="2"/>
      <c r="GZ82" s="2"/>
      <c r="HA82" s="2">
        <v>0</v>
      </c>
      <c r="HB82" s="2">
        <v>0</v>
      </c>
      <c r="HC82" s="2">
        <f t="shared" si="86"/>
        <v>0</v>
      </c>
      <c r="HD82" s="2"/>
      <c r="HE82" s="2" t="s">
        <v>3</v>
      </c>
      <c r="HF82" s="2" t="s">
        <v>3</v>
      </c>
      <c r="HG82" s="2"/>
      <c r="HH82" s="2"/>
      <c r="HI82" s="2"/>
      <c r="HJ82" s="2"/>
      <c r="HK82" s="2"/>
      <c r="HL82" s="2"/>
      <c r="HM82" s="2" t="s">
        <v>3</v>
      </c>
      <c r="HN82" s="2" t="s">
        <v>3</v>
      </c>
      <c r="HO82" s="2" t="s">
        <v>3</v>
      </c>
      <c r="HP82" s="2" t="s">
        <v>3</v>
      </c>
      <c r="HQ82" s="2" t="s">
        <v>3</v>
      </c>
      <c r="HR82" s="2"/>
      <c r="HS82" s="2">
        <v>0</v>
      </c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>
        <v>0</v>
      </c>
      <c r="IL82" s="2"/>
      <c r="IM82" s="2"/>
      <c r="IN82" s="2"/>
      <c r="IO82" s="2"/>
      <c r="IP82" s="2"/>
      <c r="IQ82" s="2"/>
      <c r="IR82" s="2"/>
      <c r="IS82" s="2"/>
      <c r="IT82" s="2"/>
      <c r="IU82" s="2"/>
    </row>
    <row r="83" spans="1:255" x14ac:dyDescent="0.2">
      <c r="A83" s="3">
        <v>17</v>
      </c>
      <c r="B83" s="3">
        <v>1</v>
      </c>
      <c r="C83" s="3">
        <f>ROW(SmtRes!A198)</f>
        <v>198</v>
      </c>
      <c r="D83" s="3">
        <f>ROW(EtalonRes!A222)</f>
        <v>222</v>
      </c>
      <c r="E83" s="3" t="s">
        <v>159</v>
      </c>
      <c r="F83" s="3" t="s">
        <v>160</v>
      </c>
      <c r="G83" s="3" t="s">
        <v>161</v>
      </c>
      <c r="H83" s="3" t="s">
        <v>23</v>
      </c>
      <c r="I83" s="3">
        <f>ROUND(2+1,9)</f>
        <v>3</v>
      </c>
      <c r="J83" s="3">
        <v>0</v>
      </c>
      <c r="K83" s="3">
        <f>ROUND(2+1,9)</f>
        <v>3</v>
      </c>
      <c r="O83" s="3">
        <f t="shared" si="64"/>
        <v>13543.53</v>
      </c>
      <c r="P83" s="3">
        <f t="shared" si="60"/>
        <v>236.12</v>
      </c>
      <c r="Q83" s="3">
        <f>(ROUND((ROUND((((ET83*1.2))*AV83*I83),2)*BB83),2)+ROUND((ROUND(((AE83-((EU83*1.2)))*AV83*I83),2)*BS83),2))</f>
        <v>194.76</v>
      </c>
      <c r="R83" s="3">
        <f>(ROUND((ROUND((((EU83*1.2))*AV83*I83),2)*BS83),2)+ROUND((ROUND(((AE83-((EU83*1.2)))*AV83*I83),2)*BS83),2))</f>
        <v>0</v>
      </c>
      <c r="S83" s="3">
        <f t="shared" si="65"/>
        <v>13112.65</v>
      </c>
      <c r="T83" s="3">
        <f t="shared" si="66"/>
        <v>0</v>
      </c>
      <c r="U83" s="3">
        <f t="shared" si="67"/>
        <v>18.437759999999997</v>
      </c>
      <c r="V83" s="3">
        <f t="shared" si="68"/>
        <v>0</v>
      </c>
      <c r="W83" s="3">
        <f t="shared" si="69"/>
        <v>0</v>
      </c>
      <c r="X83" s="3">
        <f>(ROUND((((S83+ROUND((ROUND((((EU83*1.2))*AV83*I83),2)*BS83),2))*AT83)/100),2)+ROUND(((ROUND((ROUND(((AE83-((EU83*1.2)))*AV83*I83),2)*BS83),2)*AT83)/100),2))</f>
        <v>11801.39</v>
      </c>
      <c r="Y83" s="3">
        <f>(ROUND((((S83+ROUND((ROUND((((EU83*1.2))*AV83*I83),2)*BS83),2))*AU83)/100),2)+ROUND(((ROUND((ROUND(((AE83-((EU83*1.2)))*AV83*I83),2)*BS83),2)*AU83)/100),2))</f>
        <v>6031.82</v>
      </c>
      <c r="AA83" s="3">
        <v>85739207</v>
      </c>
      <c r="AB83" s="3">
        <f t="shared" si="70"/>
        <v>90.7</v>
      </c>
      <c r="AC83" s="3">
        <f>ROUND(((ES83*1)),6)</f>
        <v>13.48</v>
      </c>
      <c r="AD83" s="3">
        <f>ROUND(((((ET83*1.2))-((EU83*1.2)))+AE83),6)</f>
        <v>4.524</v>
      </c>
      <c r="AE83" s="3">
        <f>ROUND(((EU83*1.2)),6)</f>
        <v>0</v>
      </c>
      <c r="AF83" s="3">
        <f>ROUND(((EV83*1.2)),6)</f>
        <v>72.695999999999998</v>
      </c>
      <c r="AG83" s="3">
        <f t="shared" si="71"/>
        <v>0</v>
      </c>
      <c r="AH83" s="3">
        <f>((EW83*1.2))</f>
        <v>5.76</v>
      </c>
      <c r="AI83" s="3">
        <f>((EX83*1.2))</f>
        <v>0</v>
      </c>
      <c r="AJ83" s="3">
        <f t="shared" si="72"/>
        <v>0</v>
      </c>
      <c r="AK83" s="3">
        <v>77.83</v>
      </c>
      <c r="AL83" s="3">
        <v>13.48</v>
      </c>
      <c r="AM83" s="3">
        <v>3.77</v>
      </c>
      <c r="AN83" s="3">
        <v>0</v>
      </c>
      <c r="AO83" s="3">
        <v>60.58</v>
      </c>
      <c r="AP83" s="3">
        <v>0</v>
      </c>
      <c r="AQ83" s="3">
        <v>4.8</v>
      </c>
      <c r="AR83" s="3">
        <v>0</v>
      </c>
      <c r="AS83" s="3">
        <v>0</v>
      </c>
      <c r="AT83" s="3">
        <v>90</v>
      </c>
      <c r="AU83" s="3">
        <v>46</v>
      </c>
      <c r="AV83" s="3">
        <v>1.0669999999999999</v>
      </c>
      <c r="AW83" s="3">
        <v>1.028</v>
      </c>
      <c r="AZ83" s="3">
        <v>1</v>
      </c>
      <c r="BA83" s="3">
        <v>56.35</v>
      </c>
      <c r="BB83" s="3">
        <v>13.45</v>
      </c>
      <c r="BC83" s="3">
        <v>5.68</v>
      </c>
      <c r="BD83" s="3" t="s">
        <v>3</v>
      </c>
      <c r="BE83" s="3" t="s">
        <v>3</v>
      </c>
      <c r="BF83" s="3" t="s">
        <v>3</v>
      </c>
      <c r="BG83" s="3" t="s">
        <v>3</v>
      </c>
      <c r="BH83" s="3">
        <v>0</v>
      </c>
      <c r="BI83" s="3">
        <v>2</v>
      </c>
      <c r="BJ83" s="3" t="s">
        <v>162</v>
      </c>
      <c r="BM83" s="3">
        <v>73</v>
      </c>
      <c r="BN83" s="3">
        <v>0</v>
      </c>
      <c r="BO83" s="3" t="s">
        <v>160</v>
      </c>
      <c r="BP83" s="3">
        <v>1</v>
      </c>
      <c r="BQ83" s="3">
        <v>40</v>
      </c>
      <c r="BR83" s="3">
        <v>0</v>
      </c>
      <c r="BS83" s="3">
        <v>56.35</v>
      </c>
      <c r="BT83" s="3">
        <v>1</v>
      </c>
      <c r="BU83" s="3">
        <v>1</v>
      </c>
      <c r="BV83" s="3">
        <v>1</v>
      </c>
      <c r="BW83" s="3">
        <v>1</v>
      </c>
      <c r="BX83" s="3">
        <v>1</v>
      </c>
      <c r="BY83" s="3" t="s">
        <v>3</v>
      </c>
      <c r="BZ83" s="3">
        <v>90</v>
      </c>
      <c r="CA83" s="3">
        <v>46</v>
      </c>
      <c r="CB83" s="3" t="s">
        <v>3</v>
      </c>
      <c r="CE83" s="3">
        <v>1566</v>
      </c>
      <c r="CF83" s="3">
        <v>0</v>
      </c>
      <c r="CG83" s="3">
        <v>0</v>
      </c>
      <c r="CM83" s="3">
        <v>0</v>
      </c>
      <c r="CN83" s="3" t="s">
        <v>677</v>
      </c>
      <c r="CO83" s="3">
        <v>0</v>
      </c>
      <c r="CP83" s="3">
        <f t="shared" si="73"/>
        <v>13543.529999999999</v>
      </c>
      <c r="CQ83" s="3">
        <f t="shared" si="61"/>
        <v>78.72</v>
      </c>
      <c r="CR83" s="3">
        <f>(ROUND((ROUND((((ET83*1.2))*AV83*1),2)*BB83),2)+ROUND((ROUND(((AE83-((EU83*1.2)))*AV83*1),2)*BS83),2))</f>
        <v>64.959999999999994</v>
      </c>
      <c r="CS83" s="3">
        <f>(ROUND((ROUND((((EU83*1.2))*AV83*1),2)*BS83),2)+ROUND((ROUND(((AE83-((EU83*1.2)))*AV83*1),2)*BS83),2))</f>
        <v>0</v>
      </c>
      <c r="CT83" s="3">
        <f t="shared" si="74"/>
        <v>4371.07</v>
      </c>
      <c r="CU83" s="3">
        <f t="shared" si="75"/>
        <v>0</v>
      </c>
      <c r="CV83" s="3">
        <f t="shared" si="76"/>
        <v>6.1459199999999994</v>
      </c>
      <c r="CW83" s="3">
        <f t="shared" si="77"/>
        <v>0</v>
      </c>
      <c r="CX83" s="3">
        <f t="shared" si="78"/>
        <v>0</v>
      </c>
      <c r="CY83" s="3">
        <f>(ROUND((((S83+ROUND((ROUND((((EU83*1.2))*AV83*1),2)*BS83),2))*AT83)/100),2)+ROUND(((ROUND((ROUND(((AE83-((EU83*1.2)))*AV83*1),2)*BS83),2)*AT83)/100),2))</f>
        <v>11801.39</v>
      </c>
      <c r="CZ83" s="3">
        <f>(ROUND((((S83+ROUND((ROUND((((EU83*1.2))*AV83*1),2)*BS83),2))*AU83)/100),2)+ROUND(((ROUND((ROUND(((AE83-((EU83*1.2)))*AV83*1),2)*BS83),2)*AU83)/100),2))</f>
        <v>6031.82</v>
      </c>
      <c r="DB83" s="3">
        <v>36</v>
      </c>
      <c r="DC83" s="3" t="s">
        <v>3</v>
      </c>
      <c r="DD83" s="3" t="s">
        <v>35</v>
      </c>
      <c r="DE83" s="3" t="s">
        <v>36</v>
      </c>
      <c r="DF83" s="3" t="s">
        <v>36</v>
      </c>
      <c r="DG83" s="3" t="s">
        <v>36</v>
      </c>
      <c r="DH83" s="3" t="s">
        <v>3</v>
      </c>
      <c r="DI83" s="3" t="s">
        <v>36</v>
      </c>
      <c r="DJ83" s="3" t="s">
        <v>36</v>
      </c>
      <c r="DK83" s="3" t="s">
        <v>3</v>
      </c>
      <c r="DL83" s="3" t="s">
        <v>3</v>
      </c>
      <c r="DM83" s="3" t="s">
        <v>3</v>
      </c>
      <c r="DN83" s="3">
        <v>0</v>
      </c>
      <c r="DO83" s="3">
        <v>0</v>
      </c>
      <c r="DP83" s="3">
        <v>1</v>
      </c>
      <c r="DQ83" s="3">
        <v>1</v>
      </c>
      <c r="DU83" s="3">
        <v>1013</v>
      </c>
      <c r="DV83" s="3" t="s">
        <v>23</v>
      </c>
      <c r="DW83" s="3" t="s">
        <v>23</v>
      </c>
      <c r="DX83" s="3">
        <v>1</v>
      </c>
      <c r="DZ83" s="3" t="s">
        <v>3</v>
      </c>
      <c r="EA83" s="3" t="s">
        <v>3</v>
      </c>
      <c r="EB83" s="3" t="s">
        <v>3</v>
      </c>
      <c r="EC83" s="3" t="s">
        <v>3</v>
      </c>
      <c r="EE83" s="3">
        <v>85133422</v>
      </c>
      <c r="EF83" s="3">
        <v>40</v>
      </c>
      <c r="EG83" s="3" t="s">
        <v>27</v>
      </c>
      <c r="EH83" s="3">
        <v>0</v>
      </c>
      <c r="EI83" s="3" t="s">
        <v>3</v>
      </c>
      <c r="EJ83" s="3">
        <v>2</v>
      </c>
      <c r="EK83" s="3">
        <v>73</v>
      </c>
      <c r="EL83" s="3" t="s">
        <v>62</v>
      </c>
      <c r="EM83" s="3" t="s">
        <v>63</v>
      </c>
      <c r="EO83" s="3" t="s">
        <v>37</v>
      </c>
      <c r="EQ83" s="3">
        <v>0</v>
      </c>
      <c r="ER83" s="3">
        <v>77.83</v>
      </c>
      <c r="ES83" s="3">
        <v>13.48</v>
      </c>
      <c r="ET83" s="3">
        <v>3.77</v>
      </c>
      <c r="EU83" s="3">
        <v>0</v>
      </c>
      <c r="EV83" s="3">
        <v>60.58</v>
      </c>
      <c r="EW83" s="3">
        <v>4.8</v>
      </c>
      <c r="EX83" s="3">
        <v>0</v>
      </c>
      <c r="EY83" s="3">
        <v>0</v>
      </c>
      <c r="FQ83" s="3">
        <v>0</v>
      </c>
      <c r="FR83" s="3">
        <v>0</v>
      </c>
      <c r="FS83" s="3">
        <v>2</v>
      </c>
      <c r="FX83" s="3">
        <v>90</v>
      </c>
      <c r="FY83" s="3">
        <v>46</v>
      </c>
      <c r="GA83" s="3" t="s">
        <v>3</v>
      </c>
      <c r="GD83" s="3">
        <v>1</v>
      </c>
      <c r="GF83" s="3">
        <v>-48300756</v>
      </c>
      <c r="GG83" s="3">
        <v>2</v>
      </c>
      <c r="GH83" s="3">
        <v>1</v>
      </c>
      <c r="GI83" s="3">
        <v>2</v>
      </c>
      <c r="GJ83" s="3">
        <v>0</v>
      </c>
      <c r="GK83" s="3">
        <v>0</v>
      </c>
      <c r="GL83" s="3">
        <f t="shared" si="79"/>
        <v>0</v>
      </c>
      <c r="GM83" s="3">
        <f t="shared" si="80"/>
        <v>31376.74</v>
      </c>
      <c r="GN83" s="3">
        <f t="shared" si="81"/>
        <v>0</v>
      </c>
      <c r="GO83" s="3">
        <f t="shared" si="82"/>
        <v>31376.74</v>
      </c>
      <c r="GP83" s="3">
        <f t="shared" si="83"/>
        <v>0</v>
      </c>
      <c r="GR83" s="3">
        <v>0</v>
      </c>
      <c r="GS83" s="3">
        <v>3</v>
      </c>
      <c r="GT83" s="3">
        <v>0</v>
      </c>
      <c r="GU83" s="3" t="s">
        <v>3</v>
      </c>
      <c r="GV83" s="3">
        <f t="shared" si="84"/>
        <v>0</v>
      </c>
      <c r="GW83" s="3">
        <v>1</v>
      </c>
      <c r="GX83" s="3">
        <f t="shared" si="85"/>
        <v>0</v>
      </c>
      <c r="HA83" s="3">
        <v>0</v>
      </c>
      <c r="HB83" s="3">
        <v>0</v>
      </c>
      <c r="HC83" s="3">
        <f t="shared" si="86"/>
        <v>0</v>
      </c>
      <c r="HE83" s="3" t="s">
        <v>3</v>
      </c>
      <c r="HF83" s="3" t="s">
        <v>3</v>
      </c>
      <c r="HM83" s="3" t="s">
        <v>3</v>
      </c>
      <c r="HN83" s="3" t="s">
        <v>3</v>
      </c>
      <c r="HO83" s="3" t="s">
        <v>3</v>
      </c>
      <c r="HP83" s="3" t="s">
        <v>3</v>
      </c>
      <c r="HQ83" s="3" t="s">
        <v>3</v>
      </c>
      <c r="HS83" s="3">
        <v>0</v>
      </c>
      <c r="IK83" s="3">
        <v>0</v>
      </c>
    </row>
    <row r="84" spans="1:255" x14ac:dyDescent="0.2">
      <c r="A84" s="2">
        <v>18</v>
      </c>
      <c r="B84" s="2">
        <v>1</v>
      </c>
      <c r="C84" s="2">
        <v>190</v>
      </c>
      <c r="D84" s="2"/>
      <c r="E84" s="2" t="s">
        <v>163</v>
      </c>
      <c r="F84" s="2" t="s">
        <v>164</v>
      </c>
      <c r="G84" s="2" t="s">
        <v>165</v>
      </c>
      <c r="H84" s="2" t="s">
        <v>99</v>
      </c>
      <c r="I84" s="2">
        <f>I82*J84</f>
        <v>2</v>
      </c>
      <c r="J84" s="2">
        <v>0.66666666666666663</v>
      </c>
      <c r="K84" s="2">
        <v>0.66666669999999995</v>
      </c>
      <c r="L84" s="2"/>
      <c r="M84" s="2"/>
      <c r="N84" s="2"/>
      <c r="O84" s="2">
        <f t="shared" si="64"/>
        <v>279.66000000000003</v>
      </c>
      <c r="P84" s="2">
        <f t="shared" ref="P84:P115" si="91">ROUND((ROUND((AC84*AW84*I84),2)*BC84),2)</f>
        <v>279.66000000000003</v>
      </c>
      <c r="Q84" s="2">
        <f>(ROUND((ROUND(((ET84)*AV84*I84),2)*BB84),2)+ROUND((ROUND(((AE84-(EU84))*AV84*I84),2)*BS84),2))</f>
        <v>0</v>
      </c>
      <c r="R84" s="2">
        <f>(ROUND((ROUND(((EU84)*AV84*I84),2)*BS84),2)+ROUND((ROUND(((AE84-(EU84))*AV84*I84),2)*BS84),2))</f>
        <v>0</v>
      </c>
      <c r="S84" s="2">
        <f t="shared" si="65"/>
        <v>0</v>
      </c>
      <c r="T84" s="2">
        <f t="shared" si="66"/>
        <v>0</v>
      </c>
      <c r="U84" s="2">
        <f t="shared" si="67"/>
        <v>0</v>
      </c>
      <c r="V84" s="2">
        <f t="shared" si="68"/>
        <v>0</v>
      </c>
      <c r="W84" s="2">
        <f t="shared" si="69"/>
        <v>0</v>
      </c>
      <c r="X84" s="2">
        <f>(ROUND((((S84+ROUND((ROUND(((EU84)*AV84*I84),2)*BS84),2))*AT84)/100),2)+ROUND(((ROUND((ROUND(((AE84-(EU84))*AV84*I84),2)*BS84),2)*AT84)/100),2))</f>
        <v>0</v>
      </c>
      <c r="Y84" s="2">
        <f>(ROUND((((S84+ROUND((ROUND(((EU84)*AV84*I84),2)*BS84),2))*AU84)/100),2)+ROUND(((ROUND((ROUND(((AE84-(EU84))*AV84*I84),2)*BS84),2)*AU84)/100),2))</f>
        <v>0</v>
      </c>
      <c r="Z84" s="2"/>
      <c r="AA84" s="2">
        <v>85739205</v>
      </c>
      <c r="AB84" s="2">
        <f t="shared" si="70"/>
        <v>139.83000000000001</v>
      </c>
      <c r="AC84" s="2">
        <f>ROUND((ES84),6)</f>
        <v>139.83000000000001</v>
      </c>
      <c r="AD84" s="2">
        <f>ROUND((((ET84)-(EU84))+AE84),6)</f>
        <v>0</v>
      </c>
      <c r="AE84" s="2">
        <f t="shared" ref="AE84:AF87" si="92">ROUND((EU84),6)</f>
        <v>0</v>
      </c>
      <c r="AF84" s="2">
        <f t="shared" si="92"/>
        <v>0</v>
      </c>
      <c r="AG84" s="2">
        <f t="shared" si="71"/>
        <v>0</v>
      </c>
      <c r="AH84" s="2">
        <f t="shared" ref="AH84:AI87" si="93">(EW84)</f>
        <v>0</v>
      </c>
      <c r="AI84" s="2">
        <f t="shared" si="93"/>
        <v>0</v>
      </c>
      <c r="AJ84" s="2">
        <f t="shared" si="72"/>
        <v>0</v>
      </c>
      <c r="AK84" s="2">
        <v>139.83000000000001</v>
      </c>
      <c r="AL84" s="2">
        <v>139.83000000000001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90</v>
      </c>
      <c r="AU84" s="2">
        <v>46</v>
      </c>
      <c r="AV84" s="2">
        <v>1</v>
      </c>
      <c r="AW84" s="2">
        <v>1</v>
      </c>
      <c r="AX84" s="2"/>
      <c r="AY84" s="2"/>
      <c r="AZ84" s="2">
        <v>1</v>
      </c>
      <c r="BA84" s="2">
        <v>1</v>
      </c>
      <c r="BB84" s="2">
        <v>1</v>
      </c>
      <c r="BC84" s="2">
        <v>1</v>
      </c>
      <c r="BD84" s="2" t="s">
        <v>3</v>
      </c>
      <c r="BE84" s="2" t="s">
        <v>3</v>
      </c>
      <c r="BF84" s="2" t="s">
        <v>3</v>
      </c>
      <c r="BG84" s="2" t="s">
        <v>3</v>
      </c>
      <c r="BH84" s="2">
        <v>3</v>
      </c>
      <c r="BI84" s="2">
        <v>2</v>
      </c>
      <c r="BJ84" s="2" t="s">
        <v>166</v>
      </c>
      <c r="BK84" s="2"/>
      <c r="BL84" s="2"/>
      <c r="BM84" s="2">
        <v>73</v>
      </c>
      <c r="BN84" s="2">
        <v>0</v>
      </c>
      <c r="BO84" s="2" t="s">
        <v>3</v>
      </c>
      <c r="BP84" s="2">
        <v>0</v>
      </c>
      <c r="BQ84" s="2">
        <v>40</v>
      </c>
      <c r="BR84" s="2">
        <v>0</v>
      </c>
      <c r="BS84" s="2">
        <v>1</v>
      </c>
      <c r="BT84" s="2">
        <v>1</v>
      </c>
      <c r="BU84" s="2">
        <v>1</v>
      </c>
      <c r="BV84" s="2">
        <v>1</v>
      </c>
      <c r="BW84" s="2">
        <v>1</v>
      </c>
      <c r="BX84" s="2">
        <v>1</v>
      </c>
      <c r="BY84" s="2" t="s">
        <v>3</v>
      </c>
      <c r="BZ84" s="2">
        <v>90</v>
      </c>
      <c r="CA84" s="2">
        <v>46</v>
      </c>
      <c r="CB84" s="2" t="s">
        <v>3</v>
      </c>
      <c r="CC84" s="2"/>
      <c r="CD84" s="2"/>
      <c r="CE84" s="2">
        <v>1566</v>
      </c>
      <c r="CF84" s="2">
        <v>0</v>
      </c>
      <c r="CG84" s="2">
        <v>0</v>
      </c>
      <c r="CH84" s="2"/>
      <c r="CI84" s="2"/>
      <c r="CJ84" s="2"/>
      <c r="CK84" s="2"/>
      <c r="CL84" s="2"/>
      <c r="CM84" s="2">
        <v>0</v>
      </c>
      <c r="CN84" s="2" t="s">
        <v>679</v>
      </c>
      <c r="CO84" s="2">
        <v>0</v>
      </c>
      <c r="CP84" s="2">
        <f t="shared" si="73"/>
        <v>279.66000000000003</v>
      </c>
      <c r="CQ84" s="2">
        <f t="shared" ref="CQ84:CQ115" si="94">ROUND((ROUND((AC84*AW84*1),2)*BC84),2)</f>
        <v>139.83000000000001</v>
      </c>
      <c r="CR84" s="2">
        <f>(ROUND((ROUND(((ET84)*AV84*1),2)*BB84),2)+ROUND((ROUND(((AE84-(EU84))*AV84*1),2)*BS84),2))</f>
        <v>0</v>
      </c>
      <c r="CS84" s="2">
        <f>(ROUND((ROUND(((EU84)*AV84*1),2)*BS84),2)+ROUND((ROUND(((AE84-(EU84))*AV84*1),2)*BS84),2))</f>
        <v>0</v>
      </c>
      <c r="CT84" s="2">
        <f t="shared" si="74"/>
        <v>0</v>
      </c>
      <c r="CU84" s="2">
        <f t="shared" si="75"/>
        <v>0</v>
      </c>
      <c r="CV84" s="2">
        <f t="shared" si="76"/>
        <v>0</v>
      </c>
      <c r="CW84" s="2">
        <f t="shared" si="77"/>
        <v>0</v>
      </c>
      <c r="CX84" s="2">
        <f t="shared" si="78"/>
        <v>0</v>
      </c>
      <c r="CY84" s="2">
        <f>(ROUND((((S84+ROUND((ROUND(((EU84)*AV84*1),2)*BS84),2))*AT84)/100),2)+ROUND(((ROUND((ROUND(((AE84-(EU84))*AV84*1),2)*BS84),2)*AT84)/100),2))</f>
        <v>0</v>
      </c>
      <c r="CZ84" s="2">
        <f>(ROUND((((S84+ROUND((ROUND(((EU84)*AV84*1),2)*BS84),2))*AU84)/100),2)+ROUND(((ROUND((ROUND(((AE84-(EU84))*AV84*1),2)*BS84),2)*AU84)/100),2))</f>
        <v>0</v>
      </c>
      <c r="DA84" s="2"/>
      <c r="DB84" s="2"/>
      <c r="DC84" s="2" t="s">
        <v>3</v>
      </c>
      <c r="DD84" s="2" t="s">
        <v>3</v>
      </c>
      <c r="DE84" s="2" t="s">
        <v>3</v>
      </c>
      <c r="DF84" s="2" t="s">
        <v>3</v>
      </c>
      <c r="DG84" s="2" t="s">
        <v>3</v>
      </c>
      <c r="DH84" s="2" t="s">
        <v>3</v>
      </c>
      <c r="DI84" s="2" t="s">
        <v>3</v>
      </c>
      <c r="DJ84" s="2" t="s">
        <v>3</v>
      </c>
      <c r="DK84" s="2" t="s">
        <v>3</v>
      </c>
      <c r="DL84" s="2" t="s">
        <v>3</v>
      </c>
      <c r="DM84" s="2" t="s">
        <v>3</v>
      </c>
      <c r="DN84" s="2">
        <v>0</v>
      </c>
      <c r="DO84" s="2">
        <v>0</v>
      </c>
      <c r="DP84" s="2">
        <v>1</v>
      </c>
      <c r="DQ84" s="2">
        <v>1</v>
      </c>
      <c r="DR84" s="2"/>
      <c r="DS84" s="2"/>
      <c r="DT84" s="2"/>
      <c r="DU84" s="2">
        <v>1010</v>
      </c>
      <c r="DV84" s="2" t="s">
        <v>99</v>
      </c>
      <c r="DW84" s="2" t="s">
        <v>99</v>
      </c>
      <c r="DX84" s="2">
        <v>1</v>
      </c>
      <c r="DY84" s="2"/>
      <c r="DZ84" s="2" t="s">
        <v>3</v>
      </c>
      <c r="EA84" s="2" t="s">
        <v>3</v>
      </c>
      <c r="EB84" s="2" t="s">
        <v>3</v>
      </c>
      <c r="EC84" s="2" t="s">
        <v>3</v>
      </c>
      <c r="ED84" s="2"/>
      <c r="EE84" s="2">
        <v>85133422</v>
      </c>
      <c r="EF84" s="2">
        <v>40</v>
      </c>
      <c r="EG84" s="2" t="s">
        <v>27</v>
      </c>
      <c r="EH84" s="2">
        <v>0</v>
      </c>
      <c r="EI84" s="2" t="s">
        <v>3</v>
      </c>
      <c r="EJ84" s="2">
        <v>2</v>
      </c>
      <c r="EK84" s="2">
        <v>73</v>
      </c>
      <c r="EL84" s="2" t="s">
        <v>62</v>
      </c>
      <c r="EM84" s="2" t="s">
        <v>63</v>
      </c>
      <c r="EN84" s="2"/>
      <c r="EO84" s="2" t="s">
        <v>37</v>
      </c>
      <c r="EP84" s="2"/>
      <c r="EQ84" s="2">
        <v>0</v>
      </c>
      <c r="ER84" s="2">
        <v>139.83000000000001</v>
      </c>
      <c r="ES84" s="2">
        <v>139.83000000000001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>
        <v>0</v>
      </c>
      <c r="FR84" s="2">
        <v>0</v>
      </c>
      <c r="FS84" s="2">
        <v>0</v>
      </c>
      <c r="FT84" s="2"/>
      <c r="FU84" s="2"/>
      <c r="FV84" s="2"/>
      <c r="FW84" s="2"/>
      <c r="FX84" s="2">
        <v>90</v>
      </c>
      <c r="FY84" s="2">
        <v>46</v>
      </c>
      <c r="FZ84" s="2"/>
      <c r="GA84" s="2" t="s">
        <v>3</v>
      </c>
      <c r="GB84" s="2"/>
      <c r="GC84" s="2"/>
      <c r="GD84" s="2">
        <v>1</v>
      </c>
      <c r="GE84" s="2"/>
      <c r="GF84" s="2">
        <v>698410904</v>
      </c>
      <c r="GG84" s="2">
        <v>2</v>
      </c>
      <c r="GH84" s="2">
        <v>1</v>
      </c>
      <c r="GI84" s="2">
        <v>-2</v>
      </c>
      <c r="GJ84" s="2">
        <v>0</v>
      </c>
      <c r="GK84" s="2">
        <v>0</v>
      </c>
      <c r="GL84" s="2">
        <f t="shared" si="79"/>
        <v>0</v>
      </c>
      <c r="GM84" s="2">
        <f t="shared" si="80"/>
        <v>279.66000000000003</v>
      </c>
      <c r="GN84" s="2">
        <f t="shared" si="81"/>
        <v>0</v>
      </c>
      <c r="GO84" s="2">
        <f t="shared" si="82"/>
        <v>279.66000000000003</v>
      </c>
      <c r="GP84" s="2">
        <f t="shared" si="83"/>
        <v>0</v>
      </c>
      <c r="GQ84" s="2"/>
      <c r="GR84" s="2">
        <v>0</v>
      </c>
      <c r="GS84" s="2">
        <v>3</v>
      </c>
      <c r="GT84" s="2">
        <v>0</v>
      </c>
      <c r="GU84" s="2" t="s">
        <v>3</v>
      </c>
      <c r="GV84" s="2">
        <f t="shared" si="84"/>
        <v>0</v>
      </c>
      <c r="GW84" s="2">
        <v>1</v>
      </c>
      <c r="GX84" s="2">
        <f t="shared" si="85"/>
        <v>0</v>
      </c>
      <c r="GY84" s="2"/>
      <c r="GZ84" s="2"/>
      <c r="HA84" s="2">
        <v>0</v>
      </c>
      <c r="HB84" s="2">
        <v>0</v>
      </c>
      <c r="HC84" s="2">
        <f t="shared" si="86"/>
        <v>0</v>
      </c>
      <c r="HD84" s="2"/>
      <c r="HE84" s="2" t="s">
        <v>3</v>
      </c>
      <c r="HF84" s="2" t="s">
        <v>3</v>
      </c>
      <c r="HG84" s="2"/>
      <c r="HH84" s="2"/>
      <c r="HI84" s="2"/>
      <c r="HJ84" s="2"/>
      <c r="HK84" s="2"/>
      <c r="HL84" s="2"/>
      <c r="HM84" s="2" t="s">
        <v>35</v>
      </c>
      <c r="HN84" s="2" t="s">
        <v>3</v>
      </c>
      <c r="HO84" s="2" t="s">
        <v>3</v>
      </c>
      <c r="HP84" s="2" t="s">
        <v>3</v>
      </c>
      <c r="HQ84" s="2" t="s">
        <v>3</v>
      </c>
      <c r="HR84" s="2"/>
      <c r="HS84" s="2">
        <v>0</v>
      </c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>
        <v>0</v>
      </c>
      <c r="IL84" s="2"/>
      <c r="IM84" s="2"/>
      <c r="IN84" s="2"/>
      <c r="IO84" s="2"/>
      <c r="IP84" s="2"/>
      <c r="IQ84" s="2"/>
      <c r="IR84" s="2"/>
      <c r="IS84" s="2"/>
      <c r="IT84" s="2"/>
      <c r="IU84" s="2"/>
    </row>
    <row r="85" spans="1:255" x14ac:dyDescent="0.2">
      <c r="A85" s="3">
        <v>18</v>
      </c>
      <c r="B85" s="3">
        <v>1</v>
      </c>
      <c r="C85" s="3">
        <v>198</v>
      </c>
      <c r="E85" s="3" t="s">
        <v>163</v>
      </c>
      <c r="F85" s="3" t="s">
        <v>164</v>
      </c>
      <c r="G85" s="3" t="s">
        <v>165</v>
      </c>
      <c r="H85" s="3" t="s">
        <v>99</v>
      </c>
      <c r="I85" s="3">
        <f>I83*J85</f>
        <v>2</v>
      </c>
      <c r="J85" s="3">
        <v>0.66666666666666663</v>
      </c>
      <c r="K85" s="3">
        <v>0.66666669999999995</v>
      </c>
      <c r="O85" s="3">
        <f t="shared" si="64"/>
        <v>936.86</v>
      </c>
      <c r="P85" s="3">
        <f t="shared" si="91"/>
        <v>936.86</v>
      </c>
      <c r="Q85" s="3">
        <f>(ROUND((ROUND(((ET85)*AV85*I85),2)*BB85),2)+ROUND((ROUND(((AE85-(EU85))*AV85*I85),2)*BS85),2))</f>
        <v>0</v>
      </c>
      <c r="R85" s="3">
        <f>(ROUND((ROUND(((EU85)*AV85*I85),2)*BS85),2)+ROUND((ROUND(((AE85-(EU85))*AV85*I85),2)*BS85),2))</f>
        <v>0</v>
      </c>
      <c r="S85" s="3">
        <f t="shared" si="65"/>
        <v>0</v>
      </c>
      <c r="T85" s="3">
        <f t="shared" si="66"/>
        <v>0</v>
      </c>
      <c r="U85" s="3">
        <f t="shared" si="67"/>
        <v>0</v>
      </c>
      <c r="V85" s="3">
        <f t="shared" si="68"/>
        <v>0</v>
      </c>
      <c r="W85" s="3">
        <f t="shared" si="69"/>
        <v>0</v>
      </c>
      <c r="X85" s="3">
        <f>(ROUND((((S85+ROUND((ROUND(((EU85)*AV85*I85),2)*BS85),2))*AT85)/100),2)+ROUND(((ROUND((ROUND(((AE85-(EU85))*AV85*I85),2)*BS85),2)*AT85)/100),2))</f>
        <v>0</v>
      </c>
      <c r="Y85" s="3">
        <f>(ROUND((((S85+ROUND((ROUND(((EU85)*AV85*I85),2)*BS85),2))*AU85)/100),2)+ROUND(((ROUND((ROUND(((AE85-(EU85))*AV85*I85),2)*BS85),2)*AU85)/100),2))</f>
        <v>0</v>
      </c>
      <c r="AA85" s="3">
        <v>85739207</v>
      </c>
      <c r="AB85" s="3">
        <f t="shared" si="70"/>
        <v>139.83000000000001</v>
      </c>
      <c r="AC85" s="3">
        <f>ROUND((ES85),6)</f>
        <v>139.83000000000001</v>
      </c>
      <c r="AD85" s="3">
        <f>ROUND((((ET85)-(EU85))+AE85),6)</f>
        <v>0</v>
      </c>
      <c r="AE85" s="3">
        <f t="shared" si="92"/>
        <v>0</v>
      </c>
      <c r="AF85" s="3">
        <f t="shared" si="92"/>
        <v>0</v>
      </c>
      <c r="AG85" s="3">
        <f t="shared" si="71"/>
        <v>0</v>
      </c>
      <c r="AH85" s="3">
        <f t="shared" si="93"/>
        <v>0</v>
      </c>
      <c r="AI85" s="3">
        <f t="shared" si="93"/>
        <v>0</v>
      </c>
      <c r="AJ85" s="3">
        <f t="shared" si="72"/>
        <v>0</v>
      </c>
      <c r="AK85" s="3">
        <v>139.83000000000001</v>
      </c>
      <c r="AL85" s="3">
        <v>139.83000000000001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90</v>
      </c>
      <c r="AU85" s="3">
        <v>46</v>
      </c>
      <c r="AV85" s="3">
        <v>1</v>
      </c>
      <c r="AW85" s="3">
        <v>1</v>
      </c>
      <c r="AZ85" s="3">
        <v>1</v>
      </c>
      <c r="BA85" s="3">
        <v>1</v>
      </c>
      <c r="BB85" s="3">
        <v>1</v>
      </c>
      <c r="BC85" s="3">
        <v>3.35</v>
      </c>
      <c r="BD85" s="3" t="s">
        <v>3</v>
      </c>
      <c r="BE85" s="3" t="s">
        <v>3</v>
      </c>
      <c r="BF85" s="3" t="s">
        <v>3</v>
      </c>
      <c r="BG85" s="3" t="s">
        <v>3</v>
      </c>
      <c r="BH85" s="3">
        <v>3</v>
      </c>
      <c r="BI85" s="3">
        <v>2</v>
      </c>
      <c r="BJ85" s="3" t="s">
        <v>166</v>
      </c>
      <c r="BM85" s="3">
        <v>73</v>
      </c>
      <c r="BN85" s="3">
        <v>0</v>
      </c>
      <c r="BO85" s="3" t="s">
        <v>164</v>
      </c>
      <c r="BP85" s="3">
        <v>1</v>
      </c>
      <c r="BQ85" s="3">
        <v>40</v>
      </c>
      <c r="BR85" s="3">
        <v>0</v>
      </c>
      <c r="BS85" s="3">
        <v>1</v>
      </c>
      <c r="BT85" s="3">
        <v>1</v>
      </c>
      <c r="BU85" s="3">
        <v>1</v>
      </c>
      <c r="BV85" s="3">
        <v>1</v>
      </c>
      <c r="BW85" s="3">
        <v>1</v>
      </c>
      <c r="BX85" s="3">
        <v>1</v>
      </c>
      <c r="BY85" s="3" t="s">
        <v>3</v>
      </c>
      <c r="BZ85" s="3">
        <v>90</v>
      </c>
      <c r="CA85" s="3">
        <v>46</v>
      </c>
      <c r="CB85" s="3" t="s">
        <v>3</v>
      </c>
      <c r="CE85" s="3">
        <v>1566</v>
      </c>
      <c r="CF85" s="3">
        <v>0</v>
      </c>
      <c r="CG85" s="3">
        <v>0</v>
      </c>
      <c r="CM85" s="3">
        <v>0</v>
      </c>
      <c r="CN85" s="3" t="s">
        <v>679</v>
      </c>
      <c r="CO85" s="3">
        <v>0</v>
      </c>
      <c r="CP85" s="3">
        <f t="shared" si="73"/>
        <v>936.86</v>
      </c>
      <c r="CQ85" s="3">
        <f t="shared" si="94"/>
        <v>468.43</v>
      </c>
      <c r="CR85" s="3">
        <f>(ROUND((ROUND(((ET85)*AV85*1),2)*BB85),2)+ROUND((ROUND(((AE85-(EU85))*AV85*1),2)*BS85),2))</f>
        <v>0</v>
      </c>
      <c r="CS85" s="3">
        <f>(ROUND((ROUND(((EU85)*AV85*1),2)*BS85),2)+ROUND((ROUND(((AE85-(EU85))*AV85*1),2)*BS85),2))</f>
        <v>0</v>
      </c>
      <c r="CT85" s="3">
        <f t="shared" si="74"/>
        <v>0</v>
      </c>
      <c r="CU85" s="3">
        <f t="shared" si="75"/>
        <v>0</v>
      </c>
      <c r="CV85" s="3">
        <f t="shared" si="76"/>
        <v>0</v>
      </c>
      <c r="CW85" s="3">
        <f t="shared" si="77"/>
        <v>0</v>
      </c>
      <c r="CX85" s="3">
        <f t="shared" si="78"/>
        <v>0</v>
      </c>
      <c r="CY85" s="3">
        <f>(ROUND((((S85+ROUND((ROUND(((EU85)*AV85*1),2)*BS85),2))*AT85)/100),2)+ROUND(((ROUND((ROUND(((AE85-(EU85))*AV85*1),2)*BS85),2)*AT85)/100),2))</f>
        <v>0</v>
      </c>
      <c r="CZ85" s="3">
        <f>(ROUND((((S85+ROUND((ROUND(((EU85)*AV85*1),2)*BS85),2))*AU85)/100),2)+ROUND(((ROUND((ROUND(((AE85-(EU85))*AV85*1),2)*BS85),2)*AU85)/100),2))</f>
        <v>0</v>
      </c>
      <c r="DC85" s="3" t="s">
        <v>3</v>
      </c>
      <c r="DD85" s="3" t="s">
        <v>3</v>
      </c>
      <c r="DE85" s="3" t="s">
        <v>3</v>
      </c>
      <c r="DF85" s="3" t="s">
        <v>3</v>
      </c>
      <c r="DG85" s="3" t="s">
        <v>3</v>
      </c>
      <c r="DH85" s="3" t="s">
        <v>3</v>
      </c>
      <c r="DI85" s="3" t="s">
        <v>3</v>
      </c>
      <c r="DJ85" s="3" t="s">
        <v>3</v>
      </c>
      <c r="DK85" s="3" t="s">
        <v>3</v>
      </c>
      <c r="DL85" s="3" t="s">
        <v>3</v>
      </c>
      <c r="DM85" s="3" t="s">
        <v>3</v>
      </c>
      <c r="DN85" s="3">
        <v>0</v>
      </c>
      <c r="DO85" s="3">
        <v>0</v>
      </c>
      <c r="DP85" s="3">
        <v>1</v>
      </c>
      <c r="DQ85" s="3">
        <v>1</v>
      </c>
      <c r="DU85" s="3">
        <v>1010</v>
      </c>
      <c r="DV85" s="3" t="s">
        <v>99</v>
      </c>
      <c r="DW85" s="3" t="s">
        <v>99</v>
      </c>
      <c r="DX85" s="3">
        <v>1</v>
      </c>
      <c r="DZ85" s="3" t="s">
        <v>3</v>
      </c>
      <c r="EA85" s="3" t="s">
        <v>3</v>
      </c>
      <c r="EB85" s="3" t="s">
        <v>3</v>
      </c>
      <c r="EC85" s="3" t="s">
        <v>3</v>
      </c>
      <c r="EE85" s="3">
        <v>85133422</v>
      </c>
      <c r="EF85" s="3">
        <v>40</v>
      </c>
      <c r="EG85" s="3" t="s">
        <v>27</v>
      </c>
      <c r="EH85" s="3">
        <v>0</v>
      </c>
      <c r="EI85" s="3" t="s">
        <v>3</v>
      </c>
      <c r="EJ85" s="3">
        <v>2</v>
      </c>
      <c r="EK85" s="3">
        <v>73</v>
      </c>
      <c r="EL85" s="3" t="s">
        <v>62</v>
      </c>
      <c r="EM85" s="3" t="s">
        <v>63</v>
      </c>
      <c r="EO85" s="3" t="s">
        <v>37</v>
      </c>
      <c r="EQ85" s="3">
        <v>0</v>
      </c>
      <c r="ER85" s="3">
        <v>139.83000000000001</v>
      </c>
      <c r="ES85" s="3">
        <v>139.83000000000001</v>
      </c>
      <c r="ET85" s="3">
        <v>0</v>
      </c>
      <c r="EU85" s="3">
        <v>0</v>
      </c>
      <c r="EV85" s="3">
        <v>0</v>
      </c>
      <c r="EW85" s="3">
        <v>0</v>
      </c>
      <c r="EX85" s="3">
        <v>0</v>
      </c>
      <c r="FQ85" s="3">
        <v>0</v>
      </c>
      <c r="FR85" s="3">
        <v>0</v>
      </c>
      <c r="FS85" s="3">
        <v>0</v>
      </c>
      <c r="FX85" s="3">
        <v>90</v>
      </c>
      <c r="FY85" s="3">
        <v>46</v>
      </c>
      <c r="GA85" s="3" t="s">
        <v>3</v>
      </c>
      <c r="GD85" s="3">
        <v>1</v>
      </c>
      <c r="GF85" s="3">
        <v>698410904</v>
      </c>
      <c r="GG85" s="3">
        <v>2</v>
      </c>
      <c r="GH85" s="3">
        <v>1</v>
      </c>
      <c r="GI85" s="3">
        <v>2</v>
      </c>
      <c r="GJ85" s="3">
        <v>0</v>
      </c>
      <c r="GK85" s="3">
        <v>0</v>
      </c>
      <c r="GL85" s="3">
        <f t="shared" si="79"/>
        <v>0</v>
      </c>
      <c r="GM85" s="3">
        <f t="shared" si="80"/>
        <v>936.86</v>
      </c>
      <c r="GN85" s="3">
        <f t="shared" si="81"/>
        <v>0</v>
      </c>
      <c r="GO85" s="3">
        <f t="shared" si="82"/>
        <v>936.86</v>
      </c>
      <c r="GP85" s="3">
        <f t="shared" si="83"/>
        <v>0</v>
      </c>
      <c r="GR85" s="3">
        <v>0</v>
      </c>
      <c r="GS85" s="3">
        <v>3</v>
      </c>
      <c r="GT85" s="3">
        <v>0</v>
      </c>
      <c r="GU85" s="3" t="s">
        <v>3</v>
      </c>
      <c r="GV85" s="3">
        <f t="shared" si="84"/>
        <v>0</v>
      </c>
      <c r="GW85" s="3">
        <v>1</v>
      </c>
      <c r="GX85" s="3">
        <f t="shared" si="85"/>
        <v>0</v>
      </c>
      <c r="HA85" s="3">
        <v>0</v>
      </c>
      <c r="HB85" s="3">
        <v>0</v>
      </c>
      <c r="HC85" s="3">
        <f t="shared" si="86"/>
        <v>0</v>
      </c>
      <c r="HE85" s="3" t="s">
        <v>3</v>
      </c>
      <c r="HF85" s="3" t="s">
        <v>3</v>
      </c>
      <c r="HM85" s="3" t="s">
        <v>35</v>
      </c>
      <c r="HN85" s="3" t="s">
        <v>3</v>
      </c>
      <c r="HO85" s="3" t="s">
        <v>3</v>
      </c>
      <c r="HP85" s="3" t="s">
        <v>3</v>
      </c>
      <c r="HQ85" s="3" t="s">
        <v>3</v>
      </c>
      <c r="HS85" s="3">
        <v>0</v>
      </c>
      <c r="IK85" s="3">
        <v>0</v>
      </c>
    </row>
    <row r="86" spans="1:255" x14ac:dyDescent="0.2">
      <c r="A86" s="2">
        <v>18</v>
      </c>
      <c r="B86" s="2">
        <v>1</v>
      </c>
      <c r="C86" s="2">
        <v>189</v>
      </c>
      <c r="D86" s="2"/>
      <c r="E86" s="2" t="s">
        <v>167</v>
      </c>
      <c r="F86" s="2" t="s">
        <v>168</v>
      </c>
      <c r="G86" s="2" t="s">
        <v>169</v>
      </c>
      <c r="H86" s="2" t="s">
        <v>99</v>
      </c>
      <c r="I86" s="2">
        <f>I82*J86</f>
        <v>1</v>
      </c>
      <c r="J86" s="2">
        <v>0.33333333333333331</v>
      </c>
      <c r="K86" s="2">
        <v>0.3333333</v>
      </c>
      <c r="L86" s="2"/>
      <c r="M86" s="2"/>
      <c r="N86" s="2"/>
      <c r="O86" s="2">
        <f t="shared" si="64"/>
        <v>279.67</v>
      </c>
      <c r="P86" s="2">
        <f t="shared" si="91"/>
        <v>279.67</v>
      </c>
      <c r="Q86" s="2">
        <f>(ROUND((ROUND(((ET86)*AV86*I86),2)*BB86),2)+ROUND((ROUND(((AE86-(EU86))*AV86*I86),2)*BS86),2))</f>
        <v>0</v>
      </c>
      <c r="R86" s="2">
        <f>(ROUND((ROUND(((EU86)*AV86*I86),2)*BS86),2)+ROUND((ROUND(((AE86-(EU86))*AV86*I86),2)*BS86),2))</f>
        <v>0</v>
      </c>
      <c r="S86" s="2">
        <f t="shared" si="65"/>
        <v>0</v>
      </c>
      <c r="T86" s="2">
        <f t="shared" si="66"/>
        <v>0</v>
      </c>
      <c r="U86" s="2">
        <f t="shared" si="67"/>
        <v>0</v>
      </c>
      <c r="V86" s="2">
        <f t="shared" si="68"/>
        <v>0</v>
      </c>
      <c r="W86" s="2">
        <f t="shared" si="69"/>
        <v>0</v>
      </c>
      <c r="X86" s="2">
        <f>(ROUND((((S86+ROUND((ROUND(((EU86)*AV86*I86),2)*BS86),2))*AT86)/100),2)+ROUND(((ROUND((ROUND(((AE86-(EU86))*AV86*I86),2)*BS86),2)*AT86)/100),2))</f>
        <v>0</v>
      </c>
      <c r="Y86" s="2">
        <f>(ROUND((((S86+ROUND((ROUND(((EU86)*AV86*I86),2)*BS86),2))*AU86)/100),2)+ROUND(((ROUND((ROUND(((AE86-(EU86))*AV86*I86),2)*BS86),2)*AU86)/100),2))</f>
        <v>0</v>
      </c>
      <c r="Z86" s="2"/>
      <c r="AA86" s="2">
        <v>85739205</v>
      </c>
      <c r="AB86" s="2">
        <f t="shared" si="70"/>
        <v>279.67</v>
      </c>
      <c r="AC86" s="2">
        <f>ROUND((ES86),6)</f>
        <v>279.67</v>
      </c>
      <c r="AD86" s="2">
        <f>ROUND((((ET86)-(EU86))+AE86),6)</f>
        <v>0</v>
      </c>
      <c r="AE86" s="2">
        <f t="shared" si="92"/>
        <v>0</v>
      </c>
      <c r="AF86" s="2">
        <f t="shared" si="92"/>
        <v>0</v>
      </c>
      <c r="AG86" s="2">
        <f t="shared" si="71"/>
        <v>0</v>
      </c>
      <c r="AH86" s="2">
        <f t="shared" si="93"/>
        <v>0</v>
      </c>
      <c r="AI86" s="2">
        <f t="shared" si="93"/>
        <v>0</v>
      </c>
      <c r="AJ86" s="2">
        <f t="shared" si="72"/>
        <v>0</v>
      </c>
      <c r="AK86" s="2">
        <v>279.67</v>
      </c>
      <c r="AL86" s="2">
        <v>279.67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90</v>
      </c>
      <c r="AU86" s="2">
        <v>46</v>
      </c>
      <c r="AV86" s="2">
        <v>1</v>
      </c>
      <c r="AW86" s="2">
        <v>1</v>
      </c>
      <c r="AX86" s="2"/>
      <c r="AY86" s="2"/>
      <c r="AZ86" s="2">
        <v>1</v>
      </c>
      <c r="BA86" s="2">
        <v>1</v>
      </c>
      <c r="BB86" s="2">
        <v>1</v>
      </c>
      <c r="BC86" s="2">
        <v>1</v>
      </c>
      <c r="BD86" s="2" t="s">
        <v>3</v>
      </c>
      <c r="BE86" s="2" t="s">
        <v>3</v>
      </c>
      <c r="BF86" s="2" t="s">
        <v>3</v>
      </c>
      <c r="BG86" s="2" t="s">
        <v>3</v>
      </c>
      <c r="BH86" s="2">
        <v>3</v>
      </c>
      <c r="BI86" s="2">
        <v>2</v>
      </c>
      <c r="BJ86" s="2" t="s">
        <v>170</v>
      </c>
      <c r="BK86" s="2"/>
      <c r="BL86" s="2"/>
      <c r="BM86" s="2">
        <v>73</v>
      </c>
      <c r="BN86" s="2">
        <v>0</v>
      </c>
      <c r="BO86" s="2" t="s">
        <v>3</v>
      </c>
      <c r="BP86" s="2">
        <v>0</v>
      </c>
      <c r="BQ86" s="2">
        <v>40</v>
      </c>
      <c r="BR86" s="2">
        <v>0</v>
      </c>
      <c r="BS86" s="2">
        <v>1</v>
      </c>
      <c r="BT86" s="2">
        <v>1</v>
      </c>
      <c r="BU86" s="2">
        <v>1</v>
      </c>
      <c r="BV86" s="2">
        <v>1</v>
      </c>
      <c r="BW86" s="2">
        <v>1</v>
      </c>
      <c r="BX86" s="2">
        <v>1</v>
      </c>
      <c r="BY86" s="2" t="s">
        <v>3</v>
      </c>
      <c r="BZ86" s="2">
        <v>90</v>
      </c>
      <c r="CA86" s="2">
        <v>46</v>
      </c>
      <c r="CB86" s="2" t="s">
        <v>3</v>
      </c>
      <c r="CC86" s="2"/>
      <c r="CD86" s="2"/>
      <c r="CE86" s="2">
        <v>1566</v>
      </c>
      <c r="CF86" s="2">
        <v>0</v>
      </c>
      <c r="CG86" s="2">
        <v>0</v>
      </c>
      <c r="CH86" s="2"/>
      <c r="CI86" s="2"/>
      <c r="CJ86" s="2"/>
      <c r="CK86" s="2"/>
      <c r="CL86" s="2"/>
      <c r="CM86" s="2">
        <v>0</v>
      </c>
      <c r="CN86" s="2" t="s">
        <v>679</v>
      </c>
      <c r="CO86" s="2">
        <v>0</v>
      </c>
      <c r="CP86" s="2">
        <f t="shared" si="73"/>
        <v>279.67</v>
      </c>
      <c r="CQ86" s="2">
        <f t="shared" si="94"/>
        <v>279.67</v>
      </c>
      <c r="CR86" s="2">
        <f>(ROUND((ROUND(((ET86)*AV86*1),2)*BB86),2)+ROUND((ROUND(((AE86-(EU86))*AV86*1),2)*BS86),2))</f>
        <v>0</v>
      </c>
      <c r="CS86" s="2">
        <f>(ROUND((ROUND(((EU86)*AV86*1),2)*BS86),2)+ROUND((ROUND(((AE86-(EU86))*AV86*1),2)*BS86),2))</f>
        <v>0</v>
      </c>
      <c r="CT86" s="2">
        <f t="shared" si="74"/>
        <v>0</v>
      </c>
      <c r="CU86" s="2">
        <f t="shared" si="75"/>
        <v>0</v>
      </c>
      <c r="CV86" s="2">
        <f t="shared" si="76"/>
        <v>0</v>
      </c>
      <c r="CW86" s="2">
        <f t="shared" si="77"/>
        <v>0</v>
      </c>
      <c r="CX86" s="2">
        <f t="shared" si="78"/>
        <v>0</v>
      </c>
      <c r="CY86" s="2">
        <f>(ROUND((((S86+ROUND((ROUND(((EU86)*AV86*1),2)*BS86),2))*AT86)/100),2)+ROUND(((ROUND((ROUND(((AE86-(EU86))*AV86*1),2)*BS86),2)*AT86)/100),2))</f>
        <v>0</v>
      </c>
      <c r="CZ86" s="2">
        <f>(ROUND((((S86+ROUND((ROUND(((EU86)*AV86*1),2)*BS86),2))*AU86)/100),2)+ROUND(((ROUND((ROUND(((AE86-(EU86))*AV86*1),2)*BS86),2)*AU86)/100),2))</f>
        <v>0</v>
      </c>
      <c r="DA86" s="2"/>
      <c r="DB86" s="2"/>
      <c r="DC86" s="2" t="s">
        <v>3</v>
      </c>
      <c r="DD86" s="2" t="s">
        <v>3</v>
      </c>
      <c r="DE86" s="2" t="s">
        <v>3</v>
      </c>
      <c r="DF86" s="2" t="s">
        <v>3</v>
      </c>
      <c r="DG86" s="2" t="s">
        <v>3</v>
      </c>
      <c r="DH86" s="2" t="s">
        <v>3</v>
      </c>
      <c r="DI86" s="2" t="s">
        <v>3</v>
      </c>
      <c r="DJ86" s="2" t="s">
        <v>3</v>
      </c>
      <c r="DK86" s="2" t="s">
        <v>3</v>
      </c>
      <c r="DL86" s="2" t="s">
        <v>3</v>
      </c>
      <c r="DM86" s="2" t="s">
        <v>3</v>
      </c>
      <c r="DN86" s="2">
        <v>0</v>
      </c>
      <c r="DO86" s="2">
        <v>0</v>
      </c>
      <c r="DP86" s="2">
        <v>1</v>
      </c>
      <c r="DQ86" s="2">
        <v>1</v>
      </c>
      <c r="DR86" s="2"/>
      <c r="DS86" s="2"/>
      <c r="DT86" s="2"/>
      <c r="DU86" s="2">
        <v>1010</v>
      </c>
      <c r="DV86" s="2" t="s">
        <v>99</v>
      </c>
      <c r="DW86" s="2" t="s">
        <v>99</v>
      </c>
      <c r="DX86" s="2">
        <v>1</v>
      </c>
      <c r="DY86" s="2"/>
      <c r="DZ86" s="2" t="s">
        <v>3</v>
      </c>
      <c r="EA86" s="2" t="s">
        <v>3</v>
      </c>
      <c r="EB86" s="2" t="s">
        <v>3</v>
      </c>
      <c r="EC86" s="2" t="s">
        <v>3</v>
      </c>
      <c r="ED86" s="2"/>
      <c r="EE86" s="2">
        <v>85133422</v>
      </c>
      <c r="EF86" s="2">
        <v>40</v>
      </c>
      <c r="EG86" s="2" t="s">
        <v>27</v>
      </c>
      <c r="EH86" s="2">
        <v>0</v>
      </c>
      <c r="EI86" s="2" t="s">
        <v>3</v>
      </c>
      <c r="EJ86" s="2">
        <v>2</v>
      </c>
      <c r="EK86" s="2">
        <v>73</v>
      </c>
      <c r="EL86" s="2" t="s">
        <v>62</v>
      </c>
      <c r="EM86" s="2" t="s">
        <v>63</v>
      </c>
      <c r="EN86" s="2"/>
      <c r="EO86" s="2" t="s">
        <v>37</v>
      </c>
      <c r="EP86" s="2"/>
      <c r="EQ86" s="2">
        <v>0</v>
      </c>
      <c r="ER86" s="2">
        <v>279.67</v>
      </c>
      <c r="ES86" s="2">
        <v>279.67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>
        <v>0</v>
      </c>
      <c r="FR86" s="2">
        <v>0</v>
      </c>
      <c r="FS86" s="2">
        <v>0</v>
      </c>
      <c r="FT86" s="2"/>
      <c r="FU86" s="2"/>
      <c r="FV86" s="2"/>
      <c r="FW86" s="2"/>
      <c r="FX86" s="2">
        <v>90</v>
      </c>
      <c r="FY86" s="2">
        <v>46</v>
      </c>
      <c r="FZ86" s="2"/>
      <c r="GA86" s="2" t="s">
        <v>3</v>
      </c>
      <c r="GB86" s="2"/>
      <c r="GC86" s="2"/>
      <c r="GD86" s="2">
        <v>1</v>
      </c>
      <c r="GE86" s="2"/>
      <c r="GF86" s="2">
        <v>-909145995</v>
      </c>
      <c r="GG86" s="2">
        <v>2</v>
      </c>
      <c r="GH86" s="2">
        <v>1</v>
      </c>
      <c r="GI86" s="2">
        <v>-2</v>
      </c>
      <c r="GJ86" s="2">
        <v>0</v>
      </c>
      <c r="GK86" s="2">
        <v>0</v>
      </c>
      <c r="GL86" s="2">
        <f t="shared" si="79"/>
        <v>0</v>
      </c>
      <c r="GM86" s="2">
        <f t="shared" si="80"/>
        <v>279.67</v>
      </c>
      <c r="GN86" s="2">
        <f t="shared" si="81"/>
        <v>0</v>
      </c>
      <c r="GO86" s="2">
        <f t="shared" si="82"/>
        <v>279.67</v>
      </c>
      <c r="GP86" s="2">
        <f t="shared" si="83"/>
        <v>0</v>
      </c>
      <c r="GQ86" s="2"/>
      <c r="GR86" s="2">
        <v>0</v>
      </c>
      <c r="GS86" s="2">
        <v>3</v>
      </c>
      <c r="GT86" s="2">
        <v>0</v>
      </c>
      <c r="GU86" s="2" t="s">
        <v>3</v>
      </c>
      <c r="GV86" s="2">
        <f t="shared" si="84"/>
        <v>0</v>
      </c>
      <c r="GW86" s="2">
        <v>1</v>
      </c>
      <c r="GX86" s="2">
        <f t="shared" si="85"/>
        <v>0</v>
      </c>
      <c r="GY86" s="2"/>
      <c r="GZ86" s="2"/>
      <c r="HA86" s="2">
        <v>0</v>
      </c>
      <c r="HB86" s="2">
        <v>0</v>
      </c>
      <c r="HC86" s="2">
        <f t="shared" si="86"/>
        <v>0</v>
      </c>
      <c r="HD86" s="2"/>
      <c r="HE86" s="2" t="s">
        <v>3</v>
      </c>
      <c r="HF86" s="2" t="s">
        <v>3</v>
      </c>
      <c r="HG86" s="2"/>
      <c r="HH86" s="2"/>
      <c r="HI86" s="2"/>
      <c r="HJ86" s="2"/>
      <c r="HK86" s="2"/>
      <c r="HL86" s="2"/>
      <c r="HM86" s="2" t="s">
        <v>35</v>
      </c>
      <c r="HN86" s="2" t="s">
        <v>3</v>
      </c>
      <c r="HO86" s="2" t="s">
        <v>3</v>
      </c>
      <c r="HP86" s="2" t="s">
        <v>3</v>
      </c>
      <c r="HQ86" s="2" t="s">
        <v>3</v>
      </c>
      <c r="HR86" s="2"/>
      <c r="HS86" s="2">
        <v>0</v>
      </c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>
        <v>0</v>
      </c>
      <c r="IL86" s="2"/>
      <c r="IM86" s="2"/>
      <c r="IN86" s="2"/>
      <c r="IO86" s="2"/>
      <c r="IP86" s="2"/>
      <c r="IQ86" s="2"/>
      <c r="IR86" s="2"/>
      <c r="IS86" s="2"/>
      <c r="IT86" s="2"/>
      <c r="IU86" s="2"/>
    </row>
    <row r="87" spans="1:255" x14ac:dyDescent="0.2">
      <c r="A87" s="3">
        <v>18</v>
      </c>
      <c r="B87" s="3">
        <v>1</v>
      </c>
      <c r="C87" s="3">
        <v>197</v>
      </c>
      <c r="E87" s="3" t="s">
        <v>167</v>
      </c>
      <c r="F87" s="3" t="s">
        <v>168</v>
      </c>
      <c r="G87" s="3" t="s">
        <v>169</v>
      </c>
      <c r="H87" s="3" t="s">
        <v>99</v>
      </c>
      <c r="I87" s="3">
        <f>I83*J87</f>
        <v>1</v>
      </c>
      <c r="J87" s="3">
        <v>0.33333333333333331</v>
      </c>
      <c r="K87" s="3">
        <v>0.3333333</v>
      </c>
      <c r="O87" s="3">
        <f t="shared" si="64"/>
        <v>738.33</v>
      </c>
      <c r="P87" s="3">
        <f t="shared" si="91"/>
        <v>738.33</v>
      </c>
      <c r="Q87" s="3">
        <f>(ROUND((ROUND(((ET87)*AV87*I87),2)*BB87),2)+ROUND((ROUND(((AE87-(EU87))*AV87*I87),2)*BS87),2))</f>
        <v>0</v>
      </c>
      <c r="R87" s="3">
        <f>(ROUND((ROUND(((EU87)*AV87*I87),2)*BS87),2)+ROUND((ROUND(((AE87-(EU87))*AV87*I87),2)*BS87),2))</f>
        <v>0</v>
      </c>
      <c r="S87" s="3">
        <f t="shared" si="65"/>
        <v>0</v>
      </c>
      <c r="T87" s="3">
        <f t="shared" si="66"/>
        <v>0</v>
      </c>
      <c r="U87" s="3">
        <f t="shared" si="67"/>
        <v>0</v>
      </c>
      <c r="V87" s="3">
        <f t="shared" si="68"/>
        <v>0</v>
      </c>
      <c r="W87" s="3">
        <f t="shared" si="69"/>
        <v>0</v>
      </c>
      <c r="X87" s="3">
        <f>(ROUND((((S87+ROUND((ROUND(((EU87)*AV87*I87),2)*BS87),2))*AT87)/100),2)+ROUND(((ROUND((ROUND(((AE87-(EU87))*AV87*I87),2)*BS87),2)*AT87)/100),2))</f>
        <v>0</v>
      </c>
      <c r="Y87" s="3">
        <f>(ROUND((((S87+ROUND((ROUND(((EU87)*AV87*I87),2)*BS87),2))*AU87)/100),2)+ROUND(((ROUND((ROUND(((AE87-(EU87))*AV87*I87),2)*BS87),2)*AU87)/100),2))</f>
        <v>0</v>
      </c>
      <c r="AA87" s="3">
        <v>85739207</v>
      </c>
      <c r="AB87" s="3">
        <f t="shared" si="70"/>
        <v>279.67</v>
      </c>
      <c r="AC87" s="3">
        <f>ROUND((ES87),6)</f>
        <v>279.67</v>
      </c>
      <c r="AD87" s="3">
        <f>ROUND((((ET87)-(EU87))+AE87),6)</f>
        <v>0</v>
      </c>
      <c r="AE87" s="3">
        <f t="shared" si="92"/>
        <v>0</v>
      </c>
      <c r="AF87" s="3">
        <f t="shared" si="92"/>
        <v>0</v>
      </c>
      <c r="AG87" s="3">
        <f t="shared" si="71"/>
        <v>0</v>
      </c>
      <c r="AH87" s="3">
        <f t="shared" si="93"/>
        <v>0</v>
      </c>
      <c r="AI87" s="3">
        <f t="shared" si="93"/>
        <v>0</v>
      </c>
      <c r="AJ87" s="3">
        <f t="shared" si="72"/>
        <v>0</v>
      </c>
      <c r="AK87" s="3">
        <v>279.67</v>
      </c>
      <c r="AL87" s="3">
        <v>279.67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90</v>
      </c>
      <c r="AU87" s="3">
        <v>46</v>
      </c>
      <c r="AV87" s="3">
        <v>1</v>
      </c>
      <c r="AW87" s="3">
        <v>1</v>
      </c>
      <c r="AZ87" s="3">
        <v>1</v>
      </c>
      <c r="BA87" s="3">
        <v>1</v>
      </c>
      <c r="BB87" s="3">
        <v>1</v>
      </c>
      <c r="BC87" s="3">
        <v>2.64</v>
      </c>
      <c r="BD87" s="3" t="s">
        <v>3</v>
      </c>
      <c r="BE87" s="3" t="s">
        <v>3</v>
      </c>
      <c r="BF87" s="3" t="s">
        <v>3</v>
      </c>
      <c r="BG87" s="3" t="s">
        <v>3</v>
      </c>
      <c r="BH87" s="3">
        <v>3</v>
      </c>
      <c r="BI87" s="3">
        <v>2</v>
      </c>
      <c r="BJ87" s="3" t="s">
        <v>170</v>
      </c>
      <c r="BM87" s="3">
        <v>73</v>
      </c>
      <c r="BN87" s="3">
        <v>0</v>
      </c>
      <c r="BO87" s="3" t="s">
        <v>168</v>
      </c>
      <c r="BP87" s="3">
        <v>1</v>
      </c>
      <c r="BQ87" s="3">
        <v>40</v>
      </c>
      <c r="BR87" s="3">
        <v>0</v>
      </c>
      <c r="BS87" s="3">
        <v>1</v>
      </c>
      <c r="BT87" s="3">
        <v>1</v>
      </c>
      <c r="BU87" s="3">
        <v>1</v>
      </c>
      <c r="BV87" s="3">
        <v>1</v>
      </c>
      <c r="BW87" s="3">
        <v>1</v>
      </c>
      <c r="BX87" s="3">
        <v>1</v>
      </c>
      <c r="BY87" s="3" t="s">
        <v>3</v>
      </c>
      <c r="BZ87" s="3">
        <v>90</v>
      </c>
      <c r="CA87" s="3">
        <v>46</v>
      </c>
      <c r="CB87" s="3" t="s">
        <v>3</v>
      </c>
      <c r="CE87" s="3">
        <v>1566</v>
      </c>
      <c r="CF87" s="3">
        <v>0</v>
      </c>
      <c r="CG87" s="3">
        <v>0</v>
      </c>
      <c r="CM87" s="3">
        <v>0</v>
      </c>
      <c r="CN87" s="3" t="s">
        <v>679</v>
      </c>
      <c r="CO87" s="3">
        <v>0</v>
      </c>
      <c r="CP87" s="3">
        <f t="shared" si="73"/>
        <v>738.33</v>
      </c>
      <c r="CQ87" s="3">
        <f t="shared" si="94"/>
        <v>738.33</v>
      </c>
      <c r="CR87" s="3">
        <f>(ROUND((ROUND(((ET87)*AV87*1),2)*BB87),2)+ROUND((ROUND(((AE87-(EU87))*AV87*1),2)*BS87),2))</f>
        <v>0</v>
      </c>
      <c r="CS87" s="3">
        <f>(ROUND((ROUND(((EU87)*AV87*1),2)*BS87),2)+ROUND((ROUND(((AE87-(EU87))*AV87*1),2)*BS87),2))</f>
        <v>0</v>
      </c>
      <c r="CT87" s="3">
        <f t="shared" si="74"/>
        <v>0</v>
      </c>
      <c r="CU87" s="3">
        <f t="shared" si="75"/>
        <v>0</v>
      </c>
      <c r="CV87" s="3">
        <f t="shared" si="76"/>
        <v>0</v>
      </c>
      <c r="CW87" s="3">
        <f t="shared" si="77"/>
        <v>0</v>
      </c>
      <c r="CX87" s="3">
        <f t="shared" si="78"/>
        <v>0</v>
      </c>
      <c r="CY87" s="3">
        <f>(ROUND((((S87+ROUND((ROUND(((EU87)*AV87*1),2)*BS87),2))*AT87)/100),2)+ROUND(((ROUND((ROUND(((AE87-(EU87))*AV87*1),2)*BS87),2)*AT87)/100),2))</f>
        <v>0</v>
      </c>
      <c r="CZ87" s="3">
        <f>(ROUND((((S87+ROUND((ROUND(((EU87)*AV87*1),2)*BS87),2))*AU87)/100),2)+ROUND(((ROUND((ROUND(((AE87-(EU87))*AV87*1),2)*BS87),2)*AU87)/100),2))</f>
        <v>0</v>
      </c>
      <c r="DC87" s="3" t="s">
        <v>3</v>
      </c>
      <c r="DD87" s="3" t="s">
        <v>3</v>
      </c>
      <c r="DE87" s="3" t="s">
        <v>3</v>
      </c>
      <c r="DF87" s="3" t="s">
        <v>3</v>
      </c>
      <c r="DG87" s="3" t="s">
        <v>3</v>
      </c>
      <c r="DH87" s="3" t="s">
        <v>3</v>
      </c>
      <c r="DI87" s="3" t="s">
        <v>3</v>
      </c>
      <c r="DJ87" s="3" t="s">
        <v>3</v>
      </c>
      <c r="DK87" s="3" t="s">
        <v>3</v>
      </c>
      <c r="DL87" s="3" t="s">
        <v>3</v>
      </c>
      <c r="DM87" s="3" t="s">
        <v>3</v>
      </c>
      <c r="DN87" s="3">
        <v>0</v>
      </c>
      <c r="DO87" s="3">
        <v>0</v>
      </c>
      <c r="DP87" s="3">
        <v>1</v>
      </c>
      <c r="DQ87" s="3">
        <v>1</v>
      </c>
      <c r="DU87" s="3">
        <v>1010</v>
      </c>
      <c r="DV87" s="3" t="s">
        <v>99</v>
      </c>
      <c r="DW87" s="3" t="s">
        <v>99</v>
      </c>
      <c r="DX87" s="3">
        <v>1</v>
      </c>
      <c r="DZ87" s="3" t="s">
        <v>3</v>
      </c>
      <c r="EA87" s="3" t="s">
        <v>3</v>
      </c>
      <c r="EB87" s="3" t="s">
        <v>3</v>
      </c>
      <c r="EC87" s="3" t="s">
        <v>3</v>
      </c>
      <c r="EE87" s="3">
        <v>85133422</v>
      </c>
      <c r="EF87" s="3">
        <v>40</v>
      </c>
      <c r="EG87" s="3" t="s">
        <v>27</v>
      </c>
      <c r="EH87" s="3">
        <v>0</v>
      </c>
      <c r="EI87" s="3" t="s">
        <v>3</v>
      </c>
      <c r="EJ87" s="3">
        <v>2</v>
      </c>
      <c r="EK87" s="3">
        <v>73</v>
      </c>
      <c r="EL87" s="3" t="s">
        <v>62</v>
      </c>
      <c r="EM87" s="3" t="s">
        <v>63</v>
      </c>
      <c r="EO87" s="3" t="s">
        <v>37</v>
      </c>
      <c r="EQ87" s="3">
        <v>0</v>
      </c>
      <c r="ER87" s="3">
        <v>279.67</v>
      </c>
      <c r="ES87" s="3">
        <v>279.67</v>
      </c>
      <c r="ET87" s="3">
        <v>0</v>
      </c>
      <c r="EU87" s="3">
        <v>0</v>
      </c>
      <c r="EV87" s="3">
        <v>0</v>
      </c>
      <c r="EW87" s="3">
        <v>0</v>
      </c>
      <c r="EX87" s="3">
        <v>0</v>
      </c>
      <c r="FQ87" s="3">
        <v>0</v>
      </c>
      <c r="FR87" s="3">
        <v>0</v>
      </c>
      <c r="FS87" s="3">
        <v>0</v>
      </c>
      <c r="FX87" s="3">
        <v>90</v>
      </c>
      <c r="FY87" s="3">
        <v>46</v>
      </c>
      <c r="GA87" s="3" t="s">
        <v>3</v>
      </c>
      <c r="GD87" s="3">
        <v>1</v>
      </c>
      <c r="GF87" s="3">
        <v>-909145995</v>
      </c>
      <c r="GG87" s="3">
        <v>2</v>
      </c>
      <c r="GH87" s="3">
        <v>1</v>
      </c>
      <c r="GI87" s="3">
        <v>2</v>
      </c>
      <c r="GJ87" s="3">
        <v>0</v>
      </c>
      <c r="GK87" s="3">
        <v>0</v>
      </c>
      <c r="GL87" s="3">
        <f t="shared" si="79"/>
        <v>0</v>
      </c>
      <c r="GM87" s="3">
        <f t="shared" si="80"/>
        <v>738.33</v>
      </c>
      <c r="GN87" s="3">
        <f t="shared" si="81"/>
        <v>0</v>
      </c>
      <c r="GO87" s="3">
        <f t="shared" si="82"/>
        <v>738.33</v>
      </c>
      <c r="GP87" s="3">
        <f t="shared" si="83"/>
        <v>0</v>
      </c>
      <c r="GR87" s="3">
        <v>0</v>
      </c>
      <c r="GS87" s="3">
        <v>3</v>
      </c>
      <c r="GT87" s="3">
        <v>0</v>
      </c>
      <c r="GU87" s="3" t="s">
        <v>3</v>
      </c>
      <c r="GV87" s="3">
        <f t="shared" si="84"/>
        <v>0</v>
      </c>
      <c r="GW87" s="3">
        <v>1</v>
      </c>
      <c r="GX87" s="3">
        <f t="shared" si="85"/>
        <v>0</v>
      </c>
      <c r="HA87" s="3">
        <v>0</v>
      </c>
      <c r="HB87" s="3">
        <v>0</v>
      </c>
      <c r="HC87" s="3">
        <f t="shared" si="86"/>
        <v>0</v>
      </c>
      <c r="HE87" s="3" t="s">
        <v>3</v>
      </c>
      <c r="HF87" s="3" t="s">
        <v>3</v>
      </c>
      <c r="HM87" s="3" t="s">
        <v>35</v>
      </c>
      <c r="HN87" s="3" t="s">
        <v>3</v>
      </c>
      <c r="HO87" s="3" t="s">
        <v>3</v>
      </c>
      <c r="HP87" s="3" t="s">
        <v>3</v>
      </c>
      <c r="HQ87" s="3" t="s">
        <v>3</v>
      </c>
      <c r="HS87" s="3">
        <v>0</v>
      </c>
      <c r="IK87" s="3">
        <v>0</v>
      </c>
    </row>
    <row r="88" spans="1:255" x14ac:dyDescent="0.2">
      <c r="A88" s="2">
        <v>17</v>
      </c>
      <c r="B88" s="2">
        <v>1</v>
      </c>
      <c r="C88" s="2">
        <f>ROW(SmtRes!A207)</f>
        <v>207</v>
      </c>
      <c r="D88" s="2">
        <f>ROW(EtalonRes!A231)</f>
        <v>231</v>
      </c>
      <c r="E88" s="2" t="s">
        <v>171</v>
      </c>
      <c r="F88" s="2" t="s">
        <v>172</v>
      </c>
      <c r="G88" s="2" t="s">
        <v>173</v>
      </c>
      <c r="H88" s="2" t="s">
        <v>174</v>
      </c>
      <c r="I88" s="2">
        <f>ROUND((20)/100,9)</f>
        <v>0.2</v>
      </c>
      <c r="J88" s="2">
        <v>0</v>
      </c>
      <c r="K88" s="2">
        <f>ROUND((20)/100,9)</f>
        <v>0.2</v>
      </c>
      <c r="L88" s="2"/>
      <c r="M88" s="2"/>
      <c r="N88" s="2"/>
      <c r="O88" s="2">
        <f t="shared" si="64"/>
        <v>962.68</v>
      </c>
      <c r="P88" s="2">
        <f t="shared" si="91"/>
        <v>42.07</v>
      </c>
      <c r="Q88" s="2">
        <f>(ROUND((ROUND((((ET88*1.2))*AV88*I88),2)*BB88),2)+ROUND((ROUND(((AE88-((EU88*1.2)))*AV88*I88),2)*BS88),2))</f>
        <v>267.8</v>
      </c>
      <c r="R88" s="2">
        <f>(ROUND((ROUND((((EU88*1.2))*AV88*I88),2)*BS88),2)+ROUND((ROUND(((AE88-((EU88*1.2)))*AV88*I88),2)*BS88),2))</f>
        <v>46.38</v>
      </c>
      <c r="S88" s="2">
        <f t="shared" si="65"/>
        <v>652.80999999999995</v>
      </c>
      <c r="T88" s="2">
        <f t="shared" si="66"/>
        <v>0</v>
      </c>
      <c r="U88" s="2">
        <f t="shared" si="67"/>
        <v>51.728159999999995</v>
      </c>
      <c r="V88" s="2">
        <f t="shared" si="68"/>
        <v>0</v>
      </c>
      <c r="W88" s="2">
        <f t="shared" si="69"/>
        <v>0</v>
      </c>
      <c r="X88" s="2">
        <f>(ROUND((((S88+ROUND((ROUND((((EU88*1.2))*AV88*I88),2)*BS88),2))*AT88)/100),2)+ROUND(((ROUND((ROUND(((AE88-((EU88*1.2)))*AV88*I88),2)*BS88),2)*AT88)/100),2))</f>
        <v>629.27</v>
      </c>
      <c r="Y88" s="2">
        <f>(ROUND((((S88+ROUND((ROUND((((EU88*1.2))*AV88*I88),2)*BS88),2))*AU88)/100),2)+ROUND(((ROUND((ROUND(((AE88-((EU88*1.2)))*AV88*I88),2)*BS88),2)*AU88)/100),2))</f>
        <v>321.63</v>
      </c>
      <c r="Z88" s="2"/>
      <c r="AA88" s="2">
        <v>85739205</v>
      </c>
      <c r="AB88" s="2">
        <f t="shared" si="70"/>
        <v>4518.6279999999997</v>
      </c>
      <c r="AC88" s="2">
        <f>ROUND(((ES88*1)),6)</f>
        <v>204.64</v>
      </c>
      <c r="AD88" s="2">
        <f>ROUND(((((ET88*1.2))-((EU88*1.2)))+AE88),6)</f>
        <v>1254.9000000000001</v>
      </c>
      <c r="AE88" s="2">
        <f>ROUND(((EU88*1.2)),6)</f>
        <v>217.32</v>
      </c>
      <c r="AF88" s="2">
        <f>ROUND(((EV88*1.2)),6)</f>
        <v>3059.0880000000002</v>
      </c>
      <c r="AG88" s="2">
        <f t="shared" si="71"/>
        <v>0</v>
      </c>
      <c r="AH88" s="2">
        <f>((EW88*1.2))</f>
        <v>242.39999999999998</v>
      </c>
      <c r="AI88" s="2">
        <f>((EX88*1.2))</f>
        <v>0</v>
      </c>
      <c r="AJ88" s="2">
        <f t="shared" si="72"/>
        <v>0</v>
      </c>
      <c r="AK88" s="2">
        <v>3799.63</v>
      </c>
      <c r="AL88" s="2">
        <v>204.64</v>
      </c>
      <c r="AM88" s="2">
        <v>1045.75</v>
      </c>
      <c r="AN88" s="2">
        <v>181.1</v>
      </c>
      <c r="AO88" s="2">
        <v>2549.2399999999998</v>
      </c>
      <c r="AP88" s="2">
        <v>0</v>
      </c>
      <c r="AQ88" s="2">
        <v>202</v>
      </c>
      <c r="AR88" s="2">
        <v>0</v>
      </c>
      <c r="AS88" s="2">
        <v>0</v>
      </c>
      <c r="AT88" s="2">
        <v>90</v>
      </c>
      <c r="AU88" s="2">
        <v>46</v>
      </c>
      <c r="AV88" s="2">
        <v>1.0669999999999999</v>
      </c>
      <c r="AW88" s="2">
        <v>1.028</v>
      </c>
      <c r="AX88" s="2"/>
      <c r="AY88" s="2"/>
      <c r="AZ88" s="2">
        <v>1</v>
      </c>
      <c r="BA88" s="2">
        <v>1</v>
      </c>
      <c r="BB88" s="2">
        <v>1</v>
      </c>
      <c r="BC88" s="2">
        <v>1</v>
      </c>
      <c r="BD88" s="2" t="s">
        <v>3</v>
      </c>
      <c r="BE88" s="2" t="s">
        <v>3</v>
      </c>
      <c r="BF88" s="2" t="s">
        <v>3</v>
      </c>
      <c r="BG88" s="2" t="s">
        <v>3</v>
      </c>
      <c r="BH88" s="2">
        <v>0</v>
      </c>
      <c r="BI88" s="2">
        <v>2</v>
      </c>
      <c r="BJ88" s="2" t="s">
        <v>175</v>
      </c>
      <c r="BK88" s="2"/>
      <c r="BL88" s="2"/>
      <c r="BM88" s="2">
        <v>73</v>
      </c>
      <c r="BN88" s="2">
        <v>0</v>
      </c>
      <c r="BO88" s="2" t="s">
        <v>172</v>
      </c>
      <c r="BP88" s="2">
        <v>1</v>
      </c>
      <c r="BQ88" s="2">
        <v>40</v>
      </c>
      <c r="BR88" s="2">
        <v>0</v>
      </c>
      <c r="BS88" s="2">
        <v>1</v>
      </c>
      <c r="BT88" s="2">
        <v>1</v>
      </c>
      <c r="BU88" s="2">
        <v>1</v>
      </c>
      <c r="BV88" s="2">
        <v>1</v>
      </c>
      <c r="BW88" s="2">
        <v>1</v>
      </c>
      <c r="BX88" s="2">
        <v>1</v>
      </c>
      <c r="BY88" s="2" t="s">
        <v>3</v>
      </c>
      <c r="BZ88" s="2">
        <v>90</v>
      </c>
      <c r="CA88" s="2">
        <v>46</v>
      </c>
      <c r="CB88" s="2" t="s">
        <v>3</v>
      </c>
      <c r="CC88" s="2"/>
      <c r="CD88" s="2"/>
      <c r="CE88" s="2">
        <v>1566</v>
      </c>
      <c r="CF88" s="2">
        <v>0</v>
      </c>
      <c r="CG88" s="2">
        <v>0</v>
      </c>
      <c r="CH88" s="2"/>
      <c r="CI88" s="2"/>
      <c r="CJ88" s="2"/>
      <c r="CK88" s="2"/>
      <c r="CL88" s="2"/>
      <c r="CM88" s="2">
        <v>0</v>
      </c>
      <c r="CN88" s="2" t="s">
        <v>677</v>
      </c>
      <c r="CO88" s="2">
        <v>0</v>
      </c>
      <c r="CP88" s="2">
        <f t="shared" si="73"/>
        <v>962.68</v>
      </c>
      <c r="CQ88" s="2">
        <f t="shared" si="94"/>
        <v>210.37</v>
      </c>
      <c r="CR88" s="2">
        <f>(ROUND((ROUND((((ET88*1.2))*AV88*1),2)*BB88),2)+ROUND((ROUND(((AE88-((EU88*1.2)))*AV88*1),2)*BS88),2))</f>
        <v>1338.98</v>
      </c>
      <c r="CS88" s="2">
        <f>(ROUND((ROUND((((EU88*1.2))*AV88*1),2)*BS88),2)+ROUND((ROUND(((AE88-((EU88*1.2)))*AV88*1),2)*BS88),2))</f>
        <v>231.88</v>
      </c>
      <c r="CT88" s="2">
        <f t="shared" si="74"/>
        <v>3264.05</v>
      </c>
      <c r="CU88" s="2">
        <f t="shared" si="75"/>
        <v>0</v>
      </c>
      <c r="CV88" s="2">
        <f t="shared" si="76"/>
        <v>258.64079999999996</v>
      </c>
      <c r="CW88" s="2">
        <f t="shared" si="77"/>
        <v>0</v>
      </c>
      <c r="CX88" s="2">
        <f t="shared" si="78"/>
        <v>0</v>
      </c>
      <c r="CY88" s="2">
        <f>(ROUND((((S88+ROUND((ROUND((((EU88*1.2))*AV88*1),2)*BS88),2))*AT88)/100),2)+ROUND(((ROUND((ROUND(((AE88-((EU88*1.2)))*AV88*1),2)*BS88),2)*AT88)/100),2))</f>
        <v>796.22</v>
      </c>
      <c r="CZ88" s="2">
        <f>(ROUND((((S88+ROUND((ROUND((((EU88*1.2))*AV88*1),2)*BS88),2))*AU88)/100),2)+ROUND(((ROUND((ROUND(((AE88-((EU88*1.2)))*AV88*1),2)*BS88),2)*AU88)/100),2))</f>
        <v>406.96</v>
      </c>
      <c r="DA88" s="2"/>
      <c r="DB88" s="2">
        <v>37</v>
      </c>
      <c r="DC88" s="2" t="s">
        <v>3</v>
      </c>
      <c r="DD88" s="2" t="s">
        <v>35</v>
      </c>
      <c r="DE88" s="2" t="s">
        <v>36</v>
      </c>
      <c r="DF88" s="2" t="s">
        <v>36</v>
      </c>
      <c r="DG88" s="2" t="s">
        <v>36</v>
      </c>
      <c r="DH88" s="2" t="s">
        <v>3</v>
      </c>
      <c r="DI88" s="2" t="s">
        <v>36</v>
      </c>
      <c r="DJ88" s="2" t="s">
        <v>36</v>
      </c>
      <c r="DK88" s="2" t="s">
        <v>3</v>
      </c>
      <c r="DL88" s="2" t="s">
        <v>3</v>
      </c>
      <c r="DM88" s="2" t="s">
        <v>3</v>
      </c>
      <c r="DN88" s="2">
        <v>0</v>
      </c>
      <c r="DO88" s="2">
        <v>0</v>
      </c>
      <c r="DP88" s="2">
        <v>1</v>
      </c>
      <c r="DQ88" s="2">
        <v>1</v>
      </c>
      <c r="DR88" s="2"/>
      <c r="DS88" s="2"/>
      <c r="DT88" s="2"/>
      <c r="DU88" s="2">
        <v>1003</v>
      </c>
      <c r="DV88" s="2" t="s">
        <v>174</v>
      </c>
      <c r="DW88" s="2" t="s">
        <v>174</v>
      </c>
      <c r="DX88" s="2">
        <v>100</v>
      </c>
      <c r="DY88" s="2"/>
      <c r="DZ88" s="2" t="s">
        <v>3</v>
      </c>
      <c r="EA88" s="2" t="s">
        <v>3</v>
      </c>
      <c r="EB88" s="2" t="s">
        <v>3</v>
      </c>
      <c r="EC88" s="2" t="s">
        <v>3</v>
      </c>
      <c r="ED88" s="2"/>
      <c r="EE88" s="2">
        <v>85133422</v>
      </c>
      <c r="EF88" s="2">
        <v>40</v>
      </c>
      <c r="EG88" s="2" t="s">
        <v>27</v>
      </c>
      <c r="EH88" s="2">
        <v>0</v>
      </c>
      <c r="EI88" s="2" t="s">
        <v>3</v>
      </c>
      <c r="EJ88" s="2">
        <v>2</v>
      </c>
      <c r="EK88" s="2">
        <v>73</v>
      </c>
      <c r="EL88" s="2" t="s">
        <v>62</v>
      </c>
      <c r="EM88" s="2" t="s">
        <v>63</v>
      </c>
      <c r="EN88" s="2"/>
      <c r="EO88" s="2" t="s">
        <v>37</v>
      </c>
      <c r="EP88" s="2"/>
      <c r="EQ88" s="2">
        <v>0</v>
      </c>
      <c r="ER88" s="2">
        <v>3799.63</v>
      </c>
      <c r="ES88" s="2">
        <v>204.64</v>
      </c>
      <c r="ET88" s="2">
        <v>1045.75</v>
      </c>
      <c r="EU88" s="2">
        <v>181.1</v>
      </c>
      <c r="EV88" s="2">
        <v>2549.2399999999998</v>
      </c>
      <c r="EW88" s="2">
        <v>202</v>
      </c>
      <c r="EX88" s="2">
        <v>0</v>
      </c>
      <c r="EY88" s="2">
        <v>0</v>
      </c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>
        <v>0</v>
      </c>
      <c r="FR88" s="2">
        <v>0</v>
      </c>
      <c r="FS88" s="2">
        <v>2</v>
      </c>
      <c r="FT88" s="2"/>
      <c r="FU88" s="2"/>
      <c r="FV88" s="2"/>
      <c r="FW88" s="2"/>
      <c r="FX88" s="2">
        <v>90</v>
      </c>
      <c r="FY88" s="2">
        <v>46</v>
      </c>
      <c r="FZ88" s="2"/>
      <c r="GA88" s="2" t="s">
        <v>3</v>
      </c>
      <c r="GB88" s="2"/>
      <c r="GC88" s="2"/>
      <c r="GD88" s="2">
        <v>1</v>
      </c>
      <c r="GE88" s="2"/>
      <c r="GF88" s="2">
        <v>1184784363</v>
      </c>
      <c r="GG88" s="2">
        <v>2</v>
      </c>
      <c r="GH88" s="2">
        <v>1</v>
      </c>
      <c r="GI88" s="2">
        <v>2</v>
      </c>
      <c r="GJ88" s="2">
        <v>0</v>
      </c>
      <c r="GK88" s="2">
        <v>0</v>
      </c>
      <c r="GL88" s="2">
        <f t="shared" si="79"/>
        <v>0</v>
      </c>
      <c r="GM88" s="2">
        <f t="shared" si="80"/>
        <v>1913.58</v>
      </c>
      <c r="GN88" s="2">
        <f t="shared" si="81"/>
        <v>0</v>
      </c>
      <c r="GO88" s="2">
        <f t="shared" si="82"/>
        <v>1913.58</v>
      </c>
      <c r="GP88" s="2">
        <f t="shared" si="83"/>
        <v>0</v>
      </c>
      <c r="GQ88" s="2"/>
      <c r="GR88" s="2">
        <v>0</v>
      </c>
      <c r="GS88" s="2">
        <v>3</v>
      </c>
      <c r="GT88" s="2">
        <v>0</v>
      </c>
      <c r="GU88" s="2" t="s">
        <v>3</v>
      </c>
      <c r="GV88" s="2">
        <f t="shared" si="84"/>
        <v>0</v>
      </c>
      <c r="GW88" s="2">
        <v>1</v>
      </c>
      <c r="GX88" s="2">
        <f t="shared" si="85"/>
        <v>0</v>
      </c>
      <c r="GY88" s="2"/>
      <c r="GZ88" s="2"/>
      <c r="HA88" s="2">
        <v>0</v>
      </c>
      <c r="HB88" s="2">
        <v>0</v>
      </c>
      <c r="HC88" s="2">
        <f t="shared" si="86"/>
        <v>0</v>
      </c>
      <c r="HD88" s="2"/>
      <c r="HE88" s="2" t="s">
        <v>3</v>
      </c>
      <c r="HF88" s="2" t="s">
        <v>3</v>
      </c>
      <c r="HG88" s="2"/>
      <c r="HH88" s="2"/>
      <c r="HI88" s="2"/>
      <c r="HJ88" s="2"/>
      <c r="HK88" s="2"/>
      <c r="HL88" s="2"/>
      <c r="HM88" s="2" t="s">
        <v>3</v>
      </c>
      <c r="HN88" s="2" t="s">
        <v>3</v>
      </c>
      <c r="HO88" s="2" t="s">
        <v>3</v>
      </c>
      <c r="HP88" s="2" t="s">
        <v>3</v>
      </c>
      <c r="HQ88" s="2" t="s">
        <v>3</v>
      </c>
      <c r="HR88" s="2"/>
      <c r="HS88" s="2">
        <v>0</v>
      </c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>
        <v>0</v>
      </c>
      <c r="IL88" s="2"/>
      <c r="IM88" s="2"/>
      <c r="IN88" s="2"/>
      <c r="IO88" s="2"/>
      <c r="IP88" s="2"/>
      <c r="IQ88" s="2"/>
      <c r="IR88" s="2"/>
      <c r="IS88" s="2"/>
      <c r="IT88" s="2"/>
      <c r="IU88" s="2"/>
    </row>
    <row r="89" spans="1:255" x14ac:dyDescent="0.2">
      <c r="A89" s="3">
        <v>17</v>
      </c>
      <c r="B89" s="3">
        <v>1</v>
      </c>
      <c r="C89" s="3">
        <f>ROW(SmtRes!A216)</f>
        <v>216</v>
      </c>
      <c r="D89" s="3">
        <f>ROW(EtalonRes!A240)</f>
        <v>240</v>
      </c>
      <c r="E89" s="3" t="s">
        <v>171</v>
      </c>
      <c r="F89" s="3" t="s">
        <v>172</v>
      </c>
      <c r="G89" s="3" t="s">
        <v>173</v>
      </c>
      <c r="H89" s="3" t="s">
        <v>174</v>
      </c>
      <c r="I89" s="3">
        <f>ROUND((20)/100,9)</f>
        <v>0.2</v>
      </c>
      <c r="J89" s="3">
        <v>0</v>
      </c>
      <c r="K89" s="3">
        <f>ROUND((20)/100,9)</f>
        <v>0.2</v>
      </c>
      <c r="O89" s="3">
        <f t="shared" si="64"/>
        <v>42408.45</v>
      </c>
      <c r="P89" s="3">
        <f t="shared" si="91"/>
        <v>400.51</v>
      </c>
      <c r="Q89" s="3">
        <f>(ROUND((ROUND((((ET89*1.2))*AV89*I89),2)*BB89),2)+ROUND((ROUND(((AE89-((EU89*1.2)))*AV89*I89),2)*BS89),2))</f>
        <v>5222.1000000000004</v>
      </c>
      <c r="R89" s="3">
        <f>(ROUND((ROUND((((EU89*1.2))*AV89*I89),2)*BS89),2)+ROUND((ROUND(((AE89-((EU89*1.2)))*AV89*I89),2)*BS89),2))</f>
        <v>2613.5100000000002</v>
      </c>
      <c r="S89" s="3">
        <f t="shared" si="65"/>
        <v>36785.839999999997</v>
      </c>
      <c r="T89" s="3">
        <f t="shared" si="66"/>
        <v>0</v>
      </c>
      <c r="U89" s="3">
        <f t="shared" si="67"/>
        <v>51.728159999999995</v>
      </c>
      <c r="V89" s="3">
        <f t="shared" si="68"/>
        <v>0</v>
      </c>
      <c r="W89" s="3">
        <f t="shared" si="69"/>
        <v>0</v>
      </c>
      <c r="X89" s="3">
        <f>(ROUND((((S89+ROUND((ROUND((((EU89*1.2))*AV89*I89),2)*BS89),2))*AT89)/100),2)+ROUND(((ROUND((ROUND(((AE89-((EU89*1.2)))*AV89*I89),2)*BS89),2)*AT89)/100),2))</f>
        <v>35459.42</v>
      </c>
      <c r="Y89" s="3">
        <f>(ROUND((((S89+ROUND((ROUND((((EU89*1.2))*AV89*I89),2)*BS89),2))*AU89)/100),2)+ROUND(((ROUND((ROUND(((AE89-((EU89*1.2)))*AV89*I89),2)*BS89),2)*AU89)/100),2))</f>
        <v>18123.7</v>
      </c>
      <c r="AA89" s="3">
        <v>85739207</v>
      </c>
      <c r="AB89" s="3">
        <f t="shared" si="70"/>
        <v>4518.6279999999997</v>
      </c>
      <c r="AC89" s="3">
        <f>ROUND(((ES89*1)),6)</f>
        <v>204.64</v>
      </c>
      <c r="AD89" s="3">
        <f>ROUND(((((ET89*1.2))-((EU89*1.2)))+AE89),6)</f>
        <v>1254.9000000000001</v>
      </c>
      <c r="AE89" s="3">
        <f>ROUND(((EU89*1.2)),6)</f>
        <v>217.32</v>
      </c>
      <c r="AF89" s="3">
        <f>ROUND(((EV89*1.2)),6)</f>
        <v>3059.0880000000002</v>
      </c>
      <c r="AG89" s="3">
        <f t="shared" si="71"/>
        <v>0</v>
      </c>
      <c r="AH89" s="3">
        <f>((EW89*1.2))</f>
        <v>242.39999999999998</v>
      </c>
      <c r="AI89" s="3">
        <f>((EX89*1.2))</f>
        <v>0</v>
      </c>
      <c r="AJ89" s="3">
        <f t="shared" si="72"/>
        <v>0</v>
      </c>
      <c r="AK89" s="3">
        <v>3799.63</v>
      </c>
      <c r="AL89" s="3">
        <v>204.64</v>
      </c>
      <c r="AM89" s="3">
        <v>1045.75</v>
      </c>
      <c r="AN89" s="3">
        <v>181.1</v>
      </c>
      <c r="AO89" s="3">
        <v>2549.2399999999998</v>
      </c>
      <c r="AP89" s="3">
        <v>0</v>
      </c>
      <c r="AQ89" s="3">
        <v>202</v>
      </c>
      <c r="AR89" s="3">
        <v>0</v>
      </c>
      <c r="AS89" s="3">
        <v>0</v>
      </c>
      <c r="AT89" s="3">
        <v>90</v>
      </c>
      <c r="AU89" s="3">
        <v>46</v>
      </c>
      <c r="AV89" s="3">
        <v>1.0669999999999999</v>
      </c>
      <c r="AW89" s="3">
        <v>1.028</v>
      </c>
      <c r="AZ89" s="3">
        <v>1</v>
      </c>
      <c r="BA89" s="3">
        <v>56.35</v>
      </c>
      <c r="BB89" s="3">
        <v>19.5</v>
      </c>
      <c r="BC89" s="3">
        <v>9.52</v>
      </c>
      <c r="BD89" s="3" t="s">
        <v>3</v>
      </c>
      <c r="BE89" s="3" t="s">
        <v>3</v>
      </c>
      <c r="BF89" s="3" t="s">
        <v>3</v>
      </c>
      <c r="BG89" s="3" t="s">
        <v>3</v>
      </c>
      <c r="BH89" s="3">
        <v>0</v>
      </c>
      <c r="BI89" s="3">
        <v>2</v>
      </c>
      <c r="BJ89" s="3" t="s">
        <v>175</v>
      </c>
      <c r="BM89" s="3">
        <v>73</v>
      </c>
      <c r="BN89" s="3">
        <v>0</v>
      </c>
      <c r="BO89" s="3" t="s">
        <v>172</v>
      </c>
      <c r="BP89" s="3">
        <v>1</v>
      </c>
      <c r="BQ89" s="3">
        <v>40</v>
      </c>
      <c r="BR89" s="3">
        <v>0</v>
      </c>
      <c r="BS89" s="3">
        <v>56.35</v>
      </c>
      <c r="BT89" s="3">
        <v>1</v>
      </c>
      <c r="BU89" s="3">
        <v>1</v>
      </c>
      <c r="BV89" s="3">
        <v>1</v>
      </c>
      <c r="BW89" s="3">
        <v>1</v>
      </c>
      <c r="BX89" s="3">
        <v>1</v>
      </c>
      <c r="BY89" s="3" t="s">
        <v>3</v>
      </c>
      <c r="BZ89" s="3">
        <v>90</v>
      </c>
      <c r="CA89" s="3">
        <v>46</v>
      </c>
      <c r="CB89" s="3" t="s">
        <v>3</v>
      </c>
      <c r="CE89" s="3">
        <v>1566</v>
      </c>
      <c r="CF89" s="3">
        <v>0</v>
      </c>
      <c r="CG89" s="3">
        <v>0</v>
      </c>
      <c r="CM89" s="3">
        <v>0</v>
      </c>
      <c r="CN89" s="3" t="s">
        <v>677</v>
      </c>
      <c r="CO89" s="3">
        <v>0</v>
      </c>
      <c r="CP89" s="3">
        <f t="shared" si="73"/>
        <v>42408.45</v>
      </c>
      <c r="CQ89" s="3">
        <f t="shared" si="94"/>
        <v>2002.72</v>
      </c>
      <c r="CR89" s="3">
        <f>(ROUND((ROUND((((ET89*1.2))*AV89*1),2)*BB89),2)+ROUND((ROUND(((AE89-((EU89*1.2)))*AV89*1),2)*BS89),2))</f>
        <v>26110.11</v>
      </c>
      <c r="CS89" s="3">
        <f>(ROUND((ROUND((((EU89*1.2))*AV89*1),2)*BS89),2)+ROUND((ROUND(((AE89-((EU89*1.2)))*AV89*1),2)*BS89),2))</f>
        <v>13066.44</v>
      </c>
      <c r="CT89" s="3">
        <f t="shared" si="74"/>
        <v>183929.22</v>
      </c>
      <c r="CU89" s="3">
        <f t="shared" si="75"/>
        <v>0</v>
      </c>
      <c r="CV89" s="3">
        <f t="shared" si="76"/>
        <v>258.64079999999996</v>
      </c>
      <c r="CW89" s="3">
        <f t="shared" si="77"/>
        <v>0</v>
      </c>
      <c r="CX89" s="3">
        <f t="shared" si="78"/>
        <v>0</v>
      </c>
      <c r="CY89" s="3">
        <f>(ROUND((((S89+ROUND((ROUND((((EU89*1.2))*AV89*1),2)*BS89),2))*AT89)/100),2)+ROUND(((ROUND((ROUND(((AE89-((EU89*1.2)))*AV89*1),2)*BS89),2)*AT89)/100),2))</f>
        <v>44867.05</v>
      </c>
      <c r="CZ89" s="3">
        <f>(ROUND((((S89+ROUND((ROUND((((EU89*1.2))*AV89*1),2)*BS89),2))*AU89)/100),2)+ROUND(((ROUND((ROUND(((AE89-((EU89*1.2)))*AV89*1),2)*BS89),2)*AU89)/100),2))</f>
        <v>22932.05</v>
      </c>
      <c r="DB89" s="3">
        <v>38</v>
      </c>
      <c r="DC89" s="3" t="s">
        <v>3</v>
      </c>
      <c r="DD89" s="3" t="s">
        <v>35</v>
      </c>
      <c r="DE89" s="3" t="s">
        <v>36</v>
      </c>
      <c r="DF89" s="3" t="s">
        <v>36</v>
      </c>
      <c r="DG89" s="3" t="s">
        <v>36</v>
      </c>
      <c r="DH89" s="3" t="s">
        <v>3</v>
      </c>
      <c r="DI89" s="3" t="s">
        <v>36</v>
      </c>
      <c r="DJ89" s="3" t="s">
        <v>36</v>
      </c>
      <c r="DK89" s="3" t="s">
        <v>3</v>
      </c>
      <c r="DL89" s="3" t="s">
        <v>3</v>
      </c>
      <c r="DM89" s="3" t="s">
        <v>3</v>
      </c>
      <c r="DN89" s="3">
        <v>0</v>
      </c>
      <c r="DO89" s="3">
        <v>0</v>
      </c>
      <c r="DP89" s="3">
        <v>1</v>
      </c>
      <c r="DQ89" s="3">
        <v>1</v>
      </c>
      <c r="DU89" s="3">
        <v>1003</v>
      </c>
      <c r="DV89" s="3" t="s">
        <v>174</v>
      </c>
      <c r="DW89" s="3" t="s">
        <v>174</v>
      </c>
      <c r="DX89" s="3">
        <v>100</v>
      </c>
      <c r="DZ89" s="3" t="s">
        <v>3</v>
      </c>
      <c r="EA89" s="3" t="s">
        <v>3</v>
      </c>
      <c r="EB89" s="3" t="s">
        <v>3</v>
      </c>
      <c r="EC89" s="3" t="s">
        <v>3</v>
      </c>
      <c r="EE89" s="3">
        <v>85133422</v>
      </c>
      <c r="EF89" s="3">
        <v>40</v>
      </c>
      <c r="EG89" s="3" t="s">
        <v>27</v>
      </c>
      <c r="EH89" s="3">
        <v>0</v>
      </c>
      <c r="EI89" s="3" t="s">
        <v>3</v>
      </c>
      <c r="EJ89" s="3">
        <v>2</v>
      </c>
      <c r="EK89" s="3">
        <v>73</v>
      </c>
      <c r="EL89" s="3" t="s">
        <v>62</v>
      </c>
      <c r="EM89" s="3" t="s">
        <v>63</v>
      </c>
      <c r="EO89" s="3" t="s">
        <v>37</v>
      </c>
      <c r="EQ89" s="3">
        <v>0</v>
      </c>
      <c r="ER89" s="3">
        <v>3799.63</v>
      </c>
      <c r="ES89" s="3">
        <v>204.64</v>
      </c>
      <c r="ET89" s="3">
        <v>1045.75</v>
      </c>
      <c r="EU89" s="3">
        <v>181.1</v>
      </c>
      <c r="EV89" s="3">
        <v>2549.2399999999998</v>
      </c>
      <c r="EW89" s="3">
        <v>202</v>
      </c>
      <c r="EX89" s="3">
        <v>0</v>
      </c>
      <c r="EY89" s="3">
        <v>0</v>
      </c>
      <c r="FQ89" s="3">
        <v>0</v>
      </c>
      <c r="FR89" s="3">
        <v>0</v>
      </c>
      <c r="FS89" s="3">
        <v>2</v>
      </c>
      <c r="FX89" s="3">
        <v>90</v>
      </c>
      <c r="FY89" s="3">
        <v>46</v>
      </c>
      <c r="GA89" s="3" t="s">
        <v>3</v>
      </c>
      <c r="GD89" s="3">
        <v>1</v>
      </c>
      <c r="GF89" s="3">
        <v>1184784363</v>
      </c>
      <c r="GG89" s="3">
        <v>2</v>
      </c>
      <c r="GH89" s="3">
        <v>1</v>
      </c>
      <c r="GI89" s="3">
        <v>2</v>
      </c>
      <c r="GJ89" s="3">
        <v>0</v>
      </c>
      <c r="GK89" s="3">
        <v>0</v>
      </c>
      <c r="GL89" s="3">
        <f t="shared" si="79"/>
        <v>0</v>
      </c>
      <c r="GM89" s="3">
        <f t="shared" si="80"/>
        <v>95991.57</v>
      </c>
      <c r="GN89" s="3">
        <f t="shared" si="81"/>
        <v>0</v>
      </c>
      <c r="GO89" s="3">
        <f t="shared" si="82"/>
        <v>95991.57</v>
      </c>
      <c r="GP89" s="3">
        <f t="shared" si="83"/>
        <v>0</v>
      </c>
      <c r="GR89" s="3">
        <v>0</v>
      </c>
      <c r="GS89" s="3">
        <v>3</v>
      </c>
      <c r="GT89" s="3">
        <v>0</v>
      </c>
      <c r="GU89" s="3" t="s">
        <v>3</v>
      </c>
      <c r="GV89" s="3">
        <f t="shared" si="84"/>
        <v>0</v>
      </c>
      <c r="GW89" s="3">
        <v>1</v>
      </c>
      <c r="GX89" s="3">
        <f t="shared" si="85"/>
        <v>0</v>
      </c>
      <c r="HA89" s="3">
        <v>0</v>
      </c>
      <c r="HB89" s="3">
        <v>0</v>
      </c>
      <c r="HC89" s="3">
        <f t="shared" si="86"/>
        <v>0</v>
      </c>
      <c r="HE89" s="3" t="s">
        <v>3</v>
      </c>
      <c r="HF89" s="3" t="s">
        <v>3</v>
      </c>
      <c r="HM89" s="3" t="s">
        <v>3</v>
      </c>
      <c r="HN89" s="3" t="s">
        <v>3</v>
      </c>
      <c r="HO89" s="3" t="s">
        <v>3</v>
      </c>
      <c r="HP89" s="3" t="s">
        <v>3</v>
      </c>
      <c r="HQ89" s="3" t="s">
        <v>3</v>
      </c>
      <c r="HS89" s="3">
        <v>0</v>
      </c>
      <c r="IK89" s="3">
        <v>0</v>
      </c>
    </row>
    <row r="90" spans="1:255" x14ac:dyDescent="0.2">
      <c r="A90" s="2">
        <v>18</v>
      </c>
      <c r="B90" s="2">
        <v>1</v>
      </c>
      <c r="C90" s="2">
        <v>207</v>
      </c>
      <c r="D90" s="2"/>
      <c r="E90" s="2" t="s">
        <v>176</v>
      </c>
      <c r="F90" s="2" t="s">
        <v>177</v>
      </c>
      <c r="G90" s="2" t="s">
        <v>178</v>
      </c>
      <c r="H90" s="2" t="s">
        <v>179</v>
      </c>
      <c r="I90" s="2">
        <f>I88*J90</f>
        <v>20.100000000000001</v>
      </c>
      <c r="J90" s="2">
        <v>100.5</v>
      </c>
      <c r="K90" s="2">
        <v>100.5</v>
      </c>
      <c r="L90" s="2"/>
      <c r="M90" s="2"/>
      <c r="N90" s="2"/>
      <c r="O90" s="2">
        <f t="shared" si="64"/>
        <v>3115.5</v>
      </c>
      <c r="P90" s="2">
        <f t="shared" si="91"/>
        <v>3115.5</v>
      </c>
      <c r="Q90" s="2">
        <f>(ROUND((ROUND(((ET90)*AV90*I90),2)*BB90),2)+ROUND((ROUND(((AE90-(EU90))*AV90*I90),2)*BS90),2))</f>
        <v>0</v>
      </c>
      <c r="R90" s="2">
        <f>(ROUND((ROUND(((EU90)*AV90*I90),2)*BS90),2)+ROUND((ROUND(((AE90-(EU90))*AV90*I90),2)*BS90),2))</f>
        <v>0</v>
      </c>
      <c r="S90" s="2">
        <f t="shared" si="65"/>
        <v>0</v>
      </c>
      <c r="T90" s="2">
        <f t="shared" si="66"/>
        <v>0</v>
      </c>
      <c r="U90" s="2">
        <f t="shared" si="67"/>
        <v>0</v>
      </c>
      <c r="V90" s="2">
        <f t="shared" si="68"/>
        <v>0</v>
      </c>
      <c r="W90" s="2">
        <f t="shared" si="69"/>
        <v>0</v>
      </c>
      <c r="X90" s="2">
        <f>(ROUND((((S90+ROUND((ROUND(((EU90)*AV90*I90),2)*BS90),2))*AT90)/100),2)+ROUND(((ROUND((ROUND(((AE90-(EU90))*AV90*I90),2)*BS90),2)*AT90)/100),2))</f>
        <v>0</v>
      </c>
      <c r="Y90" s="2">
        <f>(ROUND((((S90+ROUND((ROUND(((EU90)*AV90*I90),2)*BS90),2))*AU90)/100),2)+ROUND(((ROUND((ROUND(((AE90-(EU90))*AV90*I90),2)*BS90),2)*AU90)/100),2))</f>
        <v>0</v>
      </c>
      <c r="Z90" s="2"/>
      <c r="AA90" s="2">
        <v>85739205</v>
      </c>
      <c r="AB90" s="2">
        <f t="shared" si="70"/>
        <v>155</v>
      </c>
      <c r="AC90" s="2">
        <f>ROUND((ES90),6)</f>
        <v>155</v>
      </c>
      <c r="AD90" s="2">
        <f>ROUND((((ET90)-(EU90))+AE90),6)</f>
        <v>0</v>
      </c>
      <c r="AE90" s="2">
        <f>ROUND((EU90),6)</f>
        <v>0</v>
      </c>
      <c r="AF90" s="2">
        <f>ROUND((EV90),6)</f>
        <v>0</v>
      </c>
      <c r="AG90" s="2">
        <f t="shared" si="71"/>
        <v>0</v>
      </c>
      <c r="AH90" s="2">
        <f>(EW90)</f>
        <v>0</v>
      </c>
      <c r="AI90" s="2">
        <f>(EX90)</f>
        <v>0</v>
      </c>
      <c r="AJ90" s="2">
        <f t="shared" si="72"/>
        <v>0</v>
      </c>
      <c r="AK90" s="2">
        <v>155</v>
      </c>
      <c r="AL90" s="2">
        <v>155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90</v>
      </c>
      <c r="AU90" s="2">
        <v>46</v>
      </c>
      <c r="AV90" s="2">
        <v>1</v>
      </c>
      <c r="AW90" s="2">
        <v>1</v>
      </c>
      <c r="AX90" s="2"/>
      <c r="AY90" s="2"/>
      <c r="AZ90" s="2">
        <v>1</v>
      </c>
      <c r="BA90" s="2">
        <v>1</v>
      </c>
      <c r="BB90" s="2">
        <v>1</v>
      </c>
      <c r="BC90" s="2">
        <v>1</v>
      </c>
      <c r="BD90" s="2" t="s">
        <v>3</v>
      </c>
      <c r="BE90" s="2" t="s">
        <v>3</v>
      </c>
      <c r="BF90" s="2" t="s">
        <v>3</v>
      </c>
      <c r="BG90" s="2" t="s">
        <v>3</v>
      </c>
      <c r="BH90" s="2">
        <v>3</v>
      </c>
      <c r="BI90" s="2">
        <v>2</v>
      </c>
      <c r="BJ90" s="2" t="s">
        <v>180</v>
      </c>
      <c r="BK90" s="2"/>
      <c r="BL90" s="2"/>
      <c r="BM90" s="2">
        <v>73</v>
      </c>
      <c r="BN90" s="2">
        <v>0</v>
      </c>
      <c r="BO90" s="2" t="s">
        <v>3</v>
      </c>
      <c r="BP90" s="2">
        <v>0</v>
      </c>
      <c r="BQ90" s="2">
        <v>40</v>
      </c>
      <c r="BR90" s="2">
        <v>0</v>
      </c>
      <c r="BS90" s="2">
        <v>1</v>
      </c>
      <c r="BT90" s="2">
        <v>1</v>
      </c>
      <c r="BU90" s="2">
        <v>1</v>
      </c>
      <c r="BV90" s="2">
        <v>1</v>
      </c>
      <c r="BW90" s="2">
        <v>1</v>
      </c>
      <c r="BX90" s="2">
        <v>1</v>
      </c>
      <c r="BY90" s="2" t="s">
        <v>3</v>
      </c>
      <c r="BZ90" s="2">
        <v>90</v>
      </c>
      <c r="CA90" s="2">
        <v>46</v>
      </c>
      <c r="CB90" s="2" t="s">
        <v>3</v>
      </c>
      <c r="CC90" s="2"/>
      <c r="CD90" s="2"/>
      <c r="CE90" s="2">
        <v>1566</v>
      </c>
      <c r="CF90" s="2">
        <v>0</v>
      </c>
      <c r="CG90" s="2">
        <v>0</v>
      </c>
      <c r="CH90" s="2"/>
      <c r="CI90" s="2"/>
      <c r="CJ90" s="2"/>
      <c r="CK90" s="2"/>
      <c r="CL90" s="2"/>
      <c r="CM90" s="2">
        <v>0</v>
      </c>
      <c r="CN90" s="2" t="s">
        <v>679</v>
      </c>
      <c r="CO90" s="2">
        <v>0</v>
      </c>
      <c r="CP90" s="2">
        <f t="shared" si="73"/>
        <v>3115.5</v>
      </c>
      <c r="CQ90" s="2">
        <f t="shared" si="94"/>
        <v>155</v>
      </c>
      <c r="CR90" s="2">
        <f>(ROUND((ROUND(((ET90)*AV90*1),2)*BB90),2)+ROUND((ROUND(((AE90-(EU90))*AV90*1),2)*BS90),2))</f>
        <v>0</v>
      </c>
      <c r="CS90" s="2">
        <f>(ROUND((ROUND(((EU90)*AV90*1),2)*BS90),2)+ROUND((ROUND(((AE90-(EU90))*AV90*1),2)*BS90),2))</f>
        <v>0</v>
      </c>
      <c r="CT90" s="2">
        <f t="shared" si="74"/>
        <v>0</v>
      </c>
      <c r="CU90" s="2">
        <f t="shared" si="75"/>
        <v>0</v>
      </c>
      <c r="CV90" s="2">
        <f t="shared" si="76"/>
        <v>0</v>
      </c>
      <c r="CW90" s="2">
        <f t="shared" si="77"/>
        <v>0</v>
      </c>
      <c r="CX90" s="2">
        <f t="shared" si="78"/>
        <v>0</v>
      </c>
      <c r="CY90" s="2">
        <f>(ROUND((((S90+ROUND((ROUND(((EU90)*AV90*1),2)*BS90),2))*AT90)/100),2)+ROUND(((ROUND((ROUND(((AE90-(EU90))*AV90*1),2)*BS90),2)*AT90)/100),2))</f>
        <v>0</v>
      </c>
      <c r="CZ90" s="2">
        <f>(ROUND((((S90+ROUND((ROUND(((EU90)*AV90*1),2)*BS90),2))*AU90)/100),2)+ROUND(((ROUND((ROUND(((AE90-(EU90))*AV90*1),2)*BS90),2)*AU90)/100),2))</f>
        <v>0</v>
      </c>
      <c r="DA90" s="2"/>
      <c r="DB90" s="2"/>
      <c r="DC90" s="2" t="s">
        <v>3</v>
      </c>
      <c r="DD90" s="2" t="s">
        <v>3</v>
      </c>
      <c r="DE90" s="2" t="s">
        <v>3</v>
      </c>
      <c r="DF90" s="2" t="s">
        <v>3</v>
      </c>
      <c r="DG90" s="2" t="s">
        <v>3</v>
      </c>
      <c r="DH90" s="2" t="s">
        <v>3</v>
      </c>
      <c r="DI90" s="2" t="s">
        <v>3</v>
      </c>
      <c r="DJ90" s="2" t="s">
        <v>3</v>
      </c>
      <c r="DK90" s="2" t="s">
        <v>3</v>
      </c>
      <c r="DL90" s="2" t="s">
        <v>3</v>
      </c>
      <c r="DM90" s="2" t="s">
        <v>3</v>
      </c>
      <c r="DN90" s="2">
        <v>0</v>
      </c>
      <c r="DO90" s="2">
        <v>0</v>
      </c>
      <c r="DP90" s="2">
        <v>1</v>
      </c>
      <c r="DQ90" s="2">
        <v>1</v>
      </c>
      <c r="DR90" s="2"/>
      <c r="DS90" s="2"/>
      <c r="DT90" s="2"/>
      <c r="DU90" s="2">
        <v>1003</v>
      </c>
      <c r="DV90" s="2" t="s">
        <v>179</v>
      </c>
      <c r="DW90" s="2" t="s">
        <v>179</v>
      </c>
      <c r="DX90" s="2">
        <v>1</v>
      </c>
      <c r="DY90" s="2"/>
      <c r="DZ90" s="2" t="s">
        <v>3</v>
      </c>
      <c r="EA90" s="2" t="s">
        <v>3</v>
      </c>
      <c r="EB90" s="2" t="s">
        <v>3</v>
      </c>
      <c r="EC90" s="2" t="s">
        <v>3</v>
      </c>
      <c r="ED90" s="2"/>
      <c r="EE90" s="2">
        <v>85133422</v>
      </c>
      <c r="EF90" s="2">
        <v>40</v>
      </c>
      <c r="EG90" s="2" t="s">
        <v>27</v>
      </c>
      <c r="EH90" s="2">
        <v>0</v>
      </c>
      <c r="EI90" s="2" t="s">
        <v>3</v>
      </c>
      <c r="EJ90" s="2">
        <v>2</v>
      </c>
      <c r="EK90" s="2">
        <v>73</v>
      </c>
      <c r="EL90" s="2" t="s">
        <v>62</v>
      </c>
      <c r="EM90" s="2" t="s">
        <v>63</v>
      </c>
      <c r="EN90" s="2"/>
      <c r="EO90" s="2" t="s">
        <v>37</v>
      </c>
      <c r="EP90" s="2"/>
      <c r="EQ90" s="2">
        <v>0</v>
      </c>
      <c r="ER90" s="2">
        <v>155</v>
      </c>
      <c r="ES90" s="2">
        <v>155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>
        <v>0</v>
      </c>
      <c r="FR90" s="2">
        <v>0</v>
      </c>
      <c r="FS90" s="2">
        <v>0</v>
      </c>
      <c r="FT90" s="2"/>
      <c r="FU90" s="2"/>
      <c r="FV90" s="2"/>
      <c r="FW90" s="2"/>
      <c r="FX90" s="2">
        <v>90</v>
      </c>
      <c r="FY90" s="2">
        <v>46</v>
      </c>
      <c r="FZ90" s="2"/>
      <c r="GA90" s="2" t="s">
        <v>3</v>
      </c>
      <c r="GB90" s="2"/>
      <c r="GC90" s="2"/>
      <c r="GD90" s="2">
        <v>1</v>
      </c>
      <c r="GE90" s="2"/>
      <c r="GF90" s="2">
        <v>-50979398</v>
      </c>
      <c r="GG90" s="2">
        <v>2</v>
      </c>
      <c r="GH90" s="2">
        <v>1</v>
      </c>
      <c r="GI90" s="2">
        <v>-2</v>
      </c>
      <c r="GJ90" s="2">
        <v>0</v>
      </c>
      <c r="GK90" s="2">
        <v>0</v>
      </c>
      <c r="GL90" s="2">
        <f t="shared" si="79"/>
        <v>0</v>
      </c>
      <c r="GM90" s="2">
        <f t="shared" si="80"/>
        <v>3115.5</v>
      </c>
      <c r="GN90" s="2">
        <f t="shared" si="81"/>
        <v>0</v>
      </c>
      <c r="GO90" s="2">
        <f t="shared" si="82"/>
        <v>3115.5</v>
      </c>
      <c r="GP90" s="2">
        <f t="shared" si="83"/>
        <v>0</v>
      </c>
      <c r="GQ90" s="2"/>
      <c r="GR90" s="2">
        <v>0</v>
      </c>
      <c r="GS90" s="2">
        <v>3</v>
      </c>
      <c r="GT90" s="2">
        <v>0</v>
      </c>
      <c r="GU90" s="2" t="s">
        <v>3</v>
      </c>
      <c r="GV90" s="2">
        <f t="shared" si="84"/>
        <v>0</v>
      </c>
      <c r="GW90" s="2">
        <v>1</v>
      </c>
      <c r="GX90" s="2">
        <f t="shared" si="85"/>
        <v>0</v>
      </c>
      <c r="GY90" s="2"/>
      <c r="GZ90" s="2"/>
      <c r="HA90" s="2">
        <v>0</v>
      </c>
      <c r="HB90" s="2">
        <v>0</v>
      </c>
      <c r="HC90" s="2">
        <f t="shared" si="86"/>
        <v>0</v>
      </c>
      <c r="HD90" s="2"/>
      <c r="HE90" s="2" t="s">
        <v>3</v>
      </c>
      <c r="HF90" s="2" t="s">
        <v>3</v>
      </c>
      <c r="HG90" s="2"/>
      <c r="HH90" s="2"/>
      <c r="HI90" s="2"/>
      <c r="HJ90" s="2"/>
      <c r="HK90" s="2"/>
      <c r="HL90" s="2"/>
      <c r="HM90" s="2" t="s">
        <v>35</v>
      </c>
      <c r="HN90" s="2" t="s">
        <v>3</v>
      </c>
      <c r="HO90" s="2" t="s">
        <v>3</v>
      </c>
      <c r="HP90" s="2" t="s">
        <v>3</v>
      </c>
      <c r="HQ90" s="2" t="s">
        <v>3</v>
      </c>
      <c r="HR90" s="2"/>
      <c r="HS90" s="2">
        <v>0</v>
      </c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>
        <v>0</v>
      </c>
      <c r="IL90" s="2"/>
      <c r="IM90" s="2"/>
      <c r="IN90" s="2"/>
      <c r="IO90" s="2"/>
      <c r="IP90" s="2"/>
      <c r="IQ90" s="2"/>
      <c r="IR90" s="2"/>
      <c r="IS90" s="2"/>
      <c r="IT90" s="2"/>
      <c r="IU90" s="2"/>
    </row>
    <row r="91" spans="1:255" x14ac:dyDescent="0.2">
      <c r="A91" s="3">
        <v>18</v>
      </c>
      <c r="B91" s="3">
        <v>1</v>
      </c>
      <c r="C91" s="3">
        <v>216</v>
      </c>
      <c r="E91" s="3" t="s">
        <v>176</v>
      </c>
      <c r="F91" s="3" t="s">
        <v>177</v>
      </c>
      <c r="G91" s="3" t="s">
        <v>178</v>
      </c>
      <c r="H91" s="3" t="s">
        <v>179</v>
      </c>
      <c r="I91" s="3">
        <f>I89*J91</f>
        <v>20.100000000000001</v>
      </c>
      <c r="J91" s="3">
        <v>100.5</v>
      </c>
      <c r="K91" s="3">
        <v>100.5</v>
      </c>
      <c r="O91" s="3">
        <f t="shared" si="64"/>
        <v>15172.49</v>
      </c>
      <c r="P91" s="3">
        <f t="shared" si="91"/>
        <v>15172.49</v>
      </c>
      <c r="Q91" s="3">
        <f>(ROUND((ROUND(((ET91)*AV91*I91),2)*BB91),2)+ROUND((ROUND(((AE91-(EU91))*AV91*I91),2)*BS91),2))</f>
        <v>0</v>
      </c>
      <c r="R91" s="3">
        <f>(ROUND((ROUND(((EU91)*AV91*I91),2)*BS91),2)+ROUND((ROUND(((AE91-(EU91))*AV91*I91),2)*BS91),2))</f>
        <v>0</v>
      </c>
      <c r="S91" s="3">
        <f t="shared" si="65"/>
        <v>0</v>
      </c>
      <c r="T91" s="3">
        <f t="shared" si="66"/>
        <v>0</v>
      </c>
      <c r="U91" s="3">
        <f t="shared" si="67"/>
        <v>0</v>
      </c>
      <c r="V91" s="3">
        <f t="shared" si="68"/>
        <v>0</v>
      </c>
      <c r="W91" s="3">
        <f t="shared" si="69"/>
        <v>0</v>
      </c>
      <c r="X91" s="3">
        <f>(ROUND((((S91+ROUND((ROUND(((EU91)*AV91*I91),2)*BS91),2))*AT91)/100),2)+ROUND(((ROUND((ROUND(((AE91-(EU91))*AV91*I91),2)*BS91),2)*AT91)/100),2))</f>
        <v>0</v>
      </c>
      <c r="Y91" s="3">
        <f>(ROUND((((S91+ROUND((ROUND(((EU91)*AV91*I91),2)*BS91),2))*AU91)/100),2)+ROUND(((ROUND((ROUND(((AE91-(EU91))*AV91*I91),2)*BS91),2)*AU91)/100),2))</f>
        <v>0</v>
      </c>
      <c r="AA91" s="3">
        <v>85739207</v>
      </c>
      <c r="AB91" s="3">
        <f t="shared" si="70"/>
        <v>155</v>
      </c>
      <c r="AC91" s="3">
        <f>ROUND((ES91),6)</f>
        <v>155</v>
      </c>
      <c r="AD91" s="3">
        <f>ROUND((((ET91)-(EU91))+AE91),6)</f>
        <v>0</v>
      </c>
      <c r="AE91" s="3">
        <f>ROUND((EU91),6)</f>
        <v>0</v>
      </c>
      <c r="AF91" s="3">
        <f>ROUND((EV91),6)</f>
        <v>0</v>
      </c>
      <c r="AG91" s="3">
        <f t="shared" si="71"/>
        <v>0</v>
      </c>
      <c r="AH91" s="3">
        <f>(EW91)</f>
        <v>0</v>
      </c>
      <c r="AI91" s="3">
        <f>(EX91)</f>
        <v>0</v>
      </c>
      <c r="AJ91" s="3">
        <f t="shared" si="72"/>
        <v>0</v>
      </c>
      <c r="AK91" s="3">
        <v>155</v>
      </c>
      <c r="AL91" s="3">
        <v>155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90</v>
      </c>
      <c r="AU91" s="3">
        <v>46</v>
      </c>
      <c r="AV91" s="3">
        <v>1</v>
      </c>
      <c r="AW91" s="3">
        <v>1</v>
      </c>
      <c r="AZ91" s="3">
        <v>1</v>
      </c>
      <c r="BA91" s="3">
        <v>1</v>
      </c>
      <c r="BB91" s="3">
        <v>1</v>
      </c>
      <c r="BC91" s="3">
        <v>4.87</v>
      </c>
      <c r="BD91" s="3" t="s">
        <v>3</v>
      </c>
      <c r="BE91" s="3" t="s">
        <v>3</v>
      </c>
      <c r="BF91" s="3" t="s">
        <v>3</v>
      </c>
      <c r="BG91" s="3" t="s">
        <v>3</v>
      </c>
      <c r="BH91" s="3">
        <v>3</v>
      </c>
      <c r="BI91" s="3">
        <v>2</v>
      </c>
      <c r="BJ91" s="3" t="s">
        <v>180</v>
      </c>
      <c r="BM91" s="3">
        <v>73</v>
      </c>
      <c r="BN91" s="3">
        <v>0</v>
      </c>
      <c r="BO91" s="3" t="s">
        <v>177</v>
      </c>
      <c r="BP91" s="3">
        <v>1</v>
      </c>
      <c r="BQ91" s="3">
        <v>40</v>
      </c>
      <c r="BR91" s="3">
        <v>0</v>
      </c>
      <c r="BS91" s="3">
        <v>1</v>
      </c>
      <c r="BT91" s="3">
        <v>1</v>
      </c>
      <c r="BU91" s="3">
        <v>1</v>
      </c>
      <c r="BV91" s="3">
        <v>1</v>
      </c>
      <c r="BW91" s="3">
        <v>1</v>
      </c>
      <c r="BX91" s="3">
        <v>1</v>
      </c>
      <c r="BY91" s="3" t="s">
        <v>3</v>
      </c>
      <c r="BZ91" s="3">
        <v>90</v>
      </c>
      <c r="CA91" s="3">
        <v>46</v>
      </c>
      <c r="CB91" s="3" t="s">
        <v>3</v>
      </c>
      <c r="CE91" s="3">
        <v>1566</v>
      </c>
      <c r="CF91" s="3">
        <v>0</v>
      </c>
      <c r="CG91" s="3">
        <v>0</v>
      </c>
      <c r="CM91" s="3">
        <v>0</v>
      </c>
      <c r="CN91" s="3" t="s">
        <v>679</v>
      </c>
      <c r="CO91" s="3">
        <v>0</v>
      </c>
      <c r="CP91" s="3">
        <f t="shared" si="73"/>
        <v>15172.49</v>
      </c>
      <c r="CQ91" s="3">
        <f t="shared" si="94"/>
        <v>754.85</v>
      </c>
      <c r="CR91" s="3">
        <f>(ROUND((ROUND(((ET91)*AV91*1),2)*BB91),2)+ROUND((ROUND(((AE91-(EU91))*AV91*1),2)*BS91),2))</f>
        <v>0</v>
      </c>
      <c r="CS91" s="3">
        <f>(ROUND((ROUND(((EU91)*AV91*1),2)*BS91),2)+ROUND((ROUND(((AE91-(EU91))*AV91*1),2)*BS91),2))</f>
        <v>0</v>
      </c>
      <c r="CT91" s="3">
        <f t="shared" si="74"/>
        <v>0</v>
      </c>
      <c r="CU91" s="3">
        <f t="shared" si="75"/>
        <v>0</v>
      </c>
      <c r="CV91" s="3">
        <f t="shared" si="76"/>
        <v>0</v>
      </c>
      <c r="CW91" s="3">
        <f t="shared" si="77"/>
        <v>0</v>
      </c>
      <c r="CX91" s="3">
        <f t="shared" si="78"/>
        <v>0</v>
      </c>
      <c r="CY91" s="3">
        <f>(ROUND((((S91+ROUND((ROUND(((EU91)*AV91*1),2)*BS91),2))*AT91)/100),2)+ROUND(((ROUND((ROUND(((AE91-(EU91))*AV91*1),2)*BS91),2)*AT91)/100),2))</f>
        <v>0</v>
      </c>
      <c r="CZ91" s="3">
        <f>(ROUND((((S91+ROUND((ROUND(((EU91)*AV91*1),2)*BS91),2))*AU91)/100),2)+ROUND(((ROUND((ROUND(((AE91-(EU91))*AV91*1),2)*BS91),2)*AU91)/100),2))</f>
        <v>0</v>
      </c>
      <c r="DC91" s="3" t="s">
        <v>3</v>
      </c>
      <c r="DD91" s="3" t="s">
        <v>3</v>
      </c>
      <c r="DE91" s="3" t="s">
        <v>3</v>
      </c>
      <c r="DF91" s="3" t="s">
        <v>3</v>
      </c>
      <c r="DG91" s="3" t="s">
        <v>3</v>
      </c>
      <c r="DH91" s="3" t="s">
        <v>3</v>
      </c>
      <c r="DI91" s="3" t="s">
        <v>3</v>
      </c>
      <c r="DJ91" s="3" t="s">
        <v>3</v>
      </c>
      <c r="DK91" s="3" t="s">
        <v>3</v>
      </c>
      <c r="DL91" s="3" t="s">
        <v>3</v>
      </c>
      <c r="DM91" s="3" t="s">
        <v>3</v>
      </c>
      <c r="DN91" s="3">
        <v>0</v>
      </c>
      <c r="DO91" s="3">
        <v>0</v>
      </c>
      <c r="DP91" s="3">
        <v>1</v>
      </c>
      <c r="DQ91" s="3">
        <v>1</v>
      </c>
      <c r="DU91" s="3">
        <v>1003</v>
      </c>
      <c r="DV91" s="3" t="s">
        <v>179</v>
      </c>
      <c r="DW91" s="3" t="s">
        <v>179</v>
      </c>
      <c r="DX91" s="3">
        <v>1</v>
      </c>
      <c r="DZ91" s="3" t="s">
        <v>3</v>
      </c>
      <c r="EA91" s="3" t="s">
        <v>3</v>
      </c>
      <c r="EB91" s="3" t="s">
        <v>3</v>
      </c>
      <c r="EC91" s="3" t="s">
        <v>3</v>
      </c>
      <c r="EE91" s="3">
        <v>85133422</v>
      </c>
      <c r="EF91" s="3">
        <v>40</v>
      </c>
      <c r="EG91" s="3" t="s">
        <v>27</v>
      </c>
      <c r="EH91" s="3">
        <v>0</v>
      </c>
      <c r="EI91" s="3" t="s">
        <v>3</v>
      </c>
      <c r="EJ91" s="3">
        <v>2</v>
      </c>
      <c r="EK91" s="3">
        <v>73</v>
      </c>
      <c r="EL91" s="3" t="s">
        <v>62</v>
      </c>
      <c r="EM91" s="3" t="s">
        <v>63</v>
      </c>
      <c r="EO91" s="3" t="s">
        <v>37</v>
      </c>
      <c r="EQ91" s="3">
        <v>0</v>
      </c>
      <c r="ER91" s="3">
        <v>155</v>
      </c>
      <c r="ES91" s="3">
        <v>155</v>
      </c>
      <c r="ET91" s="3">
        <v>0</v>
      </c>
      <c r="EU91" s="3">
        <v>0</v>
      </c>
      <c r="EV91" s="3">
        <v>0</v>
      </c>
      <c r="EW91" s="3">
        <v>0</v>
      </c>
      <c r="EX91" s="3">
        <v>0</v>
      </c>
      <c r="FQ91" s="3">
        <v>0</v>
      </c>
      <c r="FR91" s="3">
        <v>0</v>
      </c>
      <c r="FS91" s="3">
        <v>0</v>
      </c>
      <c r="FX91" s="3">
        <v>90</v>
      </c>
      <c r="FY91" s="3">
        <v>46</v>
      </c>
      <c r="GA91" s="3" t="s">
        <v>3</v>
      </c>
      <c r="GD91" s="3">
        <v>1</v>
      </c>
      <c r="GF91" s="3">
        <v>-50979398</v>
      </c>
      <c r="GG91" s="3">
        <v>2</v>
      </c>
      <c r="GH91" s="3">
        <v>1</v>
      </c>
      <c r="GI91" s="3">
        <v>2</v>
      </c>
      <c r="GJ91" s="3">
        <v>0</v>
      </c>
      <c r="GK91" s="3">
        <v>0</v>
      </c>
      <c r="GL91" s="3">
        <f t="shared" si="79"/>
        <v>0</v>
      </c>
      <c r="GM91" s="3">
        <f t="shared" si="80"/>
        <v>15172.49</v>
      </c>
      <c r="GN91" s="3">
        <f t="shared" si="81"/>
        <v>0</v>
      </c>
      <c r="GO91" s="3">
        <f t="shared" si="82"/>
        <v>15172.49</v>
      </c>
      <c r="GP91" s="3">
        <f t="shared" si="83"/>
        <v>0</v>
      </c>
      <c r="GR91" s="3">
        <v>0</v>
      </c>
      <c r="GS91" s="3">
        <v>3</v>
      </c>
      <c r="GT91" s="3">
        <v>0</v>
      </c>
      <c r="GU91" s="3" t="s">
        <v>3</v>
      </c>
      <c r="GV91" s="3">
        <f t="shared" si="84"/>
        <v>0</v>
      </c>
      <c r="GW91" s="3">
        <v>1</v>
      </c>
      <c r="GX91" s="3">
        <f t="shared" si="85"/>
        <v>0</v>
      </c>
      <c r="HA91" s="3">
        <v>0</v>
      </c>
      <c r="HB91" s="3">
        <v>0</v>
      </c>
      <c r="HC91" s="3">
        <f t="shared" si="86"/>
        <v>0</v>
      </c>
      <c r="HE91" s="3" t="s">
        <v>3</v>
      </c>
      <c r="HF91" s="3" t="s">
        <v>3</v>
      </c>
      <c r="HM91" s="3" t="s">
        <v>35</v>
      </c>
      <c r="HN91" s="3" t="s">
        <v>3</v>
      </c>
      <c r="HO91" s="3" t="s">
        <v>3</v>
      </c>
      <c r="HP91" s="3" t="s">
        <v>3</v>
      </c>
      <c r="HQ91" s="3" t="s">
        <v>3</v>
      </c>
      <c r="HS91" s="3">
        <v>0</v>
      </c>
      <c r="IK91" s="3">
        <v>0</v>
      </c>
    </row>
    <row r="92" spans="1:255" x14ac:dyDescent="0.2">
      <c r="A92" s="2">
        <v>17</v>
      </c>
      <c r="B92" s="2">
        <v>1</v>
      </c>
      <c r="C92" s="2">
        <f>ROW(SmtRes!A226)</f>
        <v>226</v>
      </c>
      <c r="D92" s="2">
        <f>ROW(EtalonRes!A249)</f>
        <v>249</v>
      </c>
      <c r="E92" s="2" t="s">
        <v>181</v>
      </c>
      <c r="F92" s="2" t="s">
        <v>182</v>
      </c>
      <c r="G92" s="2" t="s">
        <v>183</v>
      </c>
      <c r="H92" s="2" t="s">
        <v>174</v>
      </c>
      <c r="I92" s="2">
        <f>ROUND((40+60)/100,9)</f>
        <v>1</v>
      </c>
      <c r="J92" s="2">
        <v>0</v>
      </c>
      <c r="K92" s="2">
        <f>ROUND((40+60)/100,9)</f>
        <v>1</v>
      </c>
      <c r="L92" s="2"/>
      <c r="M92" s="2"/>
      <c r="N92" s="2"/>
      <c r="O92" s="2">
        <f t="shared" ref="O92:O123" si="95">ROUND(CP92,2)</f>
        <v>3749.55</v>
      </c>
      <c r="P92" s="2">
        <f t="shared" si="91"/>
        <v>129.56</v>
      </c>
      <c r="Q92" s="2">
        <f>(ROUND((ROUND((((ET92*1.2))*AV92*I92),2)*BB92),2)+ROUND((ROUND(((AE92-((EU92*1.2)))*AV92*I92),2)*BS92),2))</f>
        <v>1050.76</v>
      </c>
      <c r="R92" s="2">
        <f>(ROUND((ROUND((((EU92*1.2))*AV92*I92),2)*BS92),2)+ROUND((ROUND(((AE92-((EU92*1.2)))*AV92*I92),2)*BS92),2))</f>
        <v>178.72</v>
      </c>
      <c r="S92" s="2">
        <f t="shared" ref="S92:S123" si="96">ROUND((ROUND((AF92*AV92*I92),2)*BA92),2)</f>
        <v>2569.23</v>
      </c>
      <c r="T92" s="2">
        <f t="shared" ref="T92:T123" si="97">ROUND(CU92*I92,2)</f>
        <v>0</v>
      </c>
      <c r="U92" s="2">
        <f t="shared" ref="U92:U123" si="98">CV92*I92</f>
        <v>203.58359999999996</v>
      </c>
      <c r="V92" s="2">
        <f t="shared" ref="V92:V123" si="99">CW92*I92</f>
        <v>0</v>
      </c>
      <c r="W92" s="2">
        <f t="shared" ref="W92:W123" si="100">ROUND(CX92*I92,2)</f>
        <v>0</v>
      </c>
      <c r="X92" s="2">
        <f>(ROUND((((S92+ROUND((ROUND((((EU92*1.2))*AV92*I92),2)*BS92),2))*AT92)/100),2)+ROUND(((ROUND((ROUND(((AE92-((EU92*1.2)))*AV92*I92),2)*BS92),2)*AT92)/100),2))</f>
        <v>2473.16</v>
      </c>
      <c r="Y92" s="2">
        <f>(ROUND((((S92+ROUND((ROUND((((EU92*1.2))*AV92*I92),2)*BS92),2))*AU92)/100),2)+ROUND(((ROUND((ROUND(((AE92-((EU92*1.2)))*AV92*I92),2)*BS92),2)*AU92)/100),2))</f>
        <v>1264.06</v>
      </c>
      <c r="Z92" s="2"/>
      <c r="AA92" s="2">
        <v>85739205</v>
      </c>
      <c r="AB92" s="2">
        <f t="shared" ref="AB92:AB123" si="101">ROUND((AC92+AD92+AF92),6)</f>
        <v>3518.7060000000001</v>
      </c>
      <c r="AC92" s="2">
        <f>ROUND(((ES92*1)),6)</f>
        <v>126.03</v>
      </c>
      <c r="AD92" s="2">
        <f>ROUND(((((ET92*1.2))-((EU92*1.2)))+AE92),6)</f>
        <v>984.78</v>
      </c>
      <c r="AE92" s="2">
        <f>ROUND(((EU92*1.2)),6)</f>
        <v>167.49600000000001</v>
      </c>
      <c r="AF92" s="2">
        <f>ROUND(((EV92*1.2)),6)</f>
        <v>2407.8960000000002</v>
      </c>
      <c r="AG92" s="2">
        <f t="shared" ref="AG92:AG123" si="102">ROUND((AP92),6)</f>
        <v>0</v>
      </c>
      <c r="AH92" s="2">
        <f>((EW92*1.2))</f>
        <v>190.79999999999998</v>
      </c>
      <c r="AI92" s="2">
        <f>((EX92*1.2))</f>
        <v>0</v>
      </c>
      <c r="AJ92" s="2">
        <f t="shared" ref="AJ92:AJ123" si="103">(AS92)</f>
        <v>0</v>
      </c>
      <c r="AK92" s="2">
        <v>2953.26</v>
      </c>
      <c r="AL92" s="2">
        <v>126.03</v>
      </c>
      <c r="AM92" s="2">
        <v>820.65</v>
      </c>
      <c r="AN92" s="2">
        <v>139.58000000000001</v>
      </c>
      <c r="AO92" s="2">
        <v>2006.58</v>
      </c>
      <c r="AP92" s="2">
        <v>0</v>
      </c>
      <c r="AQ92" s="2">
        <v>159</v>
      </c>
      <c r="AR92" s="2">
        <v>0</v>
      </c>
      <c r="AS92" s="2">
        <v>0</v>
      </c>
      <c r="AT92" s="2">
        <v>90</v>
      </c>
      <c r="AU92" s="2">
        <v>46</v>
      </c>
      <c r="AV92" s="2">
        <v>1.0669999999999999</v>
      </c>
      <c r="AW92" s="2">
        <v>1.028</v>
      </c>
      <c r="AX92" s="2"/>
      <c r="AY92" s="2"/>
      <c r="AZ92" s="2">
        <v>1</v>
      </c>
      <c r="BA92" s="2">
        <v>1</v>
      </c>
      <c r="BB92" s="2">
        <v>1</v>
      </c>
      <c r="BC92" s="2">
        <v>1</v>
      </c>
      <c r="BD92" s="2" t="s">
        <v>3</v>
      </c>
      <c r="BE92" s="2" t="s">
        <v>3</v>
      </c>
      <c r="BF92" s="2" t="s">
        <v>3</v>
      </c>
      <c r="BG92" s="2" t="s">
        <v>3</v>
      </c>
      <c r="BH92" s="2">
        <v>0</v>
      </c>
      <c r="BI92" s="2">
        <v>2</v>
      </c>
      <c r="BJ92" s="2" t="s">
        <v>184</v>
      </c>
      <c r="BK92" s="2"/>
      <c r="BL92" s="2"/>
      <c r="BM92" s="2">
        <v>73</v>
      </c>
      <c r="BN92" s="2">
        <v>0</v>
      </c>
      <c r="BO92" s="2" t="s">
        <v>182</v>
      </c>
      <c r="BP92" s="2">
        <v>1</v>
      </c>
      <c r="BQ92" s="2">
        <v>40</v>
      </c>
      <c r="BR92" s="2">
        <v>0</v>
      </c>
      <c r="BS92" s="2">
        <v>1</v>
      </c>
      <c r="BT92" s="2">
        <v>1</v>
      </c>
      <c r="BU92" s="2">
        <v>1</v>
      </c>
      <c r="BV92" s="2">
        <v>1</v>
      </c>
      <c r="BW92" s="2">
        <v>1</v>
      </c>
      <c r="BX92" s="2">
        <v>1</v>
      </c>
      <c r="BY92" s="2" t="s">
        <v>3</v>
      </c>
      <c r="BZ92" s="2">
        <v>90</v>
      </c>
      <c r="CA92" s="2">
        <v>46</v>
      </c>
      <c r="CB92" s="2" t="s">
        <v>3</v>
      </c>
      <c r="CC92" s="2"/>
      <c r="CD92" s="2"/>
      <c r="CE92" s="2">
        <v>1566</v>
      </c>
      <c r="CF92" s="2">
        <v>0</v>
      </c>
      <c r="CG92" s="2">
        <v>0</v>
      </c>
      <c r="CH92" s="2"/>
      <c r="CI92" s="2"/>
      <c r="CJ92" s="2"/>
      <c r="CK92" s="2"/>
      <c r="CL92" s="2"/>
      <c r="CM92" s="2">
        <v>0</v>
      </c>
      <c r="CN92" s="2" t="s">
        <v>677</v>
      </c>
      <c r="CO92" s="2">
        <v>0</v>
      </c>
      <c r="CP92" s="2">
        <f t="shared" ref="CP92:CP123" si="104">(P92+Q92+S92)</f>
        <v>3749.55</v>
      </c>
      <c r="CQ92" s="2">
        <f t="shared" si="94"/>
        <v>129.56</v>
      </c>
      <c r="CR92" s="2">
        <f>(ROUND((ROUND((((ET92*1.2))*AV92*1),2)*BB92),2)+ROUND((ROUND(((AE92-((EU92*1.2)))*AV92*1),2)*BS92),2))</f>
        <v>1050.76</v>
      </c>
      <c r="CS92" s="2">
        <f>(ROUND((ROUND((((EU92*1.2))*AV92*1),2)*BS92),2)+ROUND((ROUND(((AE92-((EU92*1.2)))*AV92*1),2)*BS92),2))</f>
        <v>178.72</v>
      </c>
      <c r="CT92" s="2">
        <f t="shared" ref="CT92:CT123" si="105">ROUND((ROUND((AF92*AV92*1),2)*BA92),2)</f>
        <v>2569.23</v>
      </c>
      <c r="CU92" s="2">
        <f t="shared" ref="CU92:CU123" si="106">AG92</f>
        <v>0</v>
      </c>
      <c r="CV92" s="2">
        <f t="shared" ref="CV92:CV123" si="107">(AH92*AV92)</f>
        <v>203.58359999999996</v>
      </c>
      <c r="CW92" s="2">
        <f t="shared" ref="CW92:CW123" si="108">AI92</f>
        <v>0</v>
      </c>
      <c r="CX92" s="2">
        <f t="shared" ref="CX92:CX123" si="109">AJ92</f>
        <v>0</v>
      </c>
      <c r="CY92" s="2">
        <f>(ROUND((((S92+ROUND((ROUND((((EU92*1.2))*AV92*1),2)*BS92),2))*AT92)/100),2)+ROUND(((ROUND((ROUND(((AE92-((EU92*1.2)))*AV92*1),2)*BS92),2)*AT92)/100),2))</f>
        <v>2473.16</v>
      </c>
      <c r="CZ92" s="2">
        <f>(ROUND((((S92+ROUND((ROUND((((EU92*1.2))*AV92*1),2)*BS92),2))*AU92)/100),2)+ROUND(((ROUND((ROUND(((AE92-((EU92*1.2)))*AV92*1),2)*BS92),2)*AU92)/100),2))</f>
        <v>1264.06</v>
      </c>
      <c r="DA92" s="2"/>
      <c r="DB92" s="2">
        <v>39</v>
      </c>
      <c r="DC92" s="2" t="s">
        <v>3</v>
      </c>
      <c r="DD92" s="2" t="s">
        <v>35</v>
      </c>
      <c r="DE92" s="2" t="s">
        <v>36</v>
      </c>
      <c r="DF92" s="2" t="s">
        <v>36</v>
      </c>
      <c r="DG92" s="2" t="s">
        <v>36</v>
      </c>
      <c r="DH92" s="2" t="s">
        <v>3</v>
      </c>
      <c r="DI92" s="2" t="s">
        <v>36</v>
      </c>
      <c r="DJ92" s="2" t="s">
        <v>36</v>
      </c>
      <c r="DK92" s="2" t="s">
        <v>3</v>
      </c>
      <c r="DL92" s="2" t="s">
        <v>3</v>
      </c>
      <c r="DM92" s="2" t="s">
        <v>3</v>
      </c>
      <c r="DN92" s="2">
        <v>0</v>
      </c>
      <c r="DO92" s="2">
        <v>0</v>
      </c>
      <c r="DP92" s="2">
        <v>1</v>
      </c>
      <c r="DQ92" s="2">
        <v>1</v>
      </c>
      <c r="DR92" s="2"/>
      <c r="DS92" s="2"/>
      <c r="DT92" s="2"/>
      <c r="DU92" s="2">
        <v>1003</v>
      </c>
      <c r="DV92" s="2" t="s">
        <v>174</v>
      </c>
      <c r="DW92" s="2" t="s">
        <v>174</v>
      </c>
      <c r="DX92" s="2">
        <v>100</v>
      </c>
      <c r="DY92" s="2"/>
      <c r="DZ92" s="2" t="s">
        <v>3</v>
      </c>
      <c r="EA92" s="2" t="s">
        <v>3</v>
      </c>
      <c r="EB92" s="2" t="s">
        <v>3</v>
      </c>
      <c r="EC92" s="2" t="s">
        <v>3</v>
      </c>
      <c r="ED92" s="2"/>
      <c r="EE92" s="2">
        <v>85133422</v>
      </c>
      <c r="EF92" s="2">
        <v>40</v>
      </c>
      <c r="EG92" s="2" t="s">
        <v>27</v>
      </c>
      <c r="EH92" s="2">
        <v>0</v>
      </c>
      <c r="EI92" s="2" t="s">
        <v>3</v>
      </c>
      <c r="EJ92" s="2">
        <v>2</v>
      </c>
      <c r="EK92" s="2">
        <v>73</v>
      </c>
      <c r="EL92" s="2" t="s">
        <v>62</v>
      </c>
      <c r="EM92" s="2" t="s">
        <v>63</v>
      </c>
      <c r="EN92" s="2"/>
      <c r="EO92" s="2" t="s">
        <v>37</v>
      </c>
      <c r="EP92" s="2"/>
      <c r="EQ92" s="2">
        <v>0</v>
      </c>
      <c r="ER92" s="2">
        <v>2953.26</v>
      </c>
      <c r="ES92" s="2">
        <v>126.03</v>
      </c>
      <c r="ET92" s="2">
        <v>820.65</v>
      </c>
      <c r="EU92" s="2">
        <v>139.58000000000001</v>
      </c>
      <c r="EV92" s="2">
        <v>2006.58</v>
      </c>
      <c r="EW92" s="2">
        <v>159</v>
      </c>
      <c r="EX92" s="2">
        <v>0</v>
      </c>
      <c r="EY92" s="2">
        <v>0</v>
      </c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>
        <v>0</v>
      </c>
      <c r="FR92" s="2">
        <v>0</v>
      </c>
      <c r="FS92" s="2">
        <v>2</v>
      </c>
      <c r="FT92" s="2"/>
      <c r="FU92" s="2"/>
      <c r="FV92" s="2"/>
      <c r="FW92" s="2"/>
      <c r="FX92" s="2">
        <v>90</v>
      </c>
      <c r="FY92" s="2">
        <v>46</v>
      </c>
      <c r="FZ92" s="2"/>
      <c r="GA92" s="2" t="s">
        <v>3</v>
      </c>
      <c r="GB92" s="2"/>
      <c r="GC92" s="2"/>
      <c r="GD92" s="2">
        <v>1</v>
      </c>
      <c r="GE92" s="2"/>
      <c r="GF92" s="2">
        <v>84595590</v>
      </c>
      <c r="GG92" s="2">
        <v>2</v>
      </c>
      <c r="GH92" s="2">
        <v>1</v>
      </c>
      <c r="GI92" s="2">
        <v>2</v>
      </c>
      <c r="GJ92" s="2">
        <v>0</v>
      </c>
      <c r="GK92" s="2">
        <v>0</v>
      </c>
      <c r="GL92" s="2">
        <f t="shared" ref="GL92:GL123" si="110">ROUND(IF(AND(BH92=3,BI92=3,FS92&lt;&gt;0),P92,0),2)</f>
        <v>0</v>
      </c>
      <c r="GM92" s="2">
        <f t="shared" ref="GM92:GM123" si="111">ROUND(O92+X92+Y92,2)+GX92</f>
        <v>7486.77</v>
      </c>
      <c r="GN92" s="2">
        <f t="shared" ref="GN92:GN123" si="112">IF(OR(BI92=0,BI92=1),GM92-GX92,0)</f>
        <v>0</v>
      </c>
      <c r="GO92" s="2">
        <f t="shared" ref="GO92:GO123" si="113">IF(BI92=2,GM92-GX92,0)</f>
        <v>7486.77</v>
      </c>
      <c r="GP92" s="2">
        <f t="shared" ref="GP92:GP123" si="114">IF(BI92=4,GM92-GX92,0)</f>
        <v>0</v>
      </c>
      <c r="GQ92" s="2"/>
      <c r="GR92" s="2">
        <v>0</v>
      </c>
      <c r="GS92" s="2">
        <v>3</v>
      </c>
      <c r="GT92" s="2">
        <v>0</v>
      </c>
      <c r="GU92" s="2" t="s">
        <v>3</v>
      </c>
      <c r="GV92" s="2">
        <f t="shared" ref="GV92:GV123" si="115">ROUND((GT92),6)</f>
        <v>0</v>
      </c>
      <c r="GW92" s="2">
        <v>1</v>
      </c>
      <c r="GX92" s="2">
        <f t="shared" ref="GX92:GX123" si="116">ROUND(HC92*I92,2)</f>
        <v>0</v>
      </c>
      <c r="GY92" s="2"/>
      <c r="GZ92" s="2"/>
      <c r="HA92" s="2">
        <v>0</v>
      </c>
      <c r="HB92" s="2">
        <v>0</v>
      </c>
      <c r="HC92" s="2">
        <f t="shared" ref="HC92:HC123" si="117">GV92*GW92</f>
        <v>0</v>
      </c>
      <c r="HD92" s="2"/>
      <c r="HE92" s="2" t="s">
        <v>3</v>
      </c>
      <c r="HF92" s="2" t="s">
        <v>3</v>
      </c>
      <c r="HG92" s="2"/>
      <c r="HH92" s="2"/>
      <c r="HI92" s="2"/>
      <c r="HJ92" s="2"/>
      <c r="HK92" s="2"/>
      <c r="HL92" s="2"/>
      <c r="HM92" s="2" t="s">
        <v>3</v>
      </c>
      <c r="HN92" s="2" t="s">
        <v>3</v>
      </c>
      <c r="HO92" s="2" t="s">
        <v>3</v>
      </c>
      <c r="HP92" s="2" t="s">
        <v>3</v>
      </c>
      <c r="HQ92" s="2" t="s">
        <v>3</v>
      </c>
      <c r="HR92" s="2"/>
      <c r="HS92" s="2">
        <v>0</v>
      </c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>
        <v>0</v>
      </c>
      <c r="IL92" s="2"/>
      <c r="IM92" s="2"/>
      <c r="IN92" s="2"/>
      <c r="IO92" s="2"/>
      <c r="IP92" s="2"/>
      <c r="IQ92" s="2"/>
      <c r="IR92" s="2"/>
      <c r="IS92" s="2"/>
      <c r="IT92" s="2"/>
      <c r="IU92" s="2"/>
    </row>
    <row r="93" spans="1:255" x14ac:dyDescent="0.2">
      <c r="A93" s="3">
        <v>17</v>
      </c>
      <c r="B93" s="3">
        <v>1</v>
      </c>
      <c r="C93" s="3">
        <f>ROW(SmtRes!A236)</f>
        <v>236</v>
      </c>
      <c r="D93" s="3">
        <f>ROW(EtalonRes!A258)</f>
        <v>258</v>
      </c>
      <c r="E93" s="3" t="s">
        <v>181</v>
      </c>
      <c r="F93" s="3" t="s">
        <v>182</v>
      </c>
      <c r="G93" s="3" t="s">
        <v>183</v>
      </c>
      <c r="H93" s="3" t="s">
        <v>174</v>
      </c>
      <c r="I93" s="3">
        <f>ROUND((40+60)/100,9)</f>
        <v>1</v>
      </c>
      <c r="J93" s="3">
        <v>0</v>
      </c>
      <c r="K93" s="3">
        <f>ROUND((40+60)/100,9)</f>
        <v>1</v>
      </c>
      <c r="O93" s="3">
        <f t="shared" si="95"/>
        <v>166553.19</v>
      </c>
      <c r="P93" s="3">
        <f t="shared" si="91"/>
        <v>1329.29</v>
      </c>
      <c r="Q93" s="3">
        <f>(ROUND((ROUND((((ET93*1.2))*AV93*I93),2)*BB93),2)+ROUND((ROUND(((AE93-((EU93*1.2)))*AV93*I93),2)*BS93),2))</f>
        <v>20447.79</v>
      </c>
      <c r="R93" s="3">
        <f>(ROUND((ROUND((((EU93*1.2))*AV93*I93),2)*BS93),2)+ROUND((ROUND(((AE93-((EU93*1.2)))*AV93*I93),2)*BS93),2))</f>
        <v>10070.870000000001</v>
      </c>
      <c r="S93" s="3">
        <f t="shared" si="96"/>
        <v>144776.10999999999</v>
      </c>
      <c r="T93" s="3">
        <f t="shared" si="97"/>
        <v>0</v>
      </c>
      <c r="U93" s="3">
        <f t="shared" si="98"/>
        <v>203.58359999999996</v>
      </c>
      <c r="V93" s="3">
        <f t="shared" si="99"/>
        <v>0</v>
      </c>
      <c r="W93" s="3">
        <f t="shared" si="100"/>
        <v>0</v>
      </c>
      <c r="X93" s="3">
        <f>(ROUND((((S93+ROUND((ROUND((((EU93*1.2))*AV93*I93),2)*BS93),2))*AT93)/100),2)+ROUND(((ROUND((ROUND(((AE93-((EU93*1.2)))*AV93*I93),2)*BS93),2)*AT93)/100),2))</f>
        <v>139362.28</v>
      </c>
      <c r="Y93" s="3">
        <f>(ROUND((((S93+ROUND((ROUND((((EU93*1.2))*AV93*I93),2)*BS93),2))*AU93)/100),2)+ROUND(((ROUND((ROUND(((AE93-((EU93*1.2)))*AV93*I93),2)*BS93),2)*AU93)/100),2))</f>
        <v>71229.61</v>
      </c>
      <c r="AA93" s="3">
        <v>85739207</v>
      </c>
      <c r="AB93" s="3">
        <f t="shared" si="101"/>
        <v>3518.7060000000001</v>
      </c>
      <c r="AC93" s="3">
        <f>ROUND(((ES93*1)),6)</f>
        <v>126.03</v>
      </c>
      <c r="AD93" s="3">
        <f>ROUND(((((ET93*1.2))-((EU93*1.2)))+AE93),6)</f>
        <v>984.78</v>
      </c>
      <c r="AE93" s="3">
        <f>ROUND(((EU93*1.2)),6)</f>
        <v>167.49600000000001</v>
      </c>
      <c r="AF93" s="3">
        <f>ROUND(((EV93*1.2)),6)</f>
        <v>2407.8960000000002</v>
      </c>
      <c r="AG93" s="3">
        <f t="shared" si="102"/>
        <v>0</v>
      </c>
      <c r="AH93" s="3">
        <f>((EW93*1.2))</f>
        <v>190.79999999999998</v>
      </c>
      <c r="AI93" s="3">
        <f>((EX93*1.2))</f>
        <v>0</v>
      </c>
      <c r="AJ93" s="3">
        <f t="shared" si="103"/>
        <v>0</v>
      </c>
      <c r="AK93" s="3">
        <v>2953.26</v>
      </c>
      <c r="AL93" s="3">
        <v>126.03</v>
      </c>
      <c r="AM93" s="3">
        <v>820.65</v>
      </c>
      <c r="AN93" s="3">
        <v>139.58000000000001</v>
      </c>
      <c r="AO93" s="3">
        <v>2006.58</v>
      </c>
      <c r="AP93" s="3">
        <v>0</v>
      </c>
      <c r="AQ93" s="3">
        <v>159</v>
      </c>
      <c r="AR93" s="3">
        <v>0</v>
      </c>
      <c r="AS93" s="3">
        <v>0</v>
      </c>
      <c r="AT93" s="3">
        <v>90</v>
      </c>
      <c r="AU93" s="3">
        <v>46</v>
      </c>
      <c r="AV93" s="3">
        <v>1.0669999999999999</v>
      </c>
      <c r="AW93" s="3">
        <v>1.028</v>
      </c>
      <c r="AZ93" s="3">
        <v>1</v>
      </c>
      <c r="BA93" s="3">
        <v>56.35</v>
      </c>
      <c r="BB93" s="3">
        <v>19.46</v>
      </c>
      <c r="BC93" s="3">
        <v>10.26</v>
      </c>
      <c r="BD93" s="3" t="s">
        <v>3</v>
      </c>
      <c r="BE93" s="3" t="s">
        <v>3</v>
      </c>
      <c r="BF93" s="3" t="s">
        <v>3</v>
      </c>
      <c r="BG93" s="3" t="s">
        <v>3</v>
      </c>
      <c r="BH93" s="3">
        <v>0</v>
      </c>
      <c r="BI93" s="3">
        <v>2</v>
      </c>
      <c r="BJ93" s="3" t="s">
        <v>184</v>
      </c>
      <c r="BM93" s="3">
        <v>73</v>
      </c>
      <c r="BN93" s="3">
        <v>0</v>
      </c>
      <c r="BO93" s="3" t="s">
        <v>182</v>
      </c>
      <c r="BP93" s="3">
        <v>1</v>
      </c>
      <c r="BQ93" s="3">
        <v>40</v>
      </c>
      <c r="BR93" s="3">
        <v>0</v>
      </c>
      <c r="BS93" s="3">
        <v>56.35</v>
      </c>
      <c r="BT93" s="3">
        <v>1</v>
      </c>
      <c r="BU93" s="3">
        <v>1</v>
      </c>
      <c r="BV93" s="3">
        <v>1</v>
      </c>
      <c r="BW93" s="3">
        <v>1</v>
      </c>
      <c r="BX93" s="3">
        <v>1</v>
      </c>
      <c r="BY93" s="3" t="s">
        <v>3</v>
      </c>
      <c r="BZ93" s="3">
        <v>90</v>
      </c>
      <c r="CA93" s="3">
        <v>46</v>
      </c>
      <c r="CB93" s="3" t="s">
        <v>3</v>
      </c>
      <c r="CE93" s="3">
        <v>1566</v>
      </c>
      <c r="CF93" s="3">
        <v>0</v>
      </c>
      <c r="CG93" s="3">
        <v>0</v>
      </c>
      <c r="CM93" s="3">
        <v>0</v>
      </c>
      <c r="CN93" s="3" t="s">
        <v>677</v>
      </c>
      <c r="CO93" s="3">
        <v>0</v>
      </c>
      <c r="CP93" s="3">
        <f t="shared" si="104"/>
        <v>166553.19</v>
      </c>
      <c r="CQ93" s="3">
        <f t="shared" si="94"/>
        <v>1329.29</v>
      </c>
      <c r="CR93" s="3">
        <f>(ROUND((ROUND((((ET93*1.2))*AV93*1),2)*BB93),2)+ROUND((ROUND(((AE93-((EU93*1.2)))*AV93*1),2)*BS93),2))</f>
        <v>20447.79</v>
      </c>
      <c r="CS93" s="3">
        <f>(ROUND((ROUND((((EU93*1.2))*AV93*1),2)*BS93),2)+ROUND((ROUND(((AE93-((EU93*1.2)))*AV93*1),2)*BS93),2))</f>
        <v>10070.870000000001</v>
      </c>
      <c r="CT93" s="3">
        <f t="shared" si="105"/>
        <v>144776.10999999999</v>
      </c>
      <c r="CU93" s="3">
        <f t="shared" si="106"/>
        <v>0</v>
      </c>
      <c r="CV93" s="3">
        <f t="shared" si="107"/>
        <v>203.58359999999996</v>
      </c>
      <c r="CW93" s="3">
        <f t="shared" si="108"/>
        <v>0</v>
      </c>
      <c r="CX93" s="3">
        <f t="shared" si="109"/>
        <v>0</v>
      </c>
      <c r="CY93" s="3">
        <f>(ROUND((((S93+ROUND((ROUND((((EU93*1.2))*AV93*1),2)*BS93),2))*AT93)/100),2)+ROUND(((ROUND((ROUND(((AE93-((EU93*1.2)))*AV93*1),2)*BS93),2)*AT93)/100),2))</f>
        <v>139362.28</v>
      </c>
      <c r="CZ93" s="3">
        <f>(ROUND((((S93+ROUND((ROUND((((EU93*1.2))*AV93*1),2)*BS93),2))*AU93)/100),2)+ROUND(((ROUND((ROUND(((AE93-((EU93*1.2)))*AV93*1),2)*BS93),2)*AU93)/100),2))</f>
        <v>71229.61</v>
      </c>
      <c r="DB93" s="3">
        <v>40</v>
      </c>
      <c r="DC93" s="3" t="s">
        <v>3</v>
      </c>
      <c r="DD93" s="3" t="s">
        <v>35</v>
      </c>
      <c r="DE93" s="3" t="s">
        <v>36</v>
      </c>
      <c r="DF93" s="3" t="s">
        <v>36</v>
      </c>
      <c r="DG93" s="3" t="s">
        <v>36</v>
      </c>
      <c r="DH93" s="3" t="s">
        <v>3</v>
      </c>
      <c r="DI93" s="3" t="s">
        <v>36</v>
      </c>
      <c r="DJ93" s="3" t="s">
        <v>36</v>
      </c>
      <c r="DK93" s="3" t="s">
        <v>3</v>
      </c>
      <c r="DL93" s="3" t="s">
        <v>3</v>
      </c>
      <c r="DM93" s="3" t="s">
        <v>3</v>
      </c>
      <c r="DN93" s="3">
        <v>0</v>
      </c>
      <c r="DO93" s="3">
        <v>0</v>
      </c>
      <c r="DP93" s="3">
        <v>1</v>
      </c>
      <c r="DQ93" s="3">
        <v>1</v>
      </c>
      <c r="DU93" s="3">
        <v>1003</v>
      </c>
      <c r="DV93" s="3" t="s">
        <v>174</v>
      </c>
      <c r="DW93" s="3" t="s">
        <v>174</v>
      </c>
      <c r="DX93" s="3">
        <v>100</v>
      </c>
      <c r="DZ93" s="3" t="s">
        <v>3</v>
      </c>
      <c r="EA93" s="3" t="s">
        <v>3</v>
      </c>
      <c r="EB93" s="3" t="s">
        <v>3</v>
      </c>
      <c r="EC93" s="3" t="s">
        <v>3</v>
      </c>
      <c r="EE93" s="3">
        <v>85133422</v>
      </c>
      <c r="EF93" s="3">
        <v>40</v>
      </c>
      <c r="EG93" s="3" t="s">
        <v>27</v>
      </c>
      <c r="EH93" s="3">
        <v>0</v>
      </c>
      <c r="EI93" s="3" t="s">
        <v>3</v>
      </c>
      <c r="EJ93" s="3">
        <v>2</v>
      </c>
      <c r="EK93" s="3">
        <v>73</v>
      </c>
      <c r="EL93" s="3" t="s">
        <v>62</v>
      </c>
      <c r="EM93" s="3" t="s">
        <v>63</v>
      </c>
      <c r="EO93" s="3" t="s">
        <v>37</v>
      </c>
      <c r="EQ93" s="3">
        <v>0</v>
      </c>
      <c r="ER93" s="3">
        <v>2953.26</v>
      </c>
      <c r="ES93" s="3">
        <v>126.03</v>
      </c>
      <c r="ET93" s="3">
        <v>820.65</v>
      </c>
      <c r="EU93" s="3">
        <v>139.58000000000001</v>
      </c>
      <c r="EV93" s="3">
        <v>2006.58</v>
      </c>
      <c r="EW93" s="3">
        <v>159</v>
      </c>
      <c r="EX93" s="3">
        <v>0</v>
      </c>
      <c r="EY93" s="3">
        <v>0</v>
      </c>
      <c r="FQ93" s="3">
        <v>0</v>
      </c>
      <c r="FR93" s="3">
        <v>0</v>
      </c>
      <c r="FS93" s="3">
        <v>2</v>
      </c>
      <c r="FX93" s="3">
        <v>90</v>
      </c>
      <c r="FY93" s="3">
        <v>46</v>
      </c>
      <c r="GA93" s="3" t="s">
        <v>3</v>
      </c>
      <c r="GD93" s="3">
        <v>1</v>
      </c>
      <c r="GF93" s="3">
        <v>84595590</v>
      </c>
      <c r="GG93" s="3">
        <v>2</v>
      </c>
      <c r="GH93" s="3">
        <v>1</v>
      </c>
      <c r="GI93" s="3">
        <v>2</v>
      </c>
      <c r="GJ93" s="3">
        <v>0</v>
      </c>
      <c r="GK93" s="3">
        <v>0</v>
      </c>
      <c r="GL93" s="3">
        <f t="shared" si="110"/>
        <v>0</v>
      </c>
      <c r="GM93" s="3">
        <f t="shared" si="111"/>
        <v>377145.08</v>
      </c>
      <c r="GN93" s="3">
        <f t="shared" si="112"/>
        <v>0</v>
      </c>
      <c r="GO93" s="3">
        <f t="shared" si="113"/>
        <v>377145.08</v>
      </c>
      <c r="GP93" s="3">
        <f t="shared" si="114"/>
        <v>0</v>
      </c>
      <c r="GR93" s="3">
        <v>0</v>
      </c>
      <c r="GS93" s="3">
        <v>3</v>
      </c>
      <c r="GT93" s="3">
        <v>0</v>
      </c>
      <c r="GU93" s="3" t="s">
        <v>3</v>
      </c>
      <c r="GV93" s="3">
        <f t="shared" si="115"/>
        <v>0</v>
      </c>
      <c r="GW93" s="3">
        <v>1</v>
      </c>
      <c r="GX93" s="3">
        <f t="shared" si="116"/>
        <v>0</v>
      </c>
      <c r="HA93" s="3">
        <v>0</v>
      </c>
      <c r="HB93" s="3">
        <v>0</v>
      </c>
      <c r="HC93" s="3">
        <f t="shared" si="117"/>
        <v>0</v>
      </c>
      <c r="HE93" s="3" t="s">
        <v>3</v>
      </c>
      <c r="HF93" s="3" t="s">
        <v>3</v>
      </c>
      <c r="HM93" s="3" t="s">
        <v>3</v>
      </c>
      <c r="HN93" s="3" t="s">
        <v>3</v>
      </c>
      <c r="HO93" s="3" t="s">
        <v>3</v>
      </c>
      <c r="HP93" s="3" t="s">
        <v>3</v>
      </c>
      <c r="HQ93" s="3" t="s">
        <v>3</v>
      </c>
      <c r="HS93" s="3">
        <v>0</v>
      </c>
      <c r="IK93" s="3">
        <v>0</v>
      </c>
    </row>
    <row r="94" spans="1:255" x14ac:dyDescent="0.2">
      <c r="A94" s="2">
        <v>18</v>
      </c>
      <c r="B94" s="2">
        <v>1</v>
      </c>
      <c r="C94" s="2">
        <v>226</v>
      </c>
      <c r="D94" s="2"/>
      <c r="E94" s="2" t="s">
        <v>185</v>
      </c>
      <c r="F94" s="2" t="s">
        <v>186</v>
      </c>
      <c r="G94" s="2" t="s">
        <v>187</v>
      </c>
      <c r="H94" s="2" t="s">
        <v>179</v>
      </c>
      <c r="I94" s="2">
        <f>I92*J94</f>
        <v>40.200000000000003</v>
      </c>
      <c r="J94" s="2">
        <v>40.200000000000003</v>
      </c>
      <c r="K94" s="2">
        <v>40.200000000000003</v>
      </c>
      <c r="L94" s="2"/>
      <c r="M94" s="2"/>
      <c r="N94" s="2"/>
      <c r="O94" s="2">
        <f t="shared" si="95"/>
        <v>3239.72</v>
      </c>
      <c r="P94" s="2">
        <f t="shared" si="91"/>
        <v>3239.72</v>
      </c>
      <c r="Q94" s="2">
        <f>(ROUND((ROUND(((ET94)*AV94*I94),2)*BB94),2)+ROUND((ROUND(((AE94-(EU94))*AV94*I94),2)*BS94),2))</f>
        <v>0</v>
      </c>
      <c r="R94" s="2">
        <f>(ROUND((ROUND(((EU94)*AV94*I94),2)*BS94),2)+ROUND((ROUND(((AE94-(EU94))*AV94*I94),2)*BS94),2))</f>
        <v>0</v>
      </c>
      <c r="S94" s="2">
        <f t="shared" si="96"/>
        <v>0</v>
      </c>
      <c r="T94" s="2">
        <f t="shared" si="97"/>
        <v>0</v>
      </c>
      <c r="U94" s="2">
        <f t="shared" si="98"/>
        <v>0</v>
      </c>
      <c r="V94" s="2">
        <f t="shared" si="99"/>
        <v>0</v>
      </c>
      <c r="W94" s="2">
        <f t="shared" si="100"/>
        <v>0</v>
      </c>
      <c r="X94" s="2">
        <f>(ROUND((((S94+ROUND((ROUND(((EU94)*AV94*I94),2)*BS94),2))*AT94)/100),2)+ROUND(((ROUND((ROUND(((AE94-(EU94))*AV94*I94),2)*BS94),2)*AT94)/100),2))</f>
        <v>0</v>
      </c>
      <c r="Y94" s="2">
        <f>(ROUND((((S94+ROUND((ROUND(((EU94)*AV94*I94),2)*BS94),2))*AU94)/100),2)+ROUND(((ROUND((ROUND(((AE94-(EU94))*AV94*I94),2)*BS94),2)*AU94)/100),2))</f>
        <v>0</v>
      </c>
      <c r="Z94" s="2"/>
      <c r="AA94" s="2">
        <v>85739205</v>
      </c>
      <c r="AB94" s="2">
        <f t="shared" si="101"/>
        <v>80.59</v>
      </c>
      <c r="AC94" s="2">
        <f>ROUND((ES94),6)</f>
        <v>80.59</v>
      </c>
      <c r="AD94" s="2">
        <f>ROUND((((ET94)-(EU94))+AE94),6)</f>
        <v>0</v>
      </c>
      <c r="AE94" s="2">
        <f t="shared" ref="AE94:AF97" si="118">ROUND((EU94),6)</f>
        <v>0</v>
      </c>
      <c r="AF94" s="2">
        <f t="shared" si="118"/>
        <v>0</v>
      </c>
      <c r="AG94" s="2">
        <f t="shared" si="102"/>
        <v>0</v>
      </c>
      <c r="AH94" s="2">
        <f t="shared" ref="AH94:AI97" si="119">(EW94)</f>
        <v>0</v>
      </c>
      <c r="AI94" s="2">
        <f t="shared" si="119"/>
        <v>0</v>
      </c>
      <c r="AJ94" s="2">
        <f t="shared" si="103"/>
        <v>0</v>
      </c>
      <c r="AK94" s="2">
        <v>80.59</v>
      </c>
      <c r="AL94" s="2">
        <v>80.59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90</v>
      </c>
      <c r="AU94" s="2">
        <v>46</v>
      </c>
      <c r="AV94" s="2">
        <v>1</v>
      </c>
      <c r="AW94" s="2">
        <v>1</v>
      </c>
      <c r="AX94" s="2"/>
      <c r="AY94" s="2"/>
      <c r="AZ94" s="2">
        <v>1</v>
      </c>
      <c r="BA94" s="2">
        <v>1</v>
      </c>
      <c r="BB94" s="2">
        <v>1</v>
      </c>
      <c r="BC94" s="2">
        <v>1</v>
      </c>
      <c r="BD94" s="2" t="s">
        <v>3</v>
      </c>
      <c r="BE94" s="2" t="s">
        <v>3</v>
      </c>
      <c r="BF94" s="2" t="s">
        <v>3</v>
      </c>
      <c r="BG94" s="2" t="s">
        <v>3</v>
      </c>
      <c r="BH94" s="2">
        <v>3</v>
      </c>
      <c r="BI94" s="2">
        <v>2</v>
      </c>
      <c r="BJ94" s="2" t="s">
        <v>188</v>
      </c>
      <c r="BK94" s="2"/>
      <c r="BL94" s="2"/>
      <c r="BM94" s="2">
        <v>73</v>
      </c>
      <c r="BN94" s="2">
        <v>0</v>
      </c>
      <c r="BO94" s="2" t="s">
        <v>3</v>
      </c>
      <c r="BP94" s="2">
        <v>0</v>
      </c>
      <c r="BQ94" s="2">
        <v>40</v>
      </c>
      <c r="BR94" s="2">
        <v>0</v>
      </c>
      <c r="BS94" s="2">
        <v>1</v>
      </c>
      <c r="BT94" s="2">
        <v>1</v>
      </c>
      <c r="BU94" s="2">
        <v>1</v>
      </c>
      <c r="BV94" s="2">
        <v>1</v>
      </c>
      <c r="BW94" s="2">
        <v>1</v>
      </c>
      <c r="BX94" s="2">
        <v>1</v>
      </c>
      <c r="BY94" s="2" t="s">
        <v>3</v>
      </c>
      <c r="BZ94" s="2">
        <v>90</v>
      </c>
      <c r="CA94" s="2">
        <v>46</v>
      </c>
      <c r="CB94" s="2" t="s">
        <v>3</v>
      </c>
      <c r="CC94" s="2"/>
      <c r="CD94" s="2"/>
      <c r="CE94" s="2">
        <v>1566</v>
      </c>
      <c r="CF94" s="2">
        <v>0</v>
      </c>
      <c r="CG94" s="2">
        <v>0</v>
      </c>
      <c r="CH94" s="2"/>
      <c r="CI94" s="2"/>
      <c r="CJ94" s="2"/>
      <c r="CK94" s="2"/>
      <c r="CL94" s="2"/>
      <c r="CM94" s="2">
        <v>0</v>
      </c>
      <c r="CN94" s="2" t="s">
        <v>679</v>
      </c>
      <c r="CO94" s="2">
        <v>0</v>
      </c>
      <c r="CP94" s="2">
        <f t="shared" si="104"/>
        <v>3239.72</v>
      </c>
      <c r="CQ94" s="2">
        <f t="shared" si="94"/>
        <v>80.59</v>
      </c>
      <c r="CR94" s="2">
        <f>(ROUND((ROUND(((ET94)*AV94*1),2)*BB94),2)+ROUND((ROUND(((AE94-(EU94))*AV94*1),2)*BS94),2))</f>
        <v>0</v>
      </c>
      <c r="CS94" s="2">
        <f>(ROUND((ROUND(((EU94)*AV94*1),2)*BS94),2)+ROUND((ROUND(((AE94-(EU94))*AV94*1),2)*BS94),2))</f>
        <v>0</v>
      </c>
      <c r="CT94" s="2">
        <f t="shared" si="105"/>
        <v>0</v>
      </c>
      <c r="CU94" s="2">
        <f t="shared" si="106"/>
        <v>0</v>
      </c>
      <c r="CV94" s="2">
        <f t="shared" si="107"/>
        <v>0</v>
      </c>
      <c r="CW94" s="2">
        <f t="shared" si="108"/>
        <v>0</v>
      </c>
      <c r="CX94" s="2">
        <f t="shared" si="109"/>
        <v>0</v>
      </c>
      <c r="CY94" s="2">
        <f>(ROUND((((S94+ROUND((ROUND(((EU94)*AV94*1),2)*BS94),2))*AT94)/100),2)+ROUND(((ROUND((ROUND(((AE94-(EU94))*AV94*1),2)*BS94),2)*AT94)/100),2))</f>
        <v>0</v>
      </c>
      <c r="CZ94" s="2">
        <f>(ROUND((((S94+ROUND((ROUND(((EU94)*AV94*1),2)*BS94),2))*AU94)/100),2)+ROUND(((ROUND((ROUND(((AE94-(EU94))*AV94*1),2)*BS94),2)*AU94)/100),2))</f>
        <v>0</v>
      </c>
      <c r="DA94" s="2"/>
      <c r="DB94" s="2"/>
      <c r="DC94" s="2" t="s">
        <v>3</v>
      </c>
      <c r="DD94" s="2" t="s">
        <v>3</v>
      </c>
      <c r="DE94" s="2" t="s">
        <v>3</v>
      </c>
      <c r="DF94" s="2" t="s">
        <v>3</v>
      </c>
      <c r="DG94" s="2" t="s">
        <v>3</v>
      </c>
      <c r="DH94" s="2" t="s">
        <v>3</v>
      </c>
      <c r="DI94" s="2" t="s">
        <v>3</v>
      </c>
      <c r="DJ94" s="2" t="s">
        <v>3</v>
      </c>
      <c r="DK94" s="2" t="s">
        <v>3</v>
      </c>
      <c r="DL94" s="2" t="s">
        <v>3</v>
      </c>
      <c r="DM94" s="2" t="s">
        <v>3</v>
      </c>
      <c r="DN94" s="2">
        <v>0</v>
      </c>
      <c r="DO94" s="2">
        <v>0</v>
      </c>
      <c r="DP94" s="2">
        <v>1</v>
      </c>
      <c r="DQ94" s="2">
        <v>1</v>
      </c>
      <c r="DR94" s="2"/>
      <c r="DS94" s="2"/>
      <c r="DT94" s="2"/>
      <c r="DU94" s="2">
        <v>1003</v>
      </c>
      <c r="DV94" s="2" t="s">
        <v>179</v>
      </c>
      <c r="DW94" s="2" t="s">
        <v>179</v>
      </c>
      <c r="DX94" s="2">
        <v>1</v>
      </c>
      <c r="DY94" s="2"/>
      <c r="DZ94" s="2" t="s">
        <v>3</v>
      </c>
      <c r="EA94" s="2" t="s">
        <v>3</v>
      </c>
      <c r="EB94" s="2" t="s">
        <v>3</v>
      </c>
      <c r="EC94" s="2" t="s">
        <v>3</v>
      </c>
      <c r="ED94" s="2"/>
      <c r="EE94" s="2">
        <v>85133422</v>
      </c>
      <c r="EF94" s="2">
        <v>40</v>
      </c>
      <c r="EG94" s="2" t="s">
        <v>27</v>
      </c>
      <c r="EH94" s="2">
        <v>0</v>
      </c>
      <c r="EI94" s="2" t="s">
        <v>3</v>
      </c>
      <c r="EJ94" s="2">
        <v>2</v>
      </c>
      <c r="EK94" s="2">
        <v>73</v>
      </c>
      <c r="EL94" s="2" t="s">
        <v>62</v>
      </c>
      <c r="EM94" s="2" t="s">
        <v>63</v>
      </c>
      <c r="EN94" s="2"/>
      <c r="EO94" s="2" t="s">
        <v>37</v>
      </c>
      <c r="EP94" s="2"/>
      <c r="EQ94" s="2">
        <v>0</v>
      </c>
      <c r="ER94" s="2">
        <v>80.59</v>
      </c>
      <c r="ES94" s="2">
        <v>80.59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>
        <v>0</v>
      </c>
      <c r="FR94" s="2">
        <v>0</v>
      </c>
      <c r="FS94" s="2">
        <v>0</v>
      </c>
      <c r="FT94" s="2"/>
      <c r="FU94" s="2"/>
      <c r="FV94" s="2"/>
      <c r="FW94" s="2"/>
      <c r="FX94" s="2">
        <v>90</v>
      </c>
      <c r="FY94" s="2">
        <v>46</v>
      </c>
      <c r="FZ94" s="2"/>
      <c r="GA94" s="2" t="s">
        <v>3</v>
      </c>
      <c r="GB94" s="2"/>
      <c r="GC94" s="2"/>
      <c r="GD94" s="2">
        <v>1</v>
      </c>
      <c r="GE94" s="2"/>
      <c r="GF94" s="2">
        <v>-648477377</v>
      </c>
      <c r="GG94" s="2">
        <v>2</v>
      </c>
      <c r="GH94" s="2">
        <v>1</v>
      </c>
      <c r="GI94" s="2">
        <v>-2</v>
      </c>
      <c r="GJ94" s="2">
        <v>0</v>
      </c>
      <c r="GK94" s="2">
        <v>0</v>
      </c>
      <c r="GL94" s="2">
        <f t="shared" si="110"/>
        <v>0</v>
      </c>
      <c r="GM94" s="2">
        <f t="shared" si="111"/>
        <v>3239.72</v>
      </c>
      <c r="GN94" s="2">
        <f t="shared" si="112"/>
        <v>0</v>
      </c>
      <c r="GO94" s="2">
        <f t="shared" si="113"/>
        <v>3239.72</v>
      </c>
      <c r="GP94" s="2">
        <f t="shared" si="114"/>
        <v>0</v>
      </c>
      <c r="GQ94" s="2"/>
      <c r="GR94" s="2">
        <v>0</v>
      </c>
      <c r="GS94" s="2">
        <v>3</v>
      </c>
      <c r="GT94" s="2">
        <v>0</v>
      </c>
      <c r="GU94" s="2" t="s">
        <v>3</v>
      </c>
      <c r="GV94" s="2">
        <f t="shared" si="115"/>
        <v>0</v>
      </c>
      <c r="GW94" s="2">
        <v>1</v>
      </c>
      <c r="GX94" s="2">
        <f t="shared" si="116"/>
        <v>0</v>
      </c>
      <c r="GY94" s="2"/>
      <c r="GZ94" s="2"/>
      <c r="HA94" s="2">
        <v>0</v>
      </c>
      <c r="HB94" s="2">
        <v>0</v>
      </c>
      <c r="HC94" s="2">
        <f t="shared" si="117"/>
        <v>0</v>
      </c>
      <c r="HD94" s="2"/>
      <c r="HE94" s="2" t="s">
        <v>3</v>
      </c>
      <c r="HF94" s="2" t="s">
        <v>3</v>
      </c>
      <c r="HG94" s="2"/>
      <c r="HH94" s="2"/>
      <c r="HI94" s="2"/>
      <c r="HJ94" s="2"/>
      <c r="HK94" s="2"/>
      <c r="HL94" s="2"/>
      <c r="HM94" s="2" t="s">
        <v>35</v>
      </c>
      <c r="HN94" s="2" t="s">
        <v>3</v>
      </c>
      <c r="HO94" s="2" t="s">
        <v>3</v>
      </c>
      <c r="HP94" s="2" t="s">
        <v>3</v>
      </c>
      <c r="HQ94" s="2" t="s">
        <v>3</v>
      </c>
      <c r="HR94" s="2"/>
      <c r="HS94" s="2">
        <v>0</v>
      </c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>
        <v>0</v>
      </c>
      <c r="IL94" s="2"/>
      <c r="IM94" s="2"/>
      <c r="IN94" s="2"/>
      <c r="IO94" s="2"/>
      <c r="IP94" s="2"/>
      <c r="IQ94" s="2"/>
      <c r="IR94" s="2"/>
      <c r="IS94" s="2"/>
      <c r="IT94" s="2"/>
      <c r="IU94" s="2"/>
    </row>
    <row r="95" spans="1:255" x14ac:dyDescent="0.2">
      <c r="A95" s="3">
        <v>18</v>
      </c>
      <c r="B95" s="3">
        <v>1</v>
      </c>
      <c r="C95" s="3">
        <v>236</v>
      </c>
      <c r="E95" s="3" t="s">
        <v>185</v>
      </c>
      <c r="F95" s="3" t="s">
        <v>186</v>
      </c>
      <c r="G95" s="3" t="s">
        <v>187</v>
      </c>
      <c r="H95" s="3" t="s">
        <v>179</v>
      </c>
      <c r="I95" s="3">
        <f>I93*J95</f>
        <v>40.200000000000003</v>
      </c>
      <c r="J95" s="3">
        <v>40.200000000000003</v>
      </c>
      <c r="K95" s="3">
        <v>40.200000000000003</v>
      </c>
      <c r="O95" s="3">
        <f t="shared" si="95"/>
        <v>14870.31</v>
      </c>
      <c r="P95" s="3">
        <f t="shared" si="91"/>
        <v>14870.31</v>
      </c>
      <c r="Q95" s="3">
        <f>(ROUND((ROUND(((ET95)*AV95*I95),2)*BB95),2)+ROUND((ROUND(((AE95-(EU95))*AV95*I95),2)*BS95),2))</f>
        <v>0</v>
      </c>
      <c r="R95" s="3">
        <f>(ROUND((ROUND(((EU95)*AV95*I95),2)*BS95),2)+ROUND((ROUND(((AE95-(EU95))*AV95*I95),2)*BS95),2))</f>
        <v>0</v>
      </c>
      <c r="S95" s="3">
        <f t="shared" si="96"/>
        <v>0</v>
      </c>
      <c r="T95" s="3">
        <f t="shared" si="97"/>
        <v>0</v>
      </c>
      <c r="U95" s="3">
        <f t="shared" si="98"/>
        <v>0</v>
      </c>
      <c r="V95" s="3">
        <f t="shared" si="99"/>
        <v>0</v>
      </c>
      <c r="W95" s="3">
        <f t="shared" si="100"/>
        <v>0</v>
      </c>
      <c r="X95" s="3">
        <f>(ROUND((((S95+ROUND((ROUND(((EU95)*AV95*I95),2)*BS95),2))*AT95)/100),2)+ROUND(((ROUND((ROUND(((AE95-(EU95))*AV95*I95),2)*BS95),2)*AT95)/100),2))</f>
        <v>0</v>
      </c>
      <c r="Y95" s="3">
        <f>(ROUND((((S95+ROUND((ROUND(((EU95)*AV95*I95),2)*BS95),2))*AU95)/100),2)+ROUND(((ROUND((ROUND(((AE95-(EU95))*AV95*I95),2)*BS95),2)*AU95)/100),2))</f>
        <v>0</v>
      </c>
      <c r="AA95" s="3">
        <v>85739207</v>
      </c>
      <c r="AB95" s="3">
        <f t="shared" si="101"/>
        <v>80.59</v>
      </c>
      <c r="AC95" s="3">
        <f>ROUND((ES95),6)</f>
        <v>80.59</v>
      </c>
      <c r="AD95" s="3">
        <f>ROUND((((ET95)-(EU95))+AE95),6)</f>
        <v>0</v>
      </c>
      <c r="AE95" s="3">
        <f t="shared" si="118"/>
        <v>0</v>
      </c>
      <c r="AF95" s="3">
        <f t="shared" si="118"/>
        <v>0</v>
      </c>
      <c r="AG95" s="3">
        <f t="shared" si="102"/>
        <v>0</v>
      </c>
      <c r="AH95" s="3">
        <f t="shared" si="119"/>
        <v>0</v>
      </c>
      <c r="AI95" s="3">
        <f t="shared" si="119"/>
        <v>0</v>
      </c>
      <c r="AJ95" s="3">
        <f t="shared" si="103"/>
        <v>0</v>
      </c>
      <c r="AK95" s="3">
        <v>80.59</v>
      </c>
      <c r="AL95" s="3">
        <v>80.59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90</v>
      </c>
      <c r="AU95" s="3">
        <v>46</v>
      </c>
      <c r="AV95" s="3">
        <v>1</v>
      </c>
      <c r="AW95" s="3">
        <v>1</v>
      </c>
      <c r="AZ95" s="3">
        <v>1</v>
      </c>
      <c r="BA95" s="3">
        <v>1</v>
      </c>
      <c r="BB95" s="3">
        <v>1</v>
      </c>
      <c r="BC95" s="3">
        <v>4.59</v>
      </c>
      <c r="BD95" s="3" t="s">
        <v>3</v>
      </c>
      <c r="BE95" s="3" t="s">
        <v>3</v>
      </c>
      <c r="BF95" s="3" t="s">
        <v>3</v>
      </c>
      <c r="BG95" s="3" t="s">
        <v>3</v>
      </c>
      <c r="BH95" s="3">
        <v>3</v>
      </c>
      <c r="BI95" s="3">
        <v>2</v>
      </c>
      <c r="BJ95" s="3" t="s">
        <v>188</v>
      </c>
      <c r="BM95" s="3">
        <v>73</v>
      </c>
      <c r="BN95" s="3">
        <v>0</v>
      </c>
      <c r="BO95" s="3" t="s">
        <v>186</v>
      </c>
      <c r="BP95" s="3">
        <v>1</v>
      </c>
      <c r="BQ95" s="3">
        <v>40</v>
      </c>
      <c r="BR95" s="3">
        <v>0</v>
      </c>
      <c r="BS95" s="3">
        <v>1</v>
      </c>
      <c r="BT95" s="3">
        <v>1</v>
      </c>
      <c r="BU95" s="3">
        <v>1</v>
      </c>
      <c r="BV95" s="3">
        <v>1</v>
      </c>
      <c r="BW95" s="3">
        <v>1</v>
      </c>
      <c r="BX95" s="3">
        <v>1</v>
      </c>
      <c r="BY95" s="3" t="s">
        <v>3</v>
      </c>
      <c r="BZ95" s="3">
        <v>90</v>
      </c>
      <c r="CA95" s="3">
        <v>46</v>
      </c>
      <c r="CB95" s="3" t="s">
        <v>3</v>
      </c>
      <c r="CE95" s="3">
        <v>1566</v>
      </c>
      <c r="CF95" s="3">
        <v>0</v>
      </c>
      <c r="CG95" s="3">
        <v>0</v>
      </c>
      <c r="CM95" s="3">
        <v>0</v>
      </c>
      <c r="CN95" s="3" t="s">
        <v>679</v>
      </c>
      <c r="CO95" s="3">
        <v>0</v>
      </c>
      <c r="CP95" s="3">
        <f t="shared" si="104"/>
        <v>14870.31</v>
      </c>
      <c r="CQ95" s="3">
        <f t="shared" si="94"/>
        <v>369.91</v>
      </c>
      <c r="CR95" s="3">
        <f>(ROUND((ROUND(((ET95)*AV95*1),2)*BB95),2)+ROUND((ROUND(((AE95-(EU95))*AV95*1),2)*BS95),2))</f>
        <v>0</v>
      </c>
      <c r="CS95" s="3">
        <f>(ROUND((ROUND(((EU95)*AV95*1),2)*BS95),2)+ROUND((ROUND(((AE95-(EU95))*AV95*1),2)*BS95),2))</f>
        <v>0</v>
      </c>
      <c r="CT95" s="3">
        <f t="shared" si="105"/>
        <v>0</v>
      </c>
      <c r="CU95" s="3">
        <f t="shared" si="106"/>
        <v>0</v>
      </c>
      <c r="CV95" s="3">
        <f t="shared" si="107"/>
        <v>0</v>
      </c>
      <c r="CW95" s="3">
        <f t="shared" si="108"/>
        <v>0</v>
      </c>
      <c r="CX95" s="3">
        <f t="shared" si="109"/>
        <v>0</v>
      </c>
      <c r="CY95" s="3">
        <f>(ROUND((((S95+ROUND((ROUND(((EU95)*AV95*1),2)*BS95),2))*AT95)/100),2)+ROUND(((ROUND((ROUND(((AE95-(EU95))*AV95*1),2)*BS95),2)*AT95)/100),2))</f>
        <v>0</v>
      </c>
      <c r="CZ95" s="3">
        <f>(ROUND((((S95+ROUND((ROUND(((EU95)*AV95*1),2)*BS95),2))*AU95)/100),2)+ROUND(((ROUND((ROUND(((AE95-(EU95))*AV95*1),2)*BS95),2)*AU95)/100),2))</f>
        <v>0</v>
      </c>
      <c r="DC95" s="3" t="s">
        <v>3</v>
      </c>
      <c r="DD95" s="3" t="s">
        <v>3</v>
      </c>
      <c r="DE95" s="3" t="s">
        <v>3</v>
      </c>
      <c r="DF95" s="3" t="s">
        <v>3</v>
      </c>
      <c r="DG95" s="3" t="s">
        <v>3</v>
      </c>
      <c r="DH95" s="3" t="s">
        <v>3</v>
      </c>
      <c r="DI95" s="3" t="s">
        <v>3</v>
      </c>
      <c r="DJ95" s="3" t="s">
        <v>3</v>
      </c>
      <c r="DK95" s="3" t="s">
        <v>3</v>
      </c>
      <c r="DL95" s="3" t="s">
        <v>3</v>
      </c>
      <c r="DM95" s="3" t="s">
        <v>3</v>
      </c>
      <c r="DN95" s="3">
        <v>0</v>
      </c>
      <c r="DO95" s="3">
        <v>0</v>
      </c>
      <c r="DP95" s="3">
        <v>1</v>
      </c>
      <c r="DQ95" s="3">
        <v>1</v>
      </c>
      <c r="DU95" s="3">
        <v>1003</v>
      </c>
      <c r="DV95" s="3" t="s">
        <v>179</v>
      </c>
      <c r="DW95" s="3" t="s">
        <v>179</v>
      </c>
      <c r="DX95" s="3">
        <v>1</v>
      </c>
      <c r="DZ95" s="3" t="s">
        <v>3</v>
      </c>
      <c r="EA95" s="3" t="s">
        <v>3</v>
      </c>
      <c r="EB95" s="3" t="s">
        <v>3</v>
      </c>
      <c r="EC95" s="3" t="s">
        <v>3</v>
      </c>
      <c r="EE95" s="3">
        <v>85133422</v>
      </c>
      <c r="EF95" s="3">
        <v>40</v>
      </c>
      <c r="EG95" s="3" t="s">
        <v>27</v>
      </c>
      <c r="EH95" s="3">
        <v>0</v>
      </c>
      <c r="EI95" s="3" t="s">
        <v>3</v>
      </c>
      <c r="EJ95" s="3">
        <v>2</v>
      </c>
      <c r="EK95" s="3">
        <v>73</v>
      </c>
      <c r="EL95" s="3" t="s">
        <v>62</v>
      </c>
      <c r="EM95" s="3" t="s">
        <v>63</v>
      </c>
      <c r="EO95" s="3" t="s">
        <v>37</v>
      </c>
      <c r="EQ95" s="3">
        <v>0</v>
      </c>
      <c r="ER95" s="3">
        <v>80.59</v>
      </c>
      <c r="ES95" s="3">
        <v>80.59</v>
      </c>
      <c r="ET95" s="3">
        <v>0</v>
      </c>
      <c r="EU95" s="3">
        <v>0</v>
      </c>
      <c r="EV95" s="3">
        <v>0</v>
      </c>
      <c r="EW95" s="3">
        <v>0</v>
      </c>
      <c r="EX95" s="3">
        <v>0</v>
      </c>
      <c r="FQ95" s="3">
        <v>0</v>
      </c>
      <c r="FR95" s="3">
        <v>0</v>
      </c>
      <c r="FS95" s="3">
        <v>0</v>
      </c>
      <c r="FX95" s="3">
        <v>90</v>
      </c>
      <c r="FY95" s="3">
        <v>46</v>
      </c>
      <c r="GA95" s="3" t="s">
        <v>3</v>
      </c>
      <c r="GD95" s="3">
        <v>1</v>
      </c>
      <c r="GF95" s="3">
        <v>-648477377</v>
      </c>
      <c r="GG95" s="3">
        <v>2</v>
      </c>
      <c r="GH95" s="3">
        <v>1</v>
      </c>
      <c r="GI95" s="3">
        <v>2</v>
      </c>
      <c r="GJ95" s="3">
        <v>0</v>
      </c>
      <c r="GK95" s="3">
        <v>0</v>
      </c>
      <c r="GL95" s="3">
        <f t="shared" si="110"/>
        <v>0</v>
      </c>
      <c r="GM95" s="3">
        <f t="shared" si="111"/>
        <v>14870.31</v>
      </c>
      <c r="GN95" s="3">
        <f t="shared" si="112"/>
        <v>0</v>
      </c>
      <c r="GO95" s="3">
        <f t="shared" si="113"/>
        <v>14870.31</v>
      </c>
      <c r="GP95" s="3">
        <f t="shared" si="114"/>
        <v>0</v>
      </c>
      <c r="GR95" s="3">
        <v>0</v>
      </c>
      <c r="GS95" s="3">
        <v>3</v>
      </c>
      <c r="GT95" s="3">
        <v>0</v>
      </c>
      <c r="GU95" s="3" t="s">
        <v>3</v>
      </c>
      <c r="GV95" s="3">
        <f t="shared" si="115"/>
        <v>0</v>
      </c>
      <c r="GW95" s="3">
        <v>1</v>
      </c>
      <c r="GX95" s="3">
        <f t="shared" si="116"/>
        <v>0</v>
      </c>
      <c r="HA95" s="3">
        <v>0</v>
      </c>
      <c r="HB95" s="3">
        <v>0</v>
      </c>
      <c r="HC95" s="3">
        <f t="shared" si="117"/>
        <v>0</v>
      </c>
      <c r="HE95" s="3" t="s">
        <v>3</v>
      </c>
      <c r="HF95" s="3" t="s">
        <v>3</v>
      </c>
      <c r="HM95" s="3" t="s">
        <v>35</v>
      </c>
      <c r="HN95" s="3" t="s">
        <v>3</v>
      </c>
      <c r="HO95" s="3" t="s">
        <v>3</v>
      </c>
      <c r="HP95" s="3" t="s">
        <v>3</v>
      </c>
      <c r="HQ95" s="3" t="s">
        <v>3</v>
      </c>
      <c r="HS95" s="3">
        <v>0</v>
      </c>
      <c r="IK95" s="3">
        <v>0</v>
      </c>
    </row>
    <row r="96" spans="1:255" x14ac:dyDescent="0.2">
      <c r="A96" s="2">
        <v>18</v>
      </c>
      <c r="B96" s="2">
        <v>1</v>
      </c>
      <c r="C96" s="2">
        <v>225</v>
      </c>
      <c r="D96" s="2"/>
      <c r="E96" s="2" t="s">
        <v>189</v>
      </c>
      <c r="F96" s="2" t="s">
        <v>190</v>
      </c>
      <c r="G96" s="2" t="s">
        <v>191</v>
      </c>
      <c r="H96" s="2" t="s">
        <v>179</v>
      </c>
      <c r="I96" s="2">
        <f>I92*J96</f>
        <v>60.3</v>
      </c>
      <c r="J96" s="2">
        <v>60.3</v>
      </c>
      <c r="K96" s="2">
        <v>60.3</v>
      </c>
      <c r="L96" s="2"/>
      <c r="M96" s="2"/>
      <c r="N96" s="2"/>
      <c r="O96" s="2">
        <f t="shared" si="95"/>
        <v>3989.45</v>
      </c>
      <c r="P96" s="2">
        <f t="shared" si="91"/>
        <v>3989.45</v>
      </c>
      <c r="Q96" s="2">
        <f>(ROUND((ROUND(((ET96)*AV96*I96),2)*BB96),2)+ROUND((ROUND(((AE96-(EU96))*AV96*I96),2)*BS96),2))</f>
        <v>0</v>
      </c>
      <c r="R96" s="2">
        <f>(ROUND((ROUND(((EU96)*AV96*I96),2)*BS96),2)+ROUND((ROUND(((AE96-(EU96))*AV96*I96),2)*BS96),2))</f>
        <v>0</v>
      </c>
      <c r="S96" s="2">
        <f t="shared" si="96"/>
        <v>0</v>
      </c>
      <c r="T96" s="2">
        <f t="shared" si="97"/>
        <v>0</v>
      </c>
      <c r="U96" s="2">
        <f t="shared" si="98"/>
        <v>0</v>
      </c>
      <c r="V96" s="2">
        <f t="shared" si="99"/>
        <v>0</v>
      </c>
      <c r="W96" s="2">
        <f t="shared" si="100"/>
        <v>0</v>
      </c>
      <c r="X96" s="2">
        <f>(ROUND((((S96+ROUND((ROUND(((EU96)*AV96*I96),2)*BS96),2))*AT96)/100),2)+ROUND(((ROUND((ROUND(((AE96-(EU96))*AV96*I96),2)*BS96),2)*AT96)/100),2))</f>
        <v>0</v>
      </c>
      <c r="Y96" s="2">
        <f>(ROUND((((S96+ROUND((ROUND(((EU96)*AV96*I96),2)*BS96),2))*AU96)/100),2)+ROUND(((ROUND((ROUND(((AE96-(EU96))*AV96*I96),2)*BS96),2)*AU96)/100),2))</f>
        <v>0</v>
      </c>
      <c r="Z96" s="2"/>
      <c r="AA96" s="2">
        <v>85739205</v>
      </c>
      <c r="AB96" s="2">
        <f t="shared" si="101"/>
        <v>66.16</v>
      </c>
      <c r="AC96" s="2">
        <f>ROUND((ES96),6)</f>
        <v>66.16</v>
      </c>
      <c r="AD96" s="2">
        <f>ROUND((((ET96)-(EU96))+AE96),6)</f>
        <v>0</v>
      </c>
      <c r="AE96" s="2">
        <f t="shared" si="118"/>
        <v>0</v>
      </c>
      <c r="AF96" s="2">
        <f t="shared" si="118"/>
        <v>0</v>
      </c>
      <c r="AG96" s="2">
        <f t="shared" si="102"/>
        <v>0</v>
      </c>
      <c r="AH96" s="2">
        <f t="shared" si="119"/>
        <v>0</v>
      </c>
      <c r="AI96" s="2">
        <f t="shared" si="119"/>
        <v>0</v>
      </c>
      <c r="AJ96" s="2">
        <f t="shared" si="103"/>
        <v>0</v>
      </c>
      <c r="AK96" s="2">
        <v>66.16</v>
      </c>
      <c r="AL96" s="2">
        <v>66.16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90</v>
      </c>
      <c r="AU96" s="2">
        <v>46</v>
      </c>
      <c r="AV96" s="2">
        <v>1</v>
      </c>
      <c r="AW96" s="2">
        <v>1</v>
      </c>
      <c r="AX96" s="2"/>
      <c r="AY96" s="2"/>
      <c r="AZ96" s="2">
        <v>1</v>
      </c>
      <c r="BA96" s="2">
        <v>1</v>
      </c>
      <c r="BB96" s="2">
        <v>1</v>
      </c>
      <c r="BC96" s="2">
        <v>1</v>
      </c>
      <c r="BD96" s="2" t="s">
        <v>3</v>
      </c>
      <c r="BE96" s="2" t="s">
        <v>3</v>
      </c>
      <c r="BF96" s="2" t="s">
        <v>3</v>
      </c>
      <c r="BG96" s="2" t="s">
        <v>3</v>
      </c>
      <c r="BH96" s="2">
        <v>3</v>
      </c>
      <c r="BI96" s="2">
        <v>2</v>
      </c>
      <c r="BJ96" s="2" t="s">
        <v>192</v>
      </c>
      <c r="BK96" s="2"/>
      <c r="BL96" s="2"/>
      <c r="BM96" s="2">
        <v>73</v>
      </c>
      <c r="BN96" s="2">
        <v>0</v>
      </c>
      <c r="BO96" s="2" t="s">
        <v>3</v>
      </c>
      <c r="BP96" s="2">
        <v>0</v>
      </c>
      <c r="BQ96" s="2">
        <v>40</v>
      </c>
      <c r="BR96" s="2">
        <v>0</v>
      </c>
      <c r="BS96" s="2">
        <v>1</v>
      </c>
      <c r="BT96" s="2">
        <v>1</v>
      </c>
      <c r="BU96" s="2">
        <v>1</v>
      </c>
      <c r="BV96" s="2">
        <v>1</v>
      </c>
      <c r="BW96" s="2">
        <v>1</v>
      </c>
      <c r="BX96" s="2">
        <v>1</v>
      </c>
      <c r="BY96" s="2" t="s">
        <v>3</v>
      </c>
      <c r="BZ96" s="2">
        <v>90</v>
      </c>
      <c r="CA96" s="2">
        <v>46</v>
      </c>
      <c r="CB96" s="2" t="s">
        <v>3</v>
      </c>
      <c r="CC96" s="2"/>
      <c r="CD96" s="2"/>
      <c r="CE96" s="2">
        <v>1566</v>
      </c>
      <c r="CF96" s="2">
        <v>0</v>
      </c>
      <c r="CG96" s="2">
        <v>0</v>
      </c>
      <c r="CH96" s="2"/>
      <c r="CI96" s="2"/>
      <c r="CJ96" s="2"/>
      <c r="CK96" s="2"/>
      <c r="CL96" s="2"/>
      <c r="CM96" s="2">
        <v>0</v>
      </c>
      <c r="CN96" s="2" t="s">
        <v>679</v>
      </c>
      <c r="CO96" s="2">
        <v>0</v>
      </c>
      <c r="CP96" s="2">
        <f t="shared" si="104"/>
        <v>3989.45</v>
      </c>
      <c r="CQ96" s="2">
        <f t="shared" si="94"/>
        <v>66.16</v>
      </c>
      <c r="CR96" s="2">
        <f>(ROUND((ROUND(((ET96)*AV96*1),2)*BB96),2)+ROUND((ROUND(((AE96-(EU96))*AV96*1),2)*BS96),2))</f>
        <v>0</v>
      </c>
      <c r="CS96" s="2">
        <f>(ROUND((ROUND(((EU96)*AV96*1),2)*BS96),2)+ROUND((ROUND(((AE96-(EU96))*AV96*1),2)*BS96),2))</f>
        <v>0</v>
      </c>
      <c r="CT96" s="2">
        <f t="shared" si="105"/>
        <v>0</v>
      </c>
      <c r="CU96" s="2">
        <f t="shared" si="106"/>
        <v>0</v>
      </c>
      <c r="CV96" s="2">
        <f t="shared" si="107"/>
        <v>0</v>
      </c>
      <c r="CW96" s="2">
        <f t="shared" si="108"/>
        <v>0</v>
      </c>
      <c r="CX96" s="2">
        <f t="shared" si="109"/>
        <v>0</v>
      </c>
      <c r="CY96" s="2">
        <f>(ROUND((((S96+ROUND((ROUND(((EU96)*AV96*1),2)*BS96),2))*AT96)/100),2)+ROUND(((ROUND((ROUND(((AE96-(EU96))*AV96*1),2)*BS96),2)*AT96)/100),2))</f>
        <v>0</v>
      </c>
      <c r="CZ96" s="2">
        <f>(ROUND((((S96+ROUND((ROUND(((EU96)*AV96*1),2)*BS96),2))*AU96)/100),2)+ROUND(((ROUND((ROUND(((AE96-(EU96))*AV96*1),2)*BS96),2)*AU96)/100),2))</f>
        <v>0</v>
      </c>
      <c r="DA96" s="2"/>
      <c r="DB96" s="2"/>
      <c r="DC96" s="2" t="s">
        <v>3</v>
      </c>
      <c r="DD96" s="2" t="s">
        <v>3</v>
      </c>
      <c r="DE96" s="2" t="s">
        <v>3</v>
      </c>
      <c r="DF96" s="2" t="s">
        <v>3</v>
      </c>
      <c r="DG96" s="2" t="s">
        <v>3</v>
      </c>
      <c r="DH96" s="2" t="s">
        <v>3</v>
      </c>
      <c r="DI96" s="2" t="s">
        <v>3</v>
      </c>
      <c r="DJ96" s="2" t="s">
        <v>3</v>
      </c>
      <c r="DK96" s="2" t="s">
        <v>3</v>
      </c>
      <c r="DL96" s="2" t="s">
        <v>3</v>
      </c>
      <c r="DM96" s="2" t="s">
        <v>3</v>
      </c>
      <c r="DN96" s="2">
        <v>0</v>
      </c>
      <c r="DO96" s="2">
        <v>0</v>
      </c>
      <c r="DP96" s="2">
        <v>1</v>
      </c>
      <c r="DQ96" s="2">
        <v>1</v>
      </c>
      <c r="DR96" s="2"/>
      <c r="DS96" s="2"/>
      <c r="DT96" s="2"/>
      <c r="DU96" s="2">
        <v>1003</v>
      </c>
      <c r="DV96" s="2" t="s">
        <v>179</v>
      </c>
      <c r="DW96" s="2" t="s">
        <v>179</v>
      </c>
      <c r="DX96" s="2">
        <v>1</v>
      </c>
      <c r="DY96" s="2"/>
      <c r="DZ96" s="2" t="s">
        <v>3</v>
      </c>
      <c r="EA96" s="2" t="s">
        <v>3</v>
      </c>
      <c r="EB96" s="2" t="s">
        <v>3</v>
      </c>
      <c r="EC96" s="2" t="s">
        <v>3</v>
      </c>
      <c r="ED96" s="2"/>
      <c r="EE96" s="2">
        <v>85133422</v>
      </c>
      <c r="EF96" s="2">
        <v>40</v>
      </c>
      <c r="EG96" s="2" t="s">
        <v>27</v>
      </c>
      <c r="EH96" s="2">
        <v>0</v>
      </c>
      <c r="EI96" s="2" t="s">
        <v>3</v>
      </c>
      <c r="EJ96" s="2">
        <v>2</v>
      </c>
      <c r="EK96" s="2">
        <v>73</v>
      </c>
      <c r="EL96" s="2" t="s">
        <v>62</v>
      </c>
      <c r="EM96" s="2" t="s">
        <v>63</v>
      </c>
      <c r="EN96" s="2"/>
      <c r="EO96" s="2" t="s">
        <v>37</v>
      </c>
      <c r="EP96" s="2"/>
      <c r="EQ96" s="2">
        <v>0</v>
      </c>
      <c r="ER96" s="2">
        <v>66.16</v>
      </c>
      <c r="ES96" s="2">
        <v>66.16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>
        <v>0</v>
      </c>
      <c r="FR96" s="2">
        <v>0</v>
      </c>
      <c r="FS96" s="2">
        <v>0</v>
      </c>
      <c r="FT96" s="2"/>
      <c r="FU96" s="2"/>
      <c r="FV96" s="2"/>
      <c r="FW96" s="2"/>
      <c r="FX96" s="2">
        <v>90</v>
      </c>
      <c r="FY96" s="2">
        <v>46</v>
      </c>
      <c r="FZ96" s="2"/>
      <c r="GA96" s="2" t="s">
        <v>3</v>
      </c>
      <c r="GB96" s="2"/>
      <c r="GC96" s="2"/>
      <c r="GD96" s="2">
        <v>1</v>
      </c>
      <c r="GE96" s="2"/>
      <c r="GF96" s="2">
        <v>1214887306</v>
      </c>
      <c r="GG96" s="2">
        <v>2</v>
      </c>
      <c r="GH96" s="2">
        <v>1</v>
      </c>
      <c r="GI96" s="2">
        <v>-2</v>
      </c>
      <c r="GJ96" s="2">
        <v>0</v>
      </c>
      <c r="GK96" s="2">
        <v>0</v>
      </c>
      <c r="GL96" s="2">
        <f t="shared" si="110"/>
        <v>0</v>
      </c>
      <c r="GM96" s="2">
        <f t="shared" si="111"/>
        <v>3989.45</v>
      </c>
      <c r="GN96" s="2">
        <f t="shared" si="112"/>
        <v>0</v>
      </c>
      <c r="GO96" s="2">
        <f t="shared" si="113"/>
        <v>3989.45</v>
      </c>
      <c r="GP96" s="2">
        <f t="shared" si="114"/>
        <v>0</v>
      </c>
      <c r="GQ96" s="2"/>
      <c r="GR96" s="2">
        <v>0</v>
      </c>
      <c r="GS96" s="2">
        <v>3</v>
      </c>
      <c r="GT96" s="2">
        <v>0</v>
      </c>
      <c r="GU96" s="2" t="s">
        <v>3</v>
      </c>
      <c r="GV96" s="2">
        <f t="shared" si="115"/>
        <v>0</v>
      </c>
      <c r="GW96" s="2">
        <v>1</v>
      </c>
      <c r="GX96" s="2">
        <f t="shared" si="116"/>
        <v>0</v>
      </c>
      <c r="GY96" s="2"/>
      <c r="GZ96" s="2"/>
      <c r="HA96" s="2">
        <v>0</v>
      </c>
      <c r="HB96" s="2">
        <v>0</v>
      </c>
      <c r="HC96" s="2">
        <f t="shared" si="117"/>
        <v>0</v>
      </c>
      <c r="HD96" s="2"/>
      <c r="HE96" s="2" t="s">
        <v>3</v>
      </c>
      <c r="HF96" s="2" t="s">
        <v>3</v>
      </c>
      <c r="HG96" s="2"/>
      <c r="HH96" s="2"/>
      <c r="HI96" s="2"/>
      <c r="HJ96" s="2"/>
      <c r="HK96" s="2"/>
      <c r="HL96" s="2"/>
      <c r="HM96" s="2" t="s">
        <v>35</v>
      </c>
      <c r="HN96" s="2" t="s">
        <v>3</v>
      </c>
      <c r="HO96" s="2" t="s">
        <v>3</v>
      </c>
      <c r="HP96" s="2" t="s">
        <v>3</v>
      </c>
      <c r="HQ96" s="2" t="s">
        <v>3</v>
      </c>
      <c r="HR96" s="2"/>
      <c r="HS96" s="2">
        <v>0</v>
      </c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>
        <v>0</v>
      </c>
      <c r="IL96" s="2"/>
      <c r="IM96" s="2"/>
      <c r="IN96" s="2"/>
      <c r="IO96" s="2"/>
      <c r="IP96" s="2"/>
      <c r="IQ96" s="2"/>
      <c r="IR96" s="2"/>
      <c r="IS96" s="2"/>
      <c r="IT96" s="2"/>
      <c r="IU96" s="2"/>
    </row>
    <row r="97" spans="1:255" x14ac:dyDescent="0.2">
      <c r="A97" s="3">
        <v>18</v>
      </c>
      <c r="B97" s="3">
        <v>1</v>
      </c>
      <c r="C97" s="3">
        <v>235</v>
      </c>
      <c r="E97" s="3" t="s">
        <v>189</v>
      </c>
      <c r="F97" s="3" t="s">
        <v>190</v>
      </c>
      <c r="G97" s="3" t="s">
        <v>191</v>
      </c>
      <c r="H97" s="3" t="s">
        <v>179</v>
      </c>
      <c r="I97" s="3">
        <f>I93*J97</f>
        <v>60.3</v>
      </c>
      <c r="J97" s="3">
        <v>60.3</v>
      </c>
      <c r="K97" s="3">
        <v>60.3</v>
      </c>
      <c r="O97" s="3">
        <f t="shared" si="95"/>
        <v>18710.52</v>
      </c>
      <c r="P97" s="3">
        <f t="shared" si="91"/>
        <v>18710.52</v>
      </c>
      <c r="Q97" s="3">
        <f>(ROUND((ROUND(((ET97)*AV97*I97),2)*BB97),2)+ROUND((ROUND(((AE97-(EU97))*AV97*I97),2)*BS97),2))</f>
        <v>0</v>
      </c>
      <c r="R97" s="3">
        <f>(ROUND((ROUND(((EU97)*AV97*I97),2)*BS97),2)+ROUND((ROUND(((AE97-(EU97))*AV97*I97),2)*BS97),2))</f>
        <v>0</v>
      </c>
      <c r="S97" s="3">
        <f t="shared" si="96"/>
        <v>0</v>
      </c>
      <c r="T97" s="3">
        <f t="shared" si="97"/>
        <v>0</v>
      </c>
      <c r="U97" s="3">
        <f t="shared" si="98"/>
        <v>0</v>
      </c>
      <c r="V97" s="3">
        <f t="shared" si="99"/>
        <v>0</v>
      </c>
      <c r="W97" s="3">
        <f t="shared" si="100"/>
        <v>0</v>
      </c>
      <c r="X97" s="3">
        <f>(ROUND((((S97+ROUND((ROUND(((EU97)*AV97*I97),2)*BS97),2))*AT97)/100),2)+ROUND(((ROUND((ROUND(((AE97-(EU97))*AV97*I97),2)*BS97),2)*AT97)/100),2))</f>
        <v>0</v>
      </c>
      <c r="Y97" s="3">
        <f>(ROUND((((S97+ROUND((ROUND(((EU97)*AV97*I97),2)*BS97),2))*AU97)/100),2)+ROUND(((ROUND((ROUND(((AE97-(EU97))*AV97*I97),2)*BS97),2)*AU97)/100),2))</f>
        <v>0</v>
      </c>
      <c r="AA97" s="3">
        <v>85739207</v>
      </c>
      <c r="AB97" s="3">
        <f t="shared" si="101"/>
        <v>66.16</v>
      </c>
      <c r="AC97" s="3">
        <f>ROUND((ES97),6)</f>
        <v>66.16</v>
      </c>
      <c r="AD97" s="3">
        <f>ROUND((((ET97)-(EU97))+AE97),6)</f>
        <v>0</v>
      </c>
      <c r="AE97" s="3">
        <f t="shared" si="118"/>
        <v>0</v>
      </c>
      <c r="AF97" s="3">
        <f t="shared" si="118"/>
        <v>0</v>
      </c>
      <c r="AG97" s="3">
        <f t="shared" si="102"/>
        <v>0</v>
      </c>
      <c r="AH97" s="3">
        <f t="shared" si="119"/>
        <v>0</v>
      </c>
      <c r="AI97" s="3">
        <f t="shared" si="119"/>
        <v>0</v>
      </c>
      <c r="AJ97" s="3">
        <f t="shared" si="103"/>
        <v>0</v>
      </c>
      <c r="AK97" s="3">
        <v>66.16</v>
      </c>
      <c r="AL97" s="3">
        <v>66.16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90</v>
      </c>
      <c r="AU97" s="3">
        <v>46</v>
      </c>
      <c r="AV97" s="3">
        <v>1</v>
      </c>
      <c r="AW97" s="3">
        <v>1</v>
      </c>
      <c r="AZ97" s="3">
        <v>1</v>
      </c>
      <c r="BA97" s="3">
        <v>1</v>
      </c>
      <c r="BB97" s="3">
        <v>1</v>
      </c>
      <c r="BC97" s="3">
        <v>4.6900000000000004</v>
      </c>
      <c r="BD97" s="3" t="s">
        <v>3</v>
      </c>
      <c r="BE97" s="3" t="s">
        <v>3</v>
      </c>
      <c r="BF97" s="3" t="s">
        <v>3</v>
      </c>
      <c r="BG97" s="3" t="s">
        <v>3</v>
      </c>
      <c r="BH97" s="3">
        <v>3</v>
      </c>
      <c r="BI97" s="3">
        <v>2</v>
      </c>
      <c r="BJ97" s="3" t="s">
        <v>192</v>
      </c>
      <c r="BM97" s="3">
        <v>73</v>
      </c>
      <c r="BN97" s="3">
        <v>0</v>
      </c>
      <c r="BO97" s="3" t="s">
        <v>190</v>
      </c>
      <c r="BP97" s="3">
        <v>1</v>
      </c>
      <c r="BQ97" s="3">
        <v>40</v>
      </c>
      <c r="BR97" s="3">
        <v>0</v>
      </c>
      <c r="BS97" s="3">
        <v>1</v>
      </c>
      <c r="BT97" s="3">
        <v>1</v>
      </c>
      <c r="BU97" s="3">
        <v>1</v>
      </c>
      <c r="BV97" s="3">
        <v>1</v>
      </c>
      <c r="BW97" s="3">
        <v>1</v>
      </c>
      <c r="BX97" s="3">
        <v>1</v>
      </c>
      <c r="BY97" s="3" t="s">
        <v>3</v>
      </c>
      <c r="BZ97" s="3">
        <v>90</v>
      </c>
      <c r="CA97" s="3">
        <v>46</v>
      </c>
      <c r="CB97" s="3" t="s">
        <v>3</v>
      </c>
      <c r="CE97" s="3">
        <v>1566</v>
      </c>
      <c r="CF97" s="3">
        <v>0</v>
      </c>
      <c r="CG97" s="3">
        <v>0</v>
      </c>
      <c r="CM97" s="3">
        <v>0</v>
      </c>
      <c r="CN97" s="3" t="s">
        <v>679</v>
      </c>
      <c r="CO97" s="3">
        <v>0</v>
      </c>
      <c r="CP97" s="3">
        <f t="shared" si="104"/>
        <v>18710.52</v>
      </c>
      <c r="CQ97" s="3">
        <f t="shared" si="94"/>
        <v>310.29000000000002</v>
      </c>
      <c r="CR97" s="3">
        <f>(ROUND((ROUND(((ET97)*AV97*1),2)*BB97),2)+ROUND((ROUND(((AE97-(EU97))*AV97*1),2)*BS97),2))</f>
        <v>0</v>
      </c>
      <c r="CS97" s="3">
        <f>(ROUND((ROUND(((EU97)*AV97*1),2)*BS97),2)+ROUND((ROUND(((AE97-(EU97))*AV97*1),2)*BS97),2))</f>
        <v>0</v>
      </c>
      <c r="CT97" s="3">
        <f t="shared" si="105"/>
        <v>0</v>
      </c>
      <c r="CU97" s="3">
        <f t="shared" si="106"/>
        <v>0</v>
      </c>
      <c r="CV97" s="3">
        <f t="shared" si="107"/>
        <v>0</v>
      </c>
      <c r="CW97" s="3">
        <f t="shared" si="108"/>
        <v>0</v>
      </c>
      <c r="CX97" s="3">
        <f t="shared" si="109"/>
        <v>0</v>
      </c>
      <c r="CY97" s="3">
        <f>(ROUND((((S97+ROUND((ROUND(((EU97)*AV97*1),2)*BS97),2))*AT97)/100),2)+ROUND(((ROUND((ROUND(((AE97-(EU97))*AV97*1),2)*BS97),2)*AT97)/100),2))</f>
        <v>0</v>
      </c>
      <c r="CZ97" s="3">
        <f>(ROUND((((S97+ROUND((ROUND(((EU97)*AV97*1),2)*BS97),2))*AU97)/100),2)+ROUND(((ROUND((ROUND(((AE97-(EU97))*AV97*1),2)*BS97),2)*AU97)/100),2))</f>
        <v>0</v>
      </c>
      <c r="DC97" s="3" t="s">
        <v>3</v>
      </c>
      <c r="DD97" s="3" t="s">
        <v>3</v>
      </c>
      <c r="DE97" s="3" t="s">
        <v>3</v>
      </c>
      <c r="DF97" s="3" t="s">
        <v>3</v>
      </c>
      <c r="DG97" s="3" t="s">
        <v>3</v>
      </c>
      <c r="DH97" s="3" t="s">
        <v>3</v>
      </c>
      <c r="DI97" s="3" t="s">
        <v>3</v>
      </c>
      <c r="DJ97" s="3" t="s">
        <v>3</v>
      </c>
      <c r="DK97" s="3" t="s">
        <v>3</v>
      </c>
      <c r="DL97" s="3" t="s">
        <v>3</v>
      </c>
      <c r="DM97" s="3" t="s">
        <v>3</v>
      </c>
      <c r="DN97" s="3">
        <v>0</v>
      </c>
      <c r="DO97" s="3">
        <v>0</v>
      </c>
      <c r="DP97" s="3">
        <v>1</v>
      </c>
      <c r="DQ97" s="3">
        <v>1</v>
      </c>
      <c r="DU97" s="3">
        <v>1003</v>
      </c>
      <c r="DV97" s="3" t="s">
        <v>179</v>
      </c>
      <c r="DW97" s="3" t="s">
        <v>179</v>
      </c>
      <c r="DX97" s="3">
        <v>1</v>
      </c>
      <c r="DZ97" s="3" t="s">
        <v>3</v>
      </c>
      <c r="EA97" s="3" t="s">
        <v>3</v>
      </c>
      <c r="EB97" s="3" t="s">
        <v>3</v>
      </c>
      <c r="EC97" s="3" t="s">
        <v>3</v>
      </c>
      <c r="EE97" s="3">
        <v>85133422</v>
      </c>
      <c r="EF97" s="3">
        <v>40</v>
      </c>
      <c r="EG97" s="3" t="s">
        <v>27</v>
      </c>
      <c r="EH97" s="3">
        <v>0</v>
      </c>
      <c r="EI97" s="3" t="s">
        <v>3</v>
      </c>
      <c r="EJ97" s="3">
        <v>2</v>
      </c>
      <c r="EK97" s="3">
        <v>73</v>
      </c>
      <c r="EL97" s="3" t="s">
        <v>62</v>
      </c>
      <c r="EM97" s="3" t="s">
        <v>63</v>
      </c>
      <c r="EO97" s="3" t="s">
        <v>37</v>
      </c>
      <c r="EQ97" s="3">
        <v>0</v>
      </c>
      <c r="ER97" s="3">
        <v>66.16</v>
      </c>
      <c r="ES97" s="3">
        <v>66.16</v>
      </c>
      <c r="ET97" s="3">
        <v>0</v>
      </c>
      <c r="EU97" s="3">
        <v>0</v>
      </c>
      <c r="EV97" s="3">
        <v>0</v>
      </c>
      <c r="EW97" s="3">
        <v>0</v>
      </c>
      <c r="EX97" s="3">
        <v>0</v>
      </c>
      <c r="FQ97" s="3">
        <v>0</v>
      </c>
      <c r="FR97" s="3">
        <v>0</v>
      </c>
      <c r="FS97" s="3">
        <v>0</v>
      </c>
      <c r="FX97" s="3">
        <v>90</v>
      </c>
      <c r="FY97" s="3">
        <v>46</v>
      </c>
      <c r="GA97" s="3" t="s">
        <v>3</v>
      </c>
      <c r="GD97" s="3">
        <v>1</v>
      </c>
      <c r="GF97" s="3">
        <v>1214887306</v>
      </c>
      <c r="GG97" s="3">
        <v>2</v>
      </c>
      <c r="GH97" s="3">
        <v>1</v>
      </c>
      <c r="GI97" s="3">
        <v>2</v>
      </c>
      <c r="GJ97" s="3">
        <v>0</v>
      </c>
      <c r="GK97" s="3">
        <v>0</v>
      </c>
      <c r="GL97" s="3">
        <f t="shared" si="110"/>
        <v>0</v>
      </c>
      <c r="GM97" s="3">
        <f t="shared" si="111"/>
        <v>18710.52</v>
      </c>
      <c r="GN97" s="3">
        <f t="shared" si="112"/>
        <v>0</v>
      </c>
      <c r="GO97" s="3">
        <f t="shared" si="113"/>
        <v>18710.52</v>
      </c>
      <c r="GP97" s="3">
        <f t="shared" si="114"/>
        <v>0</v>
      </c>
      <c r="GR97" s="3">
        <v>0</v>
      </c>
      <c r="GS97" s="3">
        <v>3</v>
      </c>
      <c r="GT97" s="3">
        <v>0</v>
      </c>
      <c r="GU97" s="3" t="s">
        <v>3</v>
      </c>
      <c r="GV97" s="3">
        <f t="shared" si="115"/>
        <v>0</v>
      </c>
      <c r="GW97" s="3">
        <v>1</v>
      </c>
      <c r="GX97" s="3">
        <f t="shared" si="116"/>
        <v>0</v>
      </c>
      <c r="HA97" s="3">
        <v>0</v>
      </c>
      <c r="HB97" s="3">
        <v>0</v>
      </c>
      <c r="HC97" s="3">
        <f t="shared" si="117"/>
        <v>0</v>
      </c>
      <c r="HE97" s="3" t="s">
        <v>3</v>
      </c>
      <c r="HF97" s="3" t="s">
        <v>3</v>
      </c>
      <c r="HM97" s="3" t="s">
        <v>35</v>
      </c>
      <c r="HN97" s="3" t="s">
        <v>3</v>
      </c>
      <c r="HO97" s="3" t="s">
        <v>3</v>
      </c>
      <c r="HP97" s="3" t="s">
        <v>3</v>
      </c>
      <c r="HQ97" s="3" t="s">
        <v>3</v>
      </c>
      <c r="HS97" s="3">
        <v>0</v>
      </c>
      <c r="IK97" s="3">
        <v>0</v>
      </c>
    </row>
    <row r="98" spans="1:255" x14ac:dyDescent="0.2">
      <c r="A98" s="2">
        <v>17</v>
      </c>
      <c r="B98" s="2">
        <v>1</v>
      </c>
      <c r="C98" s="2">
        <f>ROW(SmtRes!A251)</f>
        <v>251</v>
      </c>
      <c r="D98" s="2">
        <f>ROW(EtalonRes!A273)</f>
        <v>273</v>
      </c>
      <c r="E98" s="2" t="s">
        <v>193</v>
      </c>
      <c r="F98" s="2" t="s">
        <v>194</v>
      </c>
      <c r="G98" s="2" t="s">
        <v>195</v>
      </c>
      <c r="H98" s="2" t="s">
        <v>174</v>
      </c>
      <c r="I98" s="2">
        <f>ROUND(15/100,9)</f>
        <v>0.15</v>
      </c>
      <c r="J98" s="2">
        <v>0</v>
      </c>
      <c r="K98" s="2">
        <f>ROUND(15/100,9)</f>
        <v>0.15</v>
      </c>
      <c r="L98" s="2"/>
      <c r="M98" s="2"/>
      <c r="N98" s="2"/>
      <c r="O98" s="2">
        <f t="shared" si="95"/>
        <v>694.56</v>
      </c>
      <c r="P98" s="2">
        <f t="shared" si="91"/>
        <v>253.69</v>
      </c>
      <c r="Q98" s="2">
        <f>(ROUND((ROUND((((ET98*1.2))*AV98*I98),2)*BB98),2)+ROUND((ROUND(((AE98-((EU98*1.2)))*AV98*I98),2)*BS98),2))</f>
        <v>101.54</v>
      </c>
      <c r="R98" s="2">
        <f>(ROUND((ROUND((((EU98*1.2))*AV98*I98),2)*BS98),2)+ROUND((ROUND(((AE98-((EU98*1.2)))*AV98*I98),2)*BS98),2))</f>
        <v>19.920000000000002</v>
      </c>
      <c r="S98" s="2">
        <f t="shared" si="96"/>
        <v>339.33</v>
      </c>
      <c r="T98" s="2">
        <f t="shared" si="97"/>
        <v>0</v>
      </c>
      <c r="U98" s="2">
        <f t="shared" si="98"/>
        <v>26.888400000000001</v>
      </c>
      <c r="V98" s="2">
        <f t="shared" si="99"/>
        <v>0</v>
      </c>
      <c r="W98" s="2">
        <f t="shared" si="100"/>
        <v>0</v>
      </c>
      <c r="X98" s="2">
        <f>(ROUND((((S98+ROUND((ROUND((((EU98*1.2))*AV98*I98),2)*BS98),2))*AT98)/100),2)+ROUND(((ROUND((ROUND(((AE98-((EU98*1.2)))*AV98*I98),2)*BS98),2)*AT98)/100),2))</f>
        <v>323.33</v>
      </c>
      <c r="Y98" s="2">
        <f>(ROUND((((S98+ROUND((ROUND((((EU98*1.2))*AV98*I98),2)*BS98),2))*AU98)/100),2)+ROUND(((ROUND((ROUND(((AE98-((EU98*1.2)))*AV98*I98),2)*BS98),2)*AU98)/100),2))</f>
        <v>165.26</v>
      </c>
      <c r="Z98" s="2"/>
      <c r="AA98" s="2">
        <v>85739205</v>
      </c>
      <c r="AB98" s="2">
        <f t="shared" si="101"/>
        <v>4399.8</v>
      </c>
      <c r="AC98" s="2">
        <f>ROUND(((ES98*1)),6)</f>
        <v>1645.2</v>
      </c>
      <c r="AD98" s="2">
        <f>ROUND(((((ET98*1.2))-((EU98*1.2)))+AE98),6)</f>
        <v>634.44000000000005</v>
      </c>
      <c r="AE98" s="2">
        <f>ROUND(((EU98*1.2)),6)</f>
        <v>124.488</v>
      </c>
      <c r="AF98" s="2">
        <f>ROUND(((EV98*1.2)),6)</f>
        <v>2120.16</v>
      </c>
      <c r="AG98" s="2">
        <f t="shared" si="102"/>
        <v>0</v>
      </c>
      <c r="AH98" s="2">
        <f>((EW98*1.2))</f>
        <v>168</v>
      </c>
      <c r="AI98" s="2">
        <f>((EX98*1.2))</f>
        <v>0</v>
      </c>
      <c r="AJ98" s="2">
        <f t="shared" si="103"/>
        <v>0</v>
      </c>
      <c r="AK98" s="2">
        <v>3940.7</v>
      </c>
      <c r="AL98" s="2">
        <v>1645.2</v>
      </c>
      <c r="AM98" s="2">
        <v>528.70000000000005</v>
      </c>
      <c r="AN98" s="2">
        <v>103.74</v>
      </c>
      <c r="AO98" s="2">
        <v>1766.8</v>
      </c>
      <c r="AP98" s="2">
        <v>0</v>
      </c>
      <c r="AQ98" s="2">
        <v>140</v>
      </c>
      <c r="AR98" s="2">
        <v>0</v>
      </c>
      <c r="AS98" s="2">
        <v>0</v>
      </c>
      <c r="AT98" s="2">
        <v>90</v>
      </c>
      <c r="AU98" s="2">
        <v>46</v>
      </c>
      <c r="AV98" s="2">
        <v>1.0669999999999999</v>
      </c>
      <c r="AW98" s="2">
        <v>1.028</v>
      </c>
      <c r="AX98" s="2"/>
      <c r="AY98" s="2"/>
      <c r="AZ98" s="2">
        <v>1</v>
      </c>
      <c r="BA98" s="2">
        <v>1</v>
      </c>
      <c r="BB98" s="2">
        <v>1</v>
      </c>
      <c r="BC98" s="2">
        <v>1</v>
      </c>
      <c r="BD98" s="2" t="s">
        <v>3</v>
      </c>
      <c r="BE98" s="2" t="s">
        <v>3</v>
      </c>
      <c r="BF98" s="2" t="s">
        <v>3</v>
      </c>
      <c r="BG98" s="2" t="s">
        <v>3</v>
      </c>
      <c r="BH98" s="2">
        <v>0</v>
      </c>
      <c r="BI98" s="2">
        <v>2</v>
      </c>
      <c r="BJ98" s="2" t="s">
        <v>196</v>
      </c>
      <c r="BK98" s="2"/>
      <c r="BL98" s="2"/>
      <c r="BM98" s="2">
        <v>73</v>
      </c>
      <c r="BN98" s="2">
        <v>0</v>
      </c>
      <c r="BO98" s="2" t="s">
        <v>194</v>
      </c>
      <c r="BP98" s="2">
        <v>1</v>
      </c>
      <c r="BQ98" s="2">
        <v>40</v>
      </c>
      <c r="BR98" s="2">
        <v>0</v>
      </c>
      <c r="BS98" s="2">
        <v>1</v>
      </c>
      <c r="BT98" s="2">
        <v>1</v>
      </c>
      <c r="BU98" s="2">
        <v>1</v>
      </c>
      <c r="BV98" s="2">
        <v>1</v>
      </c>
      <c r="BW98" s="2">
        <v>1</v>
      </c>
      <c r="BX98" s="2">
        <v>1</v>
      </c>
      <c r="BY98" s="2" t="s">
        <v>3</v>
      </c>
      <c r="BZ98" s="2">
        <v>90</v>
      </c>
      <c r="CA98" s="2">
        <v>46</v>
      </c>
      <c r="CB98" s="2" t="s">
        <v>3</v>
      </c>
      <c r="CC98" s="2"/>
      <c r="CD98" s="2"/>
      <c r="CE98" s="2">
        <v>1566</v>
      </c>
      <c r="CF98" s="2">
        <v>0</v>
      </c>
      <c r="CG98" s="2">
        <v>0</v>
      </c>
      <c r="CH98" s="2"/>
      <c r="CI98" s="2"/>
      <c r="CJ98" s="2"/>
      <c r="CK98" s="2"/>
      <c r="CL98" s="2"/>
      <c r="CM98" s="2">
        <v>0</v>
      </c>
      <c r="CN98" s="2" t="s">
        <v>677</v>
      </c>
      <c r="CO98" s="2">
        <v>0</v>
      </c>
      <c r="CP98" s="2">
        <f t="shared" si="104"/>
        <v>694.56</v>
      </c>
      <c r="CQ98" s="2">
        <f t="shared" si="94"/>
        <v>1691.27</v>
      </c>
      <c r="CR98" s="2">
        <f>(ROUND((ROUND((((ET98*1.2))*AV98*1),2)*BB98),2)+ROUND((ROUND(((AE98-((EU98*1.2)))*AV98*1),2)*BS98),2))</f>
        <v>676.95</v>
      </c>
      <c r="CS98" s="2">
        <f>(ROUND((ROUND((((EU98*1.2))*AV98*1),2)*BS98),2)+ROUND((ROUND(((AE98-((EU98*1.2)))*AV98*1),2)*BS98),2))</f>
        <v>132.83000000000001</v>
      </c>
      <c r="CT98" s="2">
        <f t="shared" si="105"/>
        <v>2262.21</v>
      </c>
      <c r="CU98" s="2">
        <f t="shared" si="106"/>
        <v>0</v>
      </c>
      <c r="CV98" s="2">
        <f t="shared" si="107"/>
        <v>179.256</v>
      </c>
      <c r="CW98" s="2">
        <f t="shared" si="108"/>
        <v>0</v>
      </c>
      <c r="CX98" s="2">
        <f t="shared" si="109"/>
        <v>0</v>
      </c>
      <c r="CY98" s="2">
        <f>(ROUND((((S98+ROUND((ROUND((((EU98*1.2))*AV98*1),2)*BS98),2))*AT98)/100),2)+ROUND(((ROUND((ROUND(((AE98-((EU98*1.2)))*AV98*1),2)*BS98),2)*AT98)/100),2))</f>
        <v>424.94</v>
      </c>
      <c r="CZ98" s="2">
        <f>(ROUND((((S98+ROUND((ROUND((((EU98*1.2))*AV98*1),2)*BS98),2))*AU98)/100),2)+ROUND(((ROUND((ROUND(((AE98-((EU98*1.2)))*AV98*1),2)*BS98),2)*AU98)/100),2))</f>
        <v>217.19</v>
      </c>
      <c r="DA98" s="2"/>
      <c r="DB98" s="2">
        <v>41</v>
      </c>
      <c r="DC98" s="2" t="s">
        <v>3</v>
      </c>
      <c r="DD98" s="2" t="s">
        <v>35</v>
      </c>
      <c r="DE98" s="2" t="s">
        <v>36</v>
      </c>
      <c r="DF98" s="2" t="s">
        <v>36</v>
      </c>
      <c r="DG98" s="2" t="s">
        <v>36</v>
      </c>
      <c r="DH98" s="2" t="s">
        <v>3</v>
      </c>
      <c r="DI98" s="2" t="s">
        <v>36</v>
      </c>
      <c r="DJ98" s="2" t="s">
        <v>36</v>
      </c>
      <c r="DK98" s="2" t="s">
        <v>3</v>
      </c>
      <c r="DL98" s="2" t="s">
        <v>3</v>
      </c>
      <c r="DM98" s="2" t="s">
        <v>3</v>
      </c>
      <c r="DN98" s="2">
        <v>0</v>
      </c>
      <c r="DO98" s="2">
        <v>0</v>
      </c>
      <c r="DP98" s="2">
        <v>1</v>
      </c>
      <c r="DQ98" s="2">
        <v>1</v>
      </c>
      <c r="DR98" s="2"/>
      <c r="DS98" s="2"/>
      <c r="DT98" s="2"/>
      <c r="DU98" s="2">
        <v>1003</v>
      </c>
      <c r="DV98" s="2" t="s">
        <v>174</v>
      </c>
      <c r="DW98" s="2" t="s">
        <v>174</v>
      </c>
      <c r="DX98" s="2">
        <v>100</v>
      </c>
      <c r="DY98" s="2"/>
      <c r="DZ98" s="2" t="s">
        <v>3</v>
      </c>
      <c r="EA98" s="2" t="s">
        <v>3</v>
      </c>
      <c r="EB98" s="2" t="s">
        <v>3</v>
      </c>
      <c r="EC98" s="2" t="s">
        <v>3</v>
      </c>
      <c r="ED98" s="2"/>
      <c r="EE98" s="2">
        <v>85133422</v>
      </c>
      <c r="EF98" s="2">
        <v>40</v>
      </c>
      <c r="EG98" s="2" t="s">
        <v>27</v>
      </c>
      <c r="EH98" s="2">
        <v>0</v>
      </c>
      <c r="EI98" s="2" t="s">
        <v>3</v>
      </c>
      <c r="EJ98" s="2">
        <v>2</v>
      </c>
      <c r="EK98" s="2">
        <v>73</v>
      </c>
      <c r="EL98" s="2" t="s">
        <v>62</v>
      </c>
      <c r="EM98" s="2" t="s">
        <v>63</v>
      </c>
      <c r="EN98" s="2"/>
      <c r="EO98" s="2" t="s">
        <v>37</v>
      </c>
      <c r="EP98" s="2"/>
      <c r="EQ98" s="2">
        <v>0</v>
      </c>
      <c r="ER98" s="2">
        <v>3940.7</v>
      </c>
      <c r="ES98" s="2">
        <v>1645.2</v>
      </c>
      <c r="ET98" s="2">
        <v>528.70000000000005</v>
      </c>
      <c r="EU98" s="2">
        <v>103.74</v>
      </c>
      <c r="EV98" s="2">
        <v>1766.8</v>
      </c>
      <c r="EW98" s="2">
        <v>140</v>
      </c>
      <c r="EX98" s="2">
        <v>0</v>
      </c>
      <c r="EY98" s="2">
        <v>0</v>
      </c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>
        <v>0</v>
      </c>
      <c r="FR98" s="2">
        <v>0</v>
      </c>
      <c r="FS98" s="2">
        <v>2</v>
      </c>
      <c r="FT98" s="2"/>
      <c r="FU98" s="2"/>
      <c r="FV98" s="2"/>
      <c r="FW98" s="2"/>
      <c r="FX98" s="2">
        <v>90</v>
      </c>
      <c r="FY98" s="2">
        <v>46</v>
      </c>
      <c r="FZ98" s="2"/>
      <c r="GA98" s="2" t="s">
        <v>3</v>
      </c>
      <c r="GB98" s="2"/>
      <c r="GC98" s="2"/>
      <c r="GD98" s="2">
        <v>1</v>
      </c>
      <c r="GE98" s="2"/>
      <c r="GF98" s="2">
        <v>-1714246920</v>
      </c>
      <c r="GG98" s="2">
        <v>2</v>
      </c>
      <c r="GH98" s="2">
        <v>1</v>
      </c>
      <c r="GI98" s="2">
        <v>2</v>
      </c>
      <c r="GJ98" s="2">
        <v>0</v>
      </c>
      <c r="GK98" s="2">
        <v>0</v>
      </c>
      <c r="GL98" s="2">
        <f t="shared" si="110"/>
        <v>0</v>
      </c>
      <c r="GM98" s="2">
        <f t="shared" si="111"/>
        <v>1183.1500000000001</v>
      </c>
      <c r="GN98" s="2">
        <f t="shared" si="112"/>
        <v>0</v>
      </c>
      <c r="GO98" s="2">
        <f t="shared" si="113"/>
        <v>1183.1500000000001</v>
      </c>
      <c r="GP98" s="2">
        <f t="shared" si="114"/>
        <v>0</v>
      </c>
      <c r="GQ98" s="2"/>
      <c r="GR98" s="2">
        <v>0</v>
      </c>
      <c r="GS98" s="2">
        <v>3</v>
      </c>
      <c r="GT98" s="2">
        <v>0</v>
      </c>
      <c r="GU98" s="2" t="s">
        <v>3</v>
      </c>
      <c r="GV98" s="2">
        <f t="shared" si="115"/>
        <v>0</v>
      </c>
      <c r="GW98" s="2">
        <v>1</v>
      </c>
      <c r="GX98" s="2">
        <f t="shared" si="116"/>
        <v>0</v>
      </c>
      <c r="GY98" s="2"/>
      <c r="GZ98" s="2"/>
      <c r="HA98" s="2">
        <v>0</v>
      </c>
      <c r="HB98" s="2">
        <v>0</v>
      </c>
      <c r="HC98" s="2">
        <f t="shared" si="117"/>
        <v>0</v>
      </c>
      <c r="HD98" s="2"/>
      <c r="HE98" s="2" t="s">
        <v>3</v>
      </c>
      <c r="HF98" s="2" t="s">
        <v>3</v>
      </c>
      <c r="HG98" s="2"/>
      <c r="HH98" s="2"/>
      <c r="HI98" s="2"/>
      <c r="HJ98" s="2"/>
      <c r="HK98" s="2"/>
      <c r="HL98" s="2"/>
      <c r="HM98" s="2" t="s">
        <v>3</v>
      </c>
      <c r="HN98" s="2" t="s">
        <v>3</v>
      </c>
      <c r="HO98" s="2" t="s">
        <v>3</v>
      </c>
      <c r="HP98" s="2" t="s">
        <v>3</v>
      </c>
      <c r="HQ98" s="2" t="s">
        <v>3</v>
      </c>
      <c r="HR98" s="2"/>
      <c r="HS98" s="2">
        <v>0</v>
      </c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>
        <v>0</v>
      </c>
      <c r="IL98" s="2"/>
      <c r="IM98" s="2"/>
      <c r="IN98" s="2"/>
      <c r="IO98" s="2"/>
      <c r="IP98" s="2"/>
      <c r="IQ98" s="2"/>
      <c r="IR98" s="2"/>
      <c r="IS98" s="2"/>
      <c r="IT98" s="2"/>
      <c r="IU98" s="2"/>
    </row>
    <row r="99" spans="1:255" x14ac:dyDescent="0.2">
      <c r="A99" s="3">
        <v>17</v>
      </c>
      <c r="B99" s="3">
        <v>1</v>
      </c>
      <c r="C99" s="3">
        <f>ROW(SmtRes!A266)</f>
        <v>266</v>
      </c>
      <c r="D99" s="3">
        <f>ROW(EtalonRes!A288)</f>
        <v>288</v>
      </c>
      <c r="E99" s="3" t="s">
        <v>193</v>
      </c>
      <c r="F99" s="3" t="s">
        <v>194</v>
      </c>
      <c r="G99" s="3" t="s">
        <v>195</v>
      </c>
      <c r="H99" s="3" t="s">
        <v>174</v>
      </c>
      <c r="I99" s="3">
        <f>ROUND(15/100,9)</f>
        <v>0.15</v>
      </c>
      <c r="J99" s="3">
        <v>0</v>
      </c>
      <c r="K99" s="3">
        <f>ROUND(15/100,9)</f>
        <v>0.15</v>
      </c>
      <c r="O99" s="3">
        <f t="shared" si="95"/>
        <v>21649.32</v>
      </c>
      <c r="P99" s="3">
        <f t="shared" si="91"/>
        <v>441.42</v>
      </c>
      <c r="Q99" s="3">
        <f>(ROUND((ROUND((((ET99*1.2))*AV99*I99),2)*BB99),2)+ROUND((ROUND(((AE99-((EU99*1.2)))*AV99*I99),2)*BS99),2))</f>
        <v>2086.65</v>
      </c>
      <c r="R99" s="3">
        <f>(ROUND((ROUND((((EU99*1.2))*AV99*I99),2)*BS99),2)+ROUND((ROUND(((AE99-((EU99*1.2)))*AV99*I99),2)*BS99),2))</f>
        <v>1122.49</v>
      </c>
      <c r="S99" s="3">
        <f t="shared" si="96"/>
        <v>19121.25</v>
      </c>
      <c r="T99" s="3">
        <f t="shared" si="97"/>
        <v>0</v>
      </c>
      <c r="U99" s="3">
        <f t="shared" si="98"/>
        <v>26.888400000000001</v>
      </c>
      <c r="V99" s="3">
        <f t="shared" si="99"/>
        <v>0</v>
      </c>
      <c r="W99" s="3">
        <f t="shared" si="100"/>
        <v>0</v>
      </c>
      <c r="X99" s="3">
        <f>(ROUND((((S99+ROUND((ROUND((((EU99*1.2))*AV99*I99),2)*BS99),2))*AT99)/100),2)+ROUND(((ROUND((ROUND(((AE99-((EU99*1.2)))*AV99*I99),2)*BS99),2)*AT99)/100),2))</f>
        <v>18219.37</v>
      </c>
      <c r="Y99" s="3">
        <f>(ROUND((((S99+ROUND((ROUND((((EU99*1.2))*AV99*I99),2)*BS99),2))*AU99)/100),2)+ROUND(((ROUND((ROUND(((AE99-((EU99*1.2)))*AV99*I99),2)*BS99),2)*AU99)/100),2))</f>
        <v>9312.1200000000008</v>
      </c>
      <c r="AA99" s="3">
        <v>85739207</v>
      </c>
      <c r="AB99" s="3">
        <f t="shared" si="101"/>
        <v>4399.8</v>
      </c>
      <c r="AC99" s="3">
        <f>ROUND(((ES99*1)),6)</f>
        <v>1645.2</v>
      </c>
      <c r="AD99" s="3">
        <f>ROUND(((((ET99*1.2))-((EU99*1.2)))+AE99),6)</f>
        <v>634.44000000000005</v>
      </c>
      <c r="AE99" s="3">
        <f>ROUND(((EU99*1.2)),6)</f>
        <v>124.488</v>
      </c>
      <c r="AF99" s="3">
        <f>ROUND(((EV99*1.2)),6)</f>
        <v>2120.16</v>
      </c>
      <c r="AG99" s="3">
        <f t="shared" si="102"/>
        <v>0</v>
      </c>
      <c r="AH99" s="3">
        <f>((EW99*1.2))</f>
        <v>168</v>
      </c>
      <c r="AI99" s="3">
        <f>((EX99*1.2))</f>
        <v>0</v>
      </c>
      <c r="AJ99" s="3">
        <f t="shared" si="103"/>
        <v>0</v>
      </c>
      <c r="AK99" s="3">
        <v>3940.7</v>
      </c>
      <c r="AL99" s="3">
        <v>1645.2</v>
      </c>
      <c r="AM99" s="3">
        <v>528.70000000000005</v>
      </c>
      <c r="AN99" s="3">
        <v>103.74</v>
      </c>
      <c r="AO99" s="3">
        <v>1766.8</v>
      </c>
      <c r="AP99" s="3">
        <v>0</v>
      </c>
      <c r="AQ99" s="3">
        <v>140</v>
      </c>
      <c r="AR99" s="3">
        <v>0</v>
      </c>
      <c r="AS99" s="3">
        <v>0</v>
      </c>
      <c r="AT99" s="3">
        <v>90</v>
      </c>
      <c r="AU99" s="3">
        <v>46</v>
      </c>
      <c r="AV99" s="3">
        <v>1.0669999999999999</v>
      </c>
      <c r="AW99" s="3">
        <v>1.028</v>
      </c>
      <c r="AZ99" s="3">
        <v>1</v>
      </c>
      <c r="BA99" s="3">
        <v>56.35</v>
      </c>
      <c r="BB99" s="3">
        <v>20.55</v>
      </c>
      <c r="BC99" s="3">
        <v>1.74</v>
      </c>
      <c r="BD99" s="3" t="s">
        <v>3</v>
      </c>
      <c r="BE99" s="3" t="s">
        <v>3</v>
      </c>
      <c r="BF99" s="3" t="s">
        <v>3</v>
      </c>
      <c r="BG99" s="3" t="s">
        <v>3</v>
      </c>
      <c r="BH99" s="3">
        <v>0</v>
      </c>
      <c r="BI99" s="3">
        <v>2</v>
      </c>
      <c r="BJ99" s="3" t="s">
        <v>196</v>
      </c>
      <c r="BM99" s="3">
        <v>73</v>
      </c>
      <c r="BN99" s="3">
        <v>0</v>
      </c>
      <c r="BO99" s="3" t="s">
        <v>194</v>
      </c>
      <c r="BP99" s="3">
        <v>1</v>
      </c>
      <c r="BQ99" s="3">
        <v>40</v>
      </c>
      <c r="BR99" s="3">
        <v>0</v>
      </c>
      <c r="BS99" s="3">
        <v>56.35</v>
      </c>
      <c r="BT99" s="3">
        <v>1</v>
      </c>
      <c r="BU99" s="3">
        <v>1</v>
      </c>
      <c r="BV99" s="3">
        <v>1</v>
      </c>
      <c r="BW99" s="3">
        <v>1</v>
      </c>
      <c r="BX99" s="3">
        <v>1</v>
      </c>
      <c r="BY99" s="3" t="s">
        <v>3</v>
      </c>
      <c r="BZ99" s="3">
        <v>90</v>
      </c>
      <c r="CA99" s="3">
        <v>46</v>
      </c>
      <c r="CB99" s="3" t="s">
        <v>3</v>
      </c>
      <c r="CE99" s="3">
        <v>1566</v>
      </c>
      <c r="CF99" s="3">
        <v>0</v>
      </c>
      <c r="CG99" s="3">
        <v>0</v>
      </c>
      <c r="CM99" s="3">
        <v>0</v>
      </c>
      <c r="CN99" s="3" t="s">
        <v>677</v>
      </c>
      <c r="CO99" s="3">
        <v>0</v>
      </c>
      <c r="CP99" s="3">
        <f t="shared" si="104"/>
        <v>21649.32</v>
      </c>
      <c r="CQ99" s="3">
        <f t="shared" si="94"/>
        <v>2942.81</v>
      </c>
      <c r="CR99" s="3">
        <f>(ROUND((ROUND((((ET99*1.2))*AV99*1),2)*BB99),2)+ROUND((ROUND(((AE99-((EU99*1.2)))*AV99*1),2)*BS99),2))</f>
        <v>13911.32</v>
      </c>
      <c r="CS99" s="3">
        <f>(ROUND((ROUND((((EU99*1.2))*AV99*1),2)*BS99),2)+ROUND((ROUND(((AE99-((EU99*1.2)))*AV99*1),2)*BS99),2))</f>
        <v>7484.97</v>
      </c>
      <c r="CT99" s="3">
        <f t="shared" si="105"/>
        <v>127475.53</v>
      </c>
      <c r="CU99" s="3">
        <f t="shared" si="106"/>
        <v>0</v>
      </c>
      <c r="CV99" s="3">
        <f t="shared" si="107"/>
        <v>179.256</v>
      </c>
      <c r="CW99" s="3">
        <f t="shared" si="108"/>
        <v>0</v>
      </c>
      <c r="CX99" s="3">
        <f t="shared" si="109"/>
        <v>0</v>
      </c>
      <c r="CY99" s="3">
        <f>(ROUND((((S99+ROUND((ROUND((((EU99*1.2))*AV99*1),2)*BS99),2))*AT99)/100),2)+ROUND(((ROUND((ROUND(((AE99-((EU99*1.2)))*AV99*1),2)*BS99),2)*AT99)/100),2))</f>
        <v>23945.599999999999</v>
      </c>
      <c r="CZ99" s="3">
        <f>(ROUND((((S99+ROUND((ROUND((((EU99*1.2))*AV99*1),2)*BS99),2))*AU99)/100),2)+ROUND(((ROUND((ROUND(((AE99-((EU99*1.2)))*AV99*1),2)*BS99),2)*AU99)/100),2))</f>
        <v>12238.86</v>
      </c>
      <c r="DB99" s="3">
        <v>42</v>
      </c>
      <c r="DC99" s="3" t="s">
        <v>3</v>
      </c>
      <c r="DD99" s="3" t="s">
        <v>35</v>
      </c>
      <c r="DE99" s="3" t="s">
        <v>36</v>
      </c>
      <c r="DF99" s="3" t="s">
        <v>36</v>
      </c>
      <c r="DG99" s="3" t="s">
        <v>36</v>
      </c>
      <c r="DH99" s="3" t="s">
        <v>3</v>
      </c>
      <c r="DI99" s="3" t="s">
        <v>36</v>
      </c>
      <c r="DJ99" s="3" t="s">
        <v>36</v>
      </c>
      <c r="DK99" s="3" t="s">
        <v>3</v>
      </c>
      <c r="DL99" s="3" t="s">
        <v>3</v>
      </c>
      <c r="DM99" s="3" t="s">
        <v>3</v>
      </c>
      <c r="DN99" s="3">
        <v>0</v>
      </c>
      <c r="DO99" s="3">
        <v>0</v>
      </c>
      <c r="DP99" s="3">
        <v>1</v>
      </c>
      <c r="DQ99" s="3">
        <v>1</v>
      </c>
      <c r="DU99" s="3">
        <v>1003</v>
      </c>
      <c r="DV99" s="3" t="s">
        <v>174</v>
      </c>
      <c r="DW99" s="3" t="s">
        <v>174</v>
      </c>
      <c r="DX99" s="3">
        <v>100</v>
      </c>
      <c r="DZ99" s="3" t="s">
        <v>3</v>
      </c>
      <c r="EA99" s="3" t="s">
        <v>3</v>
      </c>
      <c r="EB99" s="3" t="s">
        <v>3</v>
      </c>
      <c r="EC99" s="3" t="s">
        <v>3</v>
      </c>
      <c r="EE99" s="3">
        <v>85133422</v>
      </c>
      <c r="EF99" s="3">
        <v>40</v>
      </c>
      <c r="EG99" s="3" t="s">
        <v>27</v>
      </c>
      <c r="EH99" s="3">
        <v>0</v>
      </c>
      <c r="EI99" s="3" t="s">
        <v>3</v>
      </c>
      <c r="EJ99" s="3">
        <v>2</v>
      </c>
      <c r="EK99" s="3">
        <v>73</v>
      </c>
      <c r="EL99" s="3" t="s">
        <v>62</v>
      </c>
      <c r="EM99" s="3" t="s">
        <v>63</v>
      </c>
      <c r="EO99" s="3" t="s">
        <v>37</v>
      </c>
      <c r="EQ99" s="3">
        <v>0</v>
      </c>
      <c r="ER99" s="3">
        <v>3940.7</v>
      </c>
      <c r="ES99" s="3">
        <v>1645.2</v>
      </c>
      <c r="ET99" s="3">
        <v>528.70000000000005</v>
      </c>
      <c r="EU99" s="3">
        <v>103.74</v>
      </c>
      <c r="EV99" s="3">
        <v>1766.8</v>
      </c>
      <c r="EW99" s="3">
        <v>140</v>
      </c>
      <c r="EX99" s="3">
        <v>0</v>
      </c>
      <c r="EY99" s="3">
        <v>0</v>
      </c>
      <c r="FQ99" s="3">
        <v>0</v>
      </c>
      <c r="FR99" s="3">
        <v>0</v>
      </c>
      <c r="FS99" s="3">
        <v>2</v>
      </c>
      <c r="FX99" s="3">
        <v>90</v>
      </c>
      <c r="FY99" s="3">
        <v>46</v>
      </c>
      <c r="GA99" s="3" t="s">
        <v>3</v>
      </c>
      <c r="GD99" s="3">
        <v>1</v>
      </c>
      <c r="GF99" s="3">
        <v>-1714246920</v>
      </c>
      <c r="GG99" s="3">
        <v>2</v>
      </c>
      <c r="GH99" s="3">
        <v>1</v>
      </c>
      <c r="GI99" s="3">
        <v>2</v>
      </c>
      <c r="GJ99" s="3">
        <v>0</v>
      </c>
      <c r="GK99" s="3">
        <v>0</v>
      </c>
      <c r="GL99" s="3">
        <f t="shared" si="110"/>
        <v>0</v>
      </c>
      <c r="GM99" s="3">
        <f t="shared" si="111"/>
        <v>49180.81</v>
      </c>
      <c r="GN99" s="3">
        <f t="shared" si="112"/>
        <v>0</v>
      </c>
      <c r="GO99" s="3">
        <f t="shared" si="113"/>
        <v>49180.81</v>
      </c>
      <c r="GP99" s="3">
        <f t="shared" si="114"/>
        <v>0</v>
      </c>
      <c r="GR99" s="3">
        <v>0</v>
      </c>
      <c r="GS99" s="3">
        <v>3</v>
      </c>
      <c r="GT99" s="3">
        <v>0</v>
      </c>
      <c r="GU99" s="3" t="s">
        <v>3</v>
      </c>
      <c r="GV99" s="3">
        <f t="shared" si="115"/>
        <v>0</v>
      </c>
      <c r="GW99" s="3">
        <v>1</v>
      </c>
      <c r="GX99" s="3">
        <f t="shared" si="116"/>
        <v>0</v>
      </c>
      <c r="HA99" s="3">
        <v>0</v>
      </c>
      <c r="HB99" s="3">
        <v>0</v>
      </c>
      <c r="HC99" s="3">
        <f t="shared" si="117"/>
        <v>0</v>
      </c>
      <c r="HE99" s="3" t="s">
        <v>3</v>
      </c>
      <c r="HF99" s="3" t="s">
        <v>3</v>
      </c>
      <c r="HM99" s="3" t="s">
        <v>3</v>
      </c>
      <c r="HN99" s="3" t="s">
        <v>3</v>
      </c>
      <c r="HO99" s="3" t="s">
        <v>3</v>
      </c>
      <c r="HP99" s="3" t="s">
        <v>3</v>
      </c>
      <c r="HQ99" s="3" t="s">
        <v>3</v>
      </c>
      <c r="HS99" s="3">
        <v>0</v>
      </c>
      <c r="IK99" s="3">
        <v>0</v>
      </c>
    </row>
    <row r="100" spans="1:255" x14ac:dyDescent="0.2">
      <c r="A100" s="2">
        <v>18</v>
      </c>
      <c r="B100" s="2">
        <v>1</v>
      </c>
      <c r="C100" s="2">
        <v>250</v>
      </c>
      <c r="D100" s="2"/>
      <c r="E100" s="2" t="s">
        <v>197</v>
      </c>
      <c r="F100" s="2" t="s">
        <v>198</v>
      </c>
      <c r="G100" s="2" t="s">
        <v>199</v>
      </c>
      <c r="H100" s="2" t="s">
        <v>179</v>
      </c>
      <c r="I100" s="2">
        <f>I98*J100</f>
        <v>15.074999999999999</v>
      </c>
      <c r="J100" s="2">
        <v>100.5</v>
      </c>
      <c r="K100" s="2">
        <v>100.5</v>
      </c>
      <c r="L100" s="2"/>
      <c r="M100" s="2"/>
      <c r="N100" s="2"/>
      <c r="O100" s="2">
        <f t="shared" si="95"/>
        <v>1146.9100000000001</v>
      </c>
      <c r="P100" s="2">
        <f t="shared" si="91"/>
        <v>1146.9100000000001</v>
      </c>
      <c r="Q100" s="2">
        <f t="shared" ref="Q100:Q107" si="120">(ROUND((ROUND(((ET100)*AV100*I100),2)*BB100),2)+ROUND((ROUND(((AE100-(EU100))*AV100*I100),2)*BS100),2))</f>
        <v>0</v>
      </c>
      <c r="R100" s="2">
        <f t="shared" ref="R100:R107" si="121">(ROUND((ROUND(((EU100)*AV100*I100),2)*BS100),2)+ROUND((ROUND(((AE100-(EU100))*AV100*I100),2)*BS100),2))</f>
        <v>0</v>
      </c>
      <c r="S100" s="2">
        <f t="shared" si="96"/>
        <v>0</v>
      </c>
      <c r="T100" s="2">
        <f t="shared" si="97"/>
        <v>0</v>
      </c>
      <c r="U100" s="2">
        <f t="shared" si="98"/>
        <v>0</v>
      </c>
      <c r="V100" s="2">
        <f t="shared" si="99"/>
        <v>0</v>
      </c>
      <c r="W100" s="2">
        <f t="shared" si="100"/>
        <v>0</v>
      </c>
      <c r="X100" s="2">
        <f t="shared" ref="X100:X107" si="122">(ROUND((((S100+ROUND((ROUND(((EU100)*AV100*I100),2)*BS100),2))*AT100)/100),2)+ROUND(((ROUND((ROUND(((AE100-(EU100))*AV100*I100),2)*BS100),2)*AT100)/100),2))</f>
        <v>0</v>
      </c>
      <c r="Y100" s="2">
        <f t="shared" ref="Y100:Y107" si="123">(ROUND((((S100+ROUND((ROUND(((EU100)*AV100*I100),2)*BS100),2))*AU100)/100),2)+ROUND(((ROUND((ROUND(((AE100-(EU100))*AV100*I100),2)*BS100),2)*AU100)/100),2))</f>
        <v>0</v>
      </c>
      <c r="Z100" s="2"/>
      <c r="AA100" s="2">
        <v>85739205</v>
      </c>
      <c r="AB100" s="2">
        <f t="shared" si="101"/>
        <v>76.08</v>
      </c>
      <c r="AC100" s="2">
        <f t="shared" ref="AC100:AC107" si="124">ROUND((ES100),6)</f>
        <v>76.08</v>
      </c>
      <c r="AD100" s="2">
        <f t="shared" ref="AD100:AD107" si="125">ROUND((((ET100)-(EU100))+AE100),6)</f>
        <v>0</v>
      </c>
      <c r="AE100" s="2">
        <f t="shared" ref="AE100:AF107" si="126">ROUND((EU100),6)</f>
        <v>0</v>
      </c>
      <c r="AF100" s="2">
        <f t="shared" si="126"/>
        <v>0</v>
      </c>
      <c r="AG100" s="2">
        <f t="shared" si="102"/>
        <v>0</v>
      </c>
      <c r="AH100" s="2">
        <f t="shared" ref="AH100:AI107" si="127">(EW100)</f>
        <v>0</v>
      </c>
      <c r="AI100" s="2">
        <f t="shared" si="127"/>
        <v>0</v>
      </c>
      <c r="AJ100" s="2">
        <f t="shared" si="103"/>
        <v>0</v>
      </c>
      <c r="AK100" s="2">
        <v>76.08</v>
      </c>
      <c r="AL100" s="2">
        <v>76.08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90</v>
      </c>
      <c r="AU100" s="2">
        <v>46</v>
      </c>
      <c r="AV100" s="2">
        <v>1</v>
      </c>
      <c r="AW100" s="2">
        <v>1</v>
      </c>
      <c r="AX100" s="2"/>
      <c r="AY100" s="2"/>
      <c r="AZ100" s="2">
        <v>1</v>
      </c>
      <c r="BA100" s="2">
        <v>1</v>
      </c>
      <c r="BB100" s="2">
        <v>1</v>
      </c>
      <c r="BC100" s="2">
        <v>1</v>
      </c>
      <c r="BD100" s="2" t="s">
        <v>3</v>
      </c>
      <c r="BE100" s="2" t="s">
        <v>3</v>
      </c>
      <c r="BF100" s="2" t="s">
        <v>3</v>
      </c>
      <c r="BG100" s="2" t="s">
        <v>3</v>
      </c>
      <c r="BH100" s="2">
        <v>3</v>
      </c>
      <c r="BI100" s="2">
        <v>2</v>
      </c>
      <c r="BJ100" s="2" t="s">
        <v>200</v>
      </c>
      <c r="BK100" s="2"/>
      <c r="BL100" s="2"/>
      <c r="BM100" s="2">
        <v>73</v>
      </c>
      <c r="BN100" s="2">
        <v>0</v>
      </c>
      <c r="BO100" s="2" t="s">
        <v>3</v>
      </c>
      <c r="BP100" s="2">
        <v>0</v>
      </c>
      <c r="BQ100" s="2">
        <v>40</v>
      </c>
      <c r="BR100" s="2">
        <v>0</v>
      </c>
      <c r="BS100" s="2">
        <v>1</v>
      </c>
      <c r="BT100" s="2">
        <v>1</v>
      </c>
      <c r="BU100" s="2">
        <v>1</v>
      </c>
      <c r="BV100" s="2">
        <v>1</v>
      </c>
      <c r="BW100" s="2">
        <v>1</v>
      </c>
      <c r="BX100" s="2">
        <v>1</v>
      </c>
      <c r="BY100" s="2" t="s">
        <v>3</v>
      </c>
      <c r="BZ100" s="2">
        <v>90</v>
      </c>
      <c r="CA100" s="2">
        <v>46</v>
      </c>
      <c r="CB100" s="2" t="s">
        <v>3</v>
      </c>
      <c r="CC100" s="2"/>
      <c r="CD100" s="2"/>
      <c r="CE100" s="2">
        <v>1566</v>
      </c>
      <c r="CF100" s="2">
        <v>0</v>
      </c>
      <c r="CG100" s="2">
        <v>0</v>
      </c>
      <c r="CH100" s="2"/>
      <c r="CI100" s="2"/>
      <c r="CJ100" s="2"/>
      <c r="CK100" s="2"/>
      <c r="CL100" s="2"/>
      <c r="CM100" s="2">
        <v>0</v>
      </c>
      <c r="CN100" s="2" t="s">
        <v>679</v>
      </c>
      <c r="CO100" s="2">
        <v>0</v>
      </c>
      <c r="CP100" s="2">
        <f t="shared" si="104"/>
        <v>1146.9100000000001</v>
      </c>
      <c r="CQ100" s="2">
        <f t="shared" si="94"/>
        <v>76.08</v>
      </c>
      <c r="CR100" s="2">
        <f t="shared" ref="CR100:CR107" si="128">(ROUND((ROUND(((ET100)*AV100*1),2)*BB100),2)+ROUND((ROUND(((AE100-(EU100))*AV100*1),2)*BS100),2))</f>
        <v>0</v>
      </c>
      <c r="CS100" s="2">
        <f t="shared" ref="CS100:CS107" si="129">(ROUND((ROUND(((EU100)*AV100*1),2)*BS100),2)+ROUND((ROUND(((AE100-(EU100))*AV100*1),2)*BS100),2))</f>
        <v>0</v>
      </c>
      <c r="CT100" s="2">
        <f t="shared" si="105"/>
        <v>0</v>
      </c>
      <c r="CU100" s="2">
        <f t="shared" si="106"/>
        <v>0</v>
      </c>
      <c r="CV100" s="2">
        <f t="shared" si="107"/>
        <v>0</v>
      </c>
      <c r="CW100" s="2">
        <f t="shared" si="108"/>
        <v>0</v>
      </c>
      <c r="CX100" s="2">
        <f t="shared" si="109"/>
        <v>0</v>
      </c>
      <c r="CY100" s="2">
        <f t="shared" ref="CY100:CY107" si="130">(ROUND((((S100+ROUND((ROUND(((EU100)*AV100*1),2)*BS100),2))*AT100)/100),2)+ROUND(((ROUND((ROUND(((AE100-(EU100))*AV100*1),2)*BS100),2)*AT100)/100),2))</f>
        <v>0</v>
      </c>
      <c r="CZ100" s="2">
        <f t="shared" ref="CZ100:CZ107" si="131">(ROUND((((S100+ROUND((ROUND(((EU100)*AV100*1),2)*BS100),2))*AU100)/100),2)+ROUND(((ROUND((ROUND(((AE100-(EU100))*AV100*1),2)*BS100),2)*AU100)/100),2))</f>
        <v>0</v>
      </c>
      <c r="DA100" s="2"/>
      <c r="DB100" s="2"/>
      <c r="DC100" s="2" t="s">
        <v>3</v>
      </c>
      <c r="DD100" s="2" t="s">
        <v>3</v>
      </c>
      <c r="DE100" s="2" t="s">
        <v>3</v>
      </c>
      <c r="DF100" s="2" t="s">
        <v>3</v>
      </c>
      <c r="DG100" s="2" t="s">
        <v>3</v>
      </c>
      <c r="DH100" s="2" t="s">
        <v>3</v>
      </c>
      <c r="DI100" s="2" t="s">
        <v>3</v>
      </c>
      <c r="DJ100" s="2" t="s">
        <v>3</v>
      </c>
      <c r="DK100" s="2" t="s">
        <v>3</v>
      </c>
      <c r="DL100" s="2" t="s">
        <v>3</v>
      </c>
      <c r="DM100" s="2" t="s">
        <v>3</v>
      </c>
      <c r="DN100" s="2">
        <v>0</v>
      </c>
      <c r="DO100" s="2">
        <v>0</v>
      </c>
      <c r="DP100" s="2">
        <v>1</v>
      </c>
      <c r="DQ100" s="2">
        <v>1</v>
      </c>
      <c r="DR100" s="2"/>
      <c r="DS100" s="2"/>
      <c r="DT100" s="2"/>
      <c r="DU100" s="2">
        <v>1003</v>
      </c>
      <c r="DV100" s="2" t="s">
        <v>179</v>
      </c>
      <c r="DW100" s="2" t="s">
        <v>179</v>
      </c>
      <c r="DX100" s="2">
        <v>1</v>
      </c>
      <c r="DY100" s="2"/>
      <c r="DZ100" s="2" t="s">
        <v>3</v>
      </c>
      <c r="EA100" s="2" t="s">
        <v>3</v>
      </c>
      <c r="EB100" s="2" t="s">
        <v>3</v>
      </c>
      <c r="EC100" s="2" t="s">
        <v>3</v>
      </c>
      <c r="ED100" s="2"/>
      <c r="EE100" s="2">
        <v>85133422</v>
      </c>
      <c r="EF100" s="2">
        <v>40</v>
      </c>
      <c r="EG100" s="2" t="s">
        <v>27</v>
      </c>
      <c r="EH100" s="2">
        <v>0</v>
      </c>
      <c r="EI100" s="2" t="s">
        <v>3</v>
      </c>
      <c r="EJ100" s="2">
        <v>2</v>
      </c>
      <c r="EK100" s="2">
        <v>73</v>
      </c>
      <c r="EL100" s="2" t="s">
        <v>62</v>
      </c>
      <c r="EM100" s="2" t="s">
        <v>63</v>
      </c>
      <c r="EN100" s="2"/>
      <c r="EO100" s="2" t="s">
        <v>37</v>
      </c>
      <c r="EP100" s="2"/>
      <c r="EQ100" s="2">
        <v>0</v>
      </c>
      <c r="ER100" s="2">
        <v>76.08</v>
      </c>
      <c r="ES100" s="2">
        <v>76.08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>
        <v>0</v>
      </c>
      <c r="FR100" s="2">
        <v>0</v>
      </c>
      <c r="FS100" s="2">
        <v>0</v>
      </c>
      <c r="FT100" s="2"/>
      <c r="FU100" s="2"/>
      <c r="FV100" s="2"/>
      <c r="FW100" s="2"/>
      <c r="FX100" s="2">
        <v>90</v>
      </c>
      <c r="FY100" s="2">
        <v>46</v>
      </c>
      <c r="FZ100" s="2"/>
      <c r="GA100" s="2" t="s">
        <v>3</v>
      </c>
      <c r="GB100" s="2"/>
      <c r="GC100" s="2"/>
      <c r="GD100" s="2">
        <v>1</v>
      </c>
      <c r="GE100" s="2"/>
      <c r="GF100" s="2">
        <v>598797739</v>
      </c>
      <c r="GG100" s="2">
        <v>2</v>
      </c>
      <c r="GH100" s="2">
        <v>1</v>
      </c>
      <c r="GI100" s="2">
        <v>-2</v>
      </c>
      <c r="GJ100" s="2">
        <v>0</v>
      </c>
      <c r="GK100" s="2">
        <v>0</v>
      </c>
      <c r="GL100" s="2">
        <f t="shared" si="110"/>
        <v>0</v>
      </c>
      <c r="GM100" s="2">
        <f t="shared" si="111"/>
        <v>1146.9100000000001</v>
      </c>
      <c r="GN100" s="2">
        <f t="shared" si="112"/>
        <v>0</v>
      </c>
      <c r="GO100" s="2">
        <f t="shared" si="113"/>
        <v>1146.9100000000001</v>
      </c>
      <c r="GP100" s="2">
        <f t="shared" si="114"/>
        <v>0</v>
      </c>
      <c r="GQ100" s="2"/>
      <c r="GR100" s="2">
        <v>0</v>
      </c>
      <c r="GS100" s="2">
        <v>3</v>
      </c>
      <c r="GT100" s="2">
        <v>0</v>
      </c>
      <c r="GU100" s="2" t="s">
        <v>3</v>
      </c>
      <c r="GV100" s="2">
        <f t="shared" si="115"/>
        <v>0</v>
      </c>
      <c r="GW100" s="2">
        <v>1</v>
      </c>
      <c r="GX100" s="2">
        <f t="shared" si="116"/>
        <v>0</v>
      </c>
      <c r="GY100" s="2"/>
      <c r="GZ100" s="2"/>
      <c r="HA100" s="2">
        <v>0</v>
      </c>
      <c r="HB100" s="2">
        <v>0</v>
      </c>
      <c r="HC100" s="2">
        <f t="shared" si="117"/>
        <v>0</v>
      </c>
      <c r="HD100" s="2"/>
      <c r="HE100" s="2" t="s">
        <v>3</v>
      </c>
      <c r="HF100" s="2" t="s">
        <v>3</v>
      </c>
      <c r="HG100" s="2"/>
      <c r="HH100" s="2"/>
      <c r="HI100" s="2"/>
      <c r="HJ100" s="2"/>
      <c r="HK100" s="2"/>
      <c r="HL100" s="2"/>
      <c r="HM100" s="2" t="s">
        <v>35</v>
      </c>
      <c r="HN100" s="2" t="s">
        <v>3</v>
      </c>
      <c r="HO100" s="2" t="s">
        <v>3</v>
      </c>
      <c r="HP100" s="2" t="s">
        <v>3</v>
      </c>
      <c r="HQ100" s="2" t="s">
        <v>3</v>
      </c>
      <c r="HR100" s="2"/>
      <c r="HS100" s="2">
        <v>0</v>
      </c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>
        <v>0</v>
      </c>
      <c r="IL100" s="2"/>
      <c r="IM100" s="2"/>
      <c r="IN100" s="2"/>
      <c r="IO100" s="2"/>
      <c r="IP100" s="2"/>
      <c r="IQ100" s="2"/>
      <c r="IR100" s="2"/>
      <c r="IS100" s="2"/>
      <c r="IT100" s="2"/>
      <c r="IU100" s="2"/>
    </row>
    <row r="101" spans="1:255" x14ac:dyDescent="0.2">
      <c r="A101" s="3">
        <v>18</v>
      </c>
      <c r="B101" s="3">
        <v>1</v>
      </c>
      <c r="C101" s="3">
        <v>265</v>
      </c>
      <c r="E101" s="3" t="s">
        <v>197</v>
      </c>
      <c r="F101" s="3" t="s">
        <v>198</v>
      </c>
      <c r="G101" s="3" t="s">
        <v>199</v>
      </c>
      <c r="H101" s="3" t="s">
        <v>179</v>
      </c>
      <c r="I101" s="3">
        <f>I99*J101</f>
        <v>15.074999999999999</v>
      </c>
      <c r="J101" s="3">
        <v>100.5</v>
      </c>
      <c r="K101" s="3">
        <v>100.5</v>
      </c>
      <c r="O101" s="3">
        <f t="shared" si="95"/>
        <v>15093.34</v>
      </c>
      <c r="P101" s="3">
        <f t="shared" si="91"/>
        <v>15093.34</v>
      </c>
      <c r="Q101" s="3">
        <f t="shared" si="120"/>
        <v>0</v>
      </c>
      <c r="R101" s="3">
        <f t="shared" si="121"/>
        <v>0</v>
      </c>
      <c r="S101" s="3">
        <f t="shared" si="96"/>
        <v>0</v>
      </c>
      <c r="T101" s="3">
        <f t="shared" si="97"/>
        <v>0</v>
      </c>
      <c r="U101" s="3">
        <f t="shared" si="98"/>
        <v>0</v>
      </c>
      <c r="V101" s="3">
        <f t="shared" si="99"/>
        <v>0</v>
      </c>
      <c r="W101" s="3">
        <f t="shared" si="100"/>
        <v>0</v>
      </c>
      <c r="X101" s="3">
        <f t="shared" si="122"/>
        <v>0</v>
      </c>
      <c r="Y101" s="3">
        <f t="shared" si="123"/>
        <v>0</v>
      </c>
      <c r="AA101" s="3">
        <v>85739207</v>
      </c>
      <c r="AB101" s="3">
        <f t="shared" si="101"/>
        <v>76.08</v>
      </c>
      <c r="AC101" s="3">
        <f t="shared" si="124"/>
        <v>76.08</v>
      </c>
      <c r="AD101" s="3">
        <f t="shared" si="125"/>
        <v>0</v>
      </c>
      <c r="AE101" s="3">
        <f t="shared" si="126"/>
        <v>0</v>
      </c>
      <c r="AF101" s="3">
        <f t="shared" si="126"/>
        <v>0</v>
      </c>
      <c r="AG101" s="3">
        <f t="shared" si="102"/>
        <v>0</v>
      </c>
      <c r="AH101" s="3">
        <f t="shared" si="127"/>
        <v>0</v>
      </c>
      <c r="AI101" s="3">
        <f t="shared" si="127"/>
        <v>0</v>
      </c>
      <c r="AJ101" s="3">
        <f t="shared" si="103"/>
        <v>0</v>
      </c>
      <c r="AK101" s="3">
        <v>76.08</v>
      </c>
      <c r="AL101" s="3">
        <v>76.08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90</v>
      </c>
      <c r="AU101" s="3">
        <v>46</v>
      </c>
      <c r="AV101" s="3">
        <v>1</v>
      </c>
      <c r="AW101" s="3">
        <v>1</v>
      </c>
      <c r="AZ101" s="3">
        <v>1</v>
      </c>
      <c r="BA101" s="3">
        <v>1</v>
      </c>
      <c r="BB101" s="3">
        <v>1</v>
      </c>
      <c r="BC101" s="3">
        <v>13.16</v>
      </c>
      <c r="BD101" s="3" t="s">
        <v>3</v>
      </c>
      <c r="BE101" s="3" t="s">
        <v>3</v>
      </c>
      <c r="BF101" s="3" t="s">
        <v>3</v>
      </c>
      <c r="BG101" s="3" t="s">
        <v>3</v>
      </c>
      <c r="BH101" s="3">
        <v>3</v>
      </c>
      <c r="BI101" s="3">
        <v>2</v>
      </c>
      <c r="BJ101" s="3" t="s">
        <v>200</v>
      </c>
      <c r="BM101" s="3">
        <v>73</v>
      </c>
      <c r="BN101" s="3">
        <v>0</v>
      </c>
      <c r="BO101" s="3" t="s">
        <v>198</v>
      </c>
      <c r="BP101" s="3">
        <v>1</v>
      </c>
      <c r="BQ101" s="3">
        <v>40</v>
      </c>
      <c r="BR101" s="3">
        <v>0</v>
      </c>
      <c r="BS101" s="3">
        <v>1</v>
      </c>
      <c r="BT101" s="3">
        <v>1</v>
      </c>
      <c r="BU101" s="3">
        <v>1</v>
      </c>
      <c r="BV101" s="3">
        <v>1</v>
      </c>
      <c r="BW101" s="3">
        <v>1</v>
      </c>
      <c r="BX101" s="3">
        <v>1</v>
      </c>
      <c r="BY101" s="3" t="s">
        <v>3</v>
      </c>
      <c r="BZ101" s="3">
        <v>90</v>
      </c>
      <c r="CA101" s="3">
        <v>46</v>
      </c>
      <c r="CB101" s="3" t="s">
        <v>3</v>
      </c>
      <c r="CE101" s="3">
        <v>1566</v>
      </c>
      <c r="CF101" s="3">
        <v>0</v>
      </c>
      <c r="CG101" s="3">
        <v>0</v>
      </c>
      <c r="CM101" s="3">
        <v>0</v>
      </c>
      <c r="CN101" s="3" t="s">
        <v>679</v>
      </c>
      <c r="CO101" s="3">
        <v>0</v>
      </c>
      <c r="CP101" s="3">
        <f t="shared" si="104"/>
        <v>15093.34</v>
      </c>
      <c r="CQ101" s="3">
        <f t="shared" si="94"/>
        <v>1001.21</v>
      </c>
      <c r="CR101" s="3">
        <f t="shared" si="128"/>
        <v>0</v>
      </c>
      <c r="CS101" s="3">
        <f t="shared" si="129"/>
        <v>0</v>
      </c>
      <c r="CT101" s="3">
        <f t="shared" si="105"/>
        <v>0</v>
      </c>
      <c r="CU101" s="3">
        <f t="shared" si="106"/>
        <v>0</v>
      </c>
      <c r="CV101" s="3">
        <f t="shared" si="107"/>
        <v>0</v>
      </c>
      <c r="CW101" s="3">
        <f t="shared" si="108"/>
        <v>0</v>
      </c>
      <c r="CX101" s="3">
        <f t="shared" si="109"/>
        <v>0</v>
      </c>
      <c r="CY101" s="3">
        <f t="shared" si="130"/>
        <v>0</v>
      </c>
      <c r="CZ101" s="3">
        <f t="shared" si="131"/>
        <v>0</v>
      </c>
      <c r="DC101" s="3" t="s">
        <v>3</v>
      </c>
      <c r="DD101" s="3" t="s">
        <v>3</v>
      </c>
      <c r="DE101" s="3" t="s">
        <v>3</v>
      </c>
      <c r="DF101" s="3" t="s">
        <v>3</v>
      </c>
      <c r="DG101" s="3" t="s">
        <v>3</v>
      </c>
      <c r="DH101" s="3" t="s">
        <v>3</v>
      </c>
      <c r="DI101" s="3" t="s">
        <v>3</v>
      </c>
      <c r="DJ101" s="3" t="s">
        <v>3</v>
      </c>
      <c r="DK101" s="3" t="s">
        <v>3</v>
      </c>
      <c r="DL101" s="3" t="s">
        <v>3</v>
      </c>
      <c r="DM101" s="3" t="s">
        <v>3</v>
      </c>
      <c r="DN101" s="3">
        <v>0</v>
      </c>
      <c r="DO101" s="3">
        <v>0</v>
      </c>
      <c r="DP101" s="3">
        <v>1</v>
      </c>
      <c r="DQ101" s="3">
        <v>1</v>
      </c>
      <c r="DU101" s="3">
        <v>1003</v>
      </c>
      <c r="DV101" s="3" t="s">
        <v>179</v>
      </c>
      <c r="DW101" s="3" t="s">
        <v>179</v>
      </c>
      <c r="DX101" s="3">
        <v>1</v>
      </c>
      <c r="DZ101" s="3" t="s">
        <v>3</v>
      </c>
      <c r="EA101" s="3" t="s">
        <v>3</v>
      </c>
      <c r="EB101" s="3" t="s">
        <v>3</v>
      </c>
      <c r="EC101" s="3" t="s">
        <v>3</v>
      </c>
      <c r="EE101" s="3">
        <v>85133422</v>
      </c>
      <c r="EF101" s="3">
        <v>40</v>
      </c>
      <c r="EG101" s="3" t="s">
        <v>27</v>
      </c>
      <c r="EH101" s="3">
        <v>0</v>
      </c>
      <c r="EI101" s="3" t="s">
        <v>3</v>
      </c>
      <c r="EJ101" s="3">
        <v>2</v>
      </c>
      <c r="EK101" s="3">
        <v>73</v>
      </c>
      <c r="EL101" s="3" t="s">
        <v>62</v>
      </c>
      <c r="EM101" s="3" t="s">
        <v>63</v>
      </c>
      <c r="EO101" s="3" t="s">
        <v>37</v>
      </c>
      <c r="EQ101" s="3">
        <v>0</v>
      </c>
      <c r="ER101" s="3">
        <v>76.08</v>
      </c>
      <c r="ES101" s="3">
        <v>76.08</v>
      </c>
      <c r="ET101" s="3">
        <v>0</v>
      </c>
      <c r="EU101" s="3">
        <v>0</v>
      </c>
      <c r="EV101" s="3">
        <v>0</v>
      </c>
      <c r="EW101" s="3">
        <v>0</v>
      </c>
      <c r="EX101" s="3">
        <v>0</v>
      </c>
      <c r="FQ101" s="3">
        <v>0</v>
      </c>
      <c r="FR101" s="3">
        <v>0</v>
      </c>
      <c r="FS101" s="3">
        <v>0</v>
      </c>
      <c r="FX101" s="3">
        <v>90</v>
      </c>
      <c r="FY101" s="3">
        <v>46</v>
      </c>
      <c r="GA101" s="3" t="s">
        <v>3</v>
      </c>
      <c r="GD101" s="3">
        <v>1</v>
      </c>
      <c r="GF101" s="3">
        <v>598797739</v>
      </c>
      <c r="GG101" s="3">
        <v>2</v>
      </c>
      <c r="GH101" s="3">
        <v>1</v>
      </c>
      <c r="GI101" s="3">
        <v>2</v>
      </c>
      <c r="GJ101" s="3">
        <v>0</v>
      </c>
      <c r="GK101" s="3">
        <v>0</v>
      </c>
      <c r="GL101" s="3">
        <f t="shared" si="110"/>
        <v>0</v>
      </c>
      <c r="GM101" s="3">
        <f t="shared" si="111"/>
        <v>15093.34</v>
      </c>
      <c r="GN101" s="3">
        <f t="shared" si="112"/>
        <v>0</v>
      </c>
      <c r="GO101" s="3">
        <f t="shared" si="113"/>
        <v>15093.34</v>
      </c>
      <c r="GP101" s="3">
        <f t="shared" si="114"/>
        <v>0</v>
      </c>
      <c r="GR101" s="3">
        <v>0</v>
      </c>
      <c r="GS101" s="3">
        <v>3</v>
      </c>
      <c r="GT101" s="3">
        <v>0</v>
      </c>
      <c r="GU101" s="3" t="s">
        <v>3</v>
      </c>
      <c r="GV101" s="3">
        <f t="shared" si="115"/>
        <v>0</v>
      </c>
      <c r="GW101" s="3">
        <v>1</v>
      </c>
      <c r="GX101" s="3">
        <f t="shared" si="116"/>
        <v>0</v>
      </c>
      <c r="HA101" s="3">
        <v>0</v>
      </c>
      <c r="HB101" s="3">
        <v>0</v>
      </c>
      <c r="HC101" s="3">
        <f t="shared" si="117"/>
        <v>0</v>
      </c>
      <c r="HE101" s="3" t="s">
        <v>3</v>
      </c>
      <c r="HF101" s="3" t="s">
        <v>3</v>
      </c>
      <c r="HM101" s="3" t="s">
        <v>35</v>
      </c>
      <c r="HN101" s="3" t="s">
        <v>3</v>
      </c>
      <c r="HO101" s="3" t="s">
        <v>3</v>
      </c>
      <c r="HP101" s="3" t="s">
        <v>3</v>
      </c>
      <c r="HQ101" s="3" t="s">
        <v>3</v>
      </c>
      <c r="HS101" s="3">
        <v>0</v>
      </c>
      <c r="IK101" s="3">
        <v>0</v>
      </c>
    </row>
    <row r="102" spans="1:255" x14ac:dyDescent="0.2">
      <c r="A102" s="2">
        <v>17</v>
      </c>
      <c r="B102" s="2">
        <v>1</v>
      </c>
      <c r="C102" s="2">
        <f>ROW(SmtRes!A282)</f>
        <v>282</v>
      </c>
      <c r="D102" s="2">
        <f>ROW(EtalonRes!A303)</f>
        <v>303</v>
      </c>
      <c r="E102" s="2" t="s">
        <v>3</v>
      </c>
      <c r="F102" s="2" t="s">
        <v>201</v>
      </c>
      <c r="G102" s="2" t="s">
        <v>202</v>
      </c>
      <c r="H102" s="2" t="s">
        <v>203</v>
      </c>
      <c r="I102" s="2">
        <f>ROUND((15+15)/1000,9)</f>
        <v>0.03</v>
      </c>
      <c r="J102" s="2">
        <v>0</v>
      </c>
      <c r="K102" s="2">
        <f>ROUND((15+15)/1000,9)</f>
        <v>0.03</v>
      </c>
      <c r="L102" s="2"/>
      <c r="M102" s="2"/>
      <c r="N102" s="2"/>
      <c r="O102" s="2">
        <f t="shared" si="95"/>
        <v>1057.58</v>
      </c>
      <c r="P102" s="2">
        <f t="shared" si="91"/>
        <v>276.95</v>
      </c>
      <c r="Q102" s="2">
        <f t="shared" si="120"/>
        <v>81.77</v>
      </c>
      <c r="R102" s="2">
        <f t="shared" si="121"/>
        <v>7.62</v>
      </c>
      <c r="S102" s="2">
        <f t="shared" si="96"/>
        <v>698.86</v>
      </c>
      <c r="T102" s="2">
        <f t="shared" si="97"/>
        <v>0</v>
      </c>
      <c r="U102" s="2">
        <f t="shared" si="98"/>
        <v>55.377299999999991</v>
      </c>
      <c r="V102" s="2">
        <f t="shared" si="99"/>
        <v>0</v>
      </c>
      <c r="W102" s="2">
        <f t="shared" si="100"/>
        <v>0</v>
      </c>
      <c r="X102" s="2">
        <f t="shared" si="122"/>
        <v>635.83000000000004</v>
      </c>
      <c r="Y102" s="2">
        <f t="shared" si="123"/>
        <v>324.98</v>
      </c>
      <c r="Z102" s="2"/>
      <c r="AA102" s="2">
        <v>-1</v>
      </c>
      <c r="AB102" s="2">
        <f t="shared" si="101"/>
        <v>33367.440000000002</v>
      </c>
      <c r="AC102" s="2">
        <f t="shared" si="124"/>
        <v>8980.32</v>
      </c>
      <c r="AD102" s="2">
        <f t="shared" si="125"/>
        <v>2554.52</v>
      </c>
      <c r="AE102" s="2">
        <f t="shared" si="126"/>
        <v>238.01</v>
      </c>
      <c r="AF102" s="2">
        <f t="shared" si="126"/>
        <v>21832.6</v>
      </c>
      <c r="AG102" s="2">
        <f t="shared" si="102"/>
        <v>0</v>
      </c>
      <c r="AH102" s="2">
        <f t="shared" si="127"/>
        <v>1730</v>
      </c>
      <c r="AI102" s="2">
        <f t="shared" si="127"/>
        <v>0</v>
      </c>
      <c r="AJ102" s="2">
        <f t="shared" si="103"/>
        <v>0</v>
      </c>
      <c r="AK102" s="2">
        <v>33367.440000000002</v>
      </c>
      <c r="AL102" s="2">
        <v>8980.32</v>
      </c>
      <c r="AM102" s="2">
        <v>2554.52</v>
      </c>
      <c r="AN102" s="2">
        <v>238.01</v>
      </c>
      <c r="AO102" s="2">
        <v>21832.6</v>
      </c>
      <c r="AP102" s="2">
        <v>0</v>
      </c>
      <c r="AQ102" s="2">
        <v>1730</v>
      </c>
      <c r="AR102" s="2">
        <v>0</v>
      </c>
      <c r="AS102" s="2">
        <v>0</v>
      </c>
      <c r="AT102" s="2">
        <v>90</v>
      </c>
      <c r="AU102" s="2">
        <v>46</v>
      </c>
      <c r="AV102" s="2">
        <v>1.0669999999999999</v>
      </c>
      <c r="AW102" s="2">
        <v>1.028</v>
      </c>
      <c r="AX102" s="2"/>
      <c r="AY102" s="2"/>
      <c r="AZ102" s="2">
        <v>1</v>
      </c>
      <c r="BA102" s="2">
        <v>1</v>
      </c>
      <c r="BB102" s="2">
        <v>1</v>
      </c>
      <c r="BC102" s="2">
        <v>1</v>
      </c>
      <c r="BD102" s="2" t="s">
        <v>3</v>
      </c>
      <c r="BE102" s="2" t="s">
        <v>3</v>
      </c>
      <c r="BF102" s="2" t="s">
        <v>3</v>
      </c>
      <c r="BG102" s="2" t="s">
        <v>3</v>
      </c>
      <c r="BH102" s="2">
        <v>0</v>
      </c>
      <c r="BI102" s="2">
        <v>2</v>
      </c>
      <c r="BJ102" s="2" t="s">
        <v>204</v>
      </c>
      <c r="BK102" s="2"/>
      <c r="BL102" s="2"/>
      <c r="BM102" s="2">
        <v>73</v>
      </c>
      <c r="BN102" s="2">
        <v>0</v>
      </c>
      <c r="BO102" s="2" t="s">
        <v>201</v>
      </c>
      <c r="BP102" s="2">
        <v>1</v>
      </c>
      <c r="BQ102" s="2">
        <v>40</v>
      </c>
      <c r="BR102" s="2">
        <v>0</v>
      </c>
      <c r="BS102" s="2">
        <v>1</v>
      </c>
      <c r="BT102" s="2">
        <v>1</v>
      </c>
      <c r="BU102" s="2">
        <v>1</v>
      </c>
      <c r="BV102" s="2">
        <v>1</v>
      </c>
      <c r="BW102" s="2">
        <v>1</v>
      </c>
      <c r="BX102" s="2">
        <v>1</v>
      </c>
      <c r="BY102" s="2" t="s">
        <v>3</v>
      </c>
      <c r="BZ102" s="2">
        <v>90</v>
      </c>
      <c r="CA102" s="2">
        <v>46</v>
      </c>
      <c r="CB102" s="2" t="s">
        <v>3</v>
      </c>
      <c r="CC102" s="2"/>
      <c r="CD102" s="2"/>
      <c r="CE102" s="2">
        <v>1566</v>
      </c>
      <c r="CF102" s="2">
        <v>0</v>
      </c>
      <c r="CG102" s="2">
        <v>0</v>
      </c>
      <c r="CH102" s="2"/>
      <c r="CI102" s="2"/>
      <c r="CJ102" s="2"/>
      <c r="CK102" s="2"/>
      <c r="CL102" s="2"/>
      <c r="CM102" s="2">
        <v>0</v>
      </c>
      <c r="CN102" s="2" t="s">
        <v>3</v>
      </c>
      <c r="CO102" s="2">
        <v>0</v>
      </c>
      <c r="CP102" s="2">
        <f t="shared" si="104"/>
        <v>1057.58</v>
      </c>
      <c r="CQ102" s="2">
        <f t="shared" si="94"/>
        <v>9231.77</v>
      </c>
      <c r="CR102" s="2">
        <f t="shared" si="128"/>
        <v>2725.67</v>
      </c>
      <c r="CS102" s="2">
        <f t="shared" si="129"/>
        <v>253.96</v>
      </c>
      <c r="CT102" s="2">
        <f t="shared" si="105"/>
        <v>23295.38</v>
      </c>
      <c r="CU102" s="2">
        <f t="shared" si="106"/>
        <v>0</v>
      </c>
      <c r="CV102" s="2">
        <f t="shared" si="107"/>
        <v>1845.9099999999999</v>
      </c>
      <c r="CW102" s="2">
        <f t="shared" si="108"/>
        <v>0</v>
      </c>
      <c r="CX102" s="2">
        <f t="shared" si="109"/>
        <v>0</v>
      </c>
      <c r="CY102" s="2">
        <f t="shared" si="130"/>
        <v>857.54</v>
      </c>
      <c r="CZ102" s="2">
        <f t="shared" si="131"/>
        <v>438.3</v>
      </c>
      <c r="DA102" s="2"/>
      <c r="DB102" s="2"/>
      <c r="DC102" s="2" t="s">
        <v>3</v>
      </c>
      <c r="DD102" s="2" t="s">
        <v>3</v>
      </c>
      <c r="DE102" s="2" t="s">
        <v>3</v>
      </c>
      <c r="DF102" s="2" t="s">
        <v>3</v>
      </c>
      <c r="DG102" s="2" t="s">
        <v>3</v>
      </c>
      <c r="DH102" s="2" t="s">
        <v>3</v>
      </c>
      <c r="DI102" s="2" t="s">
        <v>3</v>
      </c>
      <c r="DJ102" s="2" t="s">
        <v>3</v>
      </c>
      <c r="DK102" s="2" t="s">
        <v>3</v>
      </c>
      <c r="DL102" s="2" t="s">
        <v>3</v>
      </c>
      <c r="DM102" s="2" t="s">
        <v>3</v>
      </c>
      <c r="DN102" s="2">
        <v>0</v>
      </c>
      <c r="DO102" s="2">
        <v>0</v>
      </c>
      <c r="DP102" s="2">
        <v>1</v>
      </c>
      <c r="DQ102" s="2">
        <v>1</v>
      </c>
      <c r="DR102" s="2"/>
      <c r="DS102" s="2"/>
      <c r="DT102" s="2"/>
      <c r="DU102" s="2">
        <v>1013</v>
      </c>
      <c r="DV102" s="2" t="s">
        <v>203</v>
      </c>
      <c r="DW102" s="2" t="s">
        <v>205</v>
      </c>
      <c r="DX102" s="2">
        <v>1</v>
      </c>
      <c r="DY102" s="2"/>
      <c r="DZ102" s="2" t="s">
        <v>3</v>
      </c>
      <c r="EA102" s="2" t="s">
        <v>3</v>
      </c>
      <c r="EB102" s="2" t="s">
        <v>3</v>
      </c>
      <c r="EC102" s="2" t="s">
        <v>3</v>
      </c>
      <c r="ED102" s="2"/>
      <c r="EE102" s="2">
        <v>85133422</v>
      </c>
      <c r="EF102" s="2">
        <v>40</v>
      </c>
      <c r="EG102" s="2" t="s">
        <v>27</v>
      </c>
      <c r="EH102" s="2">
        <v>0</v>
      </c>
      <c r="EI102" s="2" t="s">
        <v>3</v>
      </c>
      <c r="EJ102" s="2">
        <v>2</v>
      </c>
      <c r="EK102" s="2">
        <v>73</v>
      </c>
      <c r="EL102" s="2" t="s">
        <v>62</v>
      </c>
      <c r="EM102" s="2" t="s">
        <v>63</v>
      </c>
      <c r="EN102" s="2"/>
      <c r="EO102" s="2" t="s">
        <v>3</v>
      </c>
      <c r="EP102" s="2"/>
      <c r="EQ102" s="2">
        <v>1024</v>
      </c>
      <c r="ER102" s="2">
        <v>33367.440000000002</v>
      </c>
      <c r="ES102" s="2">
        <v>8980.32</v>
      </c>
      <c r="ET102" s="2">
        <v>2554.52</v>
      </c>
      <c r="EU102" s="2">
        <v>238.01</v>
      </c>
      <c r="EV102" s="2">
        <v>21832.6</v>
      </c>
      <c r="EW102" s="2">
        <v>1730</v>
      </c>
      <c r="EX102" s="2">
        <v>0</v>
      </c>
      <c r="EY102" s="2">
        <v>0</v>
      </c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>
        <v>0</v>
      </c>
      <c r="FR102" s="2">
        <v>0</v>
      </c>
      <c r="FS102" s="2">
        <v>2</v>
      </c>
      <c r="FT102" s="2"/>
      <c r="FU102" s="2"/>
      <c r="FV102" s="2"/>
      <c r="FW102" s="2"/>
      <c r="FX102" s="2">
        <v>90</v>
      </c>
      <c r="FY102" s="2">
        <v>46</v>
      </c>
      <c r="FZ102" s="2"/>
      <c r="GA102" s="2" t="s">
        <v>3</v>
      </c>
      <c r="GB102" s="2"/>
      <c r="GC102" s="2"/>
      <c r="GD102" s="2">
        <v>1</v>
      </c>
      <c r="GE102" s="2"/>
      <c r="GF102" s="2">
        <v>-1824218315</v>
      </c>
      <c r="GG102" s="2">
        <v>2</v>
      </c>
      <c r="GH102" s="2">
        <v>1</v>
      </c>
      <c r="GI102" s="2">
        <v>2</v>
      </c>
      <c r="GJ102" s="2">
        <v>0</v>
      </c>
      <c r="GK102" s="2">
        <v>0</v>
      </c>
      <c r="GL102" s="2">
        <f t="shared" si="110"/>
        <v>0</v>
      </c>
      <c r="GM102" s="2">
        <f t="shared" si="111"/>
        <v>2018.39</v>
      </c>
      <c r="GN102" s="2">
        <f t="shared" si="112"/>
        <v>0</v>
      </c>
      <c r="GO102" s="2">
        <f t="shared" si="113"/>
        <v>2018.39</v>
      </c>
      <c r="GP102" s="2">
        <f t="shared" si="114"/>
        <v>0</v>
      </c>
      <c r="GQ102" s="2"/>
      <c r="GR102" s="2">
        <v>0</v>
      </c>
      <c r="GS102" s="2">
        <v>3</v>
      </c>
      <c r="GT102" s="2">
        <v>0</v>
      </c>
      <c r="GU102" s="2" t="s">
        <v>3</v>
      </c>
      <c r="GV102" s="2">
        <f t="shared" si="115"/>
        <v>0</v>
      </c>
      <c r="GW102" s="2">
        <v>1</v>
      </c>
      <c r="GX102" s="2">
        <f t="shared" si="116"/>
        <v>0</v>
      </c>
      <c r="GY102" s="2"/>
      <c r="GZ102" s="2"/>
      <c r="HA102" s="2">
        <v>0</v>
      </c>
      <c r="HB102" s="2">
        <v>0</v>
      </c>
      <c r="HC102" s="2">
        <f t="shared" si="117"/>
        <v>0</v>
      </c>
      <c r="HD102" s="2"/>
      <c r="HE102" s="2" t="s">
        <v>3</v>
      </c>
      <c r="HF102" s="2" t="s">
        <v>3</v>
      </c>
      <c r="HG102" s="2"/>
      <c r="HH102" s="2"/>
      <c r="HI102" s="2"/>
      <c r="HJ102" s="2"/>
      <c r="HK102" s="2"/>
      <c r="HL102" s="2"/>
      <c r="HM102" s="2" t="s">
        <v>3</v>
      </c>
      <c r="HN102" s="2" t="s">
        <v>3</v>
      </c>
      <c r="HO102" s="2" t="s">
        <v>3</v>
      </c>
      <c r="HP102" s="2" t="s">
        <v>3</v>
      </c>
      <c r="HQ102" s="2" t="s">
        <v>3</v>
      </c>
      <c r="HR102" s="2"/>
      <c r="HS102" s="2">
        <v>0</v>
      </c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>
        <v>0</v>
      </c>
      <c r="IL102" s="2"/>
      <c r="IM102" s="2"/>
      <c r="IN102" s="2"/>
      <c r="IO102" s="2"/>
      <c r="IP102" s="2"/>
      <c r="IQ102" s="2"/>
      <c r="IR102" s="2"/>
      <c r="IS102" s="2"/>
      <c r="IT102" s="2"/>
      <c r="IU102" s="2"/>
    </row>
    <row r="103" spans="1:255" x14ac:dyDescent="0.2">
      <c r="A103" s="3">
        <v>17</v>
      </c>
      <c r="B103" s="3">
        <v>1</v>
      </c>
      <c r="C103" s="3">
        <f>ROW(SmtRes!A298)</f>
        <v>298</v>
      </c>
      <c r="D103" s="3">
        <f>ROW(EtalonRes!A318)</f>
        <v>318</v>
      </c>
      <c r="E103" s="3" t="s">
        <v>3</v>
      </c>
      <c r="F103" s="3" t="s">
        <v>201</v>
      </c>
      <c r="G103" s="3" t="s">
        <v>202</v>
      </c>
      <c r="H103" s="3" t="s">
        <v>203</v>
      </c>
      <c r="I103" s="3">
        <f>ROUND((15+15)/1000,9)</f>
        <v>0.03</v>
      </c>
      <c r="J103" s="3">
        <v>0</v>
      </c>
      <c r="K103" s="3">
        <f>ROUND((15+15)/1000,9)</f>
        <v>0.03</v>
      </c>
      <c r="O103" s="3">
        <f t="shared" si="95"/>
        <v>41388.44</v>
      </c>
      <c r="P103" s="3">
        <f t="shared" si="91"/>
        <v>703.45</v>
      </c>
      <c r="Q103" s="3">
        <f t="shared" si="120"/>
        <v>1304.23</v>
      </c>
      <c r="R103" s="3">
        <f t="shared" si="121"/>
        <v>429.39</v>
      </c>
      <c r="S103" s="3">
        <f t="shared" si="96"/>
        <v>39380.76</v>
      </c>
      <c r="T103" s="3">
        <f t="shared" si="97"/>
        <v>0</v>
      </c>
      <c r="U103" s="3">
        <f t="shared" si="98"/>
        <v>55.377299999999991</v>
      </c>
      <c r="V103" s="3">
        <f t="shared" si="99"/>
        <v>0</v>
      </c>
      <c r="W103" s="3">
        <f t="shared" si="100"/>
        <v>0</v>
      </c>
      <c r="X103" s="3">
        <f t="shared" si="122"/>
        <v>35829.14</v>
      </c>
      <c r="Y103" s="3">
        <f t="shared" si="123"/>
        <v>18312.669999999998</v>
      </c>
      <c r="AA103" s="3">
        <v>-1</v>
      </c>
      <c r="AB103" s="3">
        <f t="shared" si="101"/>
        <v>33367.440000000002</v>
      </c>
      <c r="AC103" s="3">
        <f t="shared" si="124"/>
        <v>8980.32</v>
      </c>
      <c r="AD103" s="3">
        <f t="shared" si="125"/>
        <v>2554.52</v>
      </c>
      <c r="AE103" s="3">
        <f t="shared" si="126"/>
        <v>238.01</v>
      </c>
      <c r="AF103" s="3">
        <f t="shared" si="126"/>
        <v>21832.6</v>
      </c>
      <c r="AG103" s="3">
        <f t="shared" si="102"/>
        <v>0</v>
      </c>
      <c r="AH103" s="3">
        <f t="shared" si="127"/>
        <v>1730</v>
      </c>
      <c r="AI103" s="3">
        <f t="shared" si="127"/>
        <v>0</v>
      </c>
      <c r="AJ103" s="3">
        <f t="shared" si="103"/>
        <v>0</v>
      </c>
      <c r="AK103" s="3">
        <v>33367.440000000002</v>
      </c>
      <c r="AL103" s="3">
        <v>8980.32</v>
      </c>
      <c r="AM103" s="3">
        <v>2554.52</v>
      </c>
      <c r="AN103" s="3">
        <v>238.01</v>
      </c>
      <c r="AO103" s="3">
        <v>21832.6</v>
      </c>
      <c r="AP103" s="3">
        <v>0</v>
      </c>
      <c r="AQ103" s="3">
        <v>1730</v>
      </c>
      <c r="AR103" s="3">
        <v>0</v>
      </c>
      <c r="AS103" s="3">
        <v>0</v>
      </c>
      <c r="AT103" s="3">
        <v>90</v>
      </c>
      <c r="AU103" s="3">
        <v>46</v>
      </c>
      <c r="AV103" s="3">
        <v>1.0669999999999999</v>
      </c>
      <c r="AW103" s="3">
        <v>1.028</v>
      </c>
      <c r="AZ103" s="3">
        <v>1</v>
      </c>
      <c r="BA103" s="3">
        <v>56.35</v>
      </c>
      <c r="BB103" s="3">
        <v>15.95</v>
      </c>
      <c r="BC103" s="3">
        <v>2.54</v>
      </c>
      <c r="BD103" s="3" t="s">
        <v>3</v>
      </c>
      <c r="BE103" s="3" t="s">
        <v>3</v>
      </c>
      <c r="BF103" s="3" t="s">
        <v>3</v>
      </c>
      <c r="BG103" s="3" t="s">
        <v>3</v>
      </c>
      <c r="BH103" s="3">
        <v>0</v>
      </c>
      <c r="BI103" s="3">
        <v>2</v>
      </c>
      <c r="BJ103" s="3" t="s">
        <v>204</v>
      </c>
      <c r="BM103" s="3">
        <v>73</v>
      </c>
      <c r="BN103" s="3">
        <v>0</v>
      </c>
      <c r="BO103" s="3" t="s">
        <v>201</v>
      </c>
      <c r="BP103" s="3">
        <v>1</v>
      </c>
      <c r="BQ103" s="3">
        <v>40</v>
      </c>
      <c r="BR103" s="3">
        <v>0</v>
      </c>
      <c r="BS103" s="3">
        <v>56.35</v>
      </c>
      <c r="BT103" s="3">
        <v>1</v>
      </c>
      <c r="BU103" s="3">
        <v>1</v>
      </c>
      <c r="BV103" s="3">
        <v>1</v>
      </c>
      <c r="BW103" s="3">
        <v>1</v>
      </c>
      <c r="BX103" s="3">
        <v>1</v>
      </c>
      <c r="BY103" s="3" t="s">
        <v>3</v>
      </c>
      <c r="BZ103" s="3">
        <v>90</v>
      </c>
      <c r="CA103" s="3">
        <v>46</v>
      </c>
      <c r="CB103" s="3" t="s">
        <v>3</v>
      </c>
      <c r="CE103" s="3">
        <v>1566</v>
      </c>
      <c r="CF103" s="3">
        <v>0</v>
      </c>
      <c r="CG103" s="3">
        <v>0</v>
      </c>
      <c r="CM103" s="3">
        <v>0</v>
      </c>
      <c r="CN103" s="3" t="s">
        <v>3</v>
      </c>
      <c r="CO103" s="3">
        <v>0</v>
      </c>
      <c r="CP103" s="3">
        <f t="shared" si="104"/>
        <v>41388.44</v>
      </c>
      <c r="CQ103" s="3">
        <f t="shared" si="94"/>
        <v>23448.7</v>
      </c>
      <c r="CR103" s="3">
        <f t="shared" si="128"/>
        <v>43474.44</v>
      </c>
      <c r="CS103" s="3">
        <f t="shared" si="129"/>
        <v>14310.65</v>
      </c>
      <c r="CT103" s="3">
        <f t="shared" si="105"/>
        <v>1312694.6599999999</v>
      </c>
      <c r="CU103" s="3">
        <f t="shared" si="106"/>
        <v>0</v>
      </c>
      <c r="CV103" s="3">
        <f t="shared" si="107"/>
        <v>1845.9099999999999</v>
      </c>
      <c r="CW103" s="3">
        <f t="shared" si="108"/>
        <v>0</v>
      </c>
      <c r="CX103" s="3">
        <f t="shared" si="109"/>
        <v>0</v>
      </c>
      <c r="CY103" s="3">
        <f t="shared" si="130"/>
        <v>48322.27</v>
      </c>
      <c r="CZ103" s="3">
        <f t="shared" si="131"/>
        <v>24698.05</v>
      </c>
      <c r="DC103" s="3" t="s">
        <v>3</v>
      </c>
      <c r="DD103" s="3" t="s">
        <v>3</v>
      </c>
      <c r="DE103" s="3" t="s">
        <v>3</v>
      </c>
      <c r="DF103" s="3" t="s">
        <v>3</v>
      </c>
      <c r="DG103" s="3" t="s">
        <v>3</v>
      </c>
      <c r="DH103" s="3" t="s">
        <v>3</v>
      </c>
      <c r="DI103" s="3" t="s">
        <v>3</v>
      </c>
      <c r="DJ103" s="3" t="s">
        <v>3</v>
      </c>
      <c r="DK103" s="3" t="s">
        <v>3</v>
      </c>
      <c r="DL103" s="3" t="s">
        <v>3</v>
      </c>
      <c r="DM103" s="3" t="s">
        <v>3</v>
      </c>
      <c r="DN103" s="3">
        <v>0</v>
      </c>
      <c r="DO103" s="3">
        <v>0</v>
      </c>
      <c r="DP103" s="3">
        <v>1</v>
      </c>
      <c r="DQ103" s="3">
        <v>1</v>
      </c>
      <c r="DU103" s="3">
        <v>1013</v>
      </c>
      <c r="DV103" s="3" t="s">
        <v>203</v>
      </c>
      <c r="DW103" s="3" t="s">
        <v>205</v>
      </c>
      <c r="DX103" s="3">
        <v>1</v>
      </c>
      <c r="DZ103" s="3" t="s">
        <v>3</v>
      </c>
      <c r="EA103" s="3" t="s">
        <v>3</v>
      </c>
      <c r="EB103" s="3" t="s">
        <v>3</v>
      </c>
      <c r="EC103" s="3" t="s">
        <v>3</v>
      </c>
      <c r="EE103" s="3">
        <v>85133422</v>
      </c>
      <c r="EF103" s="3">
        <v>40</v>
      </c>
      <c r="EG103" s="3" t="s">
        <v>27</v>
      </c>
      <c r="EH103" s="3">
        <v>0</v>
      </c>
      <c r="EI103" s="3" t="s">
        <v>3</v>
      </c>
      <c r="EJ103" s="3">
        <v>2</v>
      </c>
      <c r="EK103" s="3">
        <v>73</v>
      </c>
      <c r="EL103" s="3" t="s">
        <v>62</v>
      </c>
      <c r="EM103" s="3" t="s">
        <v>63</v>
      </c>
      <c r="EO103" s="3" t="s">
        <v>3</v>
      </c>
      <c r="EQ103" s="3">
        <v>1024</v>
      </c>
      <c r="ER103" s="3">
        <v>33367.440000000002</v>
      </c>
      <c r="ES103" s="3">
        <v>8980.32</v>
      </c>
      <c r="ET103" s="3">
        <v>2554.52</v>
      </c>
      <c r="EU103" s="3">
        <v>238.01</v>
      </c>
      <c r="EV103" s="3">
        <v>21832.6</v>
      </c>
      <c r="EW103" s="3">
        <v>1730</v>
      </c>
      <c r="EX103" s="3">
        <v>0</v>
      </c>
      <c r="EY103" s="3">
        <v>0</v>
      </c>
      <c r="FQ103" s="3">
        <v>0</v>
      </c>
      <c r="FR103" s="3">
        <v>0</v>
      </c>
      <c r="FS103" s="3">
        <v>2</v>
      </c>
      <c r="FX103" s="3">
        <v>90</v>
      </c>
      <c r="FY103" s="3">
        <v>46</v>
      </c>
      <c r="GA103" s="3" t="s">
        <v>3</v>
      </c>
      <c r="GD103" s="3">
        <v>1</v>
      </c>
      <c r="GF103" s="3">
        <v>-1824218315</v>
      </c>
      <c r="GG103" s="3">
        <v>2</v>
      </c>
      <c r="GH103" s="3">
        <v>1</v>
      </c>
      <c r="GI103" s="3">
        <v>2</v>
      </c>
      <c r="GJ103" s="3">
        <v>0</v>
      </c>
      <c r="GK103" s="3">
        <v>0</v>
      </c>
      <c r="GL103" s="3">
        <f t="shared" si="110"/>
        <v>0</v>
      </c>
      <c r="GM103" s="3">
        <f t="shared" si="111"/>
        <v>95530.25</v>
      </c>
      <c r="GN103" s="3">
        <f t="shared" si="112"/>
        <v>0</v>
      </c>
      <c r="GO103" s="3">
        <f t="shared" si="113"/>
        <v>95530.25</v>
      </c>
      <c r="GP103" s="3">
        <f t="shared" si="114"/>
        <v>0</v>
      </c>
      <c r="GR103" s="3">
        <v>0</v>
      </c>
      <c r="GS103" s="3">
        <v>3</v>
      </c>
      <c r="GT103" s="3">
        <v>0</v>
      </c>
      <c r="GU103" s="3" t="s">
        <v>3</v>
      </c>
      <c r="GV103" s="3">
        <f t="shared" si="115"/>
        <v>0</v>
      </c>
      <c r="GW103" s="3">
        <v>1</v>
      </c>
      <c r="GX103" s="3">
        <f t="shared" si="116"/>
        <v>0</v>
      </c>
      <c r="HA103" s="3">
        <v>0</v>
      </c>
      <c r="HB103" s="3">
        <v>0</v>
      </c>
      <c r="HC103" s="3">
        <f t="shared" si="117"/>
        <v>0</v>
      </c>
      <c r="HE103" s="3" t="s">
        <v>3</v>
      </c>
      <c r="HF103" s="3" t="s">
        <v>3</v>
      </c>
      <c r="HM103" s="3" t="s">
        <v>3</v>
      </c>
      <c r="HN103" s="3" t="s">
        <v>3</v>
      </c>
      <c r="HO103" s="3" t="s">
        <v>3</v>
      </c>
      <c r="HP103" s="3" t="s">
        <v>3</v>
      </c>
      <c r="HQ103" s="3" t="s">
        <v>3</v>
      </c>
      <c r="HS103" s="3">
        <v>0</v>
      </c>
      <c r="IK103" s="3">
        <v>0</v>
      </c>
    </row>
    <row r="104" spans="1:255" x14ac:dyDescent="0.2">
      <c r="A104" s="2">
        <v>18</v>
      </c>
      <c r="B104" s="2">
        <v>1</v>
      </c>
      <c r="C104" s="2">
        <v>281</v>
      </c>
      <c r="D104" s="2"/>
      <c r="E104" s="2" t="s">
        <v>3</v>
      </c>
      <c r="F104" s="2" t="s">
        <v>206</v>
      </c>
      <c r="G104" s="2" t="s">
        <v>207</v>
      </c>
      <c r="H104" s="2" t="s">
        <v>179</v>
      </c>
      <c r="I104" s="2">
        <f>I102*J104</f>
        <v>15</v>
      </c>
      <c r="J104" s="2">
        <v>500</v>
      </c>
      <c r="K104" s="2">
        <v>500</v>
      </c>
      <c r="L104" s="2"/>
      <c r="M104" s="2"/>
      <c r="N104" s="2"/>
      <c r="O104" s="2">
        <f t="shared" si="95"/>
        <v>769.2</v>
      </c>
      <c r="P104" s="2">
        <f t="shared" si="91"/>
        <v>769.2</v>
      </c>
      <c r="Q104" s="2">
        <f t="shared" si="120"/>
        <v>0</v>
      </c>
      <c r="R104" s="2">
        <f t="shared" si="121"/>
        <v>0</v>
      </c>
      <c r="S104" s="2">
        <f t="shared" si="96"/>
        <v>0</v>
      </c>
      <c r="T104" s="2">
        <f t="shared" si="97"/>
        <v>0</v>
      </c>
      <c r="U104" s="2">
        <f t="shared" si="98"/>
        <v>0</v>
      </c>
      <c r="V104" s="2">
        <f t="shared" si="99"/>
        <v>0</v>
      </c>
      <c r="W104" s="2">
        <f t="shared" si="100"/>
        <v>0</v>
      </c>
      <c r="X104" s="2">
        <f t="shared" si="122"/>
        <v>0</v>
      </c>
      <c r="Y104" s="2">
        <f t="shared" si="123"/>
        <v>0</v>
      </c>
      <c r="Z104" s="2"/>
      <c r="AA104" s="2">
        <v>-1</v>
      </c>
      <c r="AB104" s="2">
        <f t="shared" si="101"/>
        <v>51.28</v>
      </c>
      <c r="AC104" s="2">
        <f t="shared" si="124"/>
        <v>51.28</v>
      </c>
      <c r="AD104" s="2">
        <f t="shared" si="125"/>
        <v>0</v>
      </c>
      <c r="AE104" s="2">
        <f t="shared" si="126"/>
        <v>0</v>
      </c>
      <c r="AF104" s="2">
        <f t="shared" si="126"/>
        <v>0</v>
      </c>
      <c r="AG104" s="2">
        <f t="shared" si="102"/>
        <v>0</v>
      </c>
      <c r="AH104" s="2">
        <f t="shared" si="127"/>
        <v>0</v>
      </c>
      <c r="AI104" s="2">
        <f t="shared" si="127"/>
        <v>0</v>
      </c>
      <c r="AJ104" s="2">
        <f t="shared" si="103"/>
        <v>0</v>
      </c>
      <c r="AK104" s="2">
        <v>51.28</v>
      </c>
      <c r="AL104" s="2">
        <v>51.28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90</v>
      </c>
      <c r="AU104" s="2">
        <v>46</v>
      </c>
      <c r="AV104" s="2">
        <v>1</v>
      </c>
      <c r="AW104" s="2">
        <v>1</v>
      </c>
      <c r="AX104" s="2"/>
      <c r="AY104" s="2"/>
      <c r="AZ104" s="2">
        <v>1</v>
      </c>
      <c r="BA104" s="2">
        <v>1</v>
      </c>
      <c r="BB104" s="2">
        <v>1</v>
      </c>
      <c r="BC104" s="2">
        <v>1</v>
      </c>
      <c r="BD104" s="2" t="s">
        <v>3</v>
      </c>
      <c r="BE104" s="2" t="s">
        <v>3</v>
      </c>
      <c r="BF104" s="2" t="s">
        <v>3</v>
      </c>
      <c r="BG104" s="2" t="s">
        <v>3</v>
      </c>
      <c r="BH104" s="2">
        <v>3</v>
      </c>
      <c r="BI104" s="2">
        <v>2</v>
      </c>
      <c r="BJ104" s="2" t="s">
        <v>208</v>
      </c>
      <c r="BK104" s="2"/>
      <c r="BL104" s="2"/>
      <c r="BM104" s="2">
        <v>73</v>
      </c>
      <c r="BN104" s="2">
        <v>0</v>
      </c>
      <c r="BO104" s="2" t="s">
        <v>3</v>
      </c>
      <c r="BP104" s="2">
        <v>0</v>
      </c>
      <c r="BQ104" s="2">
        <v>40</v>
      </c>
      <c r="BR104" s="2">
        <v>0</v>
      </c>
      <c r="BS104" s="2">
        <v>1</v>
      </c>
      <c r="BT104" s="2">
        <v>1</v>
      </c>
      <c r="BU104" s="2">
        <v>1</v>
      </c>
      <c r="BV104" s="2">
        <v>1</v>
      </c>
      <c r="BW104" s="2">
        <v>1</v>
      </c>
      <c r="BX104" s="2">
        <v>1</v>
      </c>
      <c r="BY104" s="2" t="s">
        <v>3</v>
      </c>
      <c r="BZ104" s="2">
        <v>90</v>
      </c>
      <c r="CA104" s="2">
        <v>46</v>
      </c>
      <c r="CB104" s="2" t="s">
        <v>3</v>
      </c>
      <c r="CC104" s="2"/>
      <c r="CD104" s="2"/>
      <c r="CE104" s="2">
        <v>1566</v>
      </c>
      <c r="CF104" s="2">
        <v>0</v>
      </c>
      <c r="CG104" s="2">
        <v>0</v>
      </c>
      <c r="CH104" s="2"/>
      <c r="CI104" s="2"/>
      <c r="CJ104" s="2"/>
      <c r="CK104" s="2"/>
      <c r="CL104" s="2"/>
      <c r="CM104" s="2">
        <v>0</v>
      </c>
      <c r="CN104" s="2" t="s">
        <v>3</v>
      </c>
      <c r="CO104" s="2">
        <v>0</v>
      </c>
      <c r="CP104" s="2">
        <f t="shared" si="104"/>
        <v>769.2</v>
      </c>
      <c r="CQ104" s="2">
        <f t="shared" si="94"/>
        <v>51.28</v>
      </c>
      <c r="CR104" s="2">
        <f t="shared" si="128"/>
        <v>0</v>
      </c>
      <c r="CS104" s="2">
        <f t="shared" si="129"/>
        <v>0</v>
      </c>
      <c r="CT104" s="2">
        <f t="shared" si="105"/>
        <v>0</v>
      </c>
      <c r="CU104" s="2">
        <f t="shared" si="106"/>
        <v>0</v>
      </c>
      <c r="CV104" s="2">
        <f t="shared" si="107"/>
        <v>0</v>
      </c>
      <c r="CW104" s="2">
        <f t="shared" si="108"/>
        <v>0</v>
      </c>
      <c r="CX104" s="2">
        <f t="shared" si="109"/>
        <v>0</v>
      </c>
      <c r="CY104" s="2">
        <f t="shared" si="130"/>
        <v>0</v>
      </c>
      <c r="CZ104" s="2">
        <f t="shared" si="131"/>
        <v>0</v>
      </c>
      <c r="DA104" s="2"/>
      <c r="DB104" s="2"/>
      <c r="DC104" s="2" t="s">
        <v>3</v>
      </c>
      <c r="DD104" s="2" t="s">
        <v>3</v>
      </c>
      <c r="DE104" s="2" t="s">
        <v>3</v>
      </c>
      <c r="DF104" s="2" t="s">
        <v>3</v>
      </c>
      <c r="DG104" s="2" t="s">
        <v>3</v>
      </c>
      <c r="DH104" s="2" t="s">
        <v>3</v>
      </c>
      <c r="DI104" s="2" t="s">
        <v>3</v>
      </c>
      <c r="DJ104" s="2" t="s">
        <v>3</v>
      </c>
      <c r="DK104" s="2" t="s">
        <v>3</v>
      </c>
      <c r="DL104" s="2" t="s">
        <v>3</v>
      </c>
      <c r="DM104" s="2" t="s">
        <v>3</v>
      </c>
      <c r="DN104" s="2">
        <v>0</v>
      </c>
      <c r="DO104" s="2">
        <v>0</v>
      </c>
      <c r="DP104" s="2">
        <v>1</v>
      </c>
      <c r="DQ104" s="2">
        <v>1</v>
      </c>
      <c r="DR104" s="2"/>
      <c r="DS104" s="2"/>
      <c r="DT104" s="2"/>
      <c r="DU104" s="2">
        <v>1003</v>
      </c>
      <c r="DV104" s="2" t="s">
        <v>179</v>
      </c>
      <c r="DW104" s="2" t="s">
        <v>179</v>
      </c>
      <c r="DX104" s="2">
        <v>1</v>
      </c>
      <c r="DY104" s="2"/>
      <c r="DZ104" s="2" t="s">
        <v>3</v>
      </c>
      <c r="EA104" s="2" t="s">
        <v>3</v>
      </c>
      <c r="EB104" s="2" t="s">
        <v>3</v>
      </c>
      <c r="EC104" s="2" t="s">
        <v>3</v>
      </c>
      <c r="ED104" s="2"/>
      <c r="EE104" s="2">
        <v>85133422</v>
      </c>
      <c r="EF104" s="2">
        <v>40</v>
      </c>
      <c r="EG104" s="2" t="s">
        <v>27</v>
      </c>
      <c r="EH104" s="2">
        <v>0</v>
      </c>
      <c r="EI104" s="2" t="s">
        <v>3</v>
      </c>
      <c r="EJ104" s="2">
        <v>2</v>
      </c>
      <c r="EK104" s="2">
        <v>73</v>
      </c>
      <c r="EL104" s="2" t="s">
        <v>62</v>
      </c>
      <c r="EM104" s="2" t="s">
        <v>63</v>
      </c>
      <c r="EN104" s="2"/>
      <c r="EO104" s="2" t="s">
        <v>3</v>
      </c>
      <c r="EP104" s="2"/>
      <c r="EQ104" s="2">
        <v>1024</v>
      </c>
      <c r="ER104" s="2">
        <v>51.28</v>
      </c>
      <c r="ES104" s="2">
        <v>51.28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>
        <v>0</v>
      </c>
      <c r="FR104" s="2">
        <v>0</v>
      </c>
      <c r="FS104" s="2">
        <v>0</v>
      </c>
      <c r="FT104" s="2"/>
      <c r="FU104" s="2"/>
      <c r="FV104" s="2"/>
      <c r="FW104" s="2"/>
      <c r="FX104" s="2">
        <v>90</v>
      </c>
      <c r="FY104" s="2">
        <v>46</v>
      </c>
      <c r="FZ104" s="2"/>
      <c r="GA104" s="2" t="s">
        <v>3</v>
      </c>
      <c r="GB104" s="2"/>
      <c r="GC104" s="2"/>
      <c r="GD104" s="2">
        <v>1</v>
      </c>
      <c r="GE104" s="2"/>
      <c r="GF104" s="2">
        <v>-173671470</v>
      </c>
      <c r="GG104" s="2">
        <v>2</v>
      </c>
      <c r="GH104" s="2">
        <v>1</v>
      </c>
      <c r="GI104" s="2">
        <v>-2</v>
      </c>
      <c r="GJ104" s="2">
        <v>0</v>
      </c>
      <c r="GK104" s="2">
        <v>0</v>
      </c>
      <c r="GL104" s="2">
        <f t="shared" si="110"/>
        <v>0</v>
      </c>
      <c r="GM104" s="2">
        <f t="shared" si="111"/>
        <v>769.2</v>
      </c>
      <c r="GN104" s="2">
        <f t="shared" si="112"/>
        <v>0</v>
      </c>
      <c r="GO104" s="2">
        <f t="shared" si="113"/>
        <v>769.2</v>
      </c>
      <c r="GP104" s="2">
        <f t="shared" si="114"/>
        <v>0</v>
      </c>
      <c r="GQ104" s="2"/>
      <c r="GR104" s="2">
        <v>0</v>
      </c>
      <c r="GS104" s="2">
        <v>3</v>
      </c>
      <c r="GT104" s="2">
        <v>0</v>
      </c>
      <c r="GU104" s="2" t="s">
        <v>3</v>
      </c>
      <c r="GV104" s="2">
        <f t="shared" si="115"/>
        <v>0</v>
      </c>
      <c r="GW104" s="2">
        <v>1</v>
      </c>
      <c r="GX104" s="2">
        <f t="shared" si="116"/>
        <v>0</v>
      </c>
      <c r="GY104" s="2"/>
      <c r="GZ104" s="2"/>
      <c r="HA104" s="2">
        <v>0</v>
      </c>
      <c r="HB104" s="2">
        <v>0</v>
      </c>
      <c r="HC104" s="2">
        <f t="shared" si="117"/>
        <v>0</v>
      </c>
      <c r="HD104" s="2"/>
      <c r="HE104" s="2" t="s">
        <v>3</v>
      </c>
      <c r="HF104" s="2" t="s">
        <v>3</v>
      </c>
      <c r="HG104" s="2"/>
      <c r="HH104" s="2"/>
      <c r="HI104" s="2"/>
      <c r="HJ104" s="2"/>
      <c r="HK104" s="2"/>
      <c r="HL104" s="2"/>
      <c r="HM104" s="2" t="s">
        <v>3</v>
      </c>
      <c r="HN104" s="2" t="s">
        <v>3</v>
      </c>
      <c r="HO104" s="2" t="s">
        <v>3</v>
      </c>
      <c r="HP104" s="2" t="s">
        <v>3</v>
      </c>
      <c r="HQ104" s="2" t="s">
        <v>3</v>
      </c>
      <c r="HR104" s="2"/>
      <c r="HS104" s="2">
        <v>0</v>
      </c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>
        <v>0</v>
      </c>
      <c r="IL104" s="2"/>
      <c r="IM104" s="2"/>
      <c r="IN104" s="2"/>
      <c r="IO104" s="2"/>
      <c r="IP104" s="2"/>
      <c r="IQ104" s="2"/>
      <c r="IR104" s="2"/>
      <c r="IS104" s="2"/>
      <c r="IT104" s="2"/>
      <c r="IU104" s="2"/>
    </row>
    <row r="105" spans="1:255" x14ac:dyDescent="0.2">
      <c r="A105" s="3">
        <v>18</v>
      </c>
      <c r="B105" s="3">
        <v>1</v>
      </c>
      <c r="C105" s="3">
        <v>297</v>
      </c>
      <c r="E105" s="3" t="s">
        <v>3</v>
      </c>
      <c r="F105" s="3" t="s">
        <v>206</v>
      </c>
      <c r="G105" s="3" t="s">
        <v>207</v>
      </c>
      <c r="H105" s="3" t="s">
        <v>179</v>
      </c>
      <c r="I105" s="3">
        <f>I103*J105</f>
        <v>15</v>
      </c>
      <c r="J105" s="3">
        <v>500</v>
      </c>
      <c r="K105" s="3">
        <v>500</v>
      </c>
      <c r="O105" s="3">
        <f t="shared" si="95"/>
        <v>15937.82</v>
      </c>
      <c r="P105" s="3">
        <f t="shared" si="91"/>
        <v>15937.82</v>
      </c>
      <c r="Q105" s="3">
        <f t="shared" si="120"/>
        <v>0</v>
      </c>
      <c r="R105" s="3">
        <f t="shared" si="121"/>
        <v>0</v>
      </c>
      <c r="S105" s="3">
        <f t="shared" si="96"/>
        <v>0</v>
      </c>
      <c r="T105" s="3">
        <f t="shared" si="97"/>
        <v>0</v>
      </c>
      <c r="U105" s="3">
        <f t="shared" si="98"/>
        <v>0</v>
      </c>
      <c r="V105" s="3">
        <f t="shared" si="99"/>
        <v>0</v>
      </c>
      <c r="W105" s="3">
        <f t="shared" si="100"/>
        <v>0</v>
      </c>
      <c r="X105" s="3">
        <f t="shared" si="122"/>
        <v>0</v>
      </c>
      <c r="Y105" s="3">
        <f t="shared" si="123"/>
        <v>0</v>
      </c>
      <c r="AA105" s="3">
        <v>-1</v>
      </c>
      <c r="AB105" s="3">
        <f t="shared" si="101"/>
        <v>51.28</v>
      </c>
      <c r="AC105" s="3">
        <f t="shared" si="124"/>
        <v>51.28</v>
      </c>
      <c r="AD105" s="3">
        <f t="shared" si="125"/>
        <v>0</v>
      </c>
      <c r="AE105" s="3">
        <f t="shared" si="126"/>
        <v>0</v>
      </c>
      <c r="AF105" s="3">
        <f t="shared" si="126"/>
        <v>0</v>
      </c>
      <c r="AG105" s="3">
        <f t="shared" si="102"/>
        <v>0</v>
      </c>
      <c r="AH105" s="3">
        <f t="shared" si="127"/>
        <v>0</v>
      </c>
      <c r="AI105" s="3">
        <f t="shared" si="127"/>
        <v>0</v>
      </c>
      <c r="AJ105" s="3">
        <f t="shared" si="103"/>
        <v>0</v>
      </c>
      <c r="AK105" s="3">
        <v>51.28</v>
      </c>
      <c r="AL105" s="3">
        <v>51.28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90</v>
      </c>
      <c r="AU105" s="3">
        <v>46</v>
      </c>
      <c r="AV105" s="3">
        <v>1</v>
      </c>
      <c r="AW105" s="3">
        <v>1</v>
      </c>
      <c r="AZ105" s="3">
        <v>1</v>
      </c>
      <c r="BA105" s="3">
        <v>1</v>
      </c>
      <c r="BB105" s="3">
        <v>1</v>
      </c>
      <c r="BC105" s="3">
        <v>20.72</v>
      </c>
      <c r="BD105" s="3" t="s">
        <v>3</v>
      </c>
      <c r="BE105" s="3" t="s">
        <v>3</v>
      </c>
      <c r="BF105" s="3" t="s">
        <v>3</v>
      </c>
      <c r="BG105" s="3" t="s">
        <v>3</v>
      </c>
      <c r="BH105" s="3">
        <v>3</v>
      </c>
      <c r="BI105" s="3">
        <v>2</v>
      </c>
      <c r="BJ105" s="3" t="s">
        <v>208</v>
      </c>
      <c r="BM105" s="3">
        <v>73</v>
      </c>
      <c r="BN105" s="3">
        <v>0</v>
      </c>
      <c r="BO105" s="3" t="s">
        <v>206</v>
      </c>
      <c r="BP105" s="3">
        <v>1</v>
      </c>
      <c r="BQ105" s="3">
        <v>40</v>
      </c>
      <c r="BR105" s="3">
        <v>0</v>
      </c>
      <c r="BS105" s="3">
        <v>1</v>
      </c>
      <c r="BT105" s="3">
        <v>1</v>
      </c>
      <c r="BU105" s="3">
        <v>1</v>
      </c>
      <c r="BV105" s="3">
        <v>1</v>
      </c>
      <c r="BW105" s="3">
        <v>1</v>
      </c>
      <c r="BX105" s="3">
        <v>1</v>
      </c>
      <c r="BY105" s="3" t="s">
        <v>3</v>
      </c>
      <c r="BZ105" s="3">
        <v>90</v>
      </c>
      <c r="CA105" s="3">
        <v>46</v>
      </c>
      <c r="CB105" s="3" t="s">
        <v>3</v>
      </c>
      <c r="CE105" s="3">
        <v>1566</v>
      </c>
      <c r="CF105" s="3">
        <v>0</v>
      </c>
      <c r="CG105" s="3">
        <v>0</v>
      </c>
      <c r="CM105" s="3">
        <v>0</v>
      </c>
      <c r="CN105" s="3" t="s">
        <v>3</v>
      </c>
      <c r="CO105" s="3">
        <v>0</v>
      </c>
      <c r="CP105" s="3">
        <f t="shared" si="104"/>
        <v>15937.82</v>
      </c>
      <c r="CQ105" s="3">
        <f t="shared" si="94"/>
        <v>1062.52</v>
      </c>
      <c r="CR105" s="3">
        <f t="shared" si="128"/>
        <v>0</v>
      </c>
      <c r="CS105" s="3">
        <f t="shared" si="129"/>
        <v>0</v>
      </c>
      <c r="CT105" s="3">
        <f t="shared" si="105"/>
        <v>0</v>
      </c>
      <c r="CU105" s="3">
        <f t="shared" si="106"/>
        <v>0</v>
      </c>
      <c r="CV105" s="3">
        <f t="shared" si="107"/>
        <v>0</v>
      </c>
      <c r="CW105" s="3">
        <f t="shared" si="108"/>
        <v>0</v>
      </c>
      <c r="CX105" s="3">
        <f t="shared" si="109"/>
        <v>0</v>
      </c>
      <c r="CY105" s="3">
        <f t="shared" si="130"/>
        <v>0</v>
      </c>
      <c r="CZ105" s="3">
        <f t="shared" si="131"/>
        <v>0</v>
      </c>
      <c r="DC105" s="3" t="s">
        <v>3</v>
      </c>
      <c r="DD105" s="3" t="s">
        <v>3</v>
      </c>
      <c r="DE105" s="3" t="s">
        <v>3</v>
      </c>
      <c r="DF105" s="3" t="s">
        <v>3</v>
      </c>
      <c r="DG105" s="3" t="s">
        <v>3</v>
      </c>
      <c r="DH105" s="3" t="s">
        <v>3</v>
      </c>
      <c r="DI105" s="3" t="s">
        <v>3</v>
      </c>
      <c r="DJ105" s="3" t="s">
        <v>3</v>
      </c>
      <c r="DK105" s="3" t="s">
        <v>3</v>
      </c>
      <c r="DL105" s="3" t="s">
        <v>3</v>
      </c>
      <c r="DM105" s="3" t="s">
        <v>3</v>
      </c>
      <c r="DN105" s="3">
        <v>0</v>
      </c>
      <c r="DO105" s="3">
        <v>0</v>
      </c>
      <c r="DP105" s="3">
        <v>1</v>
      </c>
      <c r="DQ105" s="3">
        <v>1</v>
      </c>
      <c r="DU105" s="3">
        <v>1003</v>
      </c>
      <c r="DV105" s="3" t="s">
        <v>179</v>
      </c>
      <c r="DW105" s="3" t="s">
        <v>179</v>
      </c>
      <c r="DX105" s="3">
        <v>1</v>
      </c>
      <c r="DZ105" s="3" t="s">
        <v>3</v>
      </c>
      <c r="EA105" s="3" t="s">
        <v>3</v>
      </c>
      <c r="EB105" s="3" t="s">
        <v>3</v>
      </c>
      <c r="EC105" s="3" t="s">
        <v>3</v>
      </c>
      <c r="EE105" s="3">
        <v>85133422</v>
      </c>
      <c r="EF105" s="3">
        <v>40</v>
      </c>
      <c r="EG105" s="3" t="s">
        <v>27</v>
      </c>
      <c r="EH105" s="3">
        <v>0</v>
      </c>
      <c r="EI105" s="3" t="s">
        <v>3</v>
      </c>
      <c r="EJ105" s="3">
        <v>2</v>
      </c>
      <c r="EK105" s="3">
        <v>73</v>
      </c>
      <c r="EL105" s="3" t="s">
        <v>62</v>
      </c>
      <c r="EM105" s="3" t="s">
        <v>63</v>
      </c>
      <c r="EO105" s="3" t="s">
        <v>3</v>
      </c>
      <c r="EQ105" s="3">
        <v>1024</v>
      </c>
      <c r="ER105" s="3">
        <v>51.28</v>
      </c>
      <c r="ES105" s="3">
        <v>51.28</v>
      </c>
      <c r="ET105" s="3">
        <v>0</v>
      </c>
      <c r="EU105" s="3">
        <v>0</v>
      </c>
      <c r="EV105" s="3">
        <v>0</v>
      </c>
      <c r="EW105" s="3">
        <v>0</v>
      </c>
      <c r="EX105" s="3">
        <v>0</v>
      </c>
      <c r="FQ105" s="3">
        <v>0</v>
      </c>
      <c r="FR105" s="3">
        <v>0</v>
      </c>
      <c r="FS105" s="3">
        <v>0</v>
      </c>
      <c r="FX105" s="3">
        <v>90</v>
      </c>
      <c r="FY105" s="3">
        <v>46</v>
      </c>
      <c r="GA105" s="3" t="s">
        <v>3</v>
      </c>
      <c r="GD105" s="3">
        <v>1</v>
      </c>
      <c r="GF105" s="3">
        <v>-173671470</v>
      </c>
      <c r="GG105" s="3">
        <v>2</v>
      </c>
      <c r="GH105" s="3">
        <v>1</v>
      </c>
      <c r="GI105" s="3">
        <v>2</v>
      </c>
      <c r="GJ105" s="3">
        <v>0</v>
      </c>
      <c r="GK105" s="3">
        <v>0</v>
      </c>
      <c r="GL105" s="3">
        <f t="shared" si="110"/>
        <v>0</v>
      </c>
      <c r="GM105" s="3">
        <f t="shared" si="111"/>
        <v>15937.82</v>
      </c>
      <c r="GN105" s="3">
        <f t="shared" si="112"/>
        <v>0</v>
      </c>
      <c r="GO105" s="3">
        <f t="shared" si="113"/>
        <v>15937.82</v>
      </c>
      <c r="GP105" s="3">
        <f t="shared" si="114"/>
        <v>0</v>
      </c>
      <c r="GR105" s="3">
        <v>0</v>
      </c>
      <c r="GS105" s="3">
        <v>3</v>
      </c>
      <c r="GT105" s="3">
        <v>0</v>
      </c>
      <c r="GU105" s="3" t="s">
        <v>3</v>
      </c>
      <c r="GV105" s="3">
        <f t="shared" si="115"/>
        <v>0</v>
      </c>
      <c r="GW105" s="3">
        <v>1</v>
      </c>
      <c r="GX105" s="3">
        <f t="shared" si="116"/>
        <v>0</v>
      </c>
      <c r="HA105" s="3">
        <v>0</v>
      </c>
      <c r="HB105" s="3">
        <v>0</v>
      </c>
      <c r="HC105" s="3">
        <f t="shared" si="117"/>
        <v>0</v>
      </c>
      <c r="HE105" s="3" t="s">
        <v>3</v>
      </c>
      <c r="HF105" s="3" t="s">
        <v>3</v>
      </c>
      <c r="HM105" s="3" t="s">
        <v>3</v>
      </c>
      <c r="HN105" s="3" t="s">
        <v>3</v>
      </c>
      <c r="HO105" s="3" t="s">
        <v>3</v>
      </c>
      <c r="HP105" s="3" t="s">
        <v>3</v>
      </c>
      <c r="HQ105" s="3" t="s">
        <v>3</v>
      </c>
      <c r="HS105" s="3">
        <v>0</v>
      </c>
      <c r="IK105" s="3">
        <v>0</v>
      </c>
    </row>
    <row r="106" spans="1:255" x14ac:dyDescent="0.2">
      <c r="A106" s="2">
        <v>18</v>
      </c>
      <c r="B106" s="2">
        <v>1</v>
      </c>
      <c r="C106" s="2">
        <v>280</v>
      </c>
      <c r="D106" s="2"/>
      <c r="E106" s="2" t="s">
        <v>3</v>
      </c>
      <c r="F106" s="2" t="s">
        <v>209</v>
      </c>
      <c r="G106" s="2" t="s">
        <v>210</v>
      </c>
      <c r="H106" s="2" t="s">
        <v>179</v>
      </c>
      <c r="I106" s="2">
        <f>I102*J106</f>
        <v>15</v>
      </c>
      <c r="J106" s="2">
        <v>500</v>
      </c>
      <c r="K106" s="2">
        <v>500</v>
      </c>
      <c r="L106" s="2"/>
      <c r="M106" s="2"/>
      <c r="N106" s="2"/>
      <c r="O106" s="2">
        <f t="shared" si="95"/>
        <v>623.54999999999995</v>
      </c>
      <c r="P106" s="2">
        <f t="shared" si="91"/>
        <v>623.54999999999995</v>
      </c>
      <c r="Q106" s="2">
        <f t="shared" si="120"/>
        <v>0</v>
      </c>
      <c r="R106" s="2">
        <f t="shared" si="121"/>
        <v>0</v>
      </c>
      <c r="S106" s="2">
        <f t="shared" si="96"/>
        <v>0</v>
      </c>
      <c r="T106" s="2">
        <f t="shared" si="97"/>
        <v>0</v>
      </c>
      <c r="U106" s="2">
        <f t="shared" si="98"/>
        <v>0</v>
      </c>
      <c r="V106" s="2">
        <f t="shared" si="99"/>
        <v>0</v>
      </c>
      <c r="W106" s="2">
        <f t="shared" si="100"/>
        <v>0</v>
      </c>
      <c r="X106" s="2">
        <f t="shared" si="122"/>
        <v>0</v>
      </c>
      <c r="Y106" s="2">
        <f t="shared" si="123"/>
        <v>0</v>
      </c>
      <c r="Z106" s="2"/>
      <c r="AA106" s="2">
        <v>-1</v>
      </c>
      <c r="AB106" s="2">
        <f t="shared" si="101"/>
        <v>41.57</v>
      </c>
      <c r="AC106" s="2">
        <f t="shared" si="124"/>
        <v>41.57</v>
      </c>
      <c r="AD106" s="2">
        <f t="shared" si="125"/>
        <v>0</v>
      </c>
      <c r="AE106" s="2">
        <f t="shared" si="126"/>
        <v>0</v>
      </c>
      <c r="AF106" s="2">
        <f t="shared" si="126"/>
        <v>0</v>
      </c>
      <c r="AG106" s="2">
        <f t="shared" si="102"/>
        <v>0</v>
      </c>
      <c r="AH106" s="2">
        <f t="shared" si="127"/>
        <v>0</v>
      </c>
      <c r="AI106" s="2">
        <f t="shared" si="127"/>
        <v>0</v>
      </c>
      <c r="AJ106" s="2">
        <f t="shared" si="103"/>
        <v>0</v>
      </c>
      <c r="AK106" s="2">
        <v>41.57</v>
      </c>
      <c r="AL106" s="2">
        <v>41.57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90</v>
      </c>
      <c r="AU106" s="2">
        <v>46</v>
      </c>
      <c r="AV106" s="2">
        <v>1</v>
      </c>
      <c r="AW106" s="2">
        <v>1</v>
      </c>
      <c r="AX106" s="2"/>
      <c r="AY106" s="2"/>
      <c r="AZ106" s="2">
        <v>1</v>
      </c>
      <c r="BA106" s="2">
        <v>1</v>
      </c>
      <c r="BB106" s="2">
        <v>1</v>
      </c>
      <c r="BC106" s="2">
        <v>1</v>
      </c>
      <c r="BD106" s="2" t="s">
        <v>3</v>
      </c>
      <c r="BE106" s="2" t="s">
        <v>3</v>
      </c>
      <c r="BF106" s="2" t="s">
        <v>3</v>
      </c>
      <c r="BG106" s="2" t="s">
        <v>3</v>
      </c>
      <c r="BH106" s="2">
        <v>3</v>
      </c>
      <c r="BI106" s="2">
        <v>2</v>
      </c>
      <c r="BJ106" s="2" t="s">
        <v>211</v>
      </c>
      <c r="BK106" s="2"/>
      <c r="BL106" s="2"/>
      <c r="BM106" s="2">
        <v>73</v>
      </c>
      <c r="BN106" s="2">
        <v>0</v>
      </c>
      <c r="BO106" s="2" t="s">
        <v>3</v>
      </c>
      <c r="BP106" s="2">
        <v>0</v>
      </c>
      <c r="BQ106" s="2">
        <v>40</v>
      </c>
      <c r="BR106" s="2">
        <v>0</v>
      </c>
      <c r="BS106" s="2">
        <v>1</v>
      </c>
      <c r="BT106" s="2">
        <v>1</v>
      </c>
      <c r="BU106" s="2">
        <v>1</v>
      </c>
      <c r="BV106" s="2">
        <v>1</v>
      </c>
      <c r="BW106" s="2">
        <v>1</v>
      </c>
      <c r="BX106" s="2">
        <v>1</v>
      </c>
      <c r="BY106" s="2" t="s">
        <v>3</v>
      </c>
      <c r="BZ106" s="2">
        <v>90</v>
      </c>
      <c r="CA106" s="2">
        <v>46</v>
      </c>
      <c r="CB106" s="2" t="s">
        <v>3</v>
      </c>
      <c r="CC106" s="2"/>
      <c r="CD106" s="2"/>
      <c r="CE106" s="2">
        <v>1566</v>
      </c>
      <c r="CF106" s="2">
        <v>0</v>
      </c>
      <c r="CG106" s="2">
        <v>0</v>
      </c>
      <c r="CH106" s="2"/>
      <c r="CI106" s="2"/>
      <c r="CJ106" s="2"/>
      <c r="CK106" s="2"/>
      <c r="CL106" s="2"/>
      <c r="CM106" s="2">
        <v>0</v>
      </c>
      <c r="CN106" s="2" t="s">
        <v>3</v>
      </c>
      <c r="CO106" s="2">
        <v>0</v>
      </c>
      <c r="CP106" s="2">
        <f t="shared" si="104"/>
        <v>623.54999999999995</v>
      </c>
      <c r="CQ106" s="2">
        <f t="shared" si="94"/>
        <v>41.57</v>
      </c>
      <c r="CR106" s="2">
        <f t="shared" si="128"/>
        <v>0</v>
      </c>
      <c r="CS106" s="2">
        <f t="shared" si="129"/>
        <v>0</v>
      </c>
      <c r="CT106" s="2">
        <f t="shared" si="105"/>
        <v>0</v>
      </c>
      <c r="CU106" s="2">
        <f t="shared" si="106"/>
        <v>0</v>
      </c>
      <c r="CV106" s="2">
        <f t="shared" si="107"/>
        <v>0</v>
      </c>
      <c r="CW106" s="2">
        <f t="shared" si="108"/>
        <v>0</v>
      </c>
      <c r="CX106" s="2">
        <f t="shared" si="109"/>
        <v>0</v>
      </c>
      <c r="CY106" s="2">
        <f t="shared" si="130"/>
        <v>0</v>
      </c>
      <c r="CZ106" s="2">
        <f t="shared" si="131"/>
        <v>0</v>
      </c>
      <c r="DA106" s="2"/>
      <c r="DB106" s="2"/>
      <c r="DC106" s="2" t="s">
        <v>3</v>
      </c>
      <c r="DD106" s="2" t="s">
        <v>3</v>
      </c>
      <c r="DE106" s="2" t="s">
        <v>3</v>
      </c>
      <c r="DF106" s="2" t="s">
        <v>3</v>
      </c>
      <c r="DG106" s="2" t="s">
        <v>3</v>
      </c>
      <c r="DH106" s="2" t="s">
        <v>3</v>
      </c>
      <c r="DI106" s="2" t="s">
        <v>3</v>
      </c>
      <c r="DJ106" s="2" t="s">
        <v>3</v>
      </c>
      <c r="DK106" s="2" t="s">
        <v>3</v>
      </c>
      <c r="DL106" s="2" t="s">
        <v>3</v>
      </c>
      <c r="DM106" s="2" t="s">
        <v>3</v>
      </c>
      <c r="DN106" s="2">
        <v>0</v>
      </c>
      <c r="DO106" s="2">
        <v>0</v>
      </c>
      <c r="DP106" s="2">
        <v>1</v>
      </c>
      <c r="DQ106" s="2">
        <v>1</v>
      </c>
      <c r="DR106" s="2"/>
      <c r="DS106" s="2"/>
      <c r="DT106" s="2"/>
      <c r="DU106" s="2">
        <v>1003</v>
      </c>
      <c r="DV106" s="2" t="s">
        <v>179</v>
      </c>
      <c r="DW106" s="2" t="s">
        <v>179</v>
      </c>
      <c r="DX106" s="2">
        <v>1</v>
      </c>
      <c r="DY106" s="2"/>
      <c r="DZ106" s="2" t="s">
        <v>3</v>
      </c>
      <c r="EA106" s="2" t="s">
        <v>3</v>
      </c>
      <c r="EB106" s="2" t="s">
        <v>3</v>
      </c>
      <c r="EC106" s="2" t="s">
        <v>3</v>
      </c>
      <c r="ED106" s="2"/>
      <c r="EE106" s="2">
        <v>85133422</v>
      </c>
      <c r="EF106" s="2">
        <v>40</v>
      </c>
      <c r="EG106" s="2" t="s">
        <v>27</v>
      </c>
      <c r="EH106" s="2">
        <v>0</v>
      </c>
      <c r="EI106" s="2" t="s">
        <v>3</v>
      </c>
      <c r="EJ106" s="2">
        <v>2</v>
      </c>
      <c r="EK106" s="2">
        <v>73</v>
      </c>
      <c r="EL106" s="2" t="s">
        <v>62</v>
      </c>
      <c r="EM106" s="2" t="s">
        <v>63</v>
      </c>
      <c r="EN106" s="2"/>
      <c r="EO106" s="2" t="s">
        <v>3</v>
      </c>
      <c r="EP106" s="2"/>
      <c r="EQ106" s="2">
        <v>1024</v>
      </c>
      <c r="ER106" s="2">
        <v>41.57</v>
      </c>
      <c r="ES106" s="2">
        <v>41.57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>
        <v>0</v>
      </c>
      <c r="FR106" s="2">
        <v>0</v>
      </c>
      <c r="FS106" s="2">
        <v>0</v>
      </c>
      <c r="FT106" s="2"/>
      <c r="FU106" s="2"/>
      <c r="FV106" s="2"/>
      <c r="FW106" s="2"/>
      <c r="FX106" s="2">
        <v>90</v>
      </c>
      <c r="FY106" s="2">
        <v>46</v>
      </c>
      <c r="FZ106" s="2"/>
      <c r="GA106" s="2" t="s">
        <v>3</v>
      </c>
      <c r="GB106" s="2"/>
      <c r="GC106" s="2"/>
      <c r="GD106" s="2">
        <v>1</v>
      </c>
      <c r="GE106" s="2"/>
      <c r="GF106" s="2">
        <v>-2048145394</v>
      </c>
      <c r="GG106" s="2">
        <v>2</v>
      </c>
      <c r="GH106" s="2">
        <v>1</v>
      </c>
      <c r="GI106" s="2">
        <v>-2</v>
      </c>
      <c r="GJ106" s="2">
        <v>0</v>
      </c>
      <c r="GK106" s="2">
        <v>0</v>
      </c>
      <c r="GL106" s="2">
        <f t="shared" si="110"/>
        <v>0</v>
      </c>
      <c r="GM106" s="2">
        <f t="shared" si="111"/>
        <v>623.54999999999995</v>
      </c>
      <c r="GN106" s="2">
        <f t="shared" si="112"/>
        <v>0</v>
      </c>
      <c r="GO106" s="2">
        <f t="shared" si="113"/>
        <v>623.54999999999995</v>
      </c>
      <c r="GP106" s="2">
        <f t="shared" si="114"/>
        <v>0</v>
      </c>
      <c r="GQ106" s="2"/>
      <c r="GR106" s="2">
        <v>0</v>
      </c>
      <c r="GS106" s="2">
        <v>3</v>
      </c>
      <c r="GT106" s="2">
        <v>0</v>
      </c>
      <c r="GU106" s="2" t="s">
        <v>3</v>
      </c>
      <c r="GV106" s="2">
        <f t="shared" si="115"/>
        <v>0</v>
      </c>
      <c r="GW106" s="2">
        <v>1</v>
      </c>
      <c r="GX106" s="2">
        <f t="shared" si="116"/>
        <v>0</v>
      </c>
      <c r="GY106" s="2"/>
      <c r="GZ106" s="2"/>
      <c r="HA106" s="2">
        <v>0</v>
      </c>
      <c r="HB106" s="2">
        <v>0</v>
      </c>
      <c r="HC106" s="2">
        <f t="shared" si="117"/>
        <v>0</v>
      </c>
      <c r="HD106" s="2"/>
      <c r="HE106" s="2" t="s">
        <v>3</v>
      </c>
      <c r="HF106" s="2" t="s">
        <v>3</v>
      </c>
      <c r="HG106" s="2"/>
      <c r="HH106" s="2"/>
      <c r="HI106" s="2"/>
      <c r="HJ106" s="2"/>
      <c r="HK106" s="2"/>
      <c r="HL106" s="2"/>
      <c r="HM106" s="2" t="s">
        <v>3</v>
      </c>
      <c r="HN106" s="2" t="s">
        <v>3</v>
      </c>
      <c r="HO106" s="2" t="s">
        <v>3</v>
      </c>
      <c r="HP106" s="2" t="s">
        <v>3</v>
      </c>
      <c r="HQ106" s="2" t="s">
        <v>3</v>
      </c>
      <c r="HR106" s="2"/>
      <c r="HS106" s="2">
        <v>0</v>
      </c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>
        <v>0</v>
      </c>
      <c r="IL106" s="2"/>
      <c r="IM106" s="2"/>
      <c r="IN106" s="2"/>
      <c r="IO106" s="2"/>
      <c r="IP106" s="2"/>
      <c r="IQ106" s="2"/>
      <c r="IR106" s="2"/>
      <c r="IS106" s="2"/>
      <c r="IT106" s="2"/>
      <c r="IU106" s="2"/>
    </row>
    <row r="107" spans="1:255" x14ac:dyDescent="0.2">
      <c r="A107" s="3">
        <v>18</v>
      </c>
      <c r="B107" s="3">
        <v>1</v>
      </c>
      <c r="C107" s="3">
        <v>296</v>
      </c>
      <c r="E107" s="3" t="s">
        <v>3</v>
      </c>
      <c r="F107" s="3" t="s">
        <v>209</v>
      </c>
      <c r="G107" s="3" t="s">
        <v>210</v>
      </c>
      <c r="H107" s="3" t="s">
        <v>179</v>
      </c>
      <c r="I107" s="3">
        <f>I103*J107</f>
        <v>15</v>
      </c>
      <c r="J107" s="3">
        <v>500</v>
      </c>
      <c r="K107" s="3">
        <v>500</v>
      </c>
      <c r="O107" s="3">
        <f t="shared" si="95"/>
        <v>10319.75</v>
      </c>
      <c r="P107" s="3">
        <f t="shared" si="91"/>
        <v>10319.75</v>
      </c>
      <c r="Q107" s="3">
        <f t="shared" si="120"/>
        <v>0</v>
      </c>
      <c r="R107" s="3">
        <f t="shared" si="121"/>
        <v>0</v>
      </c>
      <c r="S107" s="3">
        <f t="shared" si="96"/>
        <v>0</v>
      </c>
      <c r="T107" s="3">
        <f t="shared" si="97"/>
        <v>0</v>
      </c>
      <c r="U107" s="3">
        <f t="shared" si="98"/>
        <v>0</v>
      </c>
      <c r="V107" s="3">
        <f t="shared" si="99"/>
        <v>0</v>
      </c>
      <c r="W107" s="3">
        <f t="shared" si="100"/>
        <v>0</v>
      </c>
      <c r="X107" s="3">
        <f t="shared" si="122"/>
        <v>0</v>
      </c>
      <c r="Y107" s="3">
        <f t="shared" si="123"/>
        <v>0</v>
      </c>
      <c r="AA107" s="3">
        <v>-1</v>
      </c>
      <c r="AB107" s="3">
        <f t="shared" si="101"/>
        <v>41.57</v>
      </c>
      <c r="AC107" s="3">
        <f t="shared" si="124"/>
        <v>41.57</v>
      </c>
      <c r="AD107" s="3">
        <f t="shared" si="125"/>
        <v>0</v>
      </c>
      <c r="AE107" s="3">
        <f t="shared" si="126"/>
        <v>0</v>
      </c>
      <c r="AF107" s="3">
        <f t="shared" si="126"/>
        <v>0</v>
      </c>
      <c r="AG107" s="3">
        <f t="shared" si="102"/>
        <v>0</v>
      </c>
      <c r="AH107" s="3">
        <f t="shared" si="127"/>
        <v>0</v>
      </c>
      <c r="AI107" s="3">
        <f t="shared" si="127"/>
        <v>0</v>
      </c>
      <c r="AJ107" s="3">
        <f t="shared" si="103"/>
        <v>0</v>
      </c>
      <c r="AK107" s="3">
        <v>41.57</v>
      </c>
      <c r="AL107" s="3">
        <v>41.57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90</v>
      </c>
      <c r="AU107" s="3">
        <v>46</v>
      </c>
      <c r="AV107" s="3">
        <v>1</v>
      </c>
      <c r="AW107" s="3">
        <v>1</v>
      </c>
      <c r="AZ107" s="3">
        <v>1</v>
      </c>
      <c r="BA107" s="3">
        <v>1</v>
      </c>
      <c r="BB107" s="3">
        <v>1</v>
      </c>
      <c r="BC107" s="3">
        <v>16.55</v>
      </c>
      <c r="BD107" s="3" t="s">
        <v>3</v>
      </c>
      <c r="BE107" s="3" t="s">
        <v>3</v>
      </c>
      <c r="BF107" s="3" t="s">
        <v>3</v>
      </c>
      <c r="BG107" s="3" t="s">
        <v>3</v>
      </c>
      <c r="BH107" s="3">
        <v>3</v>
      </c>
      <c r="BI107" s="3">
        <v>2</v>
      </c>
      <c r="BJ107" s="3" t="s">
        <v>211</v>
      </c>
      <c r="BM107" s="3">
        <v>73</v>
      </c>
      <c r="BN107" s="3">
        <v>0</v>
      </c>
      <c r="BO107" s="3" t="s">
        <v>209</v>
      </c>
      <c r="BP107" s="3">
        <v>1</v>
      </c>
      <c r="BQ107" s="3">
        <v>40</v>
      </c>
      <c r="BR107" s="3">
        <v>0</v>
      </c>
      <c r="BS107" s="3">
        <v>1</v>
      </c>
      <c r="BT107" s="3">
        <v>1</v>
      </c>
      <c r="BU107" s="3">
        <v>1</v>
      </c>
      <c r="BV107" s="3">
        <v>1</v>
      </c>
      <c r="BW107" s="3">
        <v>1</v>
      </c>
      <c r="BX107" s="3">
        <v>1</v>
      </c>
      <c r="BY107" s="3" t="s">
        <v>3</v>
      </c>
      <c r="BZ107" s="3">
        <v>90</v>
      </c>
      <c r="CA107" s="3">
        <v>46</v>
      </c>
      <c r="CB107" s="3" t="s">
        <v>3</v>
      </c>
      <c r="CE107" s="3">
        <v>1566</v>
      </c>
      <c r="CF107" s="3">
        <v>0</v>
      </c>
      <c r="CG107" s="3">
        <v>0</v>
      </c>
      <c r="CM107" s="3">
        <v>0</v>
      </c>
      <c r="CN107" s="3" t="s">
        <v>3</v>
      </c>
      <c r="CO107" s="3">
        <v>0</v>
      </c>
      <c r="CP107" s="3">
        <f t="shared" si="104"/>
        <v>10319.75</v>
      </c>
      <c r="CQ107" s="3">
        <f t="shared" si="94"/>
        <v>687.98</v>
      </c>
      <c r="CR107" s="3">
        <f t="shared" si="128"/>
        <v>0</v>
      </c>
      <c r="CS107" s="3">
        <f t="shared" si="129"/>
        <v>0</v>
      </c>
      <c r="CT107" s="3">
        <f t="shared" si="105"/>
        <v>0</v>
      </c>
      <c r="CU107" s="3">
        <f t="shared" si="106"/>
        <v>0</v>
      </c>
      <c r="CV107" s="3">
        <f t="shared" si="107"/>
        <v>0</v>
      </c>
      <c r="CW107" s="3">
        <f t="shared" si="108"/>
        <v>0</v>
      </c>
      <c r="CX107" s="3">
        <f t="shared" si="109"/>
        <v>0</v>
      </c>
      <c r="CY107" s="3">
        <f t="shared" si="130"/>
        <v>0</v>
      </c>
      <c r="CZ107" s="3">
        <f t="shared" si="131"/>
        <v>0</v>
      </c>
      <c r="DC107" s="3" t="s">
        <v>3</v>
      </c>
      <c r="DD107" s="3" t="s">
        <v>3</v>
      </c>
      <c r="DE107" s="3" t="s">
        <v>3</v>
      </c>
      <c r="DF107" s="3" t="s">
        <v>3</v>
      </c>
      <c r="DG107" s="3" t="s">
        <v>3</v>
      </c>
      <c r="DH107" s="3" t="s">
        <v>3</v>
      </c>
      <c r="DI107" s="3" t="s">
        <v>3</v>
      </c>
      <c r="DJ107" s="3" t="s">
        <v>3</v>
      </c>
      <c r="DK107" s="3" t="s">
        <v>3</v>
      </c>
      <c r="DL107" s="3" t="s">
        <v>3</v>
      </c>
      <c r="DM107" s="3" t="s">
        <v>3</v>
      </c>
      <c r="DN107" s="3">
        <v>0</v>
      </c>
      <c r="DO107" s="3">
        <v>0</v>
      </c>
      <c r="DP107" s="3">
        <v>1</v>
      </c>
      <c r="DQ107" s="3">
        <v>1</v>
      </c>
      <c r="DU107" s="3">
        <v>1003</v>
      </c>
      <c r="DV107" s="3" t="s">
        <v>179</v>
      </c>
      <c r="DW107" s="3" t="s">
        <v>179</v>
      </c>
      <c r="DX107" s="3">
        <v>1</v>
      </c>
      <c r="DZ107" s="3" t="s">
        <v>3</v>
      </c>
      <c r="EA107" s="3" t="s">
        <v>3</v>
      </c>
      <c r="EB107" s="3" t="s">
        <v>3</v>
      </c>
      <c r="EC107" s="3" t="s">
        <v>3</v>
      </c>
      <c r="EE107" s="3">
        <v>85133422</v>
      </c>
      <c r="EF107" s="3">
        <v>40</v>
      </c>
      <c r="EG107" s="3" t="s">
        <v>27</v>
      </c>
      <c r="EH107" s="3">
        <v>0</v>
      </c>
      <c r="EI107" s="3" t="s">
        <v>3</v>
      </c>
      <c r="EJ107" s="3">
        <v>2</v>
      </c>
      <c r="EK107" s="3">
        <v>73</v>
      </c>
      <c r="EL107" s="3" t="s">
        <v>62</v>
      </c>
      <c r="EM107" s="3" t="s">
        <v>63</v>
      </c>
      <c r="EO107" s="3" t="s">
        <v>3</v>
      </c>
      <c r="EQ107" s="3">
        <v>1024</v>
      </c>
      <c r="ER107" s="3">
        <v>41.57</v>
      </c>
      <c r="ES107" s="3">
        <v>41.57</v>
      </c>
      <c r="ET107" s="3">
        <v>0</v>
      </c>
      <c r="EU107" s="3">
        <v>0</v>
      </c>
      <c r="EV107" s="3">
        <v>0</v>
      </c>
      <c r="EW107" s="3">
        <v>0</v>
      </c>
      <c r="EX107" s="3">
        <v>0</v>
      </c>
      <c r="FQ107" s="3">
        <v>0</v>
      </c>
      <c r="FR107" s="3">
        <v>0</v>
      </c>
      <c r="FS107" s="3">
        <v>0</v>
      </c>
      <c r="FX107" s="3">
        <v>90</v>
      </c>
      <c r="FY107" s="3">
        <v>46</v>
      </c>
      <c r="GA107" s="3" t="s">
        <v>3</v>
      </c>
      <c r="GD107" s="3">
        <v>1</v>
      </c>
      <c r="GF107" s="3">
        <v>-2048145394</v>
      </c>
      <c r="GG107" s="3">
        <v>2</v>
      </c>
      <c r="GH107" s="3">
        <v>1</v>
      </c>
      <c r="GI107" s="3">
        <v>2</v>
      </c>
      <c r="GJ107" s="3">
        <v>0</v>
      </c>
      <c r="GK107" s="3">
        <v>0</v>
      </c>
      <c r="GL107" s="3">
        <f t="shared" si="110"/>
        <v>0</v>
      </c>
      <c r="GM107" s="3">
        <f t="shared" si="111"/>
        <v>10319.75</v>
      </c>
      <c r="GN107" s="3">
        <f t="shared" si="112"/>
        <v>0</v>
      </c>
      <c r="GO107" s="3">
        <f t="shared" si="113"/>
        <v>10319.75</v>
      </c>
      <c r="GP107" s="3">
        <f t="shared" si="114"/>
        <v>0</v>
      </c>
      <c r="GR107" s="3">
        <v>0</v>
      </c>
      <c r="GS107" s="3">
        <v>3</v>
      </c>
      <c r="GT107" s="3">
        <v>0</v>
      </c>
      <c r="GU107" s="3" t="s">
        <v>3</v>
      </c>
      <c r="GV107" s="3">
        <f t="shared" si="115"/>
        <v>0</v>
      </c>
      <c r="GW107" s="3">
        <v>1</v>
      </c>
      <c r="GX107" s="3">
        <f t="shared" si="116"/>
        <v>0</v>
      </c>
      <c r="HA107" s="3">
        <v>0</v>
      </c>
      <c r="HB107" s="3">
        <v>0</v>
      </c>
      <c r="HC107" s="3">
        <f t="shared" si="117"/>
        <v>0</v>
      </c>
      <c r="HE107" s="3" t="s">
        <v>3</v>
      </c>
      <c r="HF107" s="3" t="s">
        <v>3</v>
      </c>
      <c r="HM107" s="3" t="s">
        <v>3</v>
      </c>
      <c r="HN107" s="3" t="s">
        <v>3</v>
      </c>
      <c r="HO107" s="3" t="s">
        <v>3</v>
      </c>
      <c r="HP107" s="3" t="s">
        <v>3</v>
      </c>
      <c r="HQ107" s="3" t="s">
        <v>3</v>
      </c>
      <c r="HS107" s="3">
        <v>0</v>
      </c>
      <c r="IK107" s="3">
        <v>0</v>
      </c>
    </row>
    <row r="108" spans="1:255" x14ac:dyDescent="0.2">
      <c r="A108" s="2">
        <v>17</v>
      </c>
      <c r="B108" s="2">
        <v>1</v>
      </c>
      <c r="C108" s="2">
        <f>ROW(SmtRes!A314)</f>
        <v>314</v>
      </c>
      <c r="D108" s="2">
        <f>ROW(EtalonRes!A333)</f>
        <v>333</v>
      </c>
      <c r="E108" s="2" t="s">
        <v>212</v>
      </c>
      <c r="F108" s="2" t="s">
        <v>213</v>
      </c>
      <c r="G108" s="2" t="s">
        <v>214</v>
      </c>
      <c r="H108" s="2" t="s">
        <v>174</v>
      </c>
      <c r="I108" s="2">
        <f>ROUND((15+15)/100,9)</f>
        <v>0.3</v>
      </c>
      <c r="J108" s="2">
        <v>0</v>
      </c>
      <c r="K108" s="2">
        <f>ROUND((15+15)/100,9)</f>
        <v>0.3</v>
      </c>
      <c r="L108" s="2"/>
      <c r="M108" s="2"/>
      <c r="N108" s="2"/>
      <c r="O108" s="2">
        <f t="shared" si="95"/>
        <v>1137.82</v>
      </c>
      <c r="P108" s="2">
        <f t="shared" si="91"/>
        <v>266.77</v>
      </c>
      <c r="Q108" s="2">
        <f>(ROUND((ROUND((((ET108*1.2))*AV108*I108),2)*BB108),2)+ROUND((ROUND(((AE108-((EU108*1.2)))*AV108*I108),2)*BS108),2))</f>
        <v>197.23</v>
      </c>
      <c r="R108" s="2">
        <f>(ROUND((ROUND((((EU108*1.2))*AV108*I108),2)*BS108),2)+ROUND((ROUND(((AE108-((EU108*1.2)))*AV108*I108),2)*BS108),2))</f>
        <v>38.97</v>
      </c>
      <c r="S108" s="2">
        <f t="shared" si="96"/>
        <v>673.82</v>
      </c>
      <c r="T108" s="2">
        <f t="shared" si="97"/>
        <v>0</v>
      </c>
      <c r="U108" s="2">
        <f t="shared" si="98"/>
        <v>53.392679999999991</v>
      </c>
      <c r="V108" s="2">
        <f t="shared" si="99"/>
        <v>0</v>
      </c>
      <c r="W108" s="2">
        <f t="shared" si="100"/>
        <v>0</v>
      </c>
      <c r="X108" s="2">
        <f>(ROUND((((S108+ROUND((ROUND((((EU108*1.2))*AV108*I108),2)*BS108),2))*AT108)/100),2)+ROUND(((ROUND((ROUND(((AE108-((EU108*1.2)))*AV108*I108),2)*BS108),2)*AT108)/100),2))</f>
        <v>641.51</v>
      </c>
      <c r="Y108" s="2">
        <f>(ROUND((((S108+ROUND((ROUND((((EU108*1.2))*AV108*I108),2)*BS108),2))*AU108)/100),2)+ROUND(((ROUND((ROUND(((AE108-((EU108*1.2)))*AV108*I108),2)*BS108),2)*AU108)/100),2))</f>
        <v>327.88</v>
      </c>
      <c r="Z108" s="2"/>
      <c r="AA108" s="2">
        <v>85739205</v>
      </c>
      <c r="AB108" s="2">
        <f t="shared" si="101"/>
        <v>3586.18</v>
      </c>
      <c r="AC108" s="2">
        <f>ROUND(((ES108*1)),6)</f>
        <v>865</v>
      </c>
      <c r="AD108" s="2">
        <f>ROUND(((((ET108*1.2))-((EU108*1.2)))+AE108),6)</f>
        <v>616.16399999999999</v>
      </c>
      <c r="AE108" s="2">
        <f>ROUND(((EU108*1.2)),6)</f>
        <v>121.752</v>
      </c>
      <c r="AF108" s="2">
        <f>ROUND(((EV108*1.2)),6)</f>
        <v>2105.0160000000001</v>
      </c>
      <c r="AG108" s="2">
        <f t="shared" si="102"/>
        <v>0</v>
      </c>
      <c r="AH108" s="2">
        <f>((EW108*1.2))</f>
        <v>166.79999999999998</v>
      </c>
      <c r="AI108" s="2">
        <f>((EX108*1.2))</f>
        <v>0</v>
      </c>
      <c r="AJ108" s="2">
        <f t="shared" si="103"/>
        <v>0</v>
      </c>
      <c r="AK108" s="2">
        <v>3132.65</v>
      </c>
      <c r="AL108" s="2">
        <v>865</v>
      </c>
      <c r="AM108" s="2">
        <v>513.47</v>
      </c>
      <c r="AN108" s="2">
        <v>101.46</v>
      </c>
      <c r="AO108" s="2">
        <v>1754.18</v>
      </c>
      <c r="AP108" s="2">
        <v>0</v>
      </c>
      <c r="AQ108" s="2">
        <v>139</v>
      </c>
      <c r="AR108" s="2">
        <v>0</v>
      </c>
      <c r="AS108" s="2">
        <v>0</v>
      </c>
      <c r="AT108" s="2">
        <v>90</v>
      </c>
      <c r="AU108" s="2">
        <v>46</v>
      </c>
      <c r="AV108" s="2">
        <v>1.0669999999999999</v>
      </c>
      <c r="AW108" s="2">
        <v>1.028</v>
      </c>
      <c r="AX108" s="2"/>
      <c r="AY108" s="2"/>
      <c r="AZ108" s="2">
        <v>1</v>
      </c>
      <c r="BA108" s="2">
        <v>1</v>
      </c>
      <c r="BB108" s="2">
        <v>1</v>
      </c>
      <c r="BC108" s="2">
        <v>1</v>
      </c>
      <c r="BD108" s="2" t="s">
        <v>3</v>
      </c>
      <c r="BE108" s="2" t="s">
        <v>3</v>
      </c>
      <c r="BF108" s="2" t="s">
        <v>3</v>
      </c>
      <c r="BG108" s="2" t="s">
        <v>3</v>
      </c>
      <c r="BH108" s="2">
        <v>0</v>
      </c>
      <c r="BI108" s="2">
        <v>2</v>
      </c>
      <c r="BJ108" s="2" t="s">
        <v>215</v>
      </c>
      <c r="BK108" s="2"/>
      <c r="BL108" s="2"/>
      <c r="BM108" s="2">
        <v>73</v>
      </c>
      <c r="BN108" s="2">
        <v>0</v>
      </c>
      <c r="BO108" s="2" t="s">
        <v>213</v>
      </c>
      <c r="BP108" s="2">
        <v>1</v>
      </c>
      <c r="BQ108" s="2">
        <v>40</v>
      </c>
      <c r="BR108" s="2">
        <v>0</v>
      </c>
      <c r="BS108" s="2">
        <v>1</v>
      </c>
      <c r="BT108" s="2">
        <v>1</v>
      </c>
      <c r="BU108" s="2">
        <v>1</v>
      </c>
      <c r="BV108" s="2">
        <v>1</v>
      </c>
      <c r="BW108" s="2">
        <v>1</v>
      </c>
      <c r="BX108" s="2">
        <v>1</v>
      </c>
      <c r="BY108" s="2" t="s">
        <v>3</v>
      </c>
      <c r="BZ108" s="2">
        <v>90</v>
      </c>
      <c r="CA108" s="2">
        <v>46</v>
      </c>
      <c r="CB108" s="2" t="s">
        <v>3</v>
      </c>
      <c r="CC108" s="2"/>
      <c r="CD108" s="2"/>
      <c r="CE108" s="2">
        <v>1566</v>
      </c>
      <c r="CF108" s="2">
        <v>0</v>
      </c>
      <c r="CG108" s="2">
        <v>0</v>
      </c>
      <c r="CH108" s="2"/>
      <c r="CI108" s="2"/>
      <c r="CJ108" s="2"/>
      <c r="CK108" s="2"/>
      <c r="CL108" s="2"/>
      <c r="CM108" s="2">
        <v>0</v>
      </c>
      <c r="CN108" s="2" t="s">
        <v>677</v>
      </c>
      <c r="CO108" s="2">
        <v>0</v>
      </c>
      <c r="CP108" s="2">
        <f t="shared" si="104"/>
        <v>1137.8200000000002</v>
      </c>
      <c r="CQ108" s="2">
        <f t="shared" si="94"/>
        <v>889.22</v>
      </c>
      <c r="CR108" s="2">
        <f>(ROUND((ROUND((((ET108*1.2))*AV108*1),2)*BB108),2)+ROUND((ROUND(((AE108-((EU108*1.2)))*AV108*1),2)*BS108),2))</f>
        <v>657.45</v>
      </c>
      <c r="CS108" s="2">
        <f>(ROUND((ROUND((((EU108*1.2))*AV108*1),2)*BS108),2)+ROUND((ROUND(((AE108-((EU108*1.2)))*AV108*1),2)*BS108),2))</f>
        <v>129.91</v>
      </c>
      <c r="CT108" s="2">
        <f t="shared" si="105"/>
        <v>2246.0500000000002</v>
      </c>
      <c r="CU108" s="2">
        <f t="shared" si="106"/>
        <v>0</v>
      </c>
      <c r="CV108" s="2">
        <f t="shared" si="107"/>
        <v>177.97559999999999</v>
      </c>
      <c r="CW108" s="2">
        <f t="shared" si="108"/>
        <v>0</v>
      </c>
      <c r="CX108" s="2">
        <f t="shared" si="109"/>
        <v>0</v>
      </c>
      <c r="CY108" s="2">
        <f>(ROUND((((S108+ROUND((ROUND((((EU108*1.2))*AV108*1),2)*BS108),2))*AT108)/100),2)+ROUND(((ROUND((ROUND(((AE108-((EU108*1.2)))*AV108*1),2)*BS108),2)*AT108)/100),2))</f>
        <v>723.36</v>
      </c>
      <c r="CZ108" s="2">
        <f>(ROUND((((S108+ROUND((ROUND((((EU108*1.2))*AV108*1),2)*BS108),2))*AU108)/100),2)+ROUND(((ROUND((ROUND(((AE108-((EU108*1.2)))*AV108*1),2)*BS108),2)*AU108)/100),2))</f>
        <v>369.72</v>
      </c>
      <c r="DA108" s="2"/>
      <c r="DB108" s="2">
        <v>43</v>
      </c>
      <c r="DC108" s="2" t="s">
        <v>3</v>
      </c>
      <c r="DD108" s="2" t="s">
        <v>35</v>
      </c>
      <c r="DE108" s="2" t="s">
        <v>36</v>
      </c>
      <c r="DF108" s="2" t="s">
        <v>36</v>
      </c>
      <c r="DG108" s="2" t="s">
        <v>36</v>
      </c>
      <c r="DH108" s="2" t="s">
        <v>3</v>
      </c>
      <c r="DI108" s="2" t="s">
        <v>36</v>
      </c>
      <c r="DJ108" s="2" t="s">
        <v>36</v>
      </c>
      <c r="DK108" s="2" t="s">
        <v>3</v>
      </c>
      <c r="DL108" s="2" t="s">
        <v>3</v>
      </c>
      <c r="DM108" s="2" t="s">
        <v>3</v>
      </c>
      <c r="DN108" s="2">
        <v>0</v>
      </c>
      <c r="DO108" s="2">
        <v>0</v>
      </c>
      <c r="DP108" s="2">
        <v>1</v>
      </c>
      <c r="DQ108" s="2">
        <v>1</v>
      </c>
      <c r="DR108" s="2"/>
      <c r="DS108" s="2"/>
      <c r="DT108" s="2"/>
      <c r="DU108" s="2">
        <v>1003</v>
      </c>
      <c r="DV108" s="2" t="s">
        <v>174</v>
      </c>
      <c r="DW108" s="2" t="s">
        <v>174</v>
      </c>
      <c r="DX108" s="2">
        <v>100</v>
      </c>
      <c r="DY108" s="2"/>
      <c r="DZ108" s="2" t="s">
        <v>3</v>
      </c>
      <c r="EA108" s="2" t="s">
        <v>3</v>
      </c>
      <c r="EB108" s="2" t="s">
        <v>3</v>
      </c>
      <c r="EC108" s="2" t="s">
        <v>3</v>
      </c>
      <c r="ED108" s="2"/>
      <c r="EE108" s="2">
        <v>85133422</v>
      </c>
      <c r="EF108" s="2">
        <v>40</v>
      </c>
      <c r="EG108" s="2" t="s">
        <v>27</v>
      </c>
      <c r="EH108" s="2">
        <v>0</v>
      </c>
      <c r="EI108" s="2" t="s">
        <v>3</v>
      </c>
      <c r="EJ108" s="2">
        <v>2</v>
      </c>
      <c r="EK108" s="2">
        <v>73</v>
      </c>
      <c r="EL108" s="2" t="s">
        <v>62</v>
      </c>
      <c r="EM108" s="2" t="s">
        <v>63</v>
      </c>
      <c r="EN108" s="2"/>
      <c r="EO108" s="2" t="s">
        <v>37</v>
      </c>
      <c r="EP108" s="2"/>
      <c r="EQ108" s="2">
        <v>0</v>
      </c>
      <c r="ER108" s="2">
        <v>3132.65</v>
      </c>
      <c r="ES108" s="2">
        <v>865</v>
      </c>
      <c r="ET108" s="2">
        <v>513.47</v>
      </c>
      <c r="EU108" s="2">
        <v>101.46</v>
      </c>
      <c r="EV108" s="2">
        <v>1754.18</v>
      </c>
      <c r="EW108" s="2">
        <v>139</v>
      </c>
      <c r="EX108" s="2">
        <v>0</v>
      </c>
      <c r="EY108" s="2">
        <v>0</v>
      </c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>
        <v>0</v>
      </c>
      <c r="FR108" s="2">
        <v>0</v>
      </c>
      <c r="FS108" s="2">
        <v>2</v>
      </c>
      <c r="FT108" s="2"/>
      <c r="FU108" s="2"/>
      <c r="FV108" s="2"/>
      <c r="FW108" s="2"/>
      <c r="FX108" s="2">
        <v>90</v>
      </c>
      <c r="FY108" s="2">
        <v>46</v>
      </c>
      <c r="FZ108" s="2"/>
      <c r="GA108" s="2" t="s">
        <v>3</v>
      </c>
      <c r="GB108" s="2"/>
      <c r="GC108" s="2"/>
      <c r="GD108" s="2">
        <v>1</v>
      </c>
      <c r="GE108" s="2"/>
      <c r="GF108" s="2">
        <v>-358609466</v>
      </c>
      <c r="GG108" s="2">
        <v>2</v>
      </c>
      <c r="GH108" s="2">
        <v>1</v>
      </c>
      <c r="GI108" s="2">
        <v>2</v>
      </c>
      <c r="GJ108" s="2">
        <v>0</v>
      </c>
      <c r="GK108" s="2">
        <v>0</v>
      </c>
      <c r="GL108" s="2">
        <f t="shared" si="110"/>
        <v>0</v>
      </c>
      <c r="GM108" s="2">
        <f t="shared" si="111"/>
        <v>2107.21</v>
      </c>
      <c r="GN108" s="2">
        <f t="shared" si="112"/>
        <v>0</v>
      </c>
      <c r="GO108" s="2">
        <f t="shared" si="113"/>
        <v>2107.21</v>
      </c>
      <c r="GP108" s="2">
        <f t="shared" si="114"/>
        <v>0</v>
      </c>
      <c r="GQ108" s="2"/>
      <c r="GR108" s="2">
        <v>0</v>
      </c>
      <c r="GS108" s="2">
        <v>3</v>
      </c>
      <c r="GT108" s="2">
        <v>0</v>
      </c>
      <c r="GU108" s="2" t="s">
        <v>3</v>
      </c>
      <c r="GV108" s="2">
        <f t="shared" si="115"/>
        <v>0</v>
      </c>
      <c r="GW108" s="2">
        <v>1</v>
      </c>
      <c r="GX108" s="2">
        <f t="shared" si="116"/>
        <v>0</v>
      </c>
      <c r="GY108" s="2"/>
      <c r="GZ108" s="2"/>
      <c r="HA108" s="2">
        <v>0</v>
      </c>
      <c r="HB108" s="2">
        <v>0</v>
      </c>
      <c r="HC108" s="2">
        <f t="shared" si="117"/>
        <v>0</v>
      </c>
      <c r="HD108" s="2"/>
      <c r="HE108" s="2" t="s">
        <v>3</v>
      </c>
      <c r="HF108" s="2" t="s">
        <v>3</v>
      </c>
      <c r="HG108" s="2"/>
      <c r="HH108" s="2"/>
      <c r="HI108" s="2"/>
      <c r="HJ108" s="2"/>
      <c r="HK108" s="2"/>
      <c r="HL108" s="2"/>
      <c r="HM108" s="2" t="s">
        <v>3</v>
      </c>
      <c r="HN108" s="2" t="s">
        <v>3</v>
      </c>
      <c r="HO108" s="2" t="s">
        <v>3</v>
      </c>
      <c r="HP108" s="2" t="s">
        <v>3</v>
      </c>
      <c r="HQ108" s="2" t="s">
        <v>3</v>
      </c>
      <c r="HR108" s="2"/>
      <c r="HS108" s="2">
        <v>0</v>
      </c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>
        <v>0</v>
      </c>
      <c r="IL108" s="2"/>
      <c r="IM108" s="2"/>
      <c r="IN108" s="2"/>
      <c r="IO108" s="2"/>
      <c r="IP108" s="2"/>
      <c r="IQ108" s="2"/>
      <c r="IR108" s="2"/>
      <c r="IS108" s="2"/>
      <c r="IT108" s="2"/>
      <c r="IU108" s="2"/>
    </row>
    <row r="109" spans="1:255" x14ac:dyDescent="0.2">
      <c r="A109" s="3">
        <v>17</v>
      </c>
      <c r="B109" s="3">
        <v>1</v>
      </c>
      <c r="C109" s="3">
        <f>ROW(SmtRes!A330)</f>
        <v>330</v>
      </c>
      <c r="D109" s="3">
        <f>ROW(EtalonRes!A348)</f>
        <v>348</v>
      </c>
      <c r="E109" s="3" t="s">
        <v>212</v>
      </c>
      <c r="F109" s="3" t="s">
        <v>213</v>
      </c>
      <c r="G109" s="3" t="s">
        <v>214</v>
      </c>
      <c r="H109" s="3" t="s">
        <v>174</v>
      </c>
      <c r="I109" s="3">
        <f>ROUND((15+15)/100,9)</f>
        <v>0.3</v>
      </c>
      <c r="J109" s="3">
        <v>0</v>
      </c>
      <c r="K109" s="3">
        <f>ROUND((15+15)/100,9)</f>
        <v>0.3</v>
      </c>
      <c r="O109" s="3">
        <f t="shared" si="95"/>
        <v>42628.76</v>
      </c>
      <c r="P109" s="3">
        <f t="shared" si="91"/>
        <v>584.23</v>
      </c>
      <c r="Q109" s="3">
        <f>(ROUND((ROUND((((ET109*1.2))*AV109*I109),2)*BB109),2)+ROUND((ROUND(((AE109-((EU109*1.2)))*AV109*I109),2)*BS109),2))</f>
        <v>4074.77</v>
      </c>
      <c r="R109" s="3">
        <f>(ROUND((ROUND((((EU109*1.2))*AV109*I109),2)*BS109),2)+ROUND((ROUND(((AE109-((EU109*1.2)))*AV109*I109),2)*BS109),2))</f>
        <v>2195.96</v>
      </c>
      <c r="S109" s="3">
        <f t="shared" si="96"/>
        <v>37969.760000000002</v>
      </c>
      <c r="T109" s="3">
        <f t="shared" si="97"/>
        <v>0</v>
      </c>
      <c r="U109" s="3">
        <f t="shared" si="98"/>
        <v>53.392679999999991</v>
      </c>
      <c r="V109" s="3">
        <f t="shared" si="99"/>
        <v>0</v>
      </c>
      <c r="W109" s="3">
        <f t="shared" si="100"/>
        <v>0</v>
      </c>
      <c r="X109" s="3">
        <f>(ROUND((((S109+ROUND((ROUND((((EU109*1.2))*AV109*I109),2)*BS109),2))*AT109)/100),2)+ROUND(((ROUND((ROUND(((AE109-((EU109*1.2)))*AV109*I109),2)*BS109),2)*AT109)/100),2))</f>
        <v>36149.15</v>
      </c>
      <c r="Y109" s="3">
        <f>(ROUND((((S109+ROUND((ROUND((((EU109*1.2))*AV109*I109),2)*BS109),2))*AU109)/100),2)+ROUND(((ROUND((ROUND(((AE109-((EU109*1.2)))*AV109*I109),2)*BS109),2)*AU109)/100),2))</f>
        <v>18476.23</v>
      </c>
      <c r="AA109" s="3">
        <v>85739207</v>
      </c>
      <c r="AB109" s="3">
        <f t="shared" si="101"/>
        <v>3586.18</v>
      </c>
      <c r="AC109" s="3">
        <f>ROUND(((ES109*1)),6)</f>
        <v>865</v>
      </c>
      <c r="AD109" s="3">
        <f>ROUND(((((ET109*1.2))-((EU109*1.2)))+AE109),6)</f>
        <v>616.16399999999999</v>
      </c>
      <c r="AE109" s="3">
        <f>ROUND(((EU109*1.2)),6)</f>
        <v>121.752</v>
      </c>
      <c r="AF109" s="3">
        <f>ROUND(((EV109*1.2)),6)</f>
        <v>2105.0160000000001</v>
      </c>
      <c r="AG109" s="3">
        <f t="shared" si="102"/>
        <v>0</v>
      </c>
      <c r="AH109" s="3">
        <f>((EW109*1.2))</f>
        <v>166.79999999999998</v>
      </c>
      <c r="AI109" s="3">
        <f>((EX109*1.2))</f>
        <v>0</v>
      </c>
      <c r="AJ109" s="3">
        <f t="shared" si="103"/>
        <v>0</v>
      </c>
      <c r="AK109" s="3">
        <v>3132.65</v>
      </c>
      <c r="AL109" s="3">
        <v>865</v>
      </c>
      <c r="AM109" s="3">
        <v>513.47</v>
      </c>
      <c r="AN109" s="3">
        <v>101.46</v>
      </c>
      <c r="AO109" s="3">
        <v>1754.18</v>
      </c>
      <c r="AP109" s="3">
        <v>0</v>
      </c>
      <c r="AQ109" s="3">
        <v>139</v>
      </c>
      <c r="AR109" s="3">
        <v>0</v>
      </c>
      <c r="AS109" s="3">
        <v>0</v>
      </c>
      <c r="AT109" s="3">
        <v>90</v>
      </c>
      <c r="AU109" s="3">
        <v>46</v>
      </c>
      <c r="AV109" s="3">
        <v>1.0669999999999999</v>
      </c>
      <c r="AW109" s="3">
        <v>1.028</v>
      </c>
      <c r="AZ109" s="3">
        <v>1</v>
      </c>
      <c r="BA109" s="3">
        <v>56.35</v>
      </c>
      <c r="BB109" s="3">
        <v>20.66</v>
      </c>
      <c r="BC109" s="3">
        <v>2.19</v>
      </c>
      <c r="BD109" s="3" t="s">
        <v>3</v>
      </c>
      <c r="BE109" s="3" t="s">
        <v>3</v>
      </c>
      <c r="BF109" s="3" t="s">
        <v>3</v>
      </c>
      <c r="BG109" s="3" t="s">
        <v>3</v>
      </c>
      <c r="BH109" s="3">
        <v>0</v>
      </c>
      <c r="BI109" s="3">
        <v>2</v>
      </c>
      <c r="BJ109" s="3" t="s">
        <v>215</v>
      </c>
      <c r="BM109" s="3">
        <v>73</v>
      </c>
      <c r="BN109" s="3">
        <v>0</v>
      </c>
      <c r="BO109" s="3" t="s">
        <v>213</v>
      </c>
      <c r="BP109" s="3">
        <v>1</v>
      </c>
      <c r="BQ109" s="3">
        <v>40</v>
      </c>
      <c r="BR109" s="3">
        <v>0</v>
      </c>
      <c r="BS109" s="3">
        <v>56.35</v>
      </c>
      <c r="BT109" s="3">
        <v>1</v>
      </c>
      <c r="BU109" s="3">
        <v>1</v>
      </c>
      <c r="BV109" s="3">
        <v>1</v>
      </c>
      <c r="BW109" s="3">
        <v>1</v>
      </c>
      <c r="BX109" s="3">
        <v>1</v>
      </c>
      <c r="BY109" s="3" t="s">
        <v>3</v>
      </c>
      <c r="BZ109" s="3">
        <v>90</v>
      </c>
      <c r="CA109" s="3">
        <v>46</v>
      </c>
      <c r="CB109" s="3" t="s">
        <v>3</v>
      </c>
      <c r="CE109" s="3">
        <v>1566</v>
      </c>
      <c r="CF109" s="3">
        <v>0</v>
      </c>
      <c r="CG109" s="3">
        <v>0</v>
      </c>
      <c r="CM109" s="3">
        <v>0</v>
      </c>
      <c r="CN109" s="3" t="s">
        <v>677</v>
      </c>
      <c r="CO109" s="3">
        <v>0</v>
      </c>
      <c r="CP109" s="3">
        <f t="shared" si="104"/>
        <v>42628.76</v>
      </c>
      <c r="CQ109" s="3">
        <f t="shared" si="94"/>
        <v>1947.39</v>
      </c>
      <c r="CR109" s="3">
        <f>(ROUND((ROUND((((ET109*1.2))*AV109*1),2)*BB109),2)+ROUND((ROUND(((AE109-((EU109*1.2)))*AV109*1),2)*BS109),2))</f>
        <v>13582.92</v>
      </c>
      <c r="CS109" s="3">
        <f>(ROUND((ROUND((((EU109*1.2))*AV109*1),2)*BS109),2)+ROUND((ROUND(((AE109-((EU109*1.2)))*AV109*1),2)*BS109),2))</f>
        <v>7320.43</v>
      </c>
      <c r="CT109" s="3">
        <f t="shared" si="105"/>
        <v>126564.92</v>
      </c>
      <c r="CU109" s="3">
        <f t="shared" si="106"/>
        <v>0</v>
      </c>
      <c r="CV109" s="3">
        <f t="shared" si="107"/>
        <v>177.97559999999999</v>
      </c>
      <c r="CW109" s="3">
        <f t="shared" si="108"/>
        <v>0</v>
      </c>
      <c r="CX109" s="3">
        <f t="shared" si="109"/>
        <v>0</v>
      </c>
      <c r="CY109" s="3">
        <f>(ROUND((((S109+ROUND((ROUND((((EU109*1.2))*AV109*1),2)*BS109),2))*AT109)/100),2)+ROUND(((ROUND((ROUND(((AE109-((EU109*1.2)))*AV109*1),2)*BS109),2)*AT109)/100),2))</f>
        <v>40761.17</v>
      </c>
      <c r="CZ109" s="3">
        <f>(ROUND((((S109+ROUND((ROUND((((EU109*1.2))*AV109*1),2)*BS109),2))*AU109)/100),2)+ROUND(((ROUND((ROUND(((AE109-((EU109*1.2)))*AV109*1),2)*BS109),2)*AU109)/100),2))</f>
        <v>20833.490000000002</v>
      </c>
      <c r="DB109" s="3">
        <v>44</v>
      </c>
      <c r="DC109" s="3" t="s">
        <v>3</v>
      </c>
      <c r="DD109" s="3" t="s">
        <v>35</v>
      </c>
      <c r="DE109" s="3" t="s">
        <v>36</v>
      </c>
      <c r="DF109" s="3" t="s">
        <v>36</v>
      </c>
      <c r="DG109" s="3" t="s">
        <v>36</v>
      </c>
      <c r="DH109" s="3" t="s">
        <v>3</v>
      </c>
      <c r="DI109" s="3" t="s">
        <v>36</v>
      </c>
      <c r="DJ109" s="3" t="s">
        <v>36</v>
      </c>
      <c r="DK109" s="3" t="s">
        <v>3</v>
      </c>
      <c r="DL109" s="3" t="s">
        <v>3</v>
      </c>
      <c r="DM109" s="3" t="s">
        <v>3</v>
      </c>
      <c r="DN109" s="3">
        <v>0</v>
      </c>
      <c r="DO109" s="3">
        <v>0</v>
      </c>
      <c r="DP109" s="3">
        <v>1</v>
      </c>
      <c r="DQ109" s="3">
        <v>1</v>
      </c>
      <c r="DU109" s="3">
        <v>1003</v>
      </c>
      <c r="DV109" s="3" t="s">
        <v>174</v>
      </c>
      <c r="DW109" s="3" t="s">
        <v>174</v>
      </c>
      <c r="DX109" s="3">
        <v>100</v>
      </c>
      <c r="DZ109" s="3" t="s">
        <v>3</v>
      </c>
      <c r="EA109" s="3" t="s">
        <v>3</v>
      </c>
      <c r="EB109" s="3" t="s">
        <v>3</v>
      </c>
      <c r="EC109" s="3" t="s">
        <v>3</v>
      </c>
      <c r="EE109" s="3">
        <v>85133422</v>
      </c>
      <c r="EF109" s="3">
        <v>40</v>
      </c>
      <c r="EG109" s="3" t="s">
        <v>27</v>
      </c>
      <c r="EH109" s="3">
        <v>0</v>
      </c>
      <c r="EI109" s="3" t="s">
        <v>3</v>
      </c>
      <c r="EJ109" s="3">
        <v>2</v>
      </c>
      <c r="EK109" s="3">
        <v>73</v>
      </c>
      <c r="EL109" s="3" t="s">
        <v>62</v>
      </c>
      <c r="EM109" s="3" t="s">
        <v>63</v>
      </c>
      <c r="EO109" s="3" t="s">
        <v>37</v>
      </c>
      <c r="EQ109" s="3">
        <v>0</v>
      </c>
      <c r="ER109" s="3">
        <v>3132.65</v>
      </c>
      <c r="ES109" s="3">
        <v>865</v>
      </c>
      <c r="ET109" s="3">
        <v>513.47</v>
      </c>
      <c r="EU109" s="3">
        <v>101.46</v>
      </c>
      <c r="EV109" s="3">
        <v>1754.18</v>
      </c>
      <c r="EW109" s="3">
        <v>139</v>
      </c>
      <c r="EX109" s="3">
        <v>0</v>
      </c>
      <c r="EY109" s="3">
        <v>0</v>
      </c>
      <c r="FQ109" s="3">
        <v>0</v>
      </c>
      <c r="FR109" s="3">
        <v>0</v>
      </c>
      <c r="FS109" s="3">
        <v>2</v>
      </c>
      <c r="FX109" s="3">
        <v>90</v>
      </c>
      <c r="FY109" s="3">
        <v>46</v>
      </c>
      <c r="GA109" s="3" t="s">
        <v>3</v>
      </c>
      <c r="GD109" s="3">
        <v>1</v>
      </c>
      <c r="GF109" s="3">
        <v>-358609466</v>
      </c>
      <c r="GG109" s="3">
        <v>2</v>
      </c>
      <c r="GH109" s="3">
        <v>1</v>
      </c>
      <c r="GI109" s="3">
        <v>2</v>
      </c>
      <c r="GJ109" s="3">
        <v>0</v>
      </c>
      <c r="GK109" s="3">
        <v>0</v>
      </c>
      <c r="GL109" s="3">
        <f t="shared" si="110"/>
        <v>0</v>
      </c>
      <c r="GM109" s="3">
        <f t="shared" si="111"/>
        <v>97254.14</v>
      </c>
      <c r="GN109" s="3">
        <f t="shared" si="112"/>
        <v>0</v>
      </c>
      <c r="GO109" s="3">
        <f t="shared" si="113"/>
        <v>97254.14</v>
      </c>
      <c r="GP109" s="3">
        <f t="shared" si="114"/>
        <v>0</v>
      </c>
      <c r="GR109" s="3">
        <v>0</v>
      </c>
      <c r="GS109" s="3">
        <v>3</v>
      </c>
      <c r="GT109" s="3">
        <v>0</v>
      </c>
      <c r="GU109" s="3" t="s">
        <v>3</v>
      </c>
      <c r="GV109" s="3">
        <f t="shared" si="115"/>
        <v>0</v>
      </c>
      <c r="GW109" s="3">
        <v>1</v>
      </c>
      <c r="GX109" s="3">
        <f t="shared" si="116"/>
        <v>0</v>
      </c>
      <c r="HA109" s="3">
        <v>0</v>
      </c>
      <c r="HB109" s="3">
        <v>0</v>
      </c>
      <c r="HC109" s="3">
        <f t="shared" si="117"/>
        <v>0</v>
      </c>
      <c r="HE109" s="3" t="s">
        <v>3</v>
      </c>
      <c r="HF109" s="3" t="s">
        <v>3</v>
      </c>
      <c r="HM109" s="3" t="s">
        <v>3</v>
      </c>
      <c r="HN109" s="3" t="s">
        <v>3</v>
      </c>
      <c r="HO109" s="3" t="s">
        <v>3</v>
      </c>
      <c r="HP109" s="3" t="s">
        <v>3</v>
      </c>
      <c r="HQ109" s="3" t="s">
        <v>3</v>
      </c>
      <c r="HS109" s="3">
        <v>0</v>
      </c>
      <c r="IK109" s="3">
        <v>0</v>
      </c>
    </row>
    <row r="110" spans="1:255" x14ac:dyDescent="0.2">
      <c r="A110" s="2">
        <v>18</v>
      </c>
      <c r="B110" s="2">
        <v>1</v>
      </c>
      <c r="C110" s="2">
        <v>313</v>
      </c>
      <c r="D110" s="2"/>
      <c r="E110" s="2" t="s">
        <v>216</v>
      </c>
      <c r="F110" s="2" t="s">
        <v>206</v>
      </c>
      <c r="G110" s="2" t="s">
        <v>207</v>
      </c>
      <c r="H110" s="2" t="s">
        <v>179</v>
      </c>
      <c r="I110" s="2">
        <f>I108*J110</f>
        <v>15.074999999999999</v>
      </c>
      <c r="J110" s="2">
        <v>50.25</v>
      </c>
      <c r="K110" s="2">
        <v>50.25</v>
      </c>
      <c r="L110" s="2"/>
      <c r="M110" s="2"/>
      <c r="N110" s="2"/>
      <c r="O110" s="2">
        <f t="shared" si="95"/>
        <v>773.05</v>
      </c>
      <c r="P110" s="2">
        <f t="shared" si="91"/>
        <v>773.05</v>
      </c>
      <c r="Q110" s="2">
        <f t="shared" ref="Q110:Q121" si="132">(ROUND((ROUND(((ET110)*AV110*I110),2)*BB110),2)+ROUND((ROUND(((AE110-(EU110))*AV110*I110),2)*BS110),2))</f>
        <v>0</v>
      </c>
      <c r="R110" s="2">
        <f t="shared" ref="R110:R121" si="133">(ROUND((ROUND(((EU110)*AV110*I110),2)*BS110),2)+ROUND((ROUND(((AE110-(EU110))*AV110*I110),2)*BS110),2))</f>
        <v>0</v>
      </c>
      <c r="S110" s="2">
        <f t="shared" si="96"/>
        <v>0</v>
      </c>
      <c r="T110" s="2">
        <f t="shared" si="97"/>
        <v>0</v>
      </c>
      <c r="U110" s="2">
        <f t="shared" si="98"/>
        <v>0</v>
      </c>
      <c r="V110" s="2">
        <f t="shared" si="99"/>
        <v>0</v>
      </c>
      <c r="W110" s="2">
        <f t="shared" si="100"/>
        <v>0</v>
      </c>
      <c r="X110" s="2">
        <f t="shared" ref="X110:X121" si="134">(ROUND((((S110+ROUND((ROUND(((EU110)*AV110*I110),2)*BS110),2))*AT110)/100),2)+ROUND(((ROUND((ROUND(((AE110-(EU110))*AV110*I110),2)*BS110),2)*AT110)/100),2))</f>
        <v>0</v>
      </c>
      <c r="Y110" s="2">
        <f t="shared" ref="Y110:Y121" si="135">(ROUND((((S110+ROUND((ROUND(((EU110)*AV110*I110),2)*BS110),2))*AU110)/100),2)+ROUND(((ROUND((ROUND(((AE110-(EU110))*AV110*I110),2)*BS110),2)*AU110)/100),2))</f>
        <v>0</v>
      </c>
      <c r="Z110" s="2"/>
      <c r="AA110" s="2">
        <v>85739205</v>
      </c>
      <c r="AB110" s="2">
        <f t="shared" si="101"/>
        <v>51.28</v>
      </c>
      <c r="AC110" s="2">
        <f t="shared" ref="AC110:AC121" si="136">ROUND((ES110),6)</f>
        <v>51.28</v>
      </c>
      <c r="AD110" s="2">
        <f t="shared" ref="AD110:AD121" si="137">ROUND((((ET110)-(EU110))+AE110),6)</f>
        <v>0</v>
      </c>
      <c r="AE110" s="2">
        <f t="shared" ref="AE110:AE121" si="138">ROUND((EU110),6)</f>
        <v>0</v>
      </c>
      <c r="AF110" s="2">
        <f t="shared" ref="AF110:AF121" si="139">ROUND((EV110),6)</f>
        <v>0</v>
      </c>
      <c r="AG110" s="2">
        <f t="shared" si="102"/>
        <v>0</v>
      </c>
      <c r="AH110" s="2">
        <f t="shared" ref="AH110:AH121" si="140">(EW110)</f>
        <v>0</v>
      </c>
      <c r="AI110" s="2">
        <f t="shared" ref="AI110:AI121" si="141">(EX110)</f>
        <v>0</v>
      </c>
      <c r="AJ110" s="2">
        <f t="shared" si="103"/>
        <v>0</v>
      </c>
      <c r="AK110" s="2">
        <v>51.28</v>
      </c>
      <c r="AL110" s="2">
        <v>51.28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90</v>
      </c>
      <c r="AU110" s="2">
        <v>46</v>
      </c>
      <c r="AV110" s="2">
        <v>1</v>
      </c>
      <c r="AW110" s="2">
        <v>1</v>
      </c>
      <c r="AX110" s="2"/>
      <c r="AY110" s="2"/>
      <c r="AZ110" s="2">
        <v>1</v>
      </c>
      <c r="BA110" s="2">
        <v>1</v>
      </c>
      <c r="BB110" s="2">
        <v>1</v>
      </c>
      <c r="BC110" s="2">
        <v>1</v>
      </c>
      <c r="BD110" s="2" t="s">
        <v>3</v>
      </c>
      <c r="BE110" s="2" t="s">
        <v>3</v>
      </c>
      <c r="BF110" s="2" t="s">
        <v>3</v>
      </c>
      <c r="BG110" s="2" t="s">
        <v>3</v>
      </c>
      <c r="BH110" s="2">
        <v>3</v>
      </c>
      <c r="BI110" s="2">
        <v>2</v>
      </c>
      <c r="BJ110" s="2" t="s">
        <v>208</v>
      </c>
      <c r="BK110" s="2"/>
      <c r="BL110" s="2"/>
      <c r="BM110" s="2">
        <v>73</v>
      </c>
      <c r="BN110" s="2">
        <v>0</v>
      </c>
      <c r="BO110" s="2" t="s">
        <v>3</v>
      </c>
      <c r="BP110" s="2">
        <v>0</v>
      </c>
      <c r="BQ110" s="2">
        <v>40</v>
      </c>
      <c r="BR110" s="2">
        <v>0</v>
      </c>
      <c r="BS110" s="2">
        <v>1</v>
      </c>
      <c r="BT110" s="2">
        <v>1</v>
      </c>
      <c r="BU110" s="2">
        <v>1</v>
      </c>
      <c r="BV110" s="2">
        <v>1</v>
      </c>
      <c r="BW110" s="2">
        <v>1</v>
      </c>
      <c r="BX110" s="2">
        <v>1</v>
      </c>
      <c r="BY110" s="2" t="s">
        <v>3</v>
      </c>
      <c r="BZ110" s="2">
        <v>90</v>
      </c>
      <c r="CA110" s="2">
        <v>46</v>
      </c>
      <c r="CB110" s="2" t="s">
        <v>3</v>
      </c>
      <c r="CC110" s="2"/>
      <c r="CD110" s="2"/>
      <c r="CE110" s="2">
        <v>1566</v>
      </c>
      <c r="CF110" s="2">
        <v>0</v>
      </c>
      <c r="CG110" s="2">
        <v>0</v>
      </c>
      <c r="CH110" s="2"/>
      <c r="CI110" s="2"/>
      <c r="CJ110" s="2"/>
      <c r="CK110" s="2"/>
      <c r="CL110" s="2"/>
      <c r="CM110" s="2">
        <v>0</v>
      </c>
      <c r="CN110" s="2" t="s">
        <v>679</v>
      </c>
      <c r="CO110" s="2">
        <v>0</v>
      </c>
      <c r="CP110" s="2">
        <f t="shared" si="104"/>
        <v>773.05</v>
      </c>
      <c r="CQ110" s="2">
        <f t="shared" si="94"/>
        <v>51.28</v>
      </c>
      <c r="CR110" s="2">
        <f t="shared" ref="CR110:CR121" si="142">(ROUND((ROUND(((ET110)*AV110*1),2)*BB110),2)+ROUND((ROUND(((AE110-(EU110))*AV110*1),2)*BS110),2))</f>
        <v>0</v>
      </c>
      <c r="CS110" s="2">
        <f t="shared" ref="CS110:CS121" si="143">(ROUND((ROUND(((EU110)*AV110*1),2)*BS110),2)+ROUND((ROUND(((AE110-(EU110))*AV110*1),2)*BS110),2))</f>
        <v>0</v>
      </c>
      <c r="CT110" s="2">
        <f t="shared" si="105"/>
        <v>0</v>
      </c>
      <c r="CU110" s="2">
        <f t="shared" si="106"/>
        <v>0</v>
      </c>
      <c r="CV110" s="2">
        <f t="shared" si="107"/>
        <v>0</v>
      </c>
      <c r="CW110" s="2">
        <f t="shared" si="108"/>
        <v>0</v>
      </c>
      <c r="CX110" s="2">
        <f t="shared" si="109"/>
        <v>0</v>
      </c>
      <c r="CY110" s="2">
        <f t="shared" ref="CY110:CY121" si="144">(ROUND((((S110+ROUND((ROUND(((EU110)*AV110*1),2)*BS110),2))*AT110)/100),2)+ROUND(((ROUND((ROUND(((AE110-(EU110))*AV110*1),2)*BS110),2)*AT110)/100),2))</f>
        <v>0</v>
      </c>
      <c r="CZ110" s="2">
        <f t="shared" ref="CZ110:CZ121" si="145">(ROUND((((S110+ROUND((ROUND(((EU110)*AV110*1),2)*BS110),2))*AU110)/100),2)+ROUND(((ROUND((ROUND(((AE110-(EU110))*AV110*1),2)*BS110),2)*AU110)/100),2))</f>
        <v>0</v>
      </c>
      <c r="DA110" s="2"/>
      <c r="DB110" s="2"/>
      <c r="DC110" s="2" t="s">
        <v>3</v>
      </c>
      <c r="DD110" s="2" t="s">
        <v>3</v>
      </c>
      <c r="DE110" s="2" t="s">
        <v>3</v>
      </c>
      <c r="DF110" s="2" t="s">
        <v>3</v>
      </c>
      <c r="DG110" s="2" t="s">
        <v>3</v>
      </c>
      <c r="DH110" s="2" t="s">
        <v>3</v>
      </c>
      <c r="DI110" s="2" t="s">
        <v>3</v>
      </c>
      <c r="DJ110" s="2" t="s">
        <v>3</v>
      </c>
      <c r="DK110" s="2" t="s">
        <v>3</v>
      </c>
      <c r="DL110" s="2" t="s">
        <v>3</v>
      </c>
      <c r="DM110" s="2" t="s">
        <v>3</v>
      </c>
      <c r="DN110" s="2">
        <v>0</v>
      </c>
      <c r="DO110" s="2">
        <v>0</v>
      </c>
      <c r="DP110" s="2">
        <v>1</v>
      </c>
      <c r="DQ110" s="2">
        <v>1</v>
      </c>
      <c r="DR110" s="2"/>
      <c r="DS110" s="2"/>
      <c r="DT110" s="2"/>
      <c r="DU110" s="2">
        <v>1003</v>
      </c>
      <c r="DV110" s="2" t="s">
        <v>179</v>
      </c>
      <c r="DW110" s="2" t="s">
        <v>179</v>
      </c>
      <c r="DX110" s="2">
        <v>1</v>
      </c>
      <c r="DY110" s="2"/>
      <c r="DZ110" s="2" t="s">
        <v>3</v>
      </c>
      <c r="EA110" s="2" t="s">
        <v>3</v>
      </c>
      <c r="EB110" s="2" t="s">
        <v>3</v>
      </c>
      <c r="EC110" s="2" t="s">
        <v>3</v>
      </c>
      <c r="ED110" s="2"/>
      <c r="EE110" s="2">
        <v>85133422</v>
      </c>
      <c r="EF110" s="2">
        <v>40</v>
      </c>
      <c r="EG110" s="2" t="s">
        <v>27</v>
      </c>
      <c r="EH110" s="2">
        <v>0</v>
      </c>
      <c r="EI110" s="2" t="s">
        <v>3</v>
      </c>
      <c r="EJ110" s="2">
        <v>2</v>
      </c>
      <c r="EK110" s="2">
        <v>73</v>
      </c>
      <c r="EL110" s="2" t="s">
        <v>62</v>
      </c>
      <c r="EM110" s="2" t="s">
        <v>63</v>
      </c>
      <c r="EN110" s="2"/>
      <c r="EO110" s="2" t="s">
        <v>37</v>
      </c>
      <c r="EP110" s="2"/>
      <c r="EQ110" s="2">
        <v>0</v>
      </c>
      <c r="ER110" s="2">
        <v>51.28</v>
      </c>
      <c r="ES110" s="2">
        <v>51.28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>
        <v>0</v>
      </c>
      <c r="FR110" s="2">
        <v>0</v>
      </c>
      <c r="FS110" s="2">
        <v>0</v>
      </c>
      <c r="FT110" s="2"/>
      <c r="FU110" s="2"/>
      <c r="FV110" s="2"/>
      <c r="FW110" s="2"/>
      <c r="FX110" s="2">
        <v>90</v>
      </c>
      <c r="FY110" s="2">
        <v>46</v>
      </c>
      <c r="FZ110" s="2"/>
      <c r="GA110" s="2" t="s">
        <v>3</v>
      </c>
      <c r="GB110" s="2"/>
      <c r="GC110" s="2"/>
      <c r="GD110" s="2">
        <v>1</v>
      </c>
      <c r="GE110" s="2"/>
      <c r="GF110" s="2">
        <v>-173671470</v>
      </c>
      <c r="GG110" s="2">
        <v>2</v>
      </c>
      <c r="GH110" s="2">
        <v>1</v>
      </c>
      <c r="GI110" s="2">
        <v>-2</v>
      </c>
      <c r="GJ110" s="2">
        <v>0</v>
      </c>
      <c r="GK110" s="2">
        <v>0</v>
      </c>
      <c r="GL110" s="2">
        <f t="shared" si="110"/>
        <v>0</v>
      </c>
      <c r="GM110" s="2">
        <f t="shared" si="111"/>
        <v>773.05</v>
      </c>
      <c r="GN110" s="2">
        <f t="shared" si="112"/>
        <v>0</v>
      </c>
      <c r="GO110" s="2">
        <f t="shared" si="113"/>
        <v>773.05</v>
      </c>
      <c r="GP110" s="2">
        <f t="shared" si="114"/>
        <v>0</v>
      </c>
      <c r="GQ110" s="2"/>
      <c r="GR110" s="2">
        <v>0</v>
      </c>
      <c r="GS110" s="2">
        <v>3</v>
      </c>
      <c r="GT110" s="2">
        <v>0</v>
      </c>
      <c r="GU110" s="2" t="s">
        <v>3</v>
      </c>
      <c r="GV110" s="2">
        <f t="shared" si="115"/>
        <v>0</v>
      </c>
      <c r="GW110" s="2">
        <v>1</v>
      </c>
      <c r="GX110" s="2">
        <f t="shared" si="116"/>
        <v>0</v>
      </c>
      <c r="GY110" s="2"/>
      <c r="GZ110" s="2"/>
      <c r="HA110" s="2">
        <v>0</v>
      </c>
      <c r="HB110" s="2">
        <v>0</v>
      </c>
      <c r="HC110" s="2">
        <f t="shared" si="117"/>
        <v>0</v>
      </c>
      <c r="HD110" s="2"/>
      <c r="HE110" s="2" t="s">
        <v>3</v>
      </c>
      <c r="HF110" s="2" t="s">
        <v>3</v>
      </c>
      <c r="HG110" s="2"/>
      <c r="HH110" s="2"/>
      <c r="HI110" s="2"/>
      <c r="HJ110" s="2"/>
      <c r="HK110" s="2"/>
      <c r="HL110" s="2"/>
      <c r="HM110" s="2" t="s">
        <v>35</v>
      </c>
      <c r="HN110" s="2" t="s">
        <v>3</v>
      </c>
      <c r="HO110" s="2" t="s">
        <v>3</v>
      </c>
      <c r="HP110" s="2" t="s">
        <v>3</v>
      </c>
      <c r="HQ110" s="2" t="s">
        <v>3</v>
      </c>
      <c r="HR110" s="2"/>
      <c r="HS110" s="2">
        <v>0</v>
      </c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>
        <v>0</v>
      </c>
      <c r="IL110" s="2"/>
      <c r="IM110" s="2"/>
      <c r="IN110" s="2"/>
      <c r="IO110" s="2"/>
      <c r="IP110" s="2"/>
      <c r="IQ110" s="2"/>
      <c r="IR110" s="2"/>
      <c r="IS110" s="2"/>
      <c r="IT110" s="2"/>
      <c r="IU110" s="2"/>
    </row>
    <row r="111" spans="1:255" x14ac:dyDescent="0.2">
      <c r="A111" s="3">
        <v>18</v>
      </c>
      <c r="B111" s="3">
        <v>1</v>
      </c>
      <c r="C111" s="3">
        <v>329</v>
      </c>
      <c r="E111" s="3" t="s">
        <v>216</v>
      </c>
      <c r="F111" s="3" t="s">
        <v>206</v>
      </c>
      <c r="G111" s="3" t="s">
        <v>207</v>
      </c>
      <c r="H111" s="3" t="s">
        <v>179</v>
      </c>
      <c r="I111" s="3">
        <f>I109*J111</f>
        <v>15.074999999999999</v>
      </c>
      <c r="J111" s="3">
        <v>50.25</v>
      </c>
      <c r="K111" s="3">
        <v>50.25</v>
      </c>
      <c r="O111" s="3">
        <f t="shared" si="95"/>
        <v>16017.6</v>
      </c>
      <c r="P111" s="3">
        <f t="shared" si="91"/>
        <v>16017.6</v>
      </c>
      <c r="Q111" s="3">
        <f t="shared" si="132"/>
        <v>0</v>
      </c>
      <c r="R111" s="3">
        <f t="shared" si="133"/>
        <v>0</v>
      </c>
      <c r="S111" s="3">
        <f t="shared" si="96"/>
        <v>0</v>
      </c>
      <c r="T111" s="3">
        <f t="shared" si="97"/>
        <v>0</v>
      </c>
      <c r="U111" s="3">
        <f t="shared" si="98"/>
        <v>0</v>
      </c>
      <c r="V111" s="3">
        <f t="shared" si="99"/>
        <v>0</v>
      </c>
      <c r="W111" s="3">
        <f t="shared" si="100"/>
        <v>0</v>
      </c>
      <c r="X111" s="3">
        <f t="shared" si="134"/>
        <v>0</v>
      </c>
      <c r="Y111" s="3">
        <f t="shared" si="135"/>
        <v>0</v>
      </c>
      <c r="AA111" s="3">
        <v>85739207</v>
      </c>
      <c r="AB111" s="3">
        <f t="shared" si="101"/>
        <v>51.28</v>
      </c>
      <c r="AC111" s="3">
        <f t="shared" si="136"/>
        <v>51.28</v>
      </c>
      <c r="AD111" s="3">
        <f t="shared" si="137"/>
        <v>0</v>
      </c>
      <c r="AE111" s="3">
        <f t="shared" si="138"/>
        <v>0</v>
      </c>
      <c r="AF111" s="3">
        <f t="shared" si="139"/>
        <v>0</v>
      </c>
      <c r="AG111" s="3">
        <f t="shared" si="102"/>
        <v>0</v>
      </c>
      <c r="AH111" s="3">
        <f t="shared" si="140"/>
        <v>0</v>
      </c>
      <c r="AI111" s="3">
        <f t="shared" si="141"/>
        <v>0</v>
      </c>
      <c r="AJ111" s="3">
        <f t="shared" si="103"/>
        <v>0</v>
      </c>
      <c r="AK111" s="3">
        <v>51.28</v>
      </c>
      <c r="AL111" s="3">
        <v>51.28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90</v>
      </c>
      <c r="AU111" s="3">
        <v>46</v>
      </c>
      <c r="AV111" s="3">
        <v>1</v>
      </c>
      <c r="AW111" s="3">
        <v>1</v>
      </c>
      <c r="AZ111" s="3">
        <v>1</v>
      </c>
      <c r="BA111" s="3">
        <v>1</v>
      </c>
      <c r="BB111" s="3">
        <v>1</v>
      </c>
      <c r="BC111" s="3">
        <v>20.72</v>
      </c>
      <c r="BD111" s="3" t="s">
        <v>3</v>
      </c>
      <c r="BE111" s="3" t="s">
        <v>3</v>
      </c>
      <c r="BF111" s="3" t="s">
        <v>3</v>
      </c>
      <c r="BG111" s="3" t="s">
        <v>3</v>
      </c>
      <c r="BH111" s="3">
        <v>3</v>
      </c>
      <c r="BI111" s="3">
        <v>2</v>
      </c>
      <c r="BJ111" s="3" t="s">
        <v>208</v>
      </c>
      <c r="BM111" s="3">
        <v>73</v>
      </c>
      <c r="BN111" s="3">
        <v>0</v>
      </c>
      <c r="BO111" s="3" t="s">
        <v>206</v>
      </c>
      <c r="BP111" s="3">
        <v>1</v>
      </c>
      <c r="BQ111" s="3">
        <v>40</v>
      </c>
      <c r="BR111" s="3">
        <v>0</v>
      </c>
      <c r="BS111" s="3">
        <v>1</v>
      </c>
      <c r="BT111" s="3">
        <v>1</v>
      </c>
      <c r="BU111" s="3">
        <v>1</v>
      </c>
      <c r="BV111" s="3">
        <v>1</v>
      </c>
      <c r="BW111" s="3">
        <v>1</v>
      </c>
      <c r="BX111" s="3">
        <v>1</v>
      </c>
      <c r="BY111" s="3" t="s">
        <v>3</v>
      </c>
      <c r="BZ111" s="3">
        <v>90</v>
      </c>
      <c r="CA111" s="3">
        <v>46</v>
      </c>
      <c r="CB111" s="3" t="s">
        <v>3</v>
      </c>
      <c r="CE111" s="3">
        <v>1566</v>
      </c>
      <c r="CF111" s="3">
        <v>0</v>
      </c>
      <c r="CG111" s="3">
        <v>0</v>
      </c>
      <c r="CM111" s="3">
        <v>0</v>
      </c>
      <c r="CN111" s="3" t="s">
        <v>679</v>
      </c>
      <c r="CO111" s="3">
        <v>0</v>
      </c>
      <c r="CP111" s="3">
        <f t="shared" si="104"/>
        <v>16017.6</v>
      </c>
      <c r="CQ111" s="3">
        <f t="shared" si="94"/>
        <v>1062.52</v>
      </c>
      <c r="CR111" s="3">
        <f t="shared" si="142"/>
        <v>0</v>
      </c>
      <c r="CS111" s="3">
        <f t="shared" si="143"/>
        <v>0</v>
      </c>
      <c r="CT111" s="3">
        <f t="shared" si="105"/>
        <v>0</v>
      </c>
      <c r="CU111" s="3">
        <f t="shared" si="106"/>
        <v>0</v>
      </c>
      <c r="CV111" s="3">
        <f t="shared" si="107"/>
        <v>0</v>
      </c>
      <c r="CW111" s="3">
        <f t="shared" si="108"/>
        <v>0</v>
      </c>
      <c r="CX111" s="3">
        <f t="shared" si="109"/>
        <v>0</v>
      </c>
      <c r="CY111" s="3">
        <f t="shared" si="144"/>
        <v>0</v>
      </c>
      <c r="CZ111" s="3">
        <f t="shared" si="145"/>
        <v>0</v>
      </c>
      <c r="DC111" s="3" t="s">
        <v>3</v>
      </c>
      <c r="DD111" s="3" t="s">
        <v>3</v>
      </c>
      <c r="DE111" s="3" t="s">
        <v>3</v>
      </c>
      <c r="DF111" s="3" t="s">
        <v>3</v>
      </c>
      <c r="DG111" s="3" t="s">
        <v>3</v>
      </c>
      <c r="DH111" s="3" t="s">
        <v>3</v>
      </c>
      <c r="DI111" s="3" t="s">
        <v>3</v>
      </c>
      <c r="DJ111" s="3" t="s">
        <v>3</v>
      </c>
      <c r="DK111" s="3" t="s">
        <v>3</v>
      </c>
      <c r="DL111" s="3" t="s">
        <v>3</v>
      </c>
      <c r="DM111" s="3" t="s">
        <v>3</v>
      </c>
      <c r="DN111" s="3">
        <v>0</v>
      </c>
      <c r="DO111" s="3">
        <v>0</v>
      </c>
      <c r="DP111" s="3">
        <v>1</v>
      </c>
      <c r="DQ111" s="3">
        <v>1</v>
      </c>
      <c r="DU111" s="3">
        <v>1003</v>
      </c>
      <c r="DV111" s="3" t="s">
        <v>179</v>
      </c>
      <c r="DW111" s="3" t="s">
        <v>179</v>
      </c>
      <c r="DX111" s="3">
        <v>1</v>
      </c>
      <c r="DZ111" s="3" t="s">
        <v>3</v>
      </c>
      <c r="EA111" s="3" t="s">
        <v>3</v>
      </c>
      <c r="EB111" s="3" t="s">
        <v>3</v>
      </c>
      <c r="EC111" s="3" t="s">
        <v>3</v>
      </c>
      <c r="EE111" s="3">
        <v>85133422</v>
      </c>
      <c r="EF111" s="3">
        <v>40</v>
      </c>
      <c r="EG111" s="3" t="s">
        <v>27</v>
      </c>
      <c r="EH111" s="3">
        <v>0</v>
      </c>
      <c r="EI111" s="3" t="s">
        <v>3</v>
      </c>
      <c r="EJ111" s="3">
        <v>2</v>
      </c>
      <c r="EK111" s="3">
        <v>73</v>
      </c>
      <c r="EL111" s="3" t="s">
        <v>62</v>
      </c>
      <c r="EM111" s="3" t="s">
        <v>63</v>
      </c>
      <c r="EO111" s="3" t="s">
        <v>37</v>
      </c>
      <c r="EQ111" s="3">
        <v>0</v>
      </c>
      <c r="ER111" s="3">
        <v>51.28</v>
      </c>
      <c r="ES111" s="3">
        <v>51.28</v>
      </c>
      <c r="ET111" s="3">
        <v>0</v>
      </c>
      <c r="EU111" s="3">
        <v>0</v>
      </c>
      <c r="EV111" s="3">
        <v>0</v>
      </c>
      <c r="EW111" s="3">
        <v>0</v>
      </c>
      <c r="EX111" s="3">
        <v>0</v>
      </c>
      <c r="FQ111" s="3">
        <v>0</v>
      </c>
      <c r="FR111" s="3">
        <v>0</v>
      </c>
      <c r="FS111" s="3">
        <v>0</v>
      </c>
      <c r="FX111" s="3">
        <v>90</v>
      </c>
      <c r="FY111" s="3">
        <v>46</v>
      </c>
      <c r="GA111" s="3" t="s">
        <v>3</v>
      </c>
      <c r="GD111" s="3">
        <v>1</v>
      </c>
      <c r="GF111" s="3">
        <v>-173671470</v>
      </c>
      <c r="GG111" s="3">
        <v>2</v>
      </c>
      <c r="GH111" s="3">
        <v>1</v>
      </c>
      <c r="GI111" s="3">
        <v>2</v>
      </c>
      <c r="GJ111" s="3">
        <v>0</v>
      </c>
      <c r="GK111" s="3">
        <v>0</v>
      </c>
      <c r="GL111" s="3">
        <f t="shared" si="110"/>
        <v>0</v>
      </c>
      <c r="GM111" s="3">
        <f t="shared" si="111"/>
        <v>16017.6</v>
      </c>
      <c r="GN111" s="3">
        <f t="shared" si="112"/>
        <v>0</v>
      </c>
      <c r="GO111" s="3">
        <f t="shared" si="113"/>
        <v>16017.6</v>
      </c>
      <c r="GP111" s="3">
        <f t="shared" si="114"/>
        <v>0</v>
      </c>
      <c r="GR111" s="3">
        <v>0</v>
      </c>
      <c r="GS111" s="3">
        <v>3</v>
      </c>
      <c r="GT111" s="3">
        <v>0</v>
      </c>
      <c r="GU111" s="3" t="s">
        <v>3</v>
      </c>
      <c r="GV111" s="3">
        <f t="shared" si="115"/>
        <v>0</v>
      </c>
      <c r="GW111" s="3">
        <v>1</v>
      </c>
      <c r="GX111" s="3">
        <f t="shared" si="116"/>
        <v>0</v>
      </c>
      <c r="HA111" s="3">
        <v>0</v>
      </c>
      <c r="HB111" s="3">
        <v>0</v>
      </c>
      <c r="HC111" s="3">
        <f t="shared" si="117"/>
        <v>0</v>
      </c>
      <c r="HE111" s="3" t="s">
        <v>3</v>
      </c>
      <c r="HF111" s="3" t="s">
        <v>3</v>
      </c>
      <c r="HM111" s="3" t="s">
        <v>35</v>
      </c>
      <c r="HN111" s="3" t="s">
        <v>3</v>
      </c>
      <c r="HO111" s="3" t="s">
        <v>3</v>
      </c>
      <c r="HP111" s="3" t="s">
        <v>3</v>
      </c>
      <c r="HQ111" s="3" t="s">
        <v>3</v>
      </c>
      <c r="HS111" s="3">
        <v>0</v>
      </c>
      <c r="IK111" s="3">
        <v>0</v>
      </c>
    </row>
    <row r="112" spans="1:255" x14ac:dyDescent="0.2">
      <c r="A112" s="2">
        <v>18</v>
      </c>
      <c r="B112" s="2">
        <v>1</v>
      </c>
      <c r="C112" s="2">
        <v>312</v>
      </c>
      <c r="D112" s="2"/>
      <c r="E112" s="2" t="s">
        <v>217</v>
      </c>
      <c r="F112" s="2" t="s">
        <v>209</v>
      </c>
      <c r="G112" s="2" t="s">
        <v>210</v>
      </c>
      <c r="H112" s="2" t="s">
        <v>179</v>
      </c>
      <c r="I112" s="2">
        <f>I108*J112</f>
        <v>15.074999999999999</v>
      </c>
      <c r="J112" s="2">
        <v>50.25</v>
      </c>
      <c r="K112" s="2">
        <v>50.25</v>
      </c>
      <c r="L112" s="2"/>
      <c r="M112" s="2"/>
      <c r="N112" s="2"/>
      <c r="O112" s="2">
        <f t="shared" si="95"/>
        <v>626.66999999999996</v>
      </c>
      <c r="P112" s="2">
        <f t="shared" si="91"/>
        <v>626.66999999999996</v>
      </c>
      <c r="Q112" s="2">
        <f t="shared" si="132"/>
        <v>0</v>
      </c>
      <c r="R112" s="2">
        <f t="shared" si="133"/>
        <v>0</v>
      </c>
      <c r="S112" s="2">
        <f t="shared" si="96"/>
        <v>0</v>
      </c>
      <c r="T112" s="2">
        <f t="shared" si="97"/>
        <v>0</v>
      </c>
      <c r="U112" s="2">
        <f t="shared" si="98"/>
        <v>0</v>
      </c>
      <c r="V112" s="2">
        <f t="shared" si="99"/>
        <v>0</v>
      </c>
      <c r="W112" s="2">
        <f t="shared" si="100"/>
        <v>0</v>
      </c>
      <c r="X112" s="2">
        <f t="shared" si="134"/>
        <v>0</v>
      </c>
      <c r="Y112" s="2">
        <f t="shared" si="135"/>
        <v>0</v>
      </c>
      <c r="Z112" s="2"/>
      <c r="AA112" s="2">
        <v>85739205</v>
      </c>
      <c r="AB112" s="2">
        <f t="shared" si="101"/>
        <v>41.57</v>
      </c>
      <c r="AC112" s="2">
        <f t="shared" si="136"/>
        <v>41.57</v>
      </c>
      <c r="AD112" s="2">
        <f t="shared" si="137"/>
        <v>0</v>
      </c>
      <c r="AE112" s="2">
        <f t="shared" si="138"/>
        <v>0</v>
      </c>
      <c r="AF112" s="2">
        <f t="shared" si="139"/>
        <v>0</v>
      </c>
      <c r="AG112" s="2">
        <f t="shared" si="102"/>
        <v>0</v>
      </c>
      <c r="AH112" s="2">
        <f t="shared" si="140"/>
        <v>0</v>
      </c>
      <c r="AI112" s="2">
        <f t="shared" si="141"/>
        <v>0</v>
      </c>
      <c r="AJ112" s="2">
        <f t="shared" si="103"/>
        <v>0</v>
      </c>
      <c r="AK112" s="2">
        <v>41.57</v>
      </c>
      <c r="AL112" s="2">
        <v>41.57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90</v>
      </c>
      <c r="AU112" s="2">
        <v>46</v>
      </c>
      <c r="AV112" s="2">
        <v>1</v>
      </c>
      <c r="AW112" s="2">
        <v>1</v>
      </c>
      <c r="AX112" s="2"/>
      <c r="AY112" s="2"/>
      <c r="AZ112" s="2">
        <v>1</v>
      </c>
      <c r="BA112" s="2">
        <v>1</v>
      </c>
      <c r="BB112" s="2">
        <v>1</v>
      </c>
      <c r="BC112" s="2">
        <v>1</v>
      </c>
      <c r="BD112" s="2" t="s">
        <v>3</v>
      </c>
      <c r="BE112" s="2" t="s">
        <v>3</v>
      </c>
      <c r="BF112" s="2" t="s">
        <v>3</v>
      </c>
      <c r="BG112" s="2" t="s">
        <v>3</v>
      </c>
      <c r="BH112" s="2">
        <v>3</v>
      </c>
      <c r="BI112" s="2">
        <v>2</v>
      </c>
      <c r="BJ112" s="2" t="s">
        <v>211</v>
      </c>
      <c r="BK112" s="2"/>
      <c r="BL112" s="2"/>
      <c r="BM112" s="2">
        <v>73</v>
      </c>
      <c r="BN112" s="2">
        <v>0</v>
      </c>
      <c r="BO112" s="2" t="s">
        <v>3</v>
      </c>
      <c r="BP112" s="2">
        <v>0</v>
      </c>
      <c r="BQ112" s="2">
        <v>40</v>
      </c>
      <c r="BR112" s="2">
        <v>0</v>
      </c>
      <c r="BS112" s="2">
        <v>1</v>
      </c>
      <c r="BT112" s="2">
        <v>1</v>
      </c>
      <c r="BU112" s="2">
        <v>1</v>
      </c>
      <c r="BV112" s="2">
        <v>1</v>
      </c>
      <c r="BW112" s="2">
        <v>1</v>
      </c>
      <c r="BX112" s="2">
        <v>1</v>
      </c>
      <c r="BY112" s="2" t="s">
        <v>3</v>
      </c>
      <c r="BZ112" s="2">
        <v>90</v>
      </c>
      <c r="CA112" s="2">
        <v>46</v>
      </c>
      <c r="CB112" s="2" t="s">
        <v>3</v>
      </c>
      <c r="CC112" s="2"/>
      <c r="CD112" s="2"/>
      <c r="CE112" s="2">
        <v>1566</v>
      </c>
      <c r="CF112" s="2">
        <v>0</v>
      </c>
      <c r="CG112" s="2">
        <v>0</v>
      </c>
      <c r="CH112" s="2"/>
      <c r="CI112" s="2"/>
      <c r="CJ112" s="2"/>
      <c r="CK112" s="2"/>
      <c r="CL112" s="2"/>
      <c r="CM112" s="2">
        <v>0</v>
      </c>
      <c r="CN112" s="2" t="s">
        <v>679</v>
      </c>
      <c r="CO112" s="2">
        <v>0</v>
      </c>
      <c r="CP112" s="2">
        <f t="shared" si="104"/>
        <v>626.66999999999996</v>
      </c>
      <c r="CQ112" s="2">
        <f t="shared" si="94"/>
        <v>41.57</v>
      </c>
      <c r="CR112" s="2">
        <f t="shared" si="142"/>
        <v>0</v>
      </c>
      <c r="CS112" s="2">
        <f t="shared" si="143"/>
        <v>0</v>
      </c>
      <c r="CT112" s="2">
        <f t="shared" si="105"/>
        <v>0</v>
      </c>
      <c r="CU112" s="2">
        <f t="shared" si="106"/>
        <v>0</v>
      </c>
      <c r="CV112" s="2">
        <f t="shared" si="107"/>
        <v>0</v>
      </c>
      <c r="CW112" s="2">
        <f t="shared" si="108"/>
        <v>0</v>
      </c>
      <c r="CX112" s="2">
        <f t="shared" si="109"/>
        <v>0</v>
      </c>
      <c r="CY112" s="2">
        <f t="shared" si="144"/>
        <v>0</v>
      </c>
      <c r="CZ112" s="2">
        <f t="shared" si="145"/>
        <v>0</v>
      </c>
      <c r="DA112" s="2"/>
      <c r="DB112" s="2"/>
      <c r="DC112" s="2" t="s">
        <v>3</v>
      </c>
      <c r="DD112" s="2" t="s">
        <v>3</v>
      </c>
      <c r="DE112" s="2" t="s">
        <v>3</v>
      </c>
      <c r="DF112" s="2" t="s">
        <v>3</v>
      </c>
      <c r="DG112" s="2" t="s">
        <v>3</v>
      </c>
      <c r="DH112" s="2" t="s">
        <v>3</v>
      </c>
      <c r="DI112" s="2" t="s">
        <v>3</v>
      </c>
      <c r="DJ112" s="2" t="s">
        <v>3</v>
      </c>
      <c r="DK112" s="2" t="s">
        <v>3</v>
      </c>
      <c r="DL112" s="2" t="s">
        <v>3</v>
      </c>
      <c r="DM112" s="2" t="s">
        <v>3</v>
      </c>
      <c r="DN112" s="2">
        <v>0</v>
      </c>
      <c r="DO112" s="2">
        <v>0</v>
      </c>
      <c r="DP112" s="2">
        <v>1</v>
      </c>
      <c r="DQ112" s="2">
        <v>1</v>
      </c>
      <c r="DR112" s="2"/>
      <c r="DS112" s="2"/>
      <c r="DT112" s="2"/>
      <c r="DU112" s="2">
        <v>1003</v>
      </c>
      <c r="DV112" s="2" t="s">
        <v>179</v>
      </c>
      <c r="DW112" s="2" t="s">
        <v>179</v>
      </c>
      <c r="DX112" s="2">
        <v>1</v>
      </c>
      <c r="DY112" s="2"/>
      <c r="DZ112" s="2" t="s">
        <v>3</v>
      </c>
      <c r="EA112" s="2" t="s">
        <v>3</v>
      </c>
      <c r="EB112" s="2" t="s">
        <v>3</v>
      </c>
      <c r="EC112" s="2" t="s">
        <v>3</v>
      </c>
      <c r="ED112" s="2"/>
      <c r="EE112" s="2">
        <v>85133422</v>
      </c>
      <c r="EF112" s="2">
        <v>40</v>
      </c>
      <c r="EG112" s="2" t="s">
        <v>27</v>
      </c>
      <c r="EH112" s="2">
        <v>0</v>
      </c>
      <c r="EI112" s="2" t="s">
        <v>3</v>
      </c>
      <c r="EJ112" s="2">
        <v>2</v>
      </c>
      <c r="EK112" s="2">
        <v>73</v>
      </c>
      <c r="EL112" s="2" t="s">
        <v>62</v>
      </c>
      <c r="EM112" s="2" t="s">
        <v>63</v>
      </c>
      <c r="EN112" s="2"/>
      <c r="EO112" s="2" t="s">
        <v>37</v>
      </c>
      <c r="EP112" s="2"/>
      <c r="EQ112" s="2">
        <v>0</v>
      </c>
      <c r="ER112" s="2">
        <v>41.57</v>
      </c>
      <c r="ES112" s="2">
        <v>41.57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>
        <v>0</v>
      </c>
      <c r="FR112" s="2">
        <v>0</v>
      </c>
      <c r="FS112" s="2">
        <v>0</v>
      </c>
      <c r="FT112" s="2"/>
      <c r="FU112" s="2"/>
      <c r="FV112" s="2"/>
      <c r="FW112" s="2"/>
      <c r="FX112" s="2">
        <v>90</v>
      </c>
      <c r="FY112" s="2">
        <v>46</v>
      </c>
      <c r="FZ112" s="2"/>
      <c r="GA112" s="2" t="s">
        <v>3</v>
      </c>
      <c r="GB112" s="2"/>
      <c r="GC112" s="2"/>
      <c r="GD112" s="2">
        <v>1</v>
      </c>
      <c r="GE112" s="2"/>
      <c r="GF112" s="2">
        <v>-2048145394</v>
      </c>
      <c r="GG112" s="2">
        <v>2</v>
      </c>
      <c r="GH112" s="2">
        <v>1</v>
      </c>
      <c r="GI112" s="2">
        <v>-2</v>
      </c>
      <c r="GJ112" s="2">
        <v>0</v>
      </c>
      <c r="GK112" s="2">
        <v>0</v>
      </c>
      <c r="GL112" s="2">
        <f t="shared" si="110"/>
        <v>0</v>
      </c>
      <c r="GM112" s="2">
        <f t="shared" si="111"/>
        <v>626.66999999999996</v>
      </c>
      <c r="GN112" s="2">
        <f t="shared" si="112"/>
        <v>0</v>
      </c>
      <c r="GO112" s="2">
        <f t="shared" si="113"/>
        <v>626.66999999999996</v>
      </c>
      <c r="GP112" s="2">
        <f t="shared" si="114"/>
        <v>0</v>
      </c>
      <c r="GQ112" s="2"/>
      <c r="GR112" s="2">
        <v>0</v>
      </c>
      <c r="GS112" s="2">
        <v>3</v>
      </c>
      <c r="GT112" s="2">
        <v>0</v>
      </c>
      <c r="GU112" s="2" t="s">
        <v>3</v>
      </c>
      <c r="GV112" s="2">
        <f t="shared" si="115"/>
        <v>0</v>
      </c>
      <c r="GW112" s="2">
        <v>1</v>
      </c>
      <c r="GX112" s="2">
        <f t="shared" si="116"/>
        <v>0</v>
      </c>
      <c r="GY112" s="2"/>
      <c r="GZ112" s="2"/>
      <c r="HA112" s="2">
        <v>0</v>
      </c>
      <c r="HB112" s="2">
        <v>0</v>
      </c>
      <c r="HC112" s="2">
        <f t="shared" si="117"/>
        <v>0</v>
      </c>
      <c r="HD112" s="2"/>
      <c r="HE112" s="2" t="s">
        <v>3</v>
      </c>
      <c r="HF112" s="2" t="s">
        <v>3</v>
      </c>
      <c r="HG112" s="2"/>
      <c r="HH112" s="2"/>
      <c r="HI112" s="2"/>
      <c r="HJ112" s="2"/>
      <c r="HK112" s="2"/>
      <c r="HL112" s="2"/>
      <c r="HM112" s="2" t="s">
        <v>35</v>
      </c>
      <c r="HN112" s="2" t="s">
        <v>3</v>
      </c>
      <c r="HO112" s="2" t="s">
        <v>3</v>
      </c>
      <c r="HP112" s="2" t="s">
        <v>3</v>
      </c>
      <c r="HQ112" s="2" t="s">
        <v>3</v>
      </c>
      <c r="HR112" s="2"/>
      <c r="HS112" s="2">
        <v>0</v>
      </c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>
        <v>0</v>
      </c>
      <c r="IL112" s="2"/>
      <c r="IM112" s="2"/>
      <c r="IN112" s="2"/>
      <c r="IO112" s="2"/>
      <c r="IP112" s="2"/>
      <c r="IQ112" s="2"/>
      <c r="IR112" s="2"/>
      <c r="IS112" s="2"/>
      <c r="IT112" s="2"/>
      <c r="IU112" s="2"/>
    </row>
    <row r="113" spans="1:255" x14ac:dyDescent="0.2">
      <c r="A113" s="3">
        <v>18</v>
      </c>
      <c r="B113" s="3">
        <v>1</v>
      </c>
      <c r="C113" s="3">
        <v>328</v>
      </c>
      <c r="E113" s="3" t="s">
        <v>217</v>
      </c>
      <c r="F113" s="3" t="s">
        <v>209</v>
      </c>
      <c r="G113" s="3" t="s">
        <v>210</v>
      </c>
      <c r="H113" s="3" t="s">
        <v>179</v>
      </c>
      <c r="I113" s="3">
        <f>I109*J113</f>
        <v>15.074999999999999</v>
      </c>
      <c r="J113" s="3">
        <v>50.25</v>
      </c>
      <c r="K113" s="3">
        <v>50.25</v>
      </c>
      <c r="O113" s="3">
        <f t="shared" si="95"/>
        <v>10371.39</v>
      </c>
      <c r="P113" s="3">
        <f t="shared" si="91"/>
        <v>10371.39</v>
      </c>
      <c r="Q113" s="3">
        <f t="shared" si="132"/>
        <v>0</v>
      </c>
      <c r="R113" s="3">
        <f t="shared" si="133"/>
        <v>0</v>
      </c>
      <c r="S113" s="3">
        <f t="shared" si="96"/>
        <v>0</v>
      </c>
      <c r="T113" s="3">
        <f t="shared" si="97"/>
        <v>0</v>
      </c>
      <c r="U113" s="3">
        <f t="shared" si="98"/>
        <v>0</v>
      </c>
      <c r="V113" s="3">
        <f t="shared" si="99"/>
        <v>0</v>
      </c>
      <c r="W113" s="3">
        <f t="shared" si="100"/>
        <v>0</v>
      </c>
      <c r="X113" s="3">
        <f t="shared" si="134"/>
        <v>0</v>
      </c>
      <c r="Y113" s="3">
        <f t="shared" si="135"/>
        <v>0</v>
      </c>
      <c r="AA113" s="3">
        <v>85739207</v>
      </c>
      <c r="AB113" s="3">
        <f t="shared" si="101"/>
        <v>41.57</v>
      </c>
      <c r="AC113" s="3">
        <f t="shared" si="136"/>
        <v>41.57</v>
      </c>
      <c r="AD113" s="3">
        <f t="shared" si="137"/>
        <v>0</v>
      </c>
      <c r="AE113" s="3">
        <f t="shared" si="138"/>
        <v>0</v>
      </c>
      <c r="AF113" s="3">
        <f t="shared" si="139"/>
        <v>0</v>
      </c>
      <c r="AG113" s="3">
        <f t="shared" si="102"/>
        <v>0</v>
      </c>
      <c r="AH113" s="3">
        <f t="shared" si="140"/>
        <v>0</v>
      </c>
      <c r="AI113" s="3">
        <f t="shared" si="141"/>
        <v>0</v>
      </c>
      <c r="AJ113" s="3">
        <f t="shared" si="103"/>
        <v>0</v>
      </c>
      <c r="AK113" s="3">
        <v>41.57</v>
      </c>
      <c r="AL113" s="3">
        <v>41.57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90</v>
      </c>
      <c r="AU113" s="3">
        <v>46</v>
      </c>
      <c r="AV113" s="3">
        <v>1</v>
      </c>
      <c r="AW113" s="3">
        <v>1</v>
      </c>
      <c r="AZ113" s="3">
        <v>1</v>
      </c>
      <c r="BA113" s="3">
        <v>1</v>
      </c>
      <c r="BB113" s="3">
        <v>1</v>
      </c>
      <c r="BC113" s="3">
        <v>16.55</v>
      </c>
      <c r="BD113" s="3" t="s">
        <v>3</v>
      </c>
      <c r="BE113" s="3" t="s">
        <v>3</v>
      </c>
      <c r="BF113" s="3" t="s">
        <v>3</v>
      </c>
      <c r="BG113" s="3" t="s">
        <v>3</v>
      </c>
      <c r="BH113" s="3">
        <v>3</v>
      </c>
      <c r="BI113" s="3">
        <v>2</v>
      </c>
      <c r="BJ113" s="3" t="s">
        <v>211</v>
      </c>
      <c r="BM113" s="3">
        <v>73</v>
      </c>
      <c r="BN113" s="3">
        <v>0</v>
      </c>
      <c r="BO113" s="3" t="s">
        <v>209</v>
      </c>
      <c r="BP113" s="3">
        <v>1</v>
      </c>
      <c r="BQ113" s="3">
        <v>40</v>
      </c>
      <c r="BR113" s="3">
        <v>0</v>
      </c>
      <c r="BS113" s="3">
        <v>1</v>
      </c>
      <c r="BT113" s="3">
        <v>1</v>
      </c>
      <c r="BU113" s="3">
        <v>1</v>
      </c>
      <c r="BV113" s="3">
        <v>1</v>
      </c>
      <c r="BW113" s="3">
        <v>1</v>
      </c>
      <c r="BX113" s="3">
        <v>1</v>
      </c>
      <c r="BY113" s="3" t="s">
        <v>3</v>
      </c>
      <c r="BZ113" s="3">
        <v>90</v>
      </c>
      <c r="CA113" s="3">
        <v>46</v>
      </c>
      <c r="CB113" s="3" t="s">
        <v>3</v>
      </c>
      <c r="CE113" s="3">
        <v>1566</v>
      </c>
      <c r="CF113" s="3">
        <v>0</v>
      </c>
      <c r="CG113" s="3">
        <v>0</v>
      </c>
      <c r="CM113" s="3">
        <v>0</v>
      </c>
      <c r="CN113" s="3" t="s">
        <v>679</v>
      </c>
      <c r="CO113" s="3">
        <v>0</v>
      </c>
      <c r="CP113" s="3">
        <f t="shared" si="104"/>
        <v>10371.39</v>
      </c>
      <c r="CQ113" s="3">
        <f t="shared" si="94"/>
        <v>687.98</v>
      </c>
      <c r="CR113" s="3">
        <f t="shared" si="142"/>
        <v>0</v>
      </c>
      <c r="CS113" s="3">
        <f t="shared" si="143"/>
        <v>0</v>
      </c>
      <c r="CT113" s="3">
        <f t="shared" si="105"/>
        <v>0</v>
      </c>
      <c r="CU113" s="3">
        <f t="shared" si="106"/>
        <v>0</v>
      </c>
      <c r="CV113" s="3">
        <f t="shared" si="107"/>
        <v>0</v>
      </c>
      <c r="CW113" s="3">
        <f t="shared" si="108"/>
        <v>0</v>
      </c>
      <c r="CX113" s="3">
        <f t="shared" si="109"/>
        <v>0</v>
      </c>
      <c r="CY113" s="3">
        <f t="shared" si="144"/>
        <v>0</v>
      </c>
      <c r="CZ113" s="3">
        <f t="shared" si="145"/>
        <v>0</v>
      </c>
      <c r="DC113" s="3" t="s">
        <v>3</v>
      </c>
      <c r="DD113" s="3" t="s">
        <v>3</v>
      </c>
      <c r="DE113" s="3" t="s">
        <v>3</v>
      </c>
      <c r="DF113" s="3" t="s">
        <v>3</v>
      </c>
      <c r="DG113" s="3" t="s">
        <v>3</v>
      </c>
      <c r="DH113" s="3" t="s">
        <v>3</v>
      </c>
      <c r="DI113" s="3" t="s">
        <v>3</v>
      </c>
      <c r="DJ113" s="3" t="s">
        <v>3</v>
      </c>
      <c r="DK113" s="3" t="s">
        <v>3</v>
      </c>
      <c r="DL113" s="3" t="s">
        <v>3</v>
      </c>
      <c r="DM113" s="3" t="s">
        <v>3</v>
      </c>
      <c r="DN113" s="3">
        <v>0</v>
      </c>
      <c r="DO113" s="3">
        <v>0</v>
      </c>
      <c r="DP113" s="3">
        <v>1</v>
      </c>
      <c r="DQ113" s="3">
        <v>1</v>
      </c>
      <c r="DU113" s="3">
        <v>1003</v>
      </c>
      <c r="DV113" s="3" t="s">
        <v>179</v>
      </c>
      <c r="DW113" s="3" t="s">
        <v>179</v>
      </c>
      <c r="DX113" s="3">
        <v>1</v>
      </c>
      <c r="DZ113" s="3" t="s">
        <v>3</v>
      </c>
      <c r="EA113" s="3" t="s">
        <v>3</v>
      </c>
      <c r="EB113" s="3" t="s">
        <v>3</v>
      </c>
      <c r="EC113" s="3" t="s">
        <v>3</v>
      </c>
      <c r="EE113" s="3">
        <v>85133422</v>
      </c>
      <c r="EF113" s="3">
        <v>40</v>
      </c>
      <c r="EG113" s="3" t="s">
        <v>27</v>
      </c>
      <c r="EH113" s="3">
        <v>0</v>
      </c>
      <c r="EI113" s="3" t="s">
        <v>3</v>
      </c>
      <c r="EJ113" s="3">
        <v>2</v>
      </c>
      <c r="EK113" s="3">
        <v>73</v>
      </c>
      <c r="EL113" s="3" t="s">
        <v>62</v>
      </c>
      <c r="EM113" s="3" t="s">
        <v>63</v>
      </c>
      <c r="EO113" s="3" t="s">
        <v>37</v>
      </c>
      <c r="EQ113" s="3">
        <v>0</v>
      </c>
      <c r="ER113" s="3">
        <v>41.57</v>
      </c>
      <c r="ES113" s="3">
        <v>41.57</v>
      </c>
      <c r="ET113" s="3">
        <v>0</v>
      </c>
      <c r="EU113" s="3">
        <v>0</v>
      </c>
      <c r="EV113" s="3">
        <v>0</v>
      </c>
      <c r="EW113" s="3">
        <v>0</v>
      </c>
      <c r="EX113" s="3">
        <v>0</v>
      </c>
      <c r="FQ113" s="3">
        <v>0</v>
      </c>
      <c r="FR113" s="3">
        <v>0</v>
      </c>
      <c r="FS113" s="3">
        <v>0</v>
      </c>
      <c r="FX113" s="3">
        <v>90</v>
      </c>
      <c r="FY113" s="3">
        <v>46</v>
      </c>
      <c r="GA113" s="3" t="s">
        <v>3</v>
      </c>
      <c r="GD113" s="3">
        <v>1</v>
      </c>
      <c r="GF113" s="3">
        <v>-2048145394</v>
      </c>
      <c r="GG113" s="3">
        <v>2</v>
      </c>
      <c r="GH113" s="3">
        <v>1</v>
      </c>
      <c r="GI113" s="3">
        <v>2</v>
      </c>
      <c r="GJ113" s="3">
        <v>0</v>
      </c>
      <c r="GK113" s="3">
        <v>0</v>
      </c>
      <c r="GL113" s="3">
        <f t="shared" si="110"/>
        <v>0</v>
      </c>
      <c r="GM113" s="3">
        <f t="shared" si="111"/>
        <v>10371.39</v>
      </c>
      <c r="GN113" s="3">
        <f t="shared" si="112"/>
        <v>0</v>
      </c>
      <c r="GO113" s="3">
        <f t="shared" si="113"/>
        <v>10371.39</v>
      </c>
      <c r="GP113" s="3">
        <f t="shared" si="114"/>
        <v>0</v>
      </c>
      <c r="GR113" s="3">
        <v>0</v>
      </c>
      <c r="GS113" s="3">
        <v>3</v>
      </c>
      <c r="GT113" s="3">
        <v>0</v>
      </c>
      <c r="GU113" s="3" t="s">
        <v>3</v>
      </c>
      <c r="GV113" s="3">
        <f t="shared" si="115"/>
        <v>0</v>
      </c>
      <c r="GW113" s="3">
        <v>1</v>
      </c>
      <c r="GX113" s="3">
        <f t="shared" si="116"/>
        <v>0</v>
      </c>
      <c r="HA113" s="3">
        <v>0</v>
      </c>
      <c r="HB113" s="3">
        <v>0</v>
      </c>
      <c r="HC113" s="3">
        <f t="shared" si="117"/>
        <v>0</v>
      </c>
      <c r="HE113" s="3" t="s">
        <v>3</v>
      </c>
      <c r="HF113" s="3" t="s">
        <v>3</v>
      </c>
      <c r="HM113" s="3" t="s">
        <v>35</v>
      </c>
      <c r="HN113" s="3" t="s">
        <v>3</v>
      </c>
      <c r="HO113" s="3" t="s">
        <v>3</v>
      </c>
      <c r="HP113" s="3" t="s">
        <v>3</v>
      </c>
      <c r="HQ113" s="3" t="s">
        <v>3</v>
      </c>
      <c r="HS113" s="3">
        <v>0</v>
      </c>
      <c r="IK113" s="3">
        <v>0</v>
      </c>
    </row>
    <row r="114" spans="1:255" x14ac:dyDescent="0.2">
      <c r="A114" s="2">
        <v>17</v>
      </c>
      <c r="B114" s="2">
        <v>1</v>
      </c>
      <c r="C114" s="2"/>
      <c r="D114" s="2"/>
      <c r="E114" s="2" t="s">
        <v>218</v>
      </c>
      <c r="F114" s="2" t="s">
        <v>219</v>
      </c>
      <c r="G114" s="2" t="s">
        <v>220</v>
      </c>
      <c r="H114" s="2" t="s">
        <v>99</v>
      </c>
      <c r="I114" s="2">
        <v>6</v>
      </c>
      <c r="J114" s="2">
        <v>0</v>
      </c>
      <c r="K114" s="2">
        <v>6</v>
      </c>
      <c r="L114" s="2"/>
      <c r="M114" s="2"/>
      <c r="N114" s="2"/>
      <c r="O114" s="2">
        <f t="shared" si="95"/>
        <v>229.08</v>
      </c>
      <c r="P114" s="2">
        <f t="shared" si="91"/>
        <v>229.08</v>
      </c>
      <c r="Q114" s="2">
        <f t="shared" si="132"/>
        <v>0</v>
      </c>
      <c r="R114" s="2">
        <f t="shared" si="133"/>
        <v>0</v>
      </c>
      <c r="S114" s="2">
        <f t="shared" si="96"/>
        <v>0</v>
      </c>
      <c r="T114" s="2">
        <f t="shared" si="97"/>
        <v>0</v>
      </c>
      <c r="U114" s="2">
        <f t="shared" si="98"/>
        <v>0</v>
      </c>
      <c r="V114" s="2">
        <f t="shared" si="99"/>
        <v>0</v>
      </c>
      <c r="W114" s="2">
        <f t="shared" si="100"/>
        <v>0</v>
      </c>
      <c r="X114" s="2">
        <f t="shared" si="134"/>
        <v>0</v>
      </c>
      <c r="Y114" s="2">
        <f t="shared" si="135"/>
        <v>0</v>
      </c>
      <c r="Z114" s="2"/>
      <c r="AA114" s="2">
        <v>85739205</v>
      </c>
      <c r="AB114" s="2">
        <f t="shared" si="101"/>
        <v>38.18</v>
      </c>
      <c r="AC114" s="2">
        <f t="shared" si="136"/>
        <v>38.18</v>
      </c>
      <c r="AD114" s="2">
        <f t="shared" si="137"/>
        <v>0</v>
      </c>
      <c r="AE114" s="2">
        <f t="shared" si="138"/>
        <v>0</v>
      </c>
      <c r="AF114" s="2">
        <f t="shared" si="139"/>
        <v>0</v>
      </c>
      <c r="AG114" s="2">
        <f t="shared" si="102"/>
        <v>0</v>
      </c>
      <c r="AH114" s="2">
        <f t="shared" si="140"/>
        <v>0</v>
      </c>
      <c r="AI114" s="2">
        <f t="shared" si="141"/>
        <v>0</v>
      </c>
      <c r="AJ114" s="2">
        <f t="shared" si="103"/>
        <v>0</v>
      </c>
      <c r="AK114" s="2">
        <v>38.18</v>
      </c>
      <c r="AL114" s="2">
        <v>38.18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1</v>
      </c>
      <c r="AW114" s="2">
        <v>1</v>
      </c>
      <c r="AX114" s="2"/>
      <c r="AY114" s="2"/>
      <c r="AZ114" s="2">
        <v>1</v>
      </c>
      <c r="BA114" s="2">
        <v>1</v>
      </c>
      <c r="BB114" s="2">
        <v>1</v>
      </c>
      <c r="BC114" s="2">
        <v>1</v>
      </c>
      <c r="BD114" s="2" t="s">
        <v>3</v>
      </c>
      <c r="BE114" s="2" t="s">
        <v>3</v>
      </c>
      <c r="BF114" s="2" t="s">
        <v>3</v>
      </c>
      <c r="BG114" s="2" t="s">
        <v>3</v>
      </c>
      <c r="BH114" s="2">
        <v>3</v>
      </c>
      <c r="BI114" s="2">
        <v>1</v>
      </c>
      <c r="BJ114" s="2" t="s">
        <v>221</v>
      </c>
      <c r="BK114" s="2"/>
      <c r="BL114" s="2"/>
      <c r="BM114" s="2">
        <v>1617</v>
      </c>
      <c r="BN114" s="2">
        <v>0</v>
      </c>
      <c r="BO114" s="2" t="s">
        <v>3</v>
      </c>
      <c r="BP114" s="2">
        <v>0</v>
      </c>
      <c r="BQ114" s="2">
        <v>200</v>
      </c>
      <c r="BR114" s="2">
        <v>0</v>
      </c>
      <c r="BS114" s="2">
        <v>1</v>
      </c>
      <c r="BT114" s="2">
        <v>1</v>
      </c>
      <c r="BU114" s="2">
        <v>1</v>
      </c>
      <c r="BV114" s="2">
        <v>1</v>
      </c>
      <c r="BW114" s="2">
        <v>1</v>
      </c>
      <c r="BX114" s="2">
        <v>1</v>
      </c>
      <c r="BY114" s="2" t="s">
        <v>3</v>
      </c>
      <c r="BZ114" s="2">
        <v>0</v>
      </c>
      <c r="CA114" s="2">
        <v>0</v>
      </c>
      <c r="CB114" s="2" t="s">
        <v>3</v>
      </c>
      <c r="CC114" s="2"/>
      <c r="CD114" s="2"/>
      <c r="CE114" s="2">
        <v>1566</v>
      </c>
      <c r="CF114" s="2">
        <v>0</v>
      </c>
      <c r="CG114" s="2">
        <v>0</v>
      </c>
      <c r="CH114" s="2"/>
      <c r="CI114" s="2"/>
      <c r="CJ114" s="2"/>
      <c r="CK114" s="2"/>
      <c r="CL114" s="2"/>
      <c r="CM114" s="2">
        <v>0</v>
      </c>
      <c r="CN114" s="2" t="s">
        <v>3</v>
      </c>
      <c r="CO114" s="2">
        <v>0</v>
      </c>
      <c r="CP114" s="2">
        <f t="shared" si="104"/>
        <v>229.08</v>
      </c>
      <c r="CQ114" s="2">
        <f t="shared" si="94"/>
        <v>38.18</v>
      </c>
      <c r="CR114" s="2">
        <f t="shared" si="142"/>
        <v>0</v>
      </c>
      <c r="CS114" s="2">
        <f t="shared" si="143"/>
        <v>0</v>
      </c>
      <c r="CT114" s="2">
        <f t="shared" si="105"/>
        <v>0</v>
      </c>
      <c r="CU114" s="2">
        <f t="shared" si="106"/>
        <v>0</v>
      </c>
      <c r="CV114" s="2">
        <f t="shared" si="107"/>
        <v>0</v>
      </c>
      <c r="CW114" s="2">
        <f t="shared" si="108"/>
        <v>0</v>
      </c>
      <c r="CX114" s="2">
        <f t="shared" si="109"/>
        <v>0</v>
      </c>
      <c r="CY114" s="2">
        <f t="shared" si="144"/>
        <v>0</v>
      </c>
      <c r="CZ114" s="2">
        <f t="shared" si="145"/>
        <v>0</v>
      </c>
      <c r="DA114" s="2"/>
      <c r="DB114" s="2"/>
      <c r="DC114" s="2" t="s">
        <v>3</v>
      </c>
      <c r="DD114" s="2" t="s">
        <v>3</v>
      </c>
      <c r="DE114" s="2" t="s">
        <v>3</v>
      </c>
      <c r="DF114" s="2" t="s">
        <v>3</v>
      </c>
      <c r="DG114" s="2" t="s">
        <v>3</v>
      </c>
      <c r="DH114" s="2" t="s">
        <v>3</v>
      </c>
      <c r="DI114" s="2" t="s">
        <v>3</v>
      </c>
      <c r="DJ114" s="2" t="s">
        <v>3</v>
      </c>
      <c r="DK114" s="2" t="s">
        <v>3</v>
      </c>
      <c r="DL114" s="2" t="s">
        <v>3</v>
      </c>
      <c r="DM114" s="2" t="s">
        <v>3</v>
      </c>
      <c r="DN114" s="2">
        <v>0</v>
      </c>
      <c r="DO114" s="2">
        <v>0</v>
      </c>
      <c r="DP114" s="2">
        <v>1</v>
      </c>
      <c r="DQ114" s="2">
        <v>1</v>
      </c>
      <c r="DR114" s="2"/>
      <c r="DS114" s="2"/>
      <c r="DT114" s="2"/>
      <c r="DU114" s="2">
        <v>1010</v>
      </c>
      <c r="DV114" s="2" t="s">
        <v>99</v>
      </c>
      <c r="DW114" s="2" t="s">
        <v>99</v>
      </c>
      <c r="DX114" s="2">
        <v>1</v>
      </c>
      <c r="DY114" s="2"/>
      <c r="DZ114" s="2" t="s">
        <v>3</v>
      </c>
      <c r="EA114" s="2" t="s">
        <v>3</v>
      </c>
      <c r="EB114" s="2" t="s">
        <v>3</v>
      </c>
      <c r="EC114" s="2" t="s">
        <v>3</v>
      </c>
      <c r="ED114" s="2"/>
      <c r="EE114" s="2">
        <v>85133445</v>
      </c>
      <c r="EF114" s="2">
        <v>200</v>
      </c>
      <c r="EG114" s="2" t="s">
        <v>222</v>
      </c>
      <c r="EH114" s="2">
        <v>0</v>
      </c>
      <c r="EI114" s="2" t="s">
        <v>3</v>
      </c>
      <c r="EJ114" s="2">
        <v>1</v>
      </c>
      <c r="EK114" s="2">
        <v>1617</v>
      </c>
      <c r="EL114" s="2" t="s">
        <v>223</v>
      </c>
      <c r="EM114" s="2" t="s">
        <v>224</v>
      </c>
      <c r="EN114" s="2"/>
      <c r="EO114" s="2" t="s">
        <v>3</v>
      </c>
      <c r="EP114" s="2"/>
      <c r="EQ114" s="2">
        <v>0</v>
      </c>
      <c r="ER114" s="2">
        <v>38.18</v>
      </c>
      <c r="ES114" s="2">
        <v>38.18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>
        <v>0</v>
      </c>
      <c r="FR114" s="2">
        <v>0</v>
      </c>
      <c r="FS114" s="2">
        <v>0</v>
      </c>
      <c r="FT114" s="2"/>
      <c r="FU114" s="2"/>
      <c r="FV114" s="2"/>
      <c r="FW114" s="2"/>
      <c r="FX114" s="2">
        <v>0</v>
      </c>
      <c r="FY114" s="2">
        <v>0</v>
      </c>
      <c r="FZ114" s="2"/>
      <c r="GA114" s="2" t="s">
        <v>3</v>
      </c>
      <c r="GB114" s="2"/>
      <c r="GC114" s="2"/>
      <c r="GD114" s="2">
        <v>1</v>
      </c>
      <c r="GE114" s="2"/>
      <c r="GF114" s="2">
        <v>790445620</v>
      </c>
      <c r="GG114" s="2">
        <v>2</v>
      </c>
      <c r="GH114" s="2">
        <v>1</v>
      </c>
      <c r="GI114" s="2">
        <v>-2</v>
      </c>
      <c r="GJ114" s="2">
        <v>0</v>
      </c>
      <c r="GK114" s="2">
        <v>0</v>
      </c>
      <c r="GL114" s="2">
        <f t="shared" si="110"/>
        <v>0</v>
      </c>
      <c r="GM114" s="2">
        <f t="shared" si="111"/>
        <v>229.08</v>
      </c>
      <c r="GN114" s="2">
        <f t="shared" si="112"/>
        <v>229.08</v>
      </c>
      <c r="GO114" s="2">
        <f t="shared" si="113"/>
        <v>0</v>
      </c>
      <c r="GP114" s="2">
        <f t="shared" si="114"/>
        <v>0</v>
      </c>
      <c r="GQ114" s="2"/>
      <c r="GR114" s="2">
        <v>0</v>
      </c>
      <c r="GS114" s="2">
        <v>3</v>
      </c>
      <c r="GT114" s="2">
        <v>0</v>
      </c>
      <c r="GU114" s="2" t="s">
        <v>3</v>
      </c>
      <c r="GV114" s="2">
        <f t="shared" si="115"/>
        <v>0</v>
      </c>
      <c r="GW114" s="2">
        <v>1</v>
      </c>
      <c r="GX114" s="2">
        <f t="shared" si="116"/>
        <v>0</v>
      </c>
      <c r="GY114" s="2"/>
      <c r="GZ114" s="2"/>
      <c r="HA114" s="2">
        <v>0</v>
      </c>
      <c r="HB114" s="2">
        <v>0</v>
      </c>
      <c r="HC114" s="2">
        <f t="shared" si="117"/>
        <v>0</v>
      </c>
      <c r="HD114" s="2"/>
      <c r="HE114" s="2" t="s">
        <v>3</v>
      </c>
      <c r="HF114" s="2" t="s">
        <v>3</v>
      </c>
      <c r="HG114" s="2"/>
      <c r="HH114" s="2"/>
      <c r="HI114" s="2"/>
      <c r="HJ114" s="2"/>
      <c r="HK114" s="2"/>
      <c r="HL114" s="2"/>
      <c r="HM114" s="2" t="s">
        <v>3</v>
      </c>
      <c r="HN114" s="2" t="s">
        <v>3</v>
      </c>
      <c r="HO114" s="2" t="s">
        <v>3</v>
      </c>
      <c r="HP114" s="2" t="s">
        <v>3</v>
      </c>
      <c r="HQ114" s="2" t="s">
        <v>3</v>
      </c>
      <c r="HR114" s="2"/>
      <c r="HS114" s="2">
        <v>0</v>
      </c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>
        <v>0</v>
      </c>
      <c r="IL114" s="2"/>
      <c r="IM114" s="2"/>
      <c r="IN114" s="2"/>
      <c r="IO114" s="2"/>
      <c r="IP114" s="2"/>
      <c r="IQ114" s="2"/>
      <c r="IR114" s="2"/>
      <c r="IS114" s="2"/>
      <c r="IT114" s="2"/>
      <c r="IU114" s="2"/>
    </row>
    <row r="115" spans="1:255" x14ac:dyDescent="0.2">
      <c r="A115" s="3">
        <v>17</v>
      </c>
      <c r="B115" s="3">
        <v>1</v>
      </c>
      <c r="E115" s="3" t="s">
        <v>218</v>
      </c>
      <c r="F115" s="3" t="s">
        <v>219</v>
      </c>
      <c r="G115" s="3" t="s">
        <v>220</v>
      </c>
      <c r="H115" s="3" t="s">
        <v>99</v>
      </c>
      <c r="I115" s="3">
        <v>6</v>
      </c>
      <c r="J115" s="3">
        <v>0</v>
      </c>
      <c r="K115" s="3">
        <v>6</v>
      </c>
      <c r="O115" s="3">
        <f t="shared" si="95"/>
        <v>8478.25</v>
      </c>
      <c r="P115" s="3">
        <f t="shared" si="91"/>
        <v>8478.25</v>
      </c>
      <c r="Q115" s="3">
        <f t="shared" si="132"/>
        <v>0</v>
      </c>
      <c r="R115" s="3">
        <f t="shared" si="133"/>
        <v>0</v>
      </c>
      <c r="S115" s="3">
        <f t="shared" si="96"/>
        <v>0</v>
      </c>
      <c r="T115" s="3">
        <f t="shared" si="97"/>
        <v>0</v>
      </c>
      <c r="U115" s="3">
        <f t="shared" si="98"/>
        <v>0</v>
      </c>
      <c r="V115" s="3">
        <f t="shared" si="99"/>
        <v>0</v>
      </c>
      <c r="W115" s="3">
        <f t="shared" si="100"/>
        <v>0</v>
      </c>
      <c r="X115" s="3">
        <f t="shared" si="134"/>
        <v>0</v>
      </c>
      <c r="Y115" s="3">
        <f t="shared" si="135"/>
        <v>0</v>
      </c>
      <c r="AA115" s="3">
        <v>85739207</v>
      </c>
      <c r="AB115" s="3">
        <f t="shared" si="101"/>
        <v>38.18</v>
      </c>
      <c r="AC115" s="3">
        <f t="shared" si="136"/>
        <v>38.18</v>
      </c>
      <c r="AD115" s="3">
        <f t="shared" si="137"/>
        <v>0</v>
      </c>
      <c r="AE115" s="3">
        <f t="shared" si="138"/>
        <v>0</v>
      </c>
      <c r="AF115" s="3">
        <f t="shared" si="139"/>
        <v>0</v>
      </c>
      <c r="AG115" s="3">
        <f t="shared" si="102"/>
        <v>0</v>
      </c>
      <c r="AH115" s="3">
        <f t="shared" si="140"/>
        <v>0</v>
      </c>
      <c r="AI115" s="3">
        <f t="shared" si="141"/>
        <v>0</v>
      </c>
      <c r="AJ115" s="3">
        <f t="shared" si="103"/>
        <v>0</v>
      </c>
      <c r="AK115" s="3">
        <v>38.18</v>
      </c>
      <c r="AL115" s="3">
        <v>38.18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1</v>
      </c>
      <c r="AW115" s="3">
        <v>1</v>
      </c>
      <c r="AZ115" s="3">
        <v>1</v>
      </c>
      <c r="BA115" s="3">
        <v>1</v>
      </c>
      <c r="BB115" s="3">
        <v>1</v>
      </c>
      <c r="BC115" s="3">
        <v>37.01</v>
      </c>
      <c r="BD115" s="3" t="s">
        <v>3</v>
      </c>
      <c r="BE115" s="3" t="s">
        <v>3</v>
      </c>
      <c r="BF115" s="3" t="s">
        <v>3</v>
      </c>
      <c r="BG115" s="3" t="s">
        <v>3</v>
      </c>
      <c r="BH115" s="3">
        <v>3</v>
      </c>
      <c r="BI115" s="3">
        <v>1</v>
      </c>
      <c r="BJ115" s="3" t="s">
        <v>221</v>
      </c>
      <c r="BM115" s="3">
        <v>1617</v>
      </c>
      <c r="BN115" s="3">
        <v>0</v>
      </c>
      <c r="BO115" s="3" t="s">
        <v>219</v>
      </c>
      <c r="BP115" s="3">
        <v>1</v>
      </c>
      <c r="BQ115" s="3">
        <v>200</v>
      </c>
      <c r="BR115" s="3">
        <v>0</v>
      </c>
      <c r="BS115" s="3">
        <v>1</v>
      </c>
      <c r="BT115" s="3">
        <v>1</v>
      </c>
      <c r="BU115" s="3">
        <v>1</v>
      </c>
      <c r="BV115" s="3">
        <v>1</v>
      </c>
      <c r="BW115" s="3">
        <v>1</v>
      </c>
      <c r="BX115" s="3">
        <v>1</v>
      </c>
      <c r="BY115" s="3" t="s">
        <v>3</v>
      </c>
      <c r="BZ115" s="3">
        <v>0</v>
      </c>
      <c r="CA115" s="3">
        <v>0</v>
      </c>
      <c r="CB115" s="3" t="s">
        <v>3</v>
      </c>
      <c r="CE115" s="3">
        <v>1566</v>
      </c>
      <c r="CF115" s="3">
        <v>0</v>
      </c>
      <c r="CG115" s="3">
        <v>0</v>
      </c>
      <c r="CM115" s="3">
        <v>0</v>
      </c>
      <c r="CN115" s="3" t="s">
        <v>3</v>
      </c>
      <c r="CO115" s="3">
        <v>0</v>
      </c>
      <c r="CP115" s="3">
        <f t="shared" si="104"/>
        <v>8478.25</v>
      </c>
      <c r="CQ115" s="3">
        <f t="shared" si="94"/>
        <v>1413.04</v>
      </c>
      <c r="CR115" s="3">
        <f t="shared" si="142"/>
        <v>0</v>
      </c>
      <c r="CS115" s="3">
        <f t="shared" si="143"/>
        <v>0</v>
      </c>
      <c r="CT115" s="3">
        <f t="shared" si="105"/>
        <v>0</v>
      </c>
      <c r="CU115" s="3">
        <f t="shared" si="106"/>
        <v>0</v>
      </c>
      <c r="CV115" s="3">
        <f t="shared" si="107"/>
        <v>0</v>
      </c>
      <c r="CW115" s="3">
        <f t="shared" si="108"/>
        <v>0</v>
      </c>
      <c r="CX115" s="3">
        <f t="shared" si="109"/>
        <v>0</v>
      </c>
      <c r="CY115" s="3">
        <f t="shared" si="144"/>
        <v>0</v>
      </c>
      <c r="CZ115" s="3">
        <f t="shared" si="145"/>
        <v>0</v>
      </c>
      <c r="DC115" s="3" t="s">
        <v>3</v>
      </c>
      <c r="DD115" s="3" t="s">
        <v>3</v>
      </c>
      <c r="DE115" s="3" t="s">
        <v>3</v>
      </c>
      <c r="DF115" s="3" t="s">
        <v>3</v>
      </c>
      <c r="DG115" s="3" t="s">
        <v>3</v>
      </c>
      <c r="DH115" s="3" t="s">
        <v>3</v>
      </c>
      <c r="DI115" s="3" t="s">
        <v>3</v>
      </c>
      <c r="DJ115" s="3" t="s">
        <v>3</v>
      </c>
      <c r="DK115" s="3" t="s">
        <v>3</v>
      </c>
      <c r="DL115" s="3" t="s">
        <v>3</v>
      </c>
      <c r="DM115" s="3" t="s">
        <v>3</v>
      </c>
      <c r="DN115" s="3">
        <v>0</v>
      </c>
      <c r="DO115" s="3">
        <v>0</v>
      </c>
      <c r="DP115" s="3">
        <v>1</v>
      </c>
      <c r="DQ115" s="3">
        <v>1</v>
      </c>
      <c r="DU115" s="3">
        <v>1010</v>
      </c>
      <c r="DV115" s="3" t="s">
        <v>99</v>
      </c>
      <c r="DW115" s="3" t="s">
        <v>99</v>
      </c>
      <c r="DX115" s="3">
        <v>1</v>
      </c>
      <c r="DZ115" s="3" t="s">
        <v>3</v>
      </c>
      <c r="EA115" s="3" t="s">
        <v>3</v>
      </c>
      <c r="EB115" s="3" t="s">
        <v>3</v>
      </c>
      <c r="EC115" s="3" t="s">
        <v>3</v>
      </c>
      <c r="EE115" s="3">
        <v>85133445</v>
      </c>
      <c r="EF115" s="3">
        <v>200</v>
      </c>
      <c r="EG115" s="3" t="s">
        <v>222</v>
      </c>
      <c r="EH115" s="3">
        <v>0</v>
      </c>
      <c r="EI115" s="3" t="s">
        <v>3</v>
      </c>
      <c r="EJ115" s="3">
        <v>1</v>
      </c>
      <c r="EK115" s="3">
        <v>1617</v>
      </c>
      <c r="EL115" s="3" t="s">
        <v>223</v>
      </c>
      <c r="EM115" s="3" t="s">
        <v>224</v>
      </c>
      <c r="EO115" s="3" t="s">
        <v>3</v>
      </c>
      <c r="EQ115" s="3">
        <v>0</v>
      </c>
      <c r="ER115" s="3">
        <v>38.18</v>
      </c>
      <c r="ES115" s="3">
        <v>38.18</v>
      </c>
      <c r="ET115" s="3">
        <v>0</v>
      </c>
      <c r="EU115" s="3">
        <v>0</v>
      </c>
      <c r="EV115" s="3">
        <v>0</v>
      </c>
      <c r="EW115" s="3">
        <v>0</v>
      </c>
      <c r="EX115" s="3">
        <v>0</v>
      </c>
      <c r="EY115" s="3">
        <v>0</v>
      </c>
      <c r="FQ115" s="3">
        <v>0</v>
      </c>
      <c r="FR115" s="3">
        <v>0</v>
      </c>
      <c r="FS115" s="3">
        <v>0</v>
      </c>
      <c r="FX115" s="3">
        <v>0</v>
      </c>
      <c r="FY115" s="3">
        <v>0</v>
      </c>
      <c r="GA115" s="3" t="s">
        <v>3</v>
      </c>
      <c r="GD115" s="3">
        <v>1</v>
      </c>
      <c r="GF115" s="3">
        <v>790445620</v>
      </c>
      <c r="GG115" s="3">
        <v>2</v>
      </c>
      <c r="GH115" s="3">
        <v>1</v>
      </c>
      <c r="GI115" s="3">
        <v>2</v>
      </c>
      <c r="GJ115" s="3">
        <v>0</v>
      </c>
      <c r="GK115" s="3">
        <v>0</v>
      </c>
      <c r="GL115" s="3">
        <f t="shared" si="110"/>
        <v>0</v>
      </c>
      <c r="GM115" s="3">
        <f t="shared" si="111"/>
        <v>8478.25</v>
      </c>
      <c r="GN115" s="3">
        <f t="shared" si="112"/>
        <v>8478.25</v>
      </c>
      <c r="GO115" s="3">
        <f t="shared" si="113"/>
        <v>0</v>
      </c>
      <c r="GP115" s="3">
        <f t="shared" si="114"/>
        <v>0</v>
      </c>
      <c r="GR115" s="3">
        <v>0</v>
      </c>
      <c r="GS115" s="3">
        <v>3</v>
      </c>
      <c r="GT115" s="3">
        <v>0</v>
      </c>
      <c r="GU115" s="3" t="s">
        <v>3</v>
      </c>
      <c r="GV115" s="3">
        <f t="shared" si="115"/>
        <v>0</v>
      </c>
      <c r="GW115" s="3">
        <v>1</v>
      </c>
      <c r="GX115" s="3">
        <f t="shared" si="116"/>
        <v>0</v>
      </c>
      <c r="HA115" s="3">
        <v>0</v>
      </c>
      <c r="HB115" s="3">
        <v>0</v>
      </c>
      <c r="HC115" s="3">
        <f t="shared" si="117"/>
        <v>0</v>
      </c>
      <c r="HE115" s="3" t="s">
        <v>3</v>
      </c>
      <c r="HF115" s="3" t="s">
        <v>3</v>
      </c>
      <c r="HM115" s="3" t="s">
        <v>3</v>
      </c>
      <c r="HN115" s="3" t="s">
        <v>3</v>
      </c>
      <c r="HO115" s="3" t="s">
        <v>3</v>
      </c>
      <c r="HP115" s="3" t="s">
        <v>3</v>
      </c>
      <c r="HQ115" s="3" t="s">
        <v>3</v>
      </c>
      <c r="HS115" s="3">
        <v>0</v>
      </c>
      <c r="IK115" s="3">
        <v>0</v>
      </c>
    </row>
    <row r="116" spans="1:255" x14ac:dyDescent="0.2">
      <c r="A116" s="2">
        <v>17</v>
      </c>
      <c r="B116" s="2">
        <v>1</v>
      </c>
      <c r="C116" s="2"/>
      <c r="D116" s="2"/>
      <c r="E116" s="2" t="s">
        <v>225</v>
      </c>
      <c r="F116" s="2" t="s">
        <v>226</v>
      </c>
      <c r="G116" s="2" t="s">
        <v>227</v>
      </c>
      <c r="H116" s="2" t="s">
        <v>99</v>
      </c>
      <c r="I116" s="2">
        <v>6</v>
      </c>
      <c r="J116" s="2">
        <v>0</v>
      </c>
      <c r="K116" s="2">
        <v>6</v>
      </c>
      <c r="L116" s="2"/>
      <c r="M116" s="2"/>
      <c r="N116" s="2"/>
      <c r="O116" s="2">
        <f t="shared" si="95"/>
        <v>38.82</v>
      </c>
      <c r="P116" s="2">
        <f t="shared" ref="P116:P137" si="146">ROUND((ROUND((AC116*AW116*I116),2)*BC116),2)</f>
        <v>38.82</v>
      </c>
      <c r="Q116" s="2">
        <f t="shared" si="132"/>
        <v>0</v>
      </c>
      <c r="R116" s="2">
        <f t="shared" si="133"/>
        <v>0</v>
      </c>
      <c r="S116" s="2">
        <f t="shared" si="96"/>
        <v>0</v>
      </c>
      <c r="T116" s="2">
        <f t="shared" si="97"/>
        <v>0</v>
      </c>
      <c r="U116" s="2">
        <f t="shared" si="98"/>
        <v>0</v>
      </c>
      <c r="V116" s="2">
        <f t="shared" si="99"/>
        <v>0</v>
      </c>
      <c r="W116" s="2">
        <f t="shared" si="100"/>
        <v>0</v>
      </c>
      <c r="X116" s="2">
        <f t="shared" si="134"/>
        <v>0</v>
      </c>
      <c r="Y116" s="2">
        <f t="shared" si="135"/>
        <v>0</v>
      </c>
      <c r="Z116" s="2"/>
      <c r="AA116" s="2">
        <v>85739205</v>
      </c>
      <c r="AB116" s="2">
        <f t="shared" si="101"/>
        <v>6.47</v>
      </c>
      <c r="AC116" s="2">
        <f t="shared" si="136"/>
        <v>6.47</v>
      </c>
      <c r="AD116" s="2">
        <f t="shared" si="137"/>
        <v>0</v>
      </c>
      <c r="AE116" s="2">
        <f t="shared" si="138"/>
        <v>0</v>
      </c>
      <c r="AF116" s="2">
        <f t="shared" si="139"/>
        <v>0</v>
      </c>
      <c r="AG116" s="2">
        <f t="shared" si="102"/>
        <v>0</v>
      </c>
      <c r="AH116" s="2">
        <f t="shared" si="140"/>
        <v>0</v>
      </c>
      <c r="AI116" s="2">
        <f t="shared" si="141"/>
        <v>0</v>
      </c>
      <c r="AJ116" s="2">
        <f t="shared" si="103"/>
        <v>0</v>
      </c>
      <c r="AK116" s="2">
        <v>6.47</v>
      </c>
      <c r="AL116" s="2">
        <v>6.47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1</v>
      </c>
      <c r="AW116" s="2">
        <v>1</v>
      </c>
      <c r="AX116" s="2"/>
      <c r="AY116" s="2"/>
      <c r="AZ116" s="2">
        <v>1</v>
      </c>
      <c r="BA116" s="2">
        <v>1</v>
      </c>
      <c r="BB116" s="2">
        <v>1</v>
      </c>
      <c r="BC116" s="2">
        <v>1</v>
      </c>
      <c r="BD116" s="2" t="s">
        <v>3</v>
      </c>
      <c r="BE116" s="2" t="s">
        <v>3</v>
      </c>
      <c r="BF116" s="2" t="s">
        <v>3</v>
      </c>
      <c r="BG116" s="2" t="s">
        <v>3</v>
      </c>
      <c r="BH116" s="2">
        <v>3</v>
      </c>
      <c r="BI116" s="2">
        <v>1</v>
      </c>
      <c r="BJ116" s="2" t="s">
        <v>228</v>
      </c>
      <c r="BK116" s="2"/>
      <c r="BL116" s="2"/>
      <c r="BM116" s="2">
        <v>1617</v>
      </c>
      <c r="BN116" s="2">
        <v>0</v>
      </c>
      <c r="BO116" s="2" t="s">
        <v>3</v>
      </c>
      <c r="BP116" s="2">
        <v>0</v>
      </c>
      <c r="BQ116" s="2">
        <v>200</v>
      </c>
      <c r="BR116" s="2">
        <v>0</v>
      </c>
      <c r="BS116" s="2">
        <v>1</v>
      </c>
      <c r="BT116" s="2">
        <v>1</v>
      </c>
      <c r="BU116" s="2">
        <v>1</v>
      </c>
      <c r="BV116" s="2">
        <v>1</v>
      </c>
      <c r="BW116" s="2">
        <v>1</v>
      </c>
      <c r="BX116" s="2">
        <v>1</v>
      </c>
      <c r="BY116" s="2" t="s">
        <v>3</v>
      </c>
      <c r="BZ116" s="2">
        <v>0</v>
      </c>
      <c r="CA116" s="2">
        <v>0</v>
      </c>
      <c r="CB116" s="2" t="s">
        <v>3</v>
      </c>
      <c r="CC116" s="2"/>
      <c r="CD116" s="2"/>
      <c r="CE116" s="2">
        <v>1566</v>
      </c>
      <c r="CF116" s="2">
        <v>0</v>
      </c>
      <c r="CG116" s="2">
        <v>0</v>
      </c>
      <c r="CH116" s="2"/>
      <c r="CI116" s="2"/>
      <c r="CJ116" s="2"/>
      <c r="CK116" s="2"/>
      <c r="CL116" s="2"/>
      <c r="CM116" s="2">
        <v>0</v>
      </c>
      <c r="CN116" s="2" t="s">
        <v>3</v>
      </c>
      <c r="CO116" s="2">
        <v>0</v>
      </c>
      <c r="CP116" s="2">
        <f t="shared" si="104"/>
        <v>38.82</v>
      </c>
      <c r="CQ116" s="2">
        <f t="shared" ref="CQ116:CQ137" si="147">ROUND((ROUND((AC116*AW116*1),2)*BC116),2)</f>
        <v>6.47</v>
      </c>
      <c r="CR116" s="2">
        <f t="shared" si="142"/>
        <v>0</v>
      </c>
      <c r="CS116" s="2">
        <f t="shared" si="143"/>
        <v>0</v>
      </c>
      <c r="CT116" s="2">
        <f t="shared" si="105"/>
        <v>0</v>
      </c>
      <c r="CU116" s="2">
        <f t="shared" si="106"/>
        <v>0</v>
      </c>
      <c r="CV116" s="2">
        <f t="shared" si="107"/>
        <v>0</v>
      </c>
      <c r="CW116" s="2">
        <f t="shared" si="108"/>
        <v>0</v>
      </c>
      <c r="CX116" s="2">
        <f t="shared" si="109"/>
        <v>0</v>
      </c>
      <c r="CY116" s="2">
        <f t="shared" si="144"/>
        <v>0</v>
      </c>
      <c r="CZ116" s="2">
        <f t="shared" si="145"/>
        <v>0</v>
      </c>
      <c r="DA116" s="2"/>
      <c r="DB116" s="2"/>
      <c r="DC116" s="2" t="s">
        <v>3</v>
      </c>
      <c r="DD116" s="2" t="s">
        <v>3</v>
      </c>
      <c r="DE116" s="2" t="s">
        <v>3</v>
      </c>
      <c r="DF116" s="2" t="s">
        <v>3</v>
      </c>
      <c r="DG116" s="2" t="s">
        <v>3</v>
      </c>
      <c r="DH116" s="2" t="s">
        <v>3</v>
      </c>
      <c r="DI116" s="2" t="s">
        <v>3</v>
      </c>
      <c r="DJ116" s="2" t="s">
        <v>3</v>
      </c>
      <c r="DK116" s="2" t="s">
        <v>3</v>
      </c>
      <c r="DL116" s="2" t="s">
        <v>3</v>
      </c>
      <c r="DM116" s="2" t="s">
        <v>3</v>
      </c>
      <c r="DN116" s="2">
        <v>0</v>
      </c>
      <c r="DO116" s="2">
        <v>0</v>
      </c>
      <c r="DP116" s="2">
        <v>1</v>
      </c>
      <c r="DQ116" s="2">
        <v>1</v>
      </c>
      <c r="DR116" s="2"/>
      <c r="DS116" s="2"/>
      <c r="DT116" s="2"/>
      <c r="DU116" s="2">
        <v>1010</v>
      </c>
      <c r="DV116" s="2" t="s">
        <v>99</v>
      </c>
      <c r="DW116" s="2" t="s">
        <v>99</v>
      </c>
      <c r="DX116" s="2">
        <v>1</v>
      </c>
      <c r="DY116" s="2"/>
      <c r="DZ116" s="2" t="s">
        <v>3</v>
      </c>
      <c r="EA116" s="2" t="s">
        <v>3</v>
      </c>
      <c r="EB116" s="2" t="s">
        <v>3</v>
      </c>
      <c r="EC116" s="2" t="s">
        <v>3</v>
      </c>
      <c r="ED116" s="2"/>
      <c r="EE116" s="2">
        <v>85133445</v>
      </c>
      <c r="EF116" s="2">
        <v>200</v>
      </c>
      <c r="EG116" s="2" t="s">
        <v>222</v>
      </c>
      <c r="EH116" s="2">
        <v>0</v>
      </c>
      <c r="EI116" s="2" t="s">
        <v>3</v>
      </c>
      <c r="EJ116" s="2">
        <v>1</v>
      </c>
      <c r="EK116" s="2">
        <v>1617</v>
      </c>
      <c r="EL116" s="2" t="s">
        <v>223</v>
      </c>
      <c r="EM116" s="2" t="s">
        <v>224</v>
      </c>
      <c r="EN116" s="2"/>
      <c r="EO116" s="2" t="s">
        <v>3</v>
      </c>
      <c r="EP116" s="2"/>
      <c r="EQ116" s="2">
        <v>0</v>
      </c>
      <c r="ER116" s="2">
        <v>6.47</v>
      </c>
      <c r="ES116" s="2">
        <v>6.47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>
        <v>0</v>
      </c>
      <c r="FR116" s="2">
        <v>0</v>
      </c>
      <c r="FS116" s="2">
        <v>0</v>
      </c>
      <c r="FT116" s="2"/>
      <c r="FU116" s="2"/>
      <c r="FV116" s="2"/>
      <c r="FW116" s="2"/>
      <c r="FX116" s="2">
        <v>0</v>
      </c>
      <c r="FY116" s="2">
        <v>0</v>
      </c>
      <c r="FZ116" s="2"/>
      <c r="GA116" s="2" t="s">
        <v>3</v>
      </c>
      <c r="GB116" s="2"/>
      <c r="GC116" s="2"/>
      <c r="GD116" s="2">
        <v>1</v>
      </c>
      <c r="GE116" s="2"/>
      <c r="GF116" s="2">
        <v>1651073840</v>
      </c>
      <c r="GG116" s="2">
        <v>2</v>
      </c>
      <c r="GH116" s="2">
        <v>1</v>
      </c>
      <c r="GI116" s="2">
        <v>-2</v>
      </c>
      <c r="GJ116" s="2">
        <v>0</v>
      </c>
      <c r="GK116" s="2">
        <v>0</v>
      </c>
      <c r="GL116" s="2">
        <f t="shared" si="110"/>
        <v>0</v>
      </c>
      <c r="GM116" s="2">
        <f t="shared" si="111"/>
        <v>38.82</v>
      </c>
      <c r="GN116" s="2">
        <f t="shared" si="112"/>
        <v>38.82</v>
      </c>
      <c r="GO116" s="2">
        <f t="shared" si="113"/>
        <v>0</v>
      </c>
      <c r="GP116" s="2">
        <f t="shared" si="114"/>
        <v>0</v>
      </c>
      <c r="GQ116" s="2"/>
      <c r="GR116" s="2">
        <v>0</v>
      </c>
      <c r="GS116" s="2">
        <v>3</v>
      </c>
      <c r="GT116" s="2">
        <v>0</v>
      </c>
      <c r="GU116" s="2" t="s">
        <v>3</v>
      </c>
      <c r="GV116" s="2">
        <f t="shared" si="115"/>
        <v>0</v>
      </c>
      <c r="GW116" s="2">
        <v>1</v>
      </c>
      <c r="GX116" s="2">
        <f t="shared" si="116"/>
        <v>0</v>
      </c>
      <c r="GY116" s="2"/>
      <c r="GZ116" s="2"/>
      <c r="HA116" s="2">
        <v>0</v>
      </c>
      <c r="HB116" s="2">
        <v>0</v>
      </c>
      <c r="HC116" s="2">
        <f t="shared" si="117"/>
        <v>0</v>
      </c>
      <c r="HD116" s="2"/>
      <c r="HE116" s="2" t="s">
        <v>3</v>
      </c>
      <c r="HF116" s="2" t="s">
        <v>3</v>
      </c>
      <c r="HG116" s="2"/>
      <c r="HH116" s="2"/>
      <c r="HI116" s="2"/>
      <c r="HJ116" s="2"/>
      <c r="HK116" s="2"/>
      <c r="HL116" s="2"/>
      <c r="HM116" s="2" t="s">
        <v>3</v>
      </c>
      <c r="HN116" s="2" t="s">
        <v>3</v>
      </c>
      <c r="HO116" s="2" t="s">
        <v>3</v>
      </c>
      <c r="HP116" s="2" t="s">
        <v>3</v>
      </c>
      <c r="HQ116" s="2" t="s">
        <v>3</v>
      </c>
      <c r="HR116" s="2"/>
      <c r="HS116" s="2">
        <v>0</v>
      </c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>
        <v>0</v>
      </c>
      <c r="IL116" s="2"/>
      <c r="IM116" s="2"/>
      <c r="IN116" s="2"/>
      <c r="IO116" s="2"/>
      <c r="IP116" s="2"/>
      <c r="IQ116" s="2"/>
      <c r="IR116" s="2"/>
      <c r="IS116" s="2"/>
      <c r="IT116" s="2"/>
      <c r="IU116" s="2"/>
    </row>
    <row r="117" spans="1:255" x14ac:dyDescent="0.2">
      <c r="A117" s="3">
        <v>17</v>
      </c>
      <c r="B117" s="3">
        <v>1</v>
      </c>
      <c r="E117" s="3" t="s">
        <v>225</v>
      </c>
      <c r="F117" s="3" t="s">
        <v>226</v>
      </c>
      <c r="G117" s="3" t="s">
        <v>227</v>
      </c>
      <c r="H117" s="3" t="s">
        <v>99</v>
      </c>
      <c r="I117" s="3">
        <v>6</v>
      </c>
      <c r="J117" s="3">
        <v>0</v>
      </c>
      <c r="K117" s="3">
        <v>6</v>
      </c>
      <c r="O117" s="3">
        <f t="shared" si="95"/>
        <v>438.28</v>
      </c>
      <c r="P117" s="3">
        <f t="shared" si="146"/>
        <v>438.28</v>
      </c>
      <c r="Q117" s="3">
        <f t="shared" si="132"/>
        <v>0</v>
      </c>
      <c r="R117" s="3">
        <f t="shared" si="133"/>
        <v>0</v>
      </c>
      <c r="S117" s="3">
        <f t="shared" si="96"/>
        <v>0</v>
      </c>
      <c r="T117" s="3">
        <f t="shared" si="97"/>
        <v>0</v>
      </c>
      <c r="U117" s="3">
        <f t="shared" si="98"/>
        <v>0</v>
      </c>
      <c r="V117" s="3">
        <f t="shared" si="99"/>
        <v>0</v>
      </c>
      <c r="W117" s="3">
        <f t="shared" si="100"/>
        <v>0</v>
      </c>
      <c r="X117" s="3">
        <f t="shared" si="134"/>
        <v>0</v>
      </c>
      <c r="Y117" s="3">
        <f t="shared" si="135"/>
        <v>0</v>
      </c>
      <c r="AA117" s="3">
        <v>85739207</v>
      </c>
      <c r="AB117" s="3">
        <f t="shared" si="101"/>
        <v>6.47</v>
      </c>
      <c r="AC117" s="3">
        <f t="shared" si="136"/>
        <v>6.47</v>
      </c>
      <c r="AD117" s="3">
        <f t="shared" si="137"/>
        <v>0</v>
      </c>
      <c r="AE117" s="3">
        <f t="shared" si="138"/>
        <v>0</v>
      </c>
      <c r="AF117" s="3">
        <f t="shared" si="139"/>
        <v>0</v>
      </c>
      <c r="AG117" s="3">
        <f t="shared" si="102"/>
        <v>0</v>
      </c>
      <c r="AH117" s="3">
        <f t="shared" si="140"/>
        <v>0</v>
      </c>
      <c r="AI117" s="3">
        <f t="shared" si="141"/>
        <v>0</v>
      </c>
      <c r="AJ117" s="3">
        <f t="shared" si="103"/>
        <v>0</v>
      </c>
      <c r="AK117" s="3">
        <v>6.47</v>
      </c>
      <c r="AL117" s="3">
        <v>6.47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1</v>
      </c>
      <c r="AW117" s="3">
        <v>1</v>
      </c>
      <c r="AZ117" s="3">
        <v>1</v>
      </c>
      <c r="BA117" s="3">
        <v>1</v>
      </c>
      <c r="BB117" s="3">
        <v>1</v>
      </c>
      <c r="BC117" s="3">
        <v>11.29</v>
      </c>
      <c r="BD117" s="3" t="s">
        <v>3</v>
      </c>
      <c r="BE117" s="3" t="s">
        <v>3</v>
      </c>
      <c r="BF117" s="3" t="s">
        <v>3</v>
      </c>
      <c r="BG117" s="3" t="s">
        <v>3</v>
      </c>
      <c r="BH117" s="3">
        <v>3</v>
      </c>
      <c r="BI117" s="3">
        <v>1</v>
      </c>
      <c r="BJ117" s="3" t="s">
        <v>228</v>
      </c>
      <c r="BM117" s="3">
        <v>1617</v>
      </c>
      <c r="BN117" s="3">
        <v>0</v>
      </c>
      <c r="BO117" s="3" t="s">
        <v>226</v>
      </c>
      <c r="BP117" s="3">
        <v>1</v>
      </c>
      <c r="BQ117" s="3">
        <v>200</v>
      </c>
      <c r="BR117" s="3">
        <v>0</v>
      </c>
      <c r="BS117" s="3">
        <v>1</v>
      </c>
      <c r="BT117" s="3">
        <v>1</v>
      </c>
      <c r="BU117" s="3">
        <v>1</v>
      </c>
      <c r="BV117" s="3">
        <v>1</v>
      </c>
      <c r="BW117" s="3">
        <v>1</v>
      </c>
      <c r="BX117" s="3">
        <v>1</v>
      </c>
      <c r="BY117" s="3" t="s">
        <v>3</v>
      </c>
      <c r="BZ117" s="3">
        <v>0</v>
      </c>
      <c r="CA117" s="3">
        <v>0</v>
      </c>
      <c r="CB117" s="3" t="s">
        <v>3</v>
      </c>
      <c r="CE117" s="3">
        <v>1566</v>
      </c>
      <c r="CF117" s="3">
        <v>0</v>
      </c>
      <c r="CG117" s="3">
        <v>0</v>
      </c>
      <c r="CM117" s="3">
        <v>0</v>
      </c>
      <c r="CN117" s="3" t="s">
        <v>3</v>
      </c>
      <c r="CO117" s="3">
        <v>0</v>
      </c>
      <c r="CP117" s="3">
        <f t="shared" si="104"/>
        <v>438.28</v>
      </c>
      <c r="CQ117" s="3">
        <f t="shared" si="147"/>
        <v>73.05</v>
      </c>
      <c r="CR117" s="3">
        <f t="shared" si="142"/>
        <v>0</v>
      </c>
      <c r="CS117" s="3">
        <f t="shared" si="143"/>
        <v>0</v>
      </c>
      <c r="CT117" s="3">
        <f t="shared" si="105"/>
        <v>0</v>
      </c>
      <c r="CU117" s="3">
        <f t="shared" si="106"/>
        <v>0</v>
      </c>
      <c r="CV117" s="3">
        <f t="shared" si="107"/>
        <v>0</v>
      </c>
      <c r="CW117" s="3">
        <f t="shared" si="108"/>
        <v>0</v>
      </c>
      <c r="CX117" s="3">
        <f t="shared" si="109"/>
        <v>0</v>
      </c>
      <c r="CY117" s="3">
        <f t="shared" si="144"/>
        <v>0</v>
      </c>
      <c r="CZ117" s="3">
        <f t="shared" si="145"/>
        <v>0</v>
      </c>
      <c r="DC117" s="3" t="s">
        <v>3</v>
      </c>
      <c r="DD117" s="3" t="s">
        <v>3</v>
      </c>
      <c r="DE117" s="3" t="s">
        <v>3</v>
      </c>
      <c r="DF117" s="3" t="s">
        <v>3</v>
      </c>
      <c r="DG117" s="3" t="s">
        <v>3</v>
      </c>
      <c r="DH117" s="3" t="s">
        <v>3</v>
      </c>
      <c r="DI117" s="3" t="s">
        <v>3</v>
      </c>
      <c r="DJ117" s="3" t="s">
        <v>3</v>
      </c>
      <c r="DK117" s="3" t="s">
        <v>3</v>
      </c>
      <c r="DL117" s="3" t="s">
        <v>3</v>
      </c>
      <c r="DM117" s="3" t="s">
        <v>3</v>
      </c>
      <c r="DN117" s="3">
        <v>0</v>
      </c>
      <c r="DO117" s="3">
        <v>0</v>
      </c>
      <c r="DP117" s="3">
        <v>1</v>
      </c>
      <c r="DQ117" s="3">
        <v>1</v>
      </c>
      <c r="DU117" s="3">
        <v>1010</v>
      </c>
      <c r="DV117" s="3" t="s">
        <v>99</v>
      </c>
      <c r="DW117" s="3" t="s">
        <v>99</v>
      </c>
      <c r="DX117" s="3">
        <v>1</v>
      </c>
      <c r="DZ117" s="3" t="s">
        <v>3</v>
      </c>
      <c r="EA117" s="3" t="s">
        <v>3</v>
      </c>
      <c r="EB117" s="3" t="s">
        <v>3</v>
      </c>
      <c r="EC117" s="3" t="s">
        <v>3</v>
      </c>
      <c r="EE117" s="3">
        <v>85133445</v>
      </c>
      <c r="EF117" s="3">
        <v>200</v>
      </c>
      <c r="EG117" s="3" t="s">
        <v>222</v>
      </c>
      <c r="EH117" s="3">
        <v>0</v>
      </c>
      <c r="EI117" s="3" t="s">
        <v>3</v>
      </c>
      <c r="EJ117" s="3">
        <v>1</v>
      </c>
      <c r="EK117" s="3">
        <v>1617</v>
      </c>
      <c r="EL117" s="3" t="s">
        <v>223</v>
      </c>
      <c r="EM117" s="3" t="s">
        <v>224</v>
      </c>
      <c r="EO117" s="3" t="s">
        <v>3</v>
      </c>
      <c r="EQ117" s="3">
        <v>0</v>
      </c>
      <c r="ER117" s="3">
        <v>6.47</v>
      </c>
      <c r="ES117" s="3">
        <v>6.47</v>
      </c>
      <c r="ET117" s="3">
        <v>0</v>
      </c>
      <c r="EU117" s="3">
        <v>0</v>
      </c>
      <c r="EV117" s="3">
        <v>0</v>
      </c>
      <c r="EW117" s="3">
        <v>0</v>
      </c>
      <c r="EX117" s="3">
        <v>0</v>
      </c>
      <c r="EY117" s="3">
        <v>0</v>
      </c>
      <c r="FQ117" s="3">
        <v>0</v>
      </c>
      <c r="FR117" s="3">
        <v>0</v>
      </c>
      <c r="FS117" s="3">
        <v>0</v>
      </c>
      <c r="FX117" s="3">
        <v>0</v>
      </c>
      <c r="FY117" s="3">
        <v>0</v>
      </c>
      <c r="GA117" s="3" t="s">
        <v>3</v>
      </c>
      <c r="GD117" s="3">
        <v>1</v>
      </c>
      <c r="GF117" s="3">
        <v>1651073840</v>
      </c>
      <c r="GG117" s="3">
        <v>2</v>
      </c>
      <c r="GH117" s="3">
        <v>1</v>
      </c>
      <c r="GI117" s="3">
        <v>2</v>
      </c>
      <c r="GJ117" s="3">
        <v>0</v>
      </c>
      <c r="GK117" s="3">
        <v>0</v>
      </c>
      <c r="GL117" s="3">
        <f t="shared" si="110"/>
        <v>0</v>
      </c>
      <c r="GM117" s="3">
        <f t="shared" si="111"/>
        <v>438.28</v>
      </c>
      <c r="GN117" s="3">
        <f t="shared" si="112"/>
        <v>438.28</v>
      </c>
      <c r="GO117" s="3">
        <f t="shared" si="113"/>
        <v>0</v>
      </c>
      <c r="GP117" s="3">
        <f t="shared" si="114"/>
        <v>0</v>
      </c>
      <c r="GR117" s="3">
        <v>0</v>
      </c>
      <c r="GS117" s="3">
        <v>3</v>
      </c>
      <c r="GT117" s="3">
        <v>0</v>
      </c>
      <c r="GU117" s="3" t="s">
        <v>3</v>
      </c>
      <c r="GV117" s="3">
        <f t="shared" si="115"/>
        <v>0</v>
      </c>
      <c r="GW117" s="3">
        <v>1</v>
      </c>
      <c r="GX117" s="3">
        <f t="shared" si="116"/>
        <v>0</v>
      </c>
      <c r="HA117" s="3">
        <v>0</v>
      </c>
      <c r="HB117" s="3">
        <v>0</v>
      </c>
      <c r="HC117" s="3">
        <f t="shared" si="117"/>
        <v>0</v>
      </c>
      <c r="HE117" s="3" t="s">
        <v>3</v>
      </c>
      <c r="HF117" s="3" t="s">
        <v>3</v>
      </c>
      <c r="HM117" s="3" t="s">
        <v>3</v>
      </c>
      <c r="HN117" s="3" t="s">
        <v>3</v>
      </c>
      <c r="HO117" s="3" t="s">
        <v>3</v>
      </c>
      <c r="HP117" s="3" t="s">
        <v>3</v>
      </c>
      <c r="HQ117" s="3" t="s">
        <v>3</v>
      </c>
      <c r="HS117" s="3">
        <v>0</v>
      </c>
      <c r="IK117" s="3">
        <v>0</v>
      </c>
    </row>
    <row r="118" spans="1:255" x14ac:dyDescent="0.2">
      <c r="A118" s="2">
        <v>17</v>
      </c>
      <c r="B118" s="2">
        <v>1</v>
      </c>
      <c r="C118" s="2"/>
      <c r="D118" s="2"/>
      <c r="E118" s="2" t="s">
        <v>229</v>
      </c>
      <c r="F118" s="2" t="s">
        <v>230</v>
      </c>
      <c r="G118" s="2" t="s">
        <v>231</v>
      </c>
      <c r="H118" s="2" t="s">
        <v>99</v>
      </c>
      <c r="I118" s="2">
        <v>15</v>
      </c>
      <c r="J118" s="2">
        <v>0</v>
      </c>
      <c r="K118" s="2">
        <v>15</v>
      </c>
      <c r="L118" s="2"/>
      <c r="M118" s="2"/>
      <c r="N118" s="2"/>
      <c r="O118" s="2">
        <f t="shared" si="95"/>
        <v>65.7</v>
      </c>
      <c r="P118" s="2">
        <f t="shared" si="146"/>
        <v>65.7</v>
      </c>
      <c r="Q118" s="2">
        <f t="shared" si="132"/>
        <v>0</v>
      </c>
      <c r="R118" s="2">
        <f t="shared" si="133"/>
        <v>0</v>
      </c>
      <c r="S118" s="2">
        <f t="shared" si="96"/>
        <v>0</v>
      </c>
      <c r="T118" s="2">
        <f t="shared" si="97"/>
        <v>0</v>
      </c>
      <c r="U118" s="2">
        <f t="shared" si="98"/>
        <v>0</v>
      </c>
      <c r="V118" s="2">
        <f t="shared" si="99"/>
        <v>0</v>
      </c>
      <c r="W118" s="2">
        <f t="shared" si="100"/>
        <v>0</v>
      </c>
      <c r="X118" s="2">
        <f t="shared" si="134"/>
        <v>0</v>
      </c>
      <c r="Y118" s="2">
        <f t="shared" si="135"/>
        <v>0</v>
      </c>
      <c r="Z118" s="2"/>
      <c r="AA118" s="2">
        <v>85739205</v>
      </c>
      <c r="AB118" s="2">
        <f t="shared" si="101"/>
        <v>4.38</v>
      </c>
      <c r="AC118" s="2">
        <f t="shared" si="136"/>
        <v>4.38</v>
      </c>
      <c r="AD118" s="2">
        <f t="shared" si="137"/>
        <v>0</v>
      </c>
      <c r="AE118" s="2">
        <f t="shared" si="138"/>
        <v>0</v>
      </c>
      <c r="AF118" s="2">
        <f t="shared" si="139"/>
        <v>0</v>
      </c>
      <c r="AG118" s="2">
        <f t="shared" si="102"/>
        <v>0</v>
      </c>
      <c r="AH118" s="2">
        <f t="shared" si="140"/>
        <v>0</v>
      </c>
      <c r="AI118" s="2">
        <f t="shared" si="141"/>
        <v>0</v>
      </c>
      <c r="AJ118" s="2">
        <f t="shared" si="103"/>
        <v>0</v>
      </c>
      <c r="AK118" s="2">
        <v>4.38</v>
      </c>
      <c r="AL118" s="2">
        <v>4.38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1</v>
      </c>
      <c r="AW118" s="2">
        <v>1</v>
      </c>
      <c r="AX118" s="2"/>
      <c r="AY118" s="2"/>
      <c r="AZ118" s="2">
        <v>1</v>
      </c>
      <c r="BA118" s="2">
        <v>1</v>
      </c>
      <c r="BB118" s="2">
        <v>1</v>
      </c>
      <c r="BC118" s="2">
        <v>1</v>
      </c>
      <c r="BD118" s="2" t="s">
        <v>3</v>
      </c>
      <c r="BE118" s="2" t="s">
        <v>3</v>
      </c>
      <c r="BF118" s="2" t="s">
        <v>3</v>
      </c>
      <c r="BG118" s="2" t="s">
        <v>3</v>
      </c>
      <c r="BH118" s="2">
        <v>3</v>
      </c>
      <c r="BI118" s="2">
        <v>1</v>
      </c>
      <c r="BJ118" s="2" t="s">
        <v>232</v>
      </c>
      <c r="BK118" s="2"/>
      <c r="BL118" s="2"/>
      <c r="BM118" s="2">
        <v>1617</v>
      </c>
      <c r="BN118" s="2">
        <v>0</v>
      </c>
      <c r="BO118" s="2" t="s">
        <v>3</v>
      </c>
      <c r="BP118" s="2">
        <v>0</v>
      </c>
      <c r="BQ118" s="2">
        <v>200</v>
      </c>
      <c r="BR118" s="2">
        <v>0</v>
      </c>
      <c r="BS118" s="2">
        <v>1</v>
      </c>
      <c r="BT118" s="2">
        <v>1</v>
      </c>
      <c r="BU118" s="2">
        <v>1</v>
      </c>
      <c r="BV118" s="2">
        <v>1</v>
      </c>
      <c r="BW118" s="2">
        <v>1</v>
      </c>
      <c r="BX118" s="2">
        <v>1</v>
      </c>
      <c r="BY118" s="2" t="s">
        <v>3</v>
      </c>
      <c r="BZ118" s="2">
        <v>0</v>
      </c>
      <c r="CA118" s="2">
        <v>0</v>
      </c>
      <c r="CB118" s="2" t="s">
        <v>3</v>
      </c>
      <c r="CC118" s="2"/>
      <c r="CD118" s="2"/>
      <c r="CE118" s="2">
        <v>1566</v>
      </c>
      <c r="CF118" s="2">
        <v>0</v>
      </c>
      <c r="CG118" s="2">
        <v>0</v>
      </c>
      <c r="CH118" s="2"/>
      <c r="CI118" s="2"/>
      <c r="CJ118" s="2"/>
      <c r="CK118" s="2"/>
      <c r="CL118" s="2"/>
      <c r="CM118" s="2">
        <v>0</v>
      </c>
      <c r="CN118" s="2" t="s">
        <v>3</v>
      </c>
      <c r="CO118" s="2">
        <v>0</v>
      </c>
      <c r="CP118" s="2">
        <f t="shared" si="104"/>
        <v>65.7</v>
      </c>
      <c r="CQ118" s="2">
        <f t="shared" si="147"/>
        <v>4.38</v>
      </c>
      <c r="CR118" s="2">
        <f t="shared" si="142"/>
        <v>0</v>
      </c>
      <c r="CS118" s="2">
        <f t="shared" si="143"/>
        <v>0</v>
      </c>
      <c r="CT118" s="2">
        <f t="shared" si="105"/>
        <v>0</v>
      </c>
      <c r="CU118" s="2">
        <f t="shared" si="106"/>
        <v>0</v>
      </c>
      <c r="CV118" s="2">
        <f t="shared" si="107"/>
        <v>0</v>
      </c>
      <c r="CW118" s="2">
        <f t="shared" si="108"/>
        <v>0</v>
      </c>
      <c r="CX118" s="2">
        <f t="shared" si="109"/>
        <v>0</v>
      </c>
      <c r="CY118" s="2">
        <f t="shared" si="144"/>
        <v>0</v>
      </c>
      <c r="CZ118" s="2">
        <f t="shared" si="145"/>
        <v>0</v>
      </c>
      <c r="DA118" s="2"/>
      <c r="DB118" s="2"/>
      <c r="DC118" s="2" t="s">
        <v>3</v>
      </c>
      <c r="DD118" s="2" t="s">
        <v>3</v>
      </c>
      <c r="DE118" s="2" t="s">
        <v>3</v>
      </c>
      <c r="DF118" s="2" t="s">
        <v>3</v>
      </c>
      <c r="DG118" s="2" t="s">
        <v>3</v>
      </c>
      <c r="DH118" s="2" t="s">
        <v>3</v>
      </c>
      <c r="DI118" s="2" t="s">
        <v>3</v>
      </c>
      <c r="DJ118" s="2" t="s">
        <v>3</v>
      </c>
      <c r="DK118" s="2" t="s">
        <v>3</v>
      </c>
      <c r="DL118" s="2" t="s">
        <v>3</v>
      </c>
      <c r="DM118" s="2" t="s">
        <v>3</v>
      </c>
      <c r="DN118" s="2">
        <v>0</v>
      </c>
      <c r="DO118" s="2">
        <v>0</v>
      </c>
      <c r="DP118" s="2">
        <v>1</v>
      </c>
      <c r="DQ118" s="2">
        <v>1</v>
      </c>
      <c r="DR118" s="2"/>
      <c r="DS118" s="2"/>
      <c r="DT118" s="2"/>
      <c r="DU118" s="2">
        <v>1010</v>
      </c>
      <c r="DV118" s="2" t="s">
        <v>99</v>
      </c>
      <c r="DW118" s="2" t="s">
        <v>99</v>
      </c>
      <c r="DX118" s="2">
        <v>1</v>
      </c>
      <c r="DY118" s="2"/>
      <c r="DZ118" s="2" t="s">
        <v>3</v>
      </c>
      <c r="EA118" s="2" t="s">
        <v>3</v>
      </c>
      <c r="EB118" s="2" t="s">
        <v>3</v>
      </c>
      <c r="EC118" s="2" t="s">
        <v>3</v>
      </c>
      <c r="ED118" s="2"/>
      <c r="EE118" s="2">
        <v>85133445</v>
      </c>
      <c r="EF118" s="2">
        <v>200</v>
      </c>
      <c r="EG118" s="2" t="s">
        <v>222</v>
      </c>
      <c r="EH118" s="2">
        <v>0</v>
      </c>
      <c r="EI118" s="2" t="s">
        <v>3</v>
      </c>
      <c r="EJ118" s="2">
        <v>1</v>
      </c>
      <c r="EK118" s="2">
        <v>1617</v>
      </c>
      <c r="EL118" s="2" t="s">
        <v>223</v>
      </c>
      <c r="EM118" s="2" t="s">
        <v>224</v>
      </c>
      <c r="EN118" s="2"/>
      <c r="EO118" s="2" t="s">
        <v>3</v>
      </c>
      <c r="EP118" s="2"/>
      <c r="EQ118" s="2">
        <v>0</v>
      </c>
      <c r="ER118" s="2">
        <v>4.38</v>
      </c>
      <c r="ES118" s="2">
        <v>4.38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>
        <v>0</v>
      </c>
      <c r="FR118" s="2">
        <v>0</v>
      </c>
      <c r="FS118" s="2">
        <v>0</v>
      </c>
      <c r="FT118" s="2"/>
      <c r="FU118" s="2"/>
      <c r="FV118" s="2"/>
      <c r="FW118" s="2"/>
      <c r="FX118" s="2">
        <v>0</v>
      </c>
      <c r="FY118" s="2">
        <v>0</v>
      </c>
      <c r="FZ118" s="2"/>
      <c r="GA118" s="2" t="s">
        <v>3</v>
      </c>
      <c r="GB118" s="2"/>
      <c r="GC118" s="2"/>
      <c r="GD118" s="2">
        <v>1</v>
      </c>
      <c r="GE118" s="2"/>
      <c r="GF118" s="2">
        <v>813030253</v>
      </c>
      <c r="GG118" s="2">
        <v>2</v>
      </c>
      <c r="GH118" s="2">
        <v>1</v>
      </c>
      <c r="GI118" s="2">
        <v>-2</v>
      </c>
      <c r="GJ118" s="2">
        <v>0</v>
      </c>
      <c r="GK118" s="2">
        <v>0</v>
      </c>
      <c r="GL118" s="2">
        <f t="shared" si="110"/>
        <v>0</v>
      </c>
      <c r="GM118" s="2">
        <f t="shared" si="111"/>
        <v>65.7</v>
      </c>
      <c r="GN118" s="2">
        <f t="shared" si="112"/>
        <v>65.7</v>
      </c>
      <c r="GO118" s="2">
        <f t="shared" si="113"/>
        <v>0</v>
      </c>
      <c r="GP118" s="2">
        <f t="shared" si="114"/>
        <v>0</v>
      </c>
      <c r="GQ118" s="2"/>
      <c r="GR118" s="2">
        <v>0</v>
      </c>
      <c r="GS118" s="2">
        <v>3</v>
      </c>
      <c r="GT118" s="2">
        <v>0</v>
      </c>
      <c r="GU118" s="2" t="s">
        <v>3</v>
      </c>
      <c r="GV118" s="2">
        <f t="shared" si="115"/>
        <v>0</v>
      </c>
      <c r="GW118" s="2">
        <v>1</v>
      </c>
      <c r="GX118" s="2">
        <f t="shared" si="116"/>
        <v>0</v>
      </c>
      <c r="GY118" s="2"/>
      <c r="GZ118" s="2"/>
      <c r="HA118" s="2">
        <v>0</v>
      </c>
      <c r="HB118" s="2">
        <v>0</v>
      </c>
      <c r="HC118" s="2">
        <f t="shared" si="117"/>
        <v>0</v>
      </c>
      <c r="HD118" s="2"/>
      <c r="HE118" s="2" t="s">
        <v>3</v>
      </c>
      <c r="HF118" s="2" t="s">
        <v>3</v>
      </c>
      <c r="HG118" s="2"/>
      <c r="HH118" s="2"/>
      <c r="HI118" s="2"/>
      <c r="HJ118" s="2"/>
      <c r="HK118" s="2"/>
      <c r="HL118" s="2"/>
      <c r="HM118" s="2" t="s">
        <v>3</v>
      </c>
      <c r="HN118" s="2" t="s">
        <v>3</v>
      </c>
      <c r="HO118" s="2" t="s">
        <v>3</v>
      </c>
      <c r="HP118" s="2" t="s">
        <v>3</v>
      </c>
      <c r="HQ118" s="2" t="s">
        <v>3</v>
      </c>
      <c r="HR118" s="2"/>
      <c r="HS118" s="2">
        <v>0</v>
      </c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>
        <v>0</v>
      </c>
      <c r="IL118" s="2"/>
      <c r="IM118" s="2"/>
      <c r="IN118" s="2"/>
      <c r="IO118" s="2"/>
      <c r="IP118" s="2"/>
      <c r="IQ118" s="2"/>
      <c r="IR118" s="2"/>
      <c r="IS118" s="2"/>
      <c r="IT118" s="2"/>
      <c r="IU118" s="2"/>
    </row>
    <row r="119" spans="1:255" x14ac:dyDescent="0.2">
      <c r="A119" s="3">
        <v>17</v>
      </c>
      <c r="B119" s="3">
        <v>1</v>
      </c>
      <c r="E119" s="3" t="s">
        <v>229</v>
      </c>
      <c r="F119" s="3" t="s">
        <v>230</v>
      </c>
      <c r="G119" s="3" t="s">
        <v>231</v>
      </c>
      <c r="H119" s="3" t="s">
        <v>99</v>
      </c>
      <c r="I119" s="3">
        <v>15</v>
      </c>
      <c r="J119" s="3">
        <v>0</v>
      </c>
      <c r="K119" s="3">
        <v>15</v>
      </c>
      <c r="O119" s="3">
        <f t="shared" si="95"/>
        <v>741.75</v>
      </c>
      <c r="P119" s="3">
        <f t="shared" si="146"/>
        <v>741.75</v>
      </c>
      <c r="Q119" s="3">
        <f t="shared" si="132"/>
        <v>0</v>
      </c>
      <c r="R119" s="3">
        <f t="shared" si="133"/>
        <v>0</v>
      </c>
      <c r="S119" s="3">
        <f t="shared" si="96"/>
        <v>0</v>
      </c>
      <c r="T119" s="3">
        <f t="shared" si="97"/>
        <v>0</v>
      </c>
      <c r="U119" s="3">
        <f t="shared" si="98"/>
        <v>0</v>
      </c>
      <c r="V119" s="3">
        <f t="shared" si="99"/>
        <v>0</v>
      </c>
      <c r="W119" s="3">
        <f t="shared" si="100"/>
        <v>0</v>
      </c>
      <c r="X119" s="3">
        <f t="shared" si="134"/>
        <v>0</v>
      </c>
      <c r="Y119" s="3">
        <f t="shared" si="135"/>
        <v>0</v>
      </c>
      <c r="AA119" s="3">
        <v>85739207</v>
      </c>
      <c r="AB119" s="3">
        <f t="shared" si="101"/>
        <v>4.38</v>
      </c>
      <c r="AC119" s="3">
        <f t="shared" si="136"/>
        <v>4.38</v>
      </c>
      <c r="AD119" s="3">
        <f t="shared" si="137"/>
        <v>0</v>
      </c>
      <c r="AE119" s="3">
        <f t="shared" si="138"/>
        <v>0</v>
      </c>
      <c r="AF119" s="3">
        <f t="shared" si="139"/>
        <v>0</v>
      </c>
      <c r="AG119" s="3">
        <f t="shared" si="102"/>
        <v>0</v>
      </c>
      <c r="AH119" s="3">
        <f t="shared" si="140"/>
        <v>0</v>
      </c>
      <c r="AI119" s="3">
        <f t="shared" si="141"/>
        <v>0</v>
      </c>
      <c r="AJ119" s="3">
        <f t="shared" si="103"/>
        <v>0</v>
      </c>
      <c r="AK119" s="3">
        <v>4.38</v>
      </c>
      <c r="AL119" s="3">
        <v>4.38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1</v>
      </c>
      <c r="AW119" s="3">
        <v>1</v>
      </c>
      <c r="AZ119" s="3">
        <v>1</v>
      </c>
      <c r="BA119" s="3">
        <v>1</v>
      </c>
      <c r="BB119" s="3">
        <v>1</v>
      </c>
      <c r="BC119" s="3">
        <v>11.29</v>
      </c>
      <c r="BD119" s="3" t="s">
        <v>3</v>
      </c>
      <c r="BE119" s="3" t="s">
        <v>3</v>
      </c>
      <c r="BF119" s="3" t="s">
        <v>3</v>
      </c>
      <c r="BG119" s="3" t="s">
        <v>3</v>
      </c>
      <c r="BH119" s="3">
        <v>3</v>
      </c>
      <c r="BI119" s="3">
        <v>1</v>
      </c>
      <c r="BJ119" s="3" t="s">
        <v>232</v>
      </c>
      <c r="BM119" s="3">
        <v>1617</v>
      </c>
      <c r="BN119" s="3">
        <v>0</v>
      </c>
      <c r="BO119" s="3" t="s">
        <v>230</v>
      </c>
      <c r="BP119" s="3">
        <v>1</v>
      </c>
      <c r="BQ119" s="3">
        <v>200</v>
      </c>
      <c r="BR119" s="3">
        <v>0</v>
      </c>
      <c r="BS119" s="3">
        <v>1</v>
      </c>
      <c r="BT119" s="3">
        <v>1</v>
      </c>
      <c r="BU119" s="3">
        <v>1</v>
      </c>
      <c r="BV119" s="3">
        <v>1</v>
      </c>
      <c r="BW119" s="3">
        <v>1</v>
      </c>
      <c r="BX119" s="3">
        <v>1</v>
      </c>
      <c r="BY119" s="3" t="s">
        <v>3</v>
      </c>
      <c r="BZ119" s="3">
        <v>0</v>
      </c>
      <c r="CA119" s="3">
        <v>0</v>
      </c>
      <c r="CB119" s="3" t="s">
        <v>3</v>
      </c>
      <c r="CE119" s="3">
        <v>1566</v>
      </c>
      <c r="CF119" s="3">
        <v>0</v>
      </c>
      <c r="CG119" s="3">
        <v>0</v>
      </c>
      <c r="CM119" s="3">
        <v>0</v>
      </c>
      <c r="CN119" s="3" t="s">
        <v>3</v>
      </c>
      <c r="CO119" s="3">
        <v>0</v>
      </c>
      <c r="CP119" s="3">
        <f t="shared" si="104"/>
        <v>741.75</v>
      </c>
      <c r="CQ119" s="3">
        <f t="shared" si="147"/>
        <v>49.45</v>
      </c>
      <c r="CR119" s="3">
        <f t="shared" si="142"/>
        <v>0</v>
      </c>
      <c r="CS119" s="3">
        <f t="shared" si="143"/>
        <v>0</v>
      </c>
      <c r="CT119" s="3">
        <f t="shared" si="105"/>
        <v>0</v>
      </c>
      <c r="CU119" s="3">
        <f t="shared" si="106"/>
        <v>0</v>
      </c>
      <c r="CV119" s="3">
        <f t="shared" si="107"/>
        <v>0</v>
      </c>
      <c r="CW119" s="3">
        <f t="shared" si="108"/>
        <v>0</v>
      </c>
      <c r="CX119" s="3">
        <f t="shared" si="109"/>
        <v>0</v>
      </c>
      <c r="CY119" s="3">
        <f t="shared" si="144"/>
        <v>0</v>
      </c>
      <c r="CZ119" s="3">
        <f t="shared" si="145"/>
        <v>0</v>
      </c>
      <c r="DC119" s="3" t="s">
        <v>3</v>
      </c>
      <c r="DD119" s="3" t="s">
        <v>3</v>
      </c>
      <c r="DE119" s="3" t="s">
        <v>3</v>
      </c>
      <c r="DF119" s="3" t="s">
        <v>3</v>
      </c>
      <c r="DG119" s="3" t="s">
        <v>3</v>
      </c>
      <c r="DH119" s="3" t="s">
        <v>3</v>
      </c>
      <c r="DI119" s="3" t="s">
        <v>3</v>
      </c>
      <c r="DJ119" s="3" t="s">
        <v>3</v>
      </c>
      <c r="DK119" s="3" t="s">
        <v>3</v>
      </c>
      <c r="DL119" s="3" t="s">
        <v>3</v>
      </c>
      <c r="DM119" s="3" t="s">
        <v>3</v>
      </c>
      <c r="DN119" s="3">
        <v>0</v>
      </c>
      <c r="DO119" s="3">
        <v>0</v>
      </c>
      <c r="DP119" s="3">
        <v>1</v>
      </c>
      <c r="DQ119" s="3">
        <v>1</v>
      </c>
      <c r="DU119" s="3">
        <v>1010</v>
      </c>
      <c r="DV119" s="3" t="s">
        <v>99</v>
      </c>
      <c r="DW119" s="3" t="s">
        <v>99</v>
      </c>
      <c r="DX119" s="3">
        <v>1</v>
      </c>
      <c r="DZ119" s="3" t="s">
        <v>3</v>
      </c>
      <c r="EA119" s="3" t="s">
        <v>3</v>
      </c>
      <c r="EB119" s="3" t="s">
        <v>3</v>
      </c>
      <c r="EC119" s="3" t="s">
        <v>3</v>
      </c>
      <c r="EE119" s="3">
        <v>85133445</v>
      </c>
      <c r="EF119" s="3">
        <v>200</v>
      </c>
      <c r="EG119" s="3" t="s">
        <v>222</v>
      </c>
      <c r="EH119" s="3">
        <v>0</v>
      </c>
      <c r="EI119" s="3" t="s">
        <v>3</v>
      </c>
      <c r="EJ119" s="3">
        <v>1</v>
      </c>
      <c r="EK119" s="3">
        <v>1617</v>
      </c>
      <c r="EL119" s="3" t="s">
        <v>223</v>
      </c>
      <c r="EM119" s="3" t="s">
        <v>224</v>
      </c>
      <c r="EO119" s="3" t="s">
        <v>3</v>
      </c>
      <c r="EQ119" s="3">
        <v>0</v>
      </c>
      <c r="ER119" s="3">
        <v>4.38</v>
      </c>
      <c r="ES119" s="3">
        <v>4.38</v>
      </c>
      <c r="ET119" s="3">
        <v>0</v>
      </c>
      <c r="EU119" s="3">
        <v>0</v>
      </c>
      <c r="EV119" s="3">
        <v>0</v>
      </c>
      <c r="EW119" s="3">
        <v>0</v>
      </c>
      <c r="EX119" s="3">
        <v>0</v>
      </c>
      <c r="EY119" s="3">
        <v>0</v>
      </c>
      <c r="FQ119" s="3">
        <v>0</v>
      </c>
      <c r="FR119" s="3">
        <v>0</v>
      </c>
      <c r="FS119" s="3">
        <v>0</v>
      </c>
      <c r="FX119" s="3">
        <v>0</v>
      </c>
      <c r="FY119" s="3">
        <v>0</v>
      </c>
      <c r="GA119" s="3" t="s">
        <v>3</v>
      </c>
      <c r="GD119" s="3">
        <v>1</v>
      </c>
      <c r="GF119" s="3">
        <v>813030253</v>
      </c>
      <c r="GG119" s="3">
        <v>2</v>
      </c>
      <c r="GH119" s="3">
        <v>1</v>
      </c>
      <c r="GI119" s="3">
        <v>2</v>
      </c>
      <c r="GJ119" s="3">
        <v>0</v>
      </c>
      <c r="GK119" s="3">
        <v>0</v>
      </c>
      <c r="GL119" s="3">
        <f t="shared" si="110"/>
        <v>0</v>
      </c>
      <c r="GM119" s="3">
        <f t="shared" si="111"/>
        <v>741.75</v>
      </c>
      <c r="GN119" s="3">
        <f t="shared" si="112"/>
        <v>741.75</v>
      </c>
      <c r="GO119" s="3">
        <f t="shared" si="113"/>
        <v>0</v>
      </c>
      <c r="GP119" s="3">
        <f t="shared" si="114"/>
        <v>0</v>
      </c>
      <c r="GR119" s="3">
        <v>0</v>
      </c>
      <c r="GS119" s="3">
        <v>3</v>
      </c>
      <c r="GT119" s="3">
        <v>0</v>
      </c>
      <c r="GU119" s="3" t="s">
        <v>3</v>
      </c>
      <c r="GV119" s="3">
        <f t="shared" si="115"/>
        <v>0</v>
      </c>
      <c r="GW119" s="3">
        <v>1</v>
      </c>
      <c r="GX119" s="3">
        <f t="shared" si="116"/>
        <v>0</v>
      </c>
      <c r="HA119" s="3">
        <v>0</v>
      </c>
      <c r="HB119" s="3">
        <v>0</v>
      </c>
      <c r="HC119" s="3">
        <f t="shared" si="117"/>
        <v>0</v>
      </c>
      <c r="HE119" s="3" t="s">
        <v>3</v>
      </c>
      <c r="HF119" s="3" t="s">
        <v>3</v>
      </c>
      <c r="HM119" s="3" t="s">
        <v>3</v>
      </c>
      <c r="HN119" s="3" t="s">
        <v>3</v>
      </c>
      <c r="HO119" s="3" t="s">
        <v>3</v>
      </c>
      <c r="HP119" s="3" t="s">
        <v>3</v>
      </c>
      <c r="HQ119" s="3" t="s">
        <v>3</v>
      </c>
      <c r="HS119" s="3">
        <v>0</v>
      </c>
      <c r="IK119" s="3">
        <v>0</v>
      </c>
    </row>
    <row r="120" spans="1:255" x14ac:dyDescent="0.2">
      <c r="A120" s="2">
        <v>17</v>
      </c>
      <c r="B120" s="2">
        <v>1</v>
      </c>
      <c r="C120" s="2"/>
      <c r="D120" s="2"/>
      <c r="E120" s="2" t="s">
        <v>233</v>
      </c>
      <c r="F120" s="2" t="s">
        <v>234</v>
      </c>
      <c r="G120" s="2" t="s">
        <v>235</v>
      </c>
      <c r="H120" s="2" t="s">
        <v>99</v>
      </c>
      <c r="I120" s="2">
        <v>10</v>
      </c>
      <c r="J120" s="2">
        <v>0</v>
      </c>
      <c r="K120" s="2">
        <v>10</v>
      </c>
      <c r="L120" s="2"/>
      <c r="M120" s="2"/>
      <c r="N120" s="2"/>
      <c r="O120" s="2">
        <f t="shared" si="95"/>
        <v>154.19999999999999</v>
      </c>
      <c r="P120" s="2">
        <f t="shared" si="146"/>
        <v>154.19999999999999</v>
      </c>
      <c r="Q120" s="2">
        <f t="shared" si="132"/>
        <v>0</v>
      </c>
      <c r="R120" s="2">
        <f t="shared" si="133"/>
        <v>0</v>
      </c>
      <c r="S120" s="2">
        <f t="shared" si="96"/>
        <v>0</v>
      </c>
      <c r="T120" s="2">
        <f t="shared" si="97"/>
        <v>0</v>
      </c>
      <c r="U120" s="2">
        <f t="shared" si="98"/>
        <v>0</v>
      </c>
      <c r="V120" s="2">
        <f t="shared" si="99"/>
        <v>0</v>
      </c>
      <c r="W120" s="2">
        <f t="shared" si="100"/>
        <v>0</v>
      </c>
      <c r="X120" s="2">
        <f t="shared" si="134"/>
        <v>0</v>
      </c>
      <c r="Y120" s="2">
        <f t="shared" si="135"/>
        <v>0</v>
      </c>
      <c r="Z120" s="2"/>
      <c r="AA120" s="2">
        <v>85739205</v>
      </c>
      <c r="AB120" s="2">
        <f t="shared" si="101"/>
        <v>15.42</v>
      </c>
      <c r="AC120" s="2">
        <f t="shared" si="136"/>
        <v>15.42</v>
      </c>
      <c r="AD120" s="2">
        <f t="shared" si="137"/>
        <v>0</v>
      </c>
      <c r="AE120" s="2">
        <f t="shared" si="138"/>
        <v>0</v>
      </c>
      <c r="AF120" s="2">
        <f t="shared" si="139"/>
        <v>0</v>
      </c>
      <c r="AG120" s="2">
        <f t="shared" si="102"/>
        <v>0</v>
      </c>
      <c r="AH120" s="2">
        <f t="shared" si="140"/>
        <v>0</v>
      </c>
      <c r="AI120" s="2">
        <f t="shared" si="141"/>
        <v>0</v>
      </c>
      <c r="AJ120" s="2">
        <f t="shared" si="103"/>
        <v>0</v>
      </c>
      <c r="AK120" s="2">
        <v>15.42</v>
      </c>
      <c r="AL120" s="2">
        <v>15.42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1</v>
      </c>
      <c r="AW120" s="2">
        <v>1</v>
      </c>
      <c r="AX120" s="2"/>
      <c r="AY120" s="2"/>
      <c r="AZ120" s="2">
        <v>1</v>
      </c>
      <c r="BA120" s="2">
        <v>1</v>
      </c>
      <c r="BB120" s="2">
        <v>1</v>
      </c>
      <c r="BC120" s="2">
        <v>1</v>
      </c>
      <c r="BD120" s="2" t="s">
        <v>3</v>
      </c>
      <c r="BE120" s="2" t="s">
        <v>3</v>
      </c>
      <c r="BF120" s="2" t="s">
        <v>3</v>
      </c>
      <c r="BG120" s="2" t="s">
        <v>3</v>
      </c>
      <c r="BH120" s="2">
        <v>3</v>
      </c>
      <c r="BI120" s="2">
        <v>1</v>
      </c>
      <c r="BJ120" s="2" t="s">
        <v>236</v>
      </c>
      <c r="BK120" s="2"/>
      <c r="BL120" s="2"/>
      <c r="BM120" s="2">
        <v>1617</v>
      </c>
      <c r="BN120" s="2">
        <v>0</v>
      </c>
      <c r="BO120" s="2" t="s">
        <v>3</v>
      </c>
      <c r="BP120" s="2">
        <v>0</v>
      </c>
      <c r="BQ120" s="2">
        <v>200</v>
      </c>
      <c r="BR120" s="2">
        <v>0</v>
      </c>
      <c r="BS120" s="2">
        <v>1</v>
      </c>
      <c r="BT120" s="2">
        <v>1</v>
      </c>
      <c r="BU120" s="2">
        <v>1</v>
      </c>
      <c r="BV120" s="2">
        <v>1</v>
      </c>
      <c r="BW120" s="2">
        <v>1</v>
      </c>
      <c r="BX120" s="2">
        <v>1</v>
      </c>
      <c r="BY120" s="2" t="s">
        <v>3</v>
      </c>
      <c r="BZ120" s="2">
        <v>0</v>
      </c>
      <c r="CA120" s="2">
        <v>0</v>
      </c>
      <c r="CB120" s="2" t="s">
        <v>3</v>
      </c>
      <c r="CC120" s="2"/>
      <c r="CD120" s="2"/>
      <c r="CE120" s="2">
        <v>1566</v>
      </c>
      <c r="CF120" s="2">
        <v>0</v>
      </c>
      <c r="CG120" s="2">
        <v>0</v>
      </c>
      <c r="CH120" s="2"/>
      <c r="CI120" s="2"/>
      <c r="CJ120" s="2"/>
      <c r="CK120" s="2"/>
      <c r="CL120" s="2"/>
      <c r="CM120" s="2">
        <v>0</v>
      </c>
      <c r="CN120" s="2" t="s">
        <v>3</v>
      </c>
      <c r="CO120" s="2">
        <v>0</v>
      </c>
      <c r="CP120" s="2">
        <f t="shared" si="104"/>
        <v>154.19999999999999</v>
      </c>
      <c r="CQ120" s="2">
        <f t="shared" si="147"/>
        <v>15.42</v>
      </c>
      <c r="CR120" s="2">
        <f t="shared" si="142"/>
        <v>0</v>
      </c>
      <c r="CS120" s="2">
        <f t="shared" si="143"/>
        <v>0</v>
      </c>
      <c r="CT120" s="2">
        <f t="shared" si="105"/>
        <v>0</v>
      </c>
      <c r="CU120" s="2">
        <f t="shared" si="106"/>
        <v>0</v>
      </c>
      <c r="CV120" s="2">
        <f t="shared" si="107"/>
        <v>0</v>
      </c>
      <c r="CW120" s="2">
        <f t="shared" si="108"/>
        <v>0</v>
      </c>
      <c r="CX120" s="2">
        <f t="shared" si="109"/>
        <v>0</v>
      </c>
      <c r="CY120" s="2">
        <f t="shared" si="144"/>
        <v>0</v>
      </c>
      <c r="CZ120" s="2">
        <f t="shared" si="145"/>
        <v>0</v>
      </c>
      <c r="DA120" s="2"/>
      <c r="DB120" s="2"/>
      <c r="DC120" s="2" t="s">
        <v>3</v>
      </c>
      <c r="DD120" s="2" t="s">
        <v>3</v>
      </c>
      <c r="DE120" s="2" t="s">
        <v>3</v>
      </c>
      <c r="DF120" s="2" t="s">
        <v>3</v>
      </c>
      <c r="DG120" s="2" t="s">
        <v>3</v>
      </c>
      <c r="DH120" s="2" t="s">
        <v>3</v>
      </c>
      <c r="DI120" s="2" t="s">
        <v>3</v>
      </c>
      <c r="DJ120" s="2" t="s">
        <v>3</v>
      </c>
      <c r="DK120" s="2" t="s">
        <v>3</v>
      </c>
      <c r="DL120" s="2" t="s">
        <v>3</v>
      </c>
      <c r="DM120" s="2" t="s">
        <v>3</v>
      </c>
      <c r="DN120" s="2">
        <v>0</v>
      </c>
      <c r="DO120" s="2">
        <v>0</v>
      </c>
      <c r="DP120" s="2">
        <v>1</v>
      </c>
      <c r="DQ120" s="2">
        <v>1</v>
      </c>
      <c r="DR120" s="2"/>
      <c r="DS120" s="2"/>
      <c r="DT120" s="2"/>
      <c r="DU120" s="2">
        <v>1010</v>
      </c>
      <c r="DV120" s="2" t="s">
        <v>99</v>
      </c>
      <c r="DW120" s="2" t="s">
        <v>99</v>
      </c>
      <c r="DX120" s="2">
        <v>1</v>
      </c>
      <c r="DY120" s="2"/>
      <c r="DZ120" s="2" t="s">
        <v>3</v>
      </c>
      <c r="EA120" s="2" t="s">
        <v>3</v>
      </c>
      <c r="EB120" s="2" t="s">
        <v>3</v>
      </c>
      <c r="EC120" s="2" t="s">
        <v>3</v>
      </c>
      <c r="ED120" s="2"/>
      <c r="EE120" s="2">
        <v>85133445</v>
      </c>
      <c r="EF120" s="2">
        <v>200</v>
      </c>
      <c r="EG120" s="2" t="s">
        <v>222</v>
      </c>
      <c r="EH120" s="2">
        <v>0</v>
      </c>
      <c r="EI120" s="2" t="s">
        <v>3</v>
      </c>
      <c r="EJ120" s="2">
        <v>1</v>
      </c>
      <c r="EK120" s="2">
        <v>1617</v>
      </c>
      <c r="EL120" s="2" t="s">
        <v>223</v>
      </c>
      <c r="EM120" s="2" t="s">
        <v>224</v>
      </c>
      <c r="EN120" s="2"/>
      <c r="EO120" s="2" t="s">
        <v>3</v>
      </c>
      <c r="EP120" s="2"/>
      <c r="EQ120" s="2">
        <v>0</v>
      </c>
      <c r="ER120" s="2">
        <v>15.42</v>
      </c>
      <c r="ES120" s="2">
        <v>15.42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>
        <v>0</v>
      </c>
      <c r="FR120" s="2">
        <v>0</v>
      </c>
      <c r="FS120" s="2">
        <v>0</v>
      </c>
      <c r="FT120" s="2"/>
      <c r="FU120" s="2"/>
      <c r="FV120" s="2"/>
      <c r="FW120" s="2"/>
      <c r="FX120" s="2">
        <v>0</v>
      </c>
      <c r="FY120" s="2">
        <v>0</v>
      </c>
      <c r="FZ120" s="2"/>
      <c r="GA120" s="2" t="s">
        <v>3</v>
      </c>
      <c r="GB120" s="2"/>
      <c r="GC120" s="2"/>
      <c r="GD120" s="2">
        <v>1</v>
      </c>
      <c r="GE120" s="2"/>
      <c r="GF120" s="2">
        <v>1361731737</v>
      </c>
      <c r="GG120" s="2">
        <v>2</v>
      </c>
      <c r="GH120" s="2">
        <v>1</v>
      </c>
      <c r="GI120" s="2">
        <v>-2</v>
      </c>
      <c r="GJ120" s="2">
        <v>0</v>
      </c>
      <c r="GK120" s="2">
        <v>0</v>
      </c>
      <c r="GL120" s="2">
        <f t="shared" si="110"/>
        <v>0</v>
      </c>
      <c r="GM120" s="2">
        <f t="shared" si="111"/>
        <v>154.19999999999999</v>
      </c>
      <c r="GN120" s="2">
        <f t="shared" si="112"/>
        <v>154.19999999999999</v>
      </c>
      <c r="GO120" s="2">
        <f t="shared" si="113"/>
        <v>0</v>
      </c>
      <c r="GP120" s="2">
        <f t="shared" si="114"/>
        <v>0</v>
      </c>
      <c r="GQ120" s="2"/>
      <c r="GR120" s="2">
        <v>0</v>
      </c>
      <c r="GS120" s="2">
        <v>3</v>
      </c>
      <c r="GT120" s="2">
        <v>0</v>
      </c>
      <c r="GU120" s="2" t="s">
        <v>3</v>
      </c>
      <c r="GV120" s="2">
        <f t="shared" si="115"/>
        <v>0</v>
      </c>
      <c r="GW120" s="2">
        <v>1</v>
      </c>
      <c r="GX120" s="2">
        <f t="shared" si="116"/>
        <v>0</v>
      </c>
      <c r="GY120" s="2"/>
      <c r="GZ120" s="2"/>
      <c r="HA120" s="2">
        <v>0</v>
      </c>
      <c r="HB120" s="2">
        <v>0</v>
      </c>
      <c r="HC120" s="2">
        <f t="shared" si="117"/>
        <v>0</v>
      </c>
      <c r="HD120" s="2"/>
      <c r="HE120" s="2" t="s">
        <v>3</v>
      </c>
      <c r="HF120" s="2" t="s">
        <v>3</v>
      </c>
      <c r="HG120" s="2"/>
      <c r="HH120" s="2"/>
      <c r="HI120" s="2"/>
      <c r="HJ120" s="2"/>
      <c r="HK120" s="2"/>
      <c r="HL120" s="2"/>
      <c r="HM120" s="2" t="s">
        <v>3</v>
      </c>
      <c r="HN120" s="2" t="s">
        <v>3</v>
      </c>
      <c r="HO120" s="2" t="s">
        <v>3</v>
      </c>
      <c r="HP120" s="2" t="s">
        <v>3</v>
      </c>
      <c r="HQ120" s="2" t="s">
        <v>3</v>
      </c>
      <c r="HR120" s="2"/>
      <c r="HS120" s="2">
        <v>0</v>
      </c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>
        <v>0</v>
      </c>
      <c r="IL120" s="2"/>
      <c r="IM120" s="2"/>
      <c r="IN120" s="2"/>
      <c r="IO120" s="2"/>
      <c r="IP120" s="2"/>
      <c r="IQ120" s="2"/>
      <c r="IR120" s="2"/>
      <c r="IS120" s="2"/>
      <c r="IT120" s="2"/>
      <c r="IU120" s="2"/>
    </row>
    <row r="121" spans="1:255" x14ac:dyDescent="0.2">
      <c r="A121" s="3">
        <v>17</v>
      </c>
      <c r="B121" s="3">
        <v>1</v>
      </c>
      <c r="E121" s="3" t="s">
        <v>233</v>
      </c>
      <c r="F121" s="3" t="s">
        <v>234</v>
      </c>
      <c r="G121" s="3" t="s">
        <v>235</v>
      </c>
      <c r="H121" s="3" t="s">
        <v>99</v>
      </c>
      <c r="I121" s="3">
        <v>10</v>
      </c>
      <c r="J121" s="3">
        <v>0</v>
      </c>
      <c r="K121" s="3">
        <v>10</v>
      </c>
      <c r="O121" s="3">
        <f t="shared" si="95"/>
        <v>815.72</v>
      </c>
      <c r="P121" s="3">
        <f t="shared" si="146"/>
        <v>815.72</v>
      </c>
      <c r="Q121" s="3">
        <f t="shared" si="132"/>
        <v>0</v>
      </c>
      <c r="R121" s="3">
        <f t="shared" si="133"/>
        <v>0</v>
      </c>
      <c r="S121" s="3">
        <f t="shared" si="96"/>
        <v>0</v>
      </c>
      <c r="T121" s="3">
        <f t="shared" si="97"/>
        <v>0</v>
      </c>
      <c r="U121" s="3">
        <f t="shared" si="98"/>
        <v>0</v>
      </c>
      <c r="V121" s="3">
        <f t="shared" si="99"/>
        <v>0</v>
      </c>
      <c r="W121" s="3">
        <f t="shared" si="100"/>
        <v>0</v>
      </c>
      <c r="X121" s="3">
        <f t="shared" si="134"/>
        <v>0</v>
      </c>
      <c r="Y121" s="3">
        <f t="shared" si="135"/>
        <v>0</v>
      </c>
      <c r="AA121" s="3">
        <v>85739207</v>
      </c>
      <c r="AB121" s="3">
        <f t="shared" si="101"/>
        <v>15.42</v>
      </c>
      <c r="AC121" s="3">
        <f t="shared" si="136"/>
        <v>15.42</v>
      </c>
      <c r="AD121" s="3">
        <f t="shared" si="137"/>
        <v>0</v>
      </c>
      <c r="AE121" s="3">
        <f t="shared" si="138"/>
        <v>0</v>
      </c>
      <c r="AF121" s="3">
        <f t="shared" si="139"/>
        <v>0</v>
      </c>
      <c r="AG121" s="3">
        <f t="shared" si="102"/>
        <v>0</v>
      </c>
      <c r="AH121" s="3">
        <f t="shared" si="140"/>
        <v>0</v>
      </c>
      <c r="AI121" s="3">
        <f t="shared" si="141"/>
        <v>0</v>
      </c>
      <c r="AJ121" s="3">
        <f t="shared" si="103"/>
        <v>0</v>
      </c>
      <c r="AK121" s="3">
        <v>15.42</v>
      </c>
      <c r="AL121" s="3">
        <v>15.42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1</v>
      </c>
      <c r="AW121" s="3">
        <v>1</v>
      </c>
      <c r="AZ121" s="3">
        <v>1</v>
      </c>
      <c r="BA121" s="3">
        <v>1</v>
      </c>
      <c r="BB121" s="3">
        <v>1</v>
      </c>
      <c r="BC121" s="3">
        <v>5.29</v>
      </c>
      <c r="BD121" s="3" t="s">
        <v>3</v>
      </c>
      <c r="BE121" s="3" t="s">
        <v>3</v>
      </c>
      <c r="BF121" s="3" t="s">
        <v>3</v>
      </c>
      <c r="BG121" s="3" t="s">
        <v>3</v>
      </c>
      <c r="BH121" s="3">
        <v>3</v>
      </c>
      <c r="BI121" s="3">
        <v>1</v>
      </c>
      <c r="BJ121" s="3" t="s">
        <v>236</v>
      </c>
      <c r="BM121" s="3">
        <v>1617</v>
      </c>
      <c r="BN121" s="3">
        <v>0</v>
      </c>
      <c r="BO121" s="3" t="s">
        <v>234</v>
      </c>
      <c r="BP121" s="3">
        <v>1</v>
      </c>
      <c r="BQ121" s="3">
        <v>200</v>
      </c>
      <c r="BR121" s="3">
        <v>0</v>
      </c>
      <c r="BS121" s="3">
        <v>1</v>
      </c>
      <c r="BT121" s="3">
        <v>1</v>
      </c>
      <c r="BU121" s="3">
        <v>1</v>
      </c>
      <c r="BV121" s="3">
        <v>1</v>
      </c>
      <c r="BW121" s="3">
        <v>1</v>
      </c>
      <c r="BX121" s="3">
        <v>1</v>
      </c>
      <c r="BY121" s="3" t="s">
        <v>3</v>
      </c>
      <c r="BZ121" s="3">
        <v>0</v>
      </c>
      <c r="CA121" s="3">
        <v>0</v>
      </c>
      <c r="CB121" s="3" t="s">
        <v>3</v>
      </c>
      <c r="CE121" s="3">
        <v>1566</v>
      </c>
      <c r="CF121" s="3">
        <v>0</v>
      </c>
      <c r="CG121" s="3">
        <v>0</v>
      </c>
      <c r="CM121" s="3">
        <v>0</v>
      </c>
      <c r="CN121" s="3" t="s">
        <v>3</v>
      </c>
      <c r="CO121" s="3">
        <v>0</v>
      </c>
      <c r="CP121" s="3">
        <f t="shared" si="104"/>
        <v>815.72</v>
      </c>
      <c r="CQ121" s="3">
        <f t="shared" si="147"/>
        <v>81.569999999999993</v>
      </c>
      <c r="CR121" s="3">
        <f t="shared" si="142"/>
        <v>0</v>
      </c>
      <c r="CS121" s="3">
        <f t="shared" si="143"/>
        <v>0</v>
      </c>
      <c r="CT121" s="3">
        <f t="shared" si="105"/>
        <v>0</v>
      </c>
      <c r="CU121" s="3">
        <f t="shared" si="106"/>
        <v>0</v>
      </c>
      <c r="CV121" s="3">
        <f t="shared" si="107"/>
        <v>0</v>
      </c>
      <c r="CW121" s="3">
        <f t="shared" si="108"/>
        <v>0</v>
      </c>
      <c r="CX121" s="3">
        <f t="shared" si="109"/>
        <v>0</v>
      </c>
      <c r="CY121" s="3">
        <f t="shared" si="144"/>
        <v>0</v>
      </c>
      <c r="CZ121" s="3">
        <f t="shared" si="145"/>
        <v>0</v>
      </c>
      <c r="DC121" s="3" t="s">
        <v>3</v>
      </c>
      <c r="DD121" s="3" t="s">
        <v>3</v>
      </c>
      <c r="DE121" s="3" t="s">
        <v>3</v>
      </c>
      <c r="DF121" s="3" t="s">
        <v>3</v>
      </c>
      <c r="DG121" s="3" t="s">
        <v>3</v>
      </c>
      <c r="DH121" s="3" t="s">
        <v>3</v>
      </c>
      <c r="DI121" s="3" t="s">
        <v>3</v>
      </c>
      <c r="DJ121" s="3" t="s">
        <v>3</v>
      </c>
      <c r="DK121" s="3" t="s">
        <v>3</v>
      </c>
      <c r="DL121" s="3" t="s">
        <v>3</v>
      </c>
      <c r="DM121" s="3" t="s">
        <v>3</v>
      </c>
      <c r="DN121" s="3">
        <v>0</v>
      </c>
      <c r="DO121" s="3">
        <v>0</v>
      </c>
      <c r="DP121" s="3">
        <v>1</v>
      </c>
      <c r="DQ121" s="3">
        <v>1</v>
      </c>
      <c r="DU121" s="3">
        <v>1010</v>
      </c>
      <c r="DV121" s="3" t="s">
        <v>99</v>
      </c>
      <c r="DW121" s="3" t="s">
        <v>99</v>
      </c>
      <c r="DX121" s="3">
        <v>1</v>
      </c>
      <c r="DZ121" s="3" t="s">
        <v>3</v>
      </c>
      <c r="EA121" s="3" t="s">
        <v>3</v>
      </c>
      <c r="EB121" s="3" t="s">
        <v>3</v>
      </c>
      <c r="EC121" s="3" t="s">
        <v>3</v>
      </c>
      <c r="EE121" s="3">
        <v>85133445</v>
      </c>
      <c r="EF121" s="3">
        <v>200</v>
      </c>
      <c r="EG121" s="3" t="s">
        <v>222</v>
      </c>
      <c r="EH121" s="3">
        <v>0</v>
      </c>
      <c r="EI121" s="3" t="s">
        <v>3</v>
      </c>
      <c r="EJ121" s="3">
        <v>1</v>
      </c>
      <c r="EK121" s="3">
        <v>1617</v>
      </c>
      <c r="EL121" s="3" t="s">
        <v>223</v>
      </c>
      <c r="EM121" s="3" t="s">
        <v>224</v>
      </c>
      <c r="EO121" s="3" t="s">
        <v>3</v>
      </c>
      <c r="EQ121" s="3">
        <v>0</v>
      </c>
      <c r="ER121" s="3">
        <v>15.42</v>
      </c>
      <c r="ES121" s="3">
        <v>15.42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0</v>
      </c>
      <c r="FQ121" s="3">
        <v>0</v>
      </c>
      <c r="FR121" s="3">
        <v>0</v>
      </c>
      <c r="FS121" s="3">
        <v>0</v>
      </c>
      <c r="FX121" s="3">
        <v>0</v>
      </c>
      <c r="FY121" s="3">
        <v>0</v>
      </c>
      <c r="GA121" s="3" t="s">
        <v>3</v>
      </c>
      <c r="GD121" s="3">
        <v>1</v>
      </c>
      <c r="GF121" s="3">
        <v>1361731737</v>
      </c>
      <c r="GG121" s="3">
        <v>2</v>
      </c>
      <c r="GH121" s="3">
        <v>1</v>
      </c>
      <c r="GI121" s="3">
        <v>2</v>
      </c>
      <c r="GJ121" s="3">
        <v>0</v>
      </c>
      <c r="GK121" s="3">
        <v>0</v>
      </c>
      <c r="GL121" s="3">
        <f t="shared" si="110"/>
        <v>0</v>
      </c>
      <c r="GM121" s="3">
        <f t="shared" si="111"/>
        <v>815.72</v>
      </c>
      <c r="GN121" s="3">
        <f t="shared" si="112"/>
        <v>815.72</v>
      </c>
      <c r="GO121" s="3">
        <f t="shared" si="113"/>
        <v>0</v>
      </c>
      <c r="GP121" s="3">
        <f t="shared" si="114"/>
        <v>0</v>
      </c>
      <c r="GR121" s="3">
        <v>0</v>
      </c>
      <c r="GS121" s="3">
        <v>3</v>
      </c>
      <c r="GT121" s="3">
        <v>0</v>
      </c>
      <c r="GU121" s="3" t="s">
        <v>3</v>
      </c>
      <c r="GV121" s="3">
        <f t="shared" si="115"/>
        <v>0</v>
      </c>
      <c r="GW121" s="3">
        <v>1</v>
      </c>
      <c r="GX121" s="3">
        <f t="shared" si="116"/>
        <v>0</v>
      </c>
      <c r="HA121" s="3">
        <v>0</v>
      </c>
      <c r="HB121" s="3">
        <v>0</v>
      </c>
      <c r="HC121" s="3">
        <f t="shared" si="117"/>
        <v>0</v>
      </c>
      <c r="HE121" s="3" t="s">
        <v>3</v>
      </c>
      <c r="HF121" s="3" t="s">
        <v>3</v>
      </c>
      <c r="HM121" s="3" t="s">
        <v>3</v>
      </c>
      <c r="HN121" s="3" t="s">
        <v>3</v>
      </c>
      <c r="HO121" s="3" t="s">
        <v>3</v>
      </c>
      <c r="HP121" s="3" t="s">
        <v>3</v>
      </c>
      <c r="HQ121" s="3" t="s">
        <v>3</v>
      </c>
      <c r="HS121" s="3">
        <v>0</v>
      </c>
      <c r="IK121" s="3">
        <v>0</v>
      </c>
    </row>
    <row r="122" spans="1:255" x14ac:dyDescent="0.2">
      <c r="A122" s="2">
        <v>17</v>
      </c>
      <c r="B122" s="2">
        <v>1</v>
      </c>
      <c r="C122" s="2">
        <f>ROW(SmtRes!A334)</f>
        <v>334</v>
      </c>
      <c r="D122" s="2">
        <f>ROW(EtalonRes!A351)</f>
        <v>351</v>
      </c>
      <c r="E122" s="2" t="s">
        <v>237</v>
      </c>
      <c r="F122" s="2" t="s">
        <v>238</v>
      </c>
      <c r="G122" s="2" t="s">
        <v>239</v>
      </c>
      <c r="H122" s="2" t="s">
        <v>240</v>
      </c>
      <c r="I122" s="2">
        <f>ROUND((45+45)/100,9)</f>
        <v>0.9</v>
      </c>
      <c r="J122" s="2">
        <v>0</v>
      </c>
      <c r="K122" s="2">
        <f>ROUND((45+45)/100,9)</f>
        <v>0.9</v>
      </c>
      <c r="L122" s="2"/>
      <c r="M122" s="2"/>
      <c r="N122" s="2"/>
      <c r="O122" s="2">
        <f t="shared" si="95"/>
        <v>356.04</v>
      </c>
      <c r="P122" s="2">
        <f t="shared" si="146"/>
        <v>0</v>
      </c>
      <c r="Q122" s="2">
        <f>(ROUND((ROUND(((((ET122*1.25)*1.2))*AV122*I122),2)*BB122),2)+ROUND((ROUND(((AE122-(((EU122*1.25)*1.2)))*AV122*I122),2)*BS122),2))</f>
        <v>3.65</v>
      </c>
      <c r="R122" s="2">
        <f>(ROUND((ROUND(((((EU122*1.25)*1.2))*AV122*I122),2)*BS122),2)+ROUND((ROUND(((AE122-(((EU122*1.25)*1.2)))*AV122*I122),2)*BS122),2))</f>
        <v>0.56000000000000005</v>
      </c>
      <c r="S122" s="2">
        <f t="shared" si="96"/>
        <v>352.39</v>
      </c>
      <c r="T122" s="2">
        <f t="shared" si="97"/>
        <v>0</v>
      </c>
      <c r="U122" s="2">
        <f t="shared" si="98"/>
        <v>18.090723599999997</v>
      </c>
      <c r="V122" s="2">
        <f t="shared" si="99"/>
        <v>0</v>
      </c>
      <c r="W122" s="2">
        <f t="shared" si="100"/>
        <v>0</v>
      </c>
      <c r="X122" s="2">
        <f>(ROUND((((S122+ROUND((ROUND(((((EU122*1.25)*1.2))*AV122*I122),2)*BS122),2))*AT122)/100),2)+ROUND(((ROUND((ROUND(((AE122-(((EU122*1.25)*1.2)))*AV122*I122),2)*BS122),2)*AT122)/100),2))</f>
        <v>328.24</v>
      </c>
      <c r="Y122" s="2">
        <f>(ROUND((((S122+ROUND((ROUND(((((EU122*1.25)*1.2))*AV122*I122),2)*BS122),2))*AU122)/100),2)+ROUND(((ROUND((ROUND(((AE122-(((EU122*1.25)*1.2)))*AV122*I122),2)*BS122),2)*AU122)/100),2))</f>
        <v>218.83</v>
      </c>
      <c r="Z122" s="2"/>
      <c r="AA122" s="2">
        <v>85739205</v>
      </c>
      <c r="AB122" s="2">
        <f t="shared" si="101"/>
        <v>363.94260000000003</v>
      </c>
      <c r="AC122" s="2">
        <f>ROUND((((ES122*1)*1)),6)</f>
        <v>0</v>
      </c>
      <c r="AD122" s="2">
        <f>ROUND((((((ET122*1.25)*1.2))-(((EU122*1.25)*1.2)))+AE122),6)</f>
        <v>3.7349999999999999</v>
      </c>
      <c r="AE122" s="2">
        <f>ROUND((((EU122*1.25)*1.2)),6)</f>
        <v>0.56999999999999995</v>
      </c>
      <c r="AF122" s="2">
        <f>ROUND((((EV122*1.15)*1.2)),6)</f>
        <v>360.20760000000001</v>
      </c>
      <c r="AG122" s="2">
        <f t="shared" si="102"/>
        <v>0</v>
      </c>
      <c r="AH122" s="2">
        <f>(((EW122*1.15)*1.2))</f>
        <v>18.491999999999997</v>
      </c>
      <c r="AI122" s="2">
        <f>(((EX122*1.25)*1.2))</f>
        <v>0</v>
      </c>
      <c r="AJ122" s="2">
        <f t="shared" si="103"/>
        <v>0</v>
      </c>
      <c r="AK122" s="2">
        <v>263.51</v>
      </c>
      <c r="AL122" s="2">
        <v>0</v>
      </c>
      <c r="AM122" s="2">
        <v>2.4900000000000002</v>
      </c>
      <c r="AN122" s="2">
        <v>0.38</v>
      </c>
      <c r="AO122" s="2">
        <v>261.02</v>
      </c>
      <c r="AP122" s="2">
        <v>0</v>
      </c>
      <c r="AQ122" s="2">
        <v>13.4</v>
      </c>
      <c r="AR122" s="2">
        <v>0</v>
      </c>
      <c r="AS122" s="2">
        <v>0</v>
      </c>
      <c r="AT122" s="2">
        <v>93</v>
      </c>
      <c r="AU122" s="2">
        <v>62</v>
      </c>
      <c r="AV122" s="2">
        <v>1.087</v>
      </c>
      <c r="AW122" s="2">
        <v>1</v>
      </c>
      <c r="AX122" s="2"/>
      <c r="AY122" s="2"/>
      <c r="AZ122" s="2">
        <v>1</v>
      </c>
      <c r="BA122" s="2">
        <v>1</v>
      </c>
      <c r="BB122" s="2">
        <v>1</v>
      </c>
      <c r="BC122" s="2">
        <v>1</v>
      </c>
      <c r="BD122" s="2" t="s">
        <v>3</v>
      </c>
      <c r="BE122" s="2" t="s">
        <v>3</v>
      </c>
      <c r="BF122" s="2" t="s">
        <v>3</v>
      </c>
      <c r="BG122" s="2" t="s">
        <v>3</v>
      </c>
      <c r="BH122" s="2">
        <v>0</v>
      </c>
      <c r="BI122" s="2">
        <v>1</v>
      </c>
      <c r="BJ122" s="2" t="s">
        <v>241</v>
      </c>
      <c r="BK122" s="2"/>
      <c r="BL122" s="2"/>
      <c r="BM122" s="2">
        <v>55</v>
      </c>
      <c r="BN122" s="2">
        <v>0</v>
      </c>
      <c r="BO122" s="2" t="s">
        <v>238</v>
      </c>
      <c r="BP122" s="2">
        <v>1</v>
      </c>
      <c r="BQ122" s="2">
        <v>30</v>
      </c>
      <c r="BR122" s="2">
        <v>0</v>
      </c>
      <c r="BS122" s="2">
        <v>1</v>
      </c>
      <c r="BT122" s="2">
        <v>1</v>
      </c>
      <c r="BU122" s="2">
        <v>1</v>
      </c>
      <c r="BV122" s="2">
        <v>1</v>
      </c>
      <c r="BW122" s="2">
        <v>1</v>
      </c>
      <c r="BX122" s="2">
        <v>1</v>
      </c>
      <c r="BY122" s="2" t="s">
        <v>3</v>
      </c>
      <c r="BZ122" s="2">
        <v>93</v>
      </c>
      <c r="CA122" s="2">
        <v>62</v>
      </c>
      <c r="CB122" s="2" t="s">
        <v>3</v>
      </c>
      <c r="CC122" s="2"/>
      <c r="CD122" s="2"/>
      <c r="CE122" s="2">
        <v>1566</v>
      </c>
      <c r="CF122" s="2">
        <v>0</v>
      </c>
      <c r="CG122" s="2">
        <v>0</v>
      </c>
      <c r="CH122" s="2"/>
      <c r="CI122" s="2"/>
      <c r="CJ122" s="2"/>
      <c r="CK122" s="2"/>
      <c r="CL122" s="2"/>
      <c r="CM122" s="2">
        <v>0</v>
      </c>
      <c r="CN122" s="2" t="s">
        <v>678</v>
      </c>
      <c r="CO122" s="2">
        <v>0</v>
      </c>
      <c r="CP122" s="2">
        <f t="shared" si="104"/>
        <v>356.03999999999996</v>
      </c>
      <c r="CQ122" s="2">
        <f t="shared" si="147"/>
        <v>0</v>
      </c>
      <c r="CR122" s="2">
        <f>(ROUND((ROUND(((((ET122*1.25)*1.2))*AV122*1),2)*BB122),2)+ROUND((ROUND(((AE122-(((EU122*1.25)*1.2)))*AV122*1),2)*BS122),2))</f>
        <v>4.0599999999999996</v>
      </c>
      <c r="CS122" s="2">
        <f>(ROUND((ROUND(((((EU122*1.25)*1.2))*AV122*1),2)*BS122),2)+ROUND((ROUND(((AE122-(((EU122*1.25)*1.2)))*AV122*1),2)*BS122),2))</f>
        <v>0.62</v>
      </c>
      <c r="CT122" s="2">
        <f t="shared" si="105"/>
        <v>391.55</v>
      </c>
      <c r="CU122" s="2">
        <f t="shared" si="106"/>
        <v>0</v>
      </c>
      <c r="CV122" s="2">
        <f t="shared" si="107"/>
        <v>20.100803999999997</v>
      </c>
      <c r="CW122" s="2">
        <f t="shared" si="108"/>
        <v>0</v>
      </c>
      <c r="CX122" s="2">
        <f t="shared" si="109"/>
        <v>0</v>
      </c>
      <c r="CY122" s="2">
        <f>(ROUND((((S122+ROUND((ROUND(((((EU122*1.25)*1.2))*AV122*1),2)*BS122),2))*AT122)/100),2)+ROUND(((ROUND((ROUND(((AE122-(((EU122*1.25)*1.2)))*AV122*1),2)*BS122),2)*AT122)/100),2))</f>
        <v>328.3</v>
      </c>
      <c r="CZ122" s="2">
        <f>(ROUND((((S122+ROUND((ROUND(((((EU122*1.25)*1.2))*AV122*1),2)*BS122),2))*AU122)/100),2)+ROUND(((ROUND((ROUND(((AE122-(((EU122*1.25)*1.2)))*AV122*1),2)*BS122),2)*AU122)/100),2))</f>
        <v>218.87</v>
      </c>
      <c r="DA122" s="2"/>
      <c r="DB122" s="2">
        <v>45</v>
      </c>
      <c r="DC122" s="2" t="s">
        <v>3</v>
      </c>
      <c r="DD122" s="2" t="s">
        <v>77</v>
      </c>
      <c r="DE122" s="2" t="s">
        <v>78</v>
      </c>
      <c r="DF122" s="2" t="s">
        <v>78</v>
      </c>
      <c r="DG122" s="2" t="s">
        <v>79</v>
      </c>
      <c r="DH122" s="2" t="s">
        <v>3</v>
      </c>
      <c r="DI122" s="2" t="s">
        <v>79</v>
      </c>
      <c r="DJ122" s="2" t="s">
        <v>78</v>
      </c>
      <c r="DK122" s="2" t="s">
        <v>3</v>
      </c>
      <c r="DL122" s="2" t="s">
        <v>3</v>
      </c>
      <c r="DM122" s="2" t="s">
        <v>3</v>
      </c>
      <c r="DN122" s="2">
        <v>0</v>
      </c>
      <c r="DO122" s="2">
        <v>0</v>
      </c>
      <c r="DP122" s="2">
        <v>1</v>
      </c>
      <c r="DQ122" s="2">
        <v>1</v>
      </c>
      <c r="DR122" s="2"/>
      <c r="DS122" s="2"/>
      <c r="DT122" s="2"/>
      <c r="DU122" s="2">
        <v>1010</v>
      </c>
      <c r="DV122" s="2" t="s">
        <v>240</v>
      </c>
      <c r="DW122" s="2" t="s">
        <v>240</v>
      </c>
      <c r="DX122" s="2">
        <v>100</v>
      </c>
      <c r="DY122" s="2"/>
      <c r="DZ122" s="2" t="s">
        <v>3</v>
      </c>
      <c r="EA122" s="2" t="s">
        <v>3</v>
      </c>
      <c r="EB122" s="2" t="s">
        <v>3</v>
      </c>
      <c r="EC122" s="2" t="s">
        <v>3</v>
      </c>
      <c r="ED122" s="2"/>
      <c r="EE122" s="2">
        <v>85133405</v>
      </c>
      <c r="EF122" s="2">
        <v>30</v>
      </c>
      <c r="EG122" s="2" t="s">
        <v>49</v>
      </c>
      <c r="EH122" s="2">
        <v>0</v>
      </c>
      <c r="EI122" s="2" t="s">
        <v>3</v>
      </c>
      <c r="EJ122" s="2">
        <v>1</v>
      </c>
      <c r="EK122" s="2">
        <v>55</v>
      </c>
      <c r="EL122" s="2" t="s">
        <v>242</v>
      </c>
      <c r="EM122" s="2" t="s">
        <v>243</v>
      </c>
      <c r="EN122" s="2"/>
      <c r="EO122" s="2" t="s">
        <v>80</v>
      </c>
      <c r="EP122" s="2"/>
      <c r="EQ122" s="2">
        <v>0</v>
      </c>
      <c r="ER122" s="2">
        <v>263.51</v>
      </c>
      <c r="ES122" s="2">
        <v>0</v>
      </c>
      <c r="ET122" s="2">
        <v>2.4900000000000002</v>
      </c>
      <c r="EU122" s="2">
        <v>0.38</v>
      </c>
      <c r="EV122" s="2">
        <v>261.02</v>
      </c>
      <c r="EW122" s="2">
        <v>13.4</v>
      </c>
      <c r="EX122" s="2">
        <v>0</v>
      </c>
      <c r="EY122" s="2">
        <v>0</v>
      </c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>
        <v>0</v>
      </c>
      <c r="FR122" s="2">
        <v>0</v>
      </c>
      <c r="FS122" s="2">
        <v>0</v>
      </c>
      <c r="FT122" s="2"/>
      <c r="FU122" s="2"/>
      <c r="FV122" s="2"/>
      <c r="FW122" s="2"/>
      <c r="FX122" s="2">
        <v>93</v>
      </c>
      <c r="FY122" s="2">
        <v>62</v>
      </c>
      <c r="FZ122" s="2"/>
      <c r="GA122" s="2" t="s">
        <v>3</v>
      </c>
      <c r="GB122" s="2"/>
      <c r="GC122" s="2"/>
      <c r="GD122" s="2">
        <v>1</v>
      </c>
      <c r="GE122" s="2"/>
      <c r="GF122" s="2">
        <v>-1922285439</v>
      </c>
      <c r="GG122" s="2">
        <v>2</v>
      </c>
      <c r="GH122" s="2">
        <v>1</v>
      </c>
      <c r="GI122" s="2">
        <v>2</v>
      </c>
      <c r="GJ122" s="2">
        <v>0</v>
      </c>
      <c r="GK122" s="2">
        <v>0</v>
      </c>
      <c r="GL122" s="2">
        <f t="shared" si="110"/>
        <v>0</v>
      </c>
      <c r="GM122" s="2">
        <f t="shared" si="111"/>
        <v>903.11</v>
      </c>
      <c r="GN122" s="2">
        <f t="shared" si="112"/>
        <v>903.11</v>
      </c>
      <c r="GO122" s="2">
        <f t="shared" si="113"/>
        <v>0</v>
      </c>
      <c r="GP122" s="2">
        <f t="shared" si="114"/>
        <v>0</v>
      </c>
      <c r="GQ122" s="2"/>
      <c r="GR122" s="2">
        <v>0</v>
      </c>
      <c r="GS122" s="2">
        <v>3</v>
      </c>
      <c r="GT122" s="2">
        <v>0</v>
      </c>
      <c r="GU122" s="2" t="s">
        <v>3</v>
      </c>
      <c r="GV122" s="2">
        <f t="shared" si="115"/>
        <v>0</v>
      </c>
      <c r="GW122" s="2">
        <v>1</v>
      </c>
      <c r="GX122" s="2">
        <f t="shared" si="116"/>
        <v>0</v>
      </c>
      <c r="GY122" s="2"/>
      <c r="GZ122" s="2"/>
      <c r="HA122" s="2">
        <v>0</v>
      </c>
      <c r="HB122" s="2">
        <v>0</v>
      </c>
      <c r="HC122" s="2">
        <f t="shared" si="117"/>
        <v>0</v>
      </c>
      <c r="HD122" s="2"/>
      <c r="HE122" s="2" t="s">
        <v>3</v>
      </c>
      <c r="HF122" s="2" t="s">
        <v>3</v>
      </c>
      <c r="HG122" s="2"/>
      <c r="HH122" s="2"/>
      <c r="HI122" s="2"/>
      <c r="HJ122" s="2"/>
      <c r="HK122" s="2"/>
      <c r="HL122" s="2"/>
      <c r="HM122" s="2" t="s">
        <v>3</v>
      </c>
      <c r="HN122" s="2" t="s">
        <v>3</v>
      </c>
      <c r="HO122" s="2" t="s">
        <v>3</v>
      </c>
      <c r="HP122" s="2" t="s">
        <v>3</v>
      </c>
      <c r="HQ122" s="2" t="s">
        <v>3</v>
      </c>
      <c r="HR122" s="2"/>
      <c r="HS122" s="2">
        <v>0</v>
      </c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>
        <v>0</v>
      </c>
      <c r="IL122" s="2"/>
      <c r="IM122" s="2"/>
      <c r="IN122" s="2"/>
      <c r="IO122" s="2"/>
      <c r="IP122" s="2"/>
      <c r="IQ122" s="2"/>
      <c r="IR122" s="2"/>
      <c r="IS122" s="2"/>
      <c r="IT122" s="2"/>
      <c r="IU122" s="2"/>
    </row>
    <row r="123" spans="1:255" x14ac:dyDescent="0.2">
      <c r="A123" s="3">
        <v>17</v>
      </c>
      <c r="B123" s="3">
        <v>1</v>
      </c>
      <c r="C123" s="3">
        <f>ROW(SmtRes!A338)</f>
        <v>338</v>
      </c>
      <c r="D123" s="3">
        <f>ROW(EtalonRes!A354)</f>
        <v>354</v>
      </c>
      <c r="E123" s="3" t="s">
        <v>237</v>
      </c>
      <c r="F123" s="3" t="s">
        <v>238</v>
      </c>
      <c r="G123" s="3" t="s">
        <v>239</v>
      </c>
      <c r="H123" s="3" t="s">
        <v>240</v>
      </c>
      <c r="I123" s="3">
        <f>ROUND((45+45)/100,9)</f>
        <v>0.9</v>
      </c>
      <c r="J123" s="3">
        <v>0</v>
      </c>
      <c r="K123" s="3">
        <f>ROUND((45+45)/100,9)</f>
        <v>0.9</v>
      </c>
      <c r="O123" s="3">
        <f t="shared" si="95"/>
        <v>19919.560000000001</v>
      </c>
      <c r="P123" s="3">
        <f t="shared" si="146"/>
        <v>0</v>
      </c>
      <c r="Q123" s="3">
        <f>(ROUND((ROUND(((((ET123*1.25)*1.2))*AV123*I123),2)*BB123),2)+ROUND((ROUND(((AE123-(((EU123*1.25)*1.2)))*AV123*I123),2)*BS123),2))</f>
        <v>62.38</v>
      </c>
      <c r="R123" s="3">
        <f>(ROUND((ROUND(((((EU123*1.25)*1.2))*AV123*I123),2)*BS123),2)+ROUND((ROUND(((AE123-(((EU123*1.25)*1.2)))*AV123*I123),2)*BS123),2))</f>
        <v>31.56</v>
      </c>
      <c r="S123" s="3">
        <f t="shared" si="96"/>
        <v>19857.18</v>
      </c>
      <c r="T123" s="3">
        <f t="shared" si="97"/>
        <v>0</v>
      </c>
      <c r="U123" s="3">
        <f t="shared" si="98"/>
        <v>18.090723599999997</v>
      </c>
      <c r="V123" s="3">
        <f t="shared" si="99"/>
        <v>0</v>
      </c>
      <c r="W123" s="3">
        <f t="shared" si="100"/>
        <v>0</v>
      </c>
      <c r="X123" s="3">
        <f>(ROUND((((S123+ROUND((ROUND(((((EU123*1.25)*1.2))*AV123*I123),2)*BS123),2))*AT123)/100),2)+ROUND(((ROUND((ROUND(((AE123-(((EU123*1.25)*1.2)))*AV123*I123),2)*BS123),2)*AT123)/100),2))</f>
        <v>18496.53</v>
      </c>
      <c r="Y123" s="3">
        <f>(ROUND((((S123+ROUND((ROUND(((((EU123*1.25)*1.2))*AV123*I123),2)*BS123),2))*AU123)/100),2)+ROUND(((ROUND((ROUND(((AE123-(((EU123*1.25)*1.2)))*AV123*I123),2)*BS123),2)*AU123)/100),2))</f>
        <v>12331.02</v>
      </c>
      <c r="AA123" s="3">
        <v>85739207</v>
      </c>
      <c r="AB123" s="3">
        <f t="shared" si="101"/>
        <v>363.94260000000003</v>
      </c>
      <c r="AC123" s="3">
        <f>ROUND((((ES123*1)*1)),6)</f>
        <v>0</v>
      </c>
      <c r="AD123" s="3">
        <f>ROUND((((((ET123*1.25)*1.2))-(((EU123*1.25)*1.2)))+AE123),6)</f>
        <v>3.7349999999999999</v>
      </c>
      <c r="AE123" s="3">
        <f>ROUND((((EU123*1.25)*1.2)),6)</f>
        <v>0.56999999999999995</v>
      </c>
      <c r="AF123" s="3">
        <f>ROUND((((EV123*1.15)*1.2)),6)</f>
        <v>360.20760000000001</v>
      </c>
      <c r="AG123" s="3">
        <f t="shared" si="102"/>
        <v>0</v>
      </c>
      <c r="AH123" s="3">
        <f>(((EW123*1.15)*1.2))</f>
        <v>18.491999999999997</v>
      </c>
      <c r="AI123" s="3">
        <f>(((EX123*1.25)*1.2))</f>
        <v>0</v>
      </c>
      <c r="AJ123" s="3">
        <f t="shared" si="103"/>
        <v>0</v>
      </c>
      <c r="AK123" s="3">
        <v>263.51</v>
      </c>
      <c r="AL123" s="3">
        <v>0</v>
      </c>
      <c r="AM123" s="3">
        <v>2.4900000000000002</v>
      </c>
      <c r="AN123" s="3">
        <v>0.38</v>
      </c>
      <c r="AO123" s="3">
        <v>261.02</v>
      </c>
      <c r="AP123" s="3">
        <v>0</v>
      </c>
      <c r="AQ123" s="3">
        <v>13.4</v>
      </c>
      <c r="AR123" s="3">
        <v>0</v>
      </c>
      <c r="AS123" s="3">
        <v>0</v>
      </c>
      <c r="AT123" s="3">
        <v>93</v>
      </c>
      <c r="AU123" s="3">
        <v>62</v>
      </c>
      <c r="AV123" s="3">
        <v>1.087</v>
      </c>
      <c r="AW123" s="3">
        <v>1</v>
      </c>
      <c r="AZ123" s="3">
        <v>1</v>
      </c>
      <c r="BA123" s="3">
        <v>56.35</v>
      </c>
      <c r="BB123" s="3">
        <v>17.09</v>
      </c>
      <c r="BC123" s="3">
        <v>1</v>
      </c>
      <c r="BD123" s="3" t="s">
        <v>3</v>
      </c>
      <c r="BE123" s="3" t="s">
        <v>3</v>
      </c>
      <c r="BF123" s="3" t="s">
        <v>3</v>
      </c>
      <c r="BG123" s="3" t="s">
        <v>3</v>
      </c>
      <c r="BH123" s="3">
        <v>0</v>
      </c>
      <c r="BI123" s="3">
        <v>1</v>
      </c>
      <c r="BJ123" s="3" t="s">
        <v>241</v>
      </c>
      <c r="BM123" s="3">
        <v>55</v>
      </c>
      <c r="BN123" s="3">
        <v>0</v>
      </c>
      <c r="BO123" s="3" t="s">
        <v>238</v>
      </c>
      <c r="BP123" s="3">
        <v>1</v>
      </c>
      <c r="BQ123" s="3">
        <v>30</v>
      </c>
      <c r="BR123" s="3">
        <v>0</v>
      </c>
      <c r="BS123" s="3">
        <v>56.35</v>
      </c>
      <c r="BT123" s="3">
        <v>1</v>
      </c>
      <c r="BU123" s="3">
        <v>1</v>
      </c>
      <c r="BV123" s="3">
        <v>1</v>
      </c>
      <c r="BW123" s="3">
        <v>1</v>
      </c>
      <c r="BX123" s="3">
        <v>1</v>
      </c>
      <c r="BY123" s="3" t="s">
        <v>3</v>
      </c>
      <c r="BZ123" s="3">
        <v>93</v>
      </c>
      <c r="CA123" s="3">
        <v>62</v>
      </c>
      <c r="CB123" s="3" t="s">
        <v>3</v>
      </c>
      <c r="CE123" s="3">
        <v>1566</v>
      </c>
      <c r="CF123" s="3">
        <v>0</v>
      </c>
      <c r="CG123" s="3">
        <v>0</v>
      </c>
      <c r="CM123" s="3">
        <v>0</v>
      </c>
      <c r="CN123" s="3" t="s">
        <v>678</v>
      </c>
      <c r="CO123" s="3">
        <v>0</v>
      </c>
      <c r="CP123" s="3">
        <f t="shared" si="104"/>
        <v>19919.560000000001</v>
      </c>
      <c r="CQ123" s="3">
        <f t="shared" si="147"/>
        <v>0</v>
      </c>
      <c r="CR123" s="3">
        <f>(ROUND((ROUND(((((ET123*1.25)*1.2))*AV123*1),2)*BB123),2)+ROUND((ROUND(((AE123-(((EU123*1.25)*1.2)))*AV123*1),2)*BS123),2))</f>
        <v>69.39</v>
      </c>
      <c r="CS123" s="3">
        <f>(ROUND((ROUND(((((EU123*1.25)*1.2))*AV123*1),2)*BS123),2)+ROUND((ROUND(((AE123-(((EU123*1.25)*1.2)))*AV123*1),2)*BS123),2))</f>
        <v>34.94</v>
      </c>
      <c r="CT123" s="3">
        <f t="shared" si="105"/>
        <v>22063.84</v>
      </c>
      <c r="CU123" s="3">
        <f t="shared" si="106"/>
        <v>0</v>
      </c>
      <c r="CV123" s="3">
        <f t="shared" si="107"/>
        <v>20.100803999999997</v>
      </c>
      <c r="CW123" s="3">
        <f t="shared" si="108"/>
        <v>0</v>
      </c>
      <c r="CX123" s="3">
        <f t="shared" si="109"/>
        <v>0</v>
      </c>
      <c r="CY123" s="3">
        <f>(ROUND((((S123+ROUND((ROUND(((((EU123*1.25)*1.2))*AV123*1),2)*BS123),2))*AT123)/100),2)+ROUND(((ROUND((ROUND(((AE123-(((EU123*1.25)*1.2)))*AV123*1),2)*BS123),2)*AT123)/100),2))</f>
        <v>18499.669999999998</v>
      </c>
      <c r="CZ123" s="3">
        <f>(ROUND((((S123+ROUND((ROUND(((((EU123*1.25)*1.2))*AV123*1),2)*BS123),2))*AU123)/100),2)+ROUND(((ROUND((ROUND(((AE123-(((EU123*1.25)*1.2)))*AV123*1),2)*BS123),2)*AU123)/100),2))</f>
        <v>12333.11</v>
      </c>
      <c r="DB123" s="3">
        <v>47</v>
      </c>
      <c r="DC123" s="3" t="s">
        <v>3</v>
      </c>
      <c r="DD123" s="3" t="s">
        <v>77</v>
      </c>
      <c r="DE123" s="3" t="s">
        <v>78</v>
      </c>
      <c r="DF123" s="3" t="s">
        <v>78</v>
      </c>
      <c r="DG123" s="3" t="s">
        <v>79</v>
      </c>
      <c r="DH123" s="3" t="s">
        <v>3</v>
      </c>
      <c r="DI123" s="3" t="s">
        <v>79</v>
      </c>
      <c r="DJ123" s="3" t="s">
        <v>78</v>
      </c>
      <c r="DK123" s="3" t="s">
        <v>3</v>
      </c>
      <c r="DL123" s="3" t="s">
        <v>3</v>
      </c>
      <c r="DM123" s="3" t="s">
        <v>3</v>
      </c>
      <c r="DN123" s="3">
        <v>0</v>
      </c>
      <c r="DO123" s="3">
        <v>0</v>
      </c>
      <c r="DP123" s="3">
        <v>1</v>
      </c>
      <c r="DQ123" s="3">
        <v>1</v>
      </c>
      <c r="DU123" s="3">
        <v>1010</v>
      </c>
      <c r="DV123" s="3" t="s">
        <v>240</v>
      </c>
      <c r="DW123" s="3" t="s">
        <v>240</v>
      </c>
      <c r="DX123" s="3">
        <v>100</v>
      </c>
      <c r="DZ123" s="3" t="s">
        <v>3</v>
      </c>
      <c r="EA123" s="3" t="s">
        <v>3</v>
      </c>
      <c r="EB123" s="3" t="s">
        <v>3</v>
      </c>
      <c r="EC123" s="3" t="s">
        <v>3</v>
      </c>
      <c r="EE123" s="3">
        <v>85133405</v>
      </c>
      <c r="EF123" s="3">
        <v>30</v>
      </c>
      <c r="EG123" s="3" t="s">
        <v>49</v>
      </c>
      <c r="EH123" s="3">
        <v>0</v>
      </c>
      <c r="EI123" s="3" t="s">
        <v>3</v>
      </c>
      <c r="EJ123" s="3">
        <v>1</v>
      </c>
      <c r="EK123" s="3">
        <v>55</v>
      </c>
      <c r="EL123" s="3" t="s">
        <v>242</v>
      </c>
      <c r="EM123" s="3" t="s">
        <v>243</v>
      </c>
      <c r="EO123" s="3" t="s">
        <v>80</v>
      </c>
      <c r="EQ123" s="3">
        <v>0</v>
      </c>
      <c r="ER123" s="3">
        <v>263.51</v>
      </c>
      <c r="ES123" s="3">
        <v>0</v>
      </c>
      <c r="ET123" s="3">
        <v>2.4900000000000002</v>
      </c>
      <c r="EU123" s="3">
        <v>0.38</v>
      </c>
      <c r="EV123" s="3">
        <v>261.02</v>
      </c>
      <c r="EW123" s="3">
        <v>13.4</v>
      </c>
      <c r="EX123" s="3">
        <v>0</v>
      </c>
      <c r="EY123" s="3">
        <v>0</v>
      </c>
      <c r="FQ123" s="3">
        <v>0</v>
      </c>
      <c r="FR123" s="3">
        <v>0</v>
      </c>
      <c r="FS123" s="3">
        <v>0</v>
      </c>
      <c r="FX123" s="3">
        <v>93</v>
      </c>
      <c r="FY123" s="3">
        <v>62</v>
      </c>
      <c r="GA123" s="3" t="s">
        <v>3</v>
      </c>
      <c r="GD123" s="3">
        <v>1</v>
      </c>
      <c r="GF123" s="3">
        <v>-1922285439</v>
      </c>
      <c r="GG123" s="3">
        <v>2</v>
      </c>
      <c r="GH123" s="3">
        <v>1</v>
      </c>
      <c r="GI123" s="3">
        <v>2</v>
      </c>
      <c r="GJ123" s="3">
        <v>0</v>
      </c>
      <c r="GK123" s="3">
        <v>0</v>
      </c>
      <c r="GL123" s="3">
        <f t="shared" si="110"/>
        <v>0</v>
      </c>
      <c r="GM123" s="3">
        <f t="shared" si="111"/>
        <v>50747.11</v>
      </c>
      <c r="GN123" s="3">
        <f t="shared" si="112"/>
        <v>50747.11</v>
      </c>
      <c r="GO123" s="3">
        <f t="shared" si="113"/>
        <v>0</v>
      </c>
      <c r="GP123" s="3">
        <f t="shared" si="114"/>
        <v>0</v>
      </c>
      <c r="GR123" s="3">
        <v>0</v>
      </c>
      <c r="GS123" s="3">
        <v>3</v>
      </c>
      <c r="GT123" s="3">
        <v>0</v>
      </c>
      <c r="GU123" s="3" t="s">
        <v>3</v>
      </c>
      <c r="GV123" s="3">
        <f t="shared" si="115"/>
        <v>0</v>
      </c>
      <c r="GW123" s="3">
        <v>1</v>
      </c>
      <c r="GX123" s="3">
        <f t="shared" si="116"/>
        <v>0</v>
      </c>
      <c r="HA123" s="3">
        <v>0</v>
      </c>
      <c r="HB123" s="3">
        <v>0</v>
      </c>
      <c r="HC123" s="3">
        <f t="shared" si="117"/>
        <v>0</v>
      </c>
      <c r="HE123" s="3" t="s">
        <v>3</v>
      </c>
      <c r="HF123" s="3" t="s">
        <v>3</v>
      </c>
      <c r="HM123" s="3" t="s">
        <v>3</v>
      </c>
      <c r="HN123" s="3" t="s">
        <v>3</v>
      </c>
      <c r="HO123" s="3" t="s">
        <v>3</v>
      </c>
      <c r="HP123" s="3" t="s">
        <v>3</v>
      </c>
      <c r="HQ123" s="3" t="s">
        <v>3</v>
      </c>
      <c r="HS123" s="3">
        <v>0</v>
      </c>
      <c r="IK123" s="3">
        <v>0</v>
      </c>
    </row>
    <row r="124" spans="1:255" x14ac:dyDescent="0.2">
      <c r="A124" s="2">
        <v>18</v>
      </c>
      <c r="B124" s="2">
        <v>1</v>
      </c>
      <c r="C124" s="2">
        <v>333</v>
      </c>
      <c r="D124" s="2"/>
      <c r="E124" s="2" t="s">
        <v>244</v>
      </c>
      <c r="F124" s="2" t="s">
        <v>245</v>
      </c>
      <c r="G124" s="2" t="s">
        <v>246</v>
      </c>
      <c r="H124" s="2" t="s">
        <v>99</v>
      </c>
      <c r="I124" s="2">
        <f>I122*J124</f>
        <v>45</v>
      </c>
      <c r="J124" s="2">
        <v>50</v>
      </c>
      <c r="K124" s="2">
        <v>50</v>
      </c>
      <c r="L124" s="2"/>
      <c r="M124" s="2"/>
      <c r="N124" s="2"/>
      <c r="O124" s="2">
        <f t="shared" ref="O124:O137" si="148">ROUND(CP124,2)</f>
        <v>595.35</v>
      </c>
      <c r="P124" s="2">
        <f t="shared" si="146"/>
        <v>595.35</v>
      </c>
      <c r="Q124" s="2">
        <f>(ROUND((ROUND(((ET124)*AV124*I124),2)*BB124),2)+ROUND((ROUND(((AE124-(EU124))*AV124*I124),2)*BS124),2))</f>
        <v>0</v>
      </c>
      <c r="R124" s="2">
        <f>(ROUND((ROUND(((EU124)*AV124*I124),2)*BS124),2)+ROUND((ROUND(((AE124-(EU124))*AV124*I124),2)*BS124),2))</f>
        <v>0</v>
      </c>
      <c r="S124" s="2">
        <f t="shared" ref="S124:S137" si="149">ROUND((ROUND((AF124*AV124*I124),2)*BA124),2)</f>
        <v>0</v>
      </c>
      <c r="T124" s="2">
        <f t="shared" ref="T124:T137" si="150">ROUND(CU124*I124,2)</f>
        <v>0</v>
      </c>
      <c r="U124" s="2">
        <f t="shared" ref="U124:U137" si="151">CV124*I124</f>
        <v>0</v>
      </c>
      <c r="V124" s="2">
        <f t="shared" ref="V124:V137" si="152">CW124*I124</f>
        <v>0</v>
      </c>
      <c r="W124" s="2">
        <f t="shared" ref="W124:W137" si="153">ROUND(CX124*I124,2)</f>
        <v>0</v>
      </c>
      <c r="X124" s="2">
        <f>(ROUND((((S124+ROUND((ROUND(((EU124)*AV124*I124),2)*BS124),2))*AT124)/100),2)+ROUND(((ROUND((ROUND(((AE124-(EU124))*AV124*I124),2)*BS124),2)*AT124)/100),2))</f>
        <v>0</v>
      </c>
      <c r="Y124" s="2">
        <f>(ROUND((((S124+ROUND((ROUND(((EU124)*AV124*I124),2)*BS124),2))*AU124)/100),2)+ROUND(((ROUND((ROUND(((AE124-(EU124))*AV124*I124),2)*BS124),2)*AU124)/100),2))</f>
        <v>0</v>
      </c>
      <c r="Z124" s="2"/>
      <c r="AA124" s="2">
        <v>85739205</v>
      </c>
      <c r="AB124" s="2">
        <f t="shared" ref="AB124:AB137" si="154">ROUND((AC124+AD124+AF124),6)</f>
        <v>13.23</v>
      </c>
      <c r="AC124" s="2">
        <f>ROUND((ES124),6)</f>
        <v>13.23</v>
      </c>
      <c r="AD124" s="2">
        <f>ROUND((((ET124)-(EU124))+AE124),6)</f>
        <v>0</v>
      </c>
      <c r="AE124" s="2">
        <f t="shared" ref="AE124:AF127" si="155">ROUND((EU124),6)</f>
        <v>0</v>
      </c>
      <c r="AF124" s="2">
        <f t="shared" si="155"/>
        <v>0</v>
      </c>
      <c r="AG124" s="2">
        <f t="shared" ref="AG124:AG137" si="156">ROUND((AP124),6)</f>
        <v>0</v>
      </c>
      <c r="AH124" s="2">
        <f t="shared" ref="AH124:AI127" si="157">(EW124)</f>
        <v>0</v>
      </c>
      <c r="AI124" s="2">
        <f t="shared" si="157"/>
        <v>0</v>
      </c>
      <c r="AJ124" s="2">
        <f t="shared" ref="AJ124:AJ137" si="158">(AS124)</f>
        <v>0</v>
      </c>
      <c r="AK124" s="2">
        <v>13.23</v>
      </c>
      <c r="AL124" s="2">
        <v>13.23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93</v>
      </c>
      <c r="AU124" s="2">
        <v>62</v>
      </c>
      <c r="AV124" s="2">
        <v>1</v>
      </c>
      <c r="AW124" s="2">
        <v>1</v>
      </c>
      <c r="AX124" s="2"/>
      <c r="AY124" s="2"/>
      <c r="AZ124" s="2">
        <v>1</v>
      </c>
      <c r="BA124" s="2">
        <v>1</v>
      </c>
      <c r="BB124" s="2">
        <v>1</v>
      </c>
      <c r="BC124" s="2">
        <v>1</v>
      </c>
      <c r="BD124" s="2" t="s">
        <v>3</v>
      </c>
      <c r="BE124" s="2" t="s">
        <v>3</v>
      </c>
      <c r="BF124" s="2" t="s">
        <v>3</v>
      </c>
      <c r="BG124" s="2" t="s">
        <v>3</v>
      </c>
      <c r="BH124" s="2">
        <v>3</v>
      </c>
      <c r="BI124" s="2">
        <v>1</v>
      </c>
      <c r="BJ124" s="2" t="s">
        <v>247</v>
      </c>
      <c r="BK124" s="2"/>
      <c r="BL124" s="2"/>
      <c r="BM124" s="2">
        <v>55</v>
      </c>
      <c r="BN124" s="2">
        <v>0</v>
      </c>
      <c r="BO124" s="2" t="s">
        <v>3</v>
      </c>
      <c r="BP124" s="2">
        <v>0</v>
      </c>
      <c r="BQ124" s="2">
        <v>30</v>
      </c>
      <c r="BR124" s="2">
        <v>0</v>
      </c>
      <c r="BS124" s="2">
        <v>1</v>
      </c>
      <c r="BT124" s="2">
        <v>1</v>
      </c>
      <c r="BU124" s="2">
        <v>1</v>
      </c>
      <c r="BV124" s="2">
        <v>1</v>
      </c>
      <c r="BW124" s="2">
        <v>1</v>
      </c>
      <c r="BX124" s="2">
        <v>1</v>
      </c>
      <c r="BY124" s="2" t="s">
        <v>3</v>
      </c>
      <c r="BZ124" s="2">
        <v>93</v>
      </c>
      <c r="CA124" s="2">
        <v>62</v>
      </c>
      <c r="CB124" s="2" t="s">
        <v>3</v>
      </c>
      <c r="CC124" s="2"/>
      <c r="CD124" s="2"/>
      <c r="CE124" s="2">
        <v>1566</v>
      </c>
      <c r="CF124" s="2">
        <v>0</v>
      </c>
      <c r="CG124" s="2">
        <v>0</v>
      </c>
      <c r="CH124" s="2"/>
      <c r="CI124" s="2"/>
      <c r="CJ124" s="2"/>
      <c r="CK124" s="2"/>
      <c r="CL124" s="2"/>
      <c r="CM124" s="2">
        <v>0</v>
      </c>
      <c r="CN124" s="2" t="s">
        <v>680</v>
      </c>
      <c r="CO124" s="2">
        <v>0</v>
      </c>
      <c r="CP124" s="2">
        <f t="shared" ref="CP124:CP137" si="159">(P124+Q124+S124)</f>
        <v>595.35</v>
      </c>
      <c r="CQ124" s="2">
        <f t="shared" si="147"/>
        <v>13.23</v>
      </c>
      <c r="CR124" s="2">
        <f>(ROUND((ROUND(((ET124)*AV124*1),2)*BB124),2)+ROUND((ROUND(((AE124-(EU124))*AV124*1),2)*BS124),2))</f>
        <v>0</v>
      </c>
      <c r="CS124" s="2">
        <f>(ROUND((ROUND(((EU124)*AV124*1),2)*BS124),2)+ROUND((ROUND(((AE124-(EU124))*AV124*1),2)*BS124),2))</f>
        <v>0</v>
      </c>
      <c r="CT124" s="2">
        <f t="shared" ref="CT124:CT137" si="160">ROUND((ROUND((AF124*AV124*1),2)*BA124),2)</f>
        <v>0</v>
      </c>
      <c r="CU124" s="2">
        <f t="shared" ref="CU124:CU137" si="161">AG124</f>
        <v>0</v>
      </c>
      <c r="CV124" s="2">
        <f t="shared" ref="CV124:CV137" si="162">(AH124*AV124)</f>
        <v>0</v>
      </c>
      <c r="CW124" s="2">
        <f t="shared" ref="CW124:CW137" si="163">AI124</f>
        <v>0</v>
      </c>
      <c r="CX124" s="2">
        <f t="shared" ref="CX124:CX137" si="164">AJ124</f>
        <v>0</v>
      </c>
      <c r="CY124" s="2">
        <f>(ROUND((((S124+ROUND((ROUND(((EU124)*AV124*1),2)*BS124),2))*AT124)/100),2)+ROUND(((ROUND((ROUND(((AE124-(EU124))*AV124*1),2)*BS124),2)*AT124)/100),2))</f>
        <v>0</v>
      </c>
      <c r="CZ124" s="2">
        <f>(ROUND((((S124+ROUND((ROUND(((EU124)*AV124*1),2)*BS124),2))*AU124)/100),2)+ROUND(((ROUND((ROUND(((AE124-(EU124))*AV124*1),2)*BS124),2)*AU124)/100),2))</f>
        <v>0</v>
      </c>
      <c r="DA124" s="2"/>
      <c r="DB124" s="2"/>
      <c r="DC124" s="2" t="s">
        <v>3</v>
      </c>
      <c r="DD124" s="2" t="s">
        <v>3</v>
      </c>
      <c r="DE124" s="2" t="s">
        <v>3</v>
      </c>
      <c r="DF124" s="2" t="s">
        <v>3</v>
      </c>
      <c r="DG124" s="2" t="s">
        <v>3</v>
      </c>
      <c r="DH124" s="2" t="s">
        <v>3</v>
      </c>
      <c r="DI124" s="2" t="s">
        <v>3</v>
      </c>
      <c r="DJ124" s="2" t="s">
        <v>3</v>
      </c>
      <c r="DK124" s="2" t="s">
        <v>3</v>
      </c>
      <c r="DL124" s="2" t="s">
        <v>3</v>
      </c>
      <c r="DM124" s="2" t="s">
        <v>3</v>
      </c>
      <c r="DN124" s="2">
        <v>0</v>
      </c>
      <c r="DO124" s="2">
        <v>0</v>
      </c>
      <c r="DP124" s="2">
        <v>1</v>
      </c>
      <c r="DQ124" s="2">
        <v>1</v>
      </c>
      <c r="DR124" s="2"/>
      <c r="DS124" s="2"/>
      <c r="DT124" s="2"/>
      <c r="DU124" s="2">
        <v>1010</v>
      </c>
      <c r="DV124" s="2" t="s">
        <v>99</v>
      </c>
      <c r="DW124" s="2" t="s">
        <v>99</v>
      </c>
      <c r="DX124" s="2">
        <v>1</v>
      </c>
      <c r="DY124" s="2"/>
      <c r="DZ124" s="2" t="s">
        <v>3</v>
      </c>
      <c r="EA124" s="2" t="s">
        <v>3</v>
      </c>
      <c r="EB124" s="2" t="s">
        <v>3</v>
      </c>
      <c r="EC124" s="2" t="s">
        <v>3</v>
      </c>
      <c r="ED124" s="2"/>
      <c r="EE124" s="2">
        <v>85133405</v>
      </c>
      <c r="EF124" s="2">
        <v>30</v>
      </c>
      <c r="EG124" s="2" t="s">
        <v>49</v>
      </c>
      <c r="EH124" s="2">
        <v>0</v>
      </c>
      <c r="EI124" s="2" t="s">
        <v>3</v>
      </c>
      <c r="EJ124" s="2">
        <v>1</v>
      </c>
      <c r="EK124" s="2">
        <v>55</v>
      </c>
      <c r="EL124" s="2" t="s">
        <v>242</v>
      </c>
      <c r="EM124" s="2" t="s">
        <v>243</v>
      </c>
      <c r="EN124" s="2"/>
      <c r="EO124" s="2" t="s">
        <v>248</v>
      </c>
      <c r="EP124" s="2"/>
      <c r="EQ124" s="2">
        <v>0</v>
      </c>
      <c r="ER124" s="2">
        <v>13.23</v>
      </c>
      <c r="ES124" s="2">
        <v>13.23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>
        <v>0</v>
      </c>
      <c r="FR124" s="2">
        <v>0</v>
      </c>
      <c r="FS124" s="2">
        <v>0</v>
      </c>
      <c r="FT124" s="2"/>
      <c r="FU124" s="2"/>
      <c r="FV124" s="2"/>
      <c r="FW124" s="2"/>
      <c r="FX124" s="2">
        <v>93</v>
      </c>
      <c r="FY124" s="2">
        <v>62</v>
      </c>
      <c r="FZ124" s="2"/>
      <c r="GA124" s="2" t="s">
        <v>3</v>
      </c>
      <c r="GB124" s="2"/>
      <c r="GC124" s="2"/>
      <c r="GD124" s="2">
        <v>1</v>
      </c>
      <c r="GE124" s="2"/>
      <c r="GF124" s="2">
        <v>-335723436</v>
      </c>
      <c r="GG124" s="2">
        <v>2</v>
      </c>
      <c r="GH124" s="2">
        <v>1</v>
      </c>
      <c r="GI124" s="2">
        <v>-2</v>
      </c>
      <c r="GJ124" s="2">
        <v>0</v>
      </c>
      <c r="GK124" s="2">
        <v>0</v>
      </c>
      <c r="GL124" s="2">
        <f t="shared" ref="GL124:GL137" si="165">ROUND(IF(AND(BH124=3,BI124=3,FS124&lt;&gt;0),P124,0),2)</f>
        <v>0</v>
      </c>
      <c r="GM124" s="2">
        <f t="shared" ref="GM124:GM137" si="166">ROUND(O124+X124+Y124,2)+GX124</f>
        <v>595.35</v>
      </c>
      <c r="GN124" s="2">
        <f t="shared" ref="GN124:GN137" si="167">IF(OR(BI124=0,BI124=1),GM124-GX124,0)</f>
        <v>595.35</v>
      </c>
      <c r="GO124" s="2">
        <f t="shared" ref="GO124:GO137" si="168">IF(BI124=2,GM124-GX124,0)</f>
        <v>0</v>
      </c>
      <c r="GP124" s="2">
        <f t="shared" ref="GP124:GP137" si="169">IF(BI124=4,GM124-GX124,0)</f>
        <v>0</v>
      </c>
      <c r="GQ124" s="2"/>
      <c r="GR124" s="2">
        <v>0</v>
      </c>
      <c r="GS124" s="2">
        <v>3</v>
      </c>
      <c r="GT124" s="2">
        <v>0</v>
      </c>
      <c r="GU124" s="2" t="s">
        <v>3</v>
      </c>
      <c r="GV124" s="2">
        <f t="shared" ref="GV124:GV137" si="170">ROUND((GT124),6)</f>
        <v>0</v>
      </c>
      <c r="GW124" s="2">
        <v>1</v>
      </c>
      <c r="GX124" s="2">
        <f t="shared" ref="GX124:GX137" si="171">ROUND(HC124*I124,2)</f>
        <v>0</v>
      </c>
      <c r="GY124" s="2"/>
      <c r="GZ124" s="2"/>
      <c r="HA124" s="2">
        <v>0</v>
      </c>
      <c r="HB124" s="2">
        <v>0</v>
      </c>
      <c r="HC124" s="2">
        <f t="shared" ref="HC124:HC137" si="172">GV124*GW124</f>
        <v>0</v>
      </c>
      <c r="HD124" s="2"/>
      <c r="HE124" s="2" t="s">
        <v>3</v>
      </c>
      <c r="HF124" s="2" t="s">
        <v>3</v>
      </c>
      <c r="HG124" s="2"/>
      <c r="HH124" s="2"/>
      <c r="HI124" s="2"/>
      <c r="HJ124" s="2"/>
      <c r="HK124" s="2"/>
      <c r="HL124" s="2"/>
      <c r="HM124" s="2" t="s">
        <v>77</v>
      </c>
      <c r="HN124" s="2" t="s">
        <v>3</v>
      </c>
      <c r="HO124" s="2" t="s">
        <v>3</v>
      </c>
      <c r="HP124" s="2" t="s">
        <v>3</v>
      </c>
      <c r="HQ124" s="2" t="s">
        <v>3</v>
      </c>
      <c r="HR124" s="2"/>
      <c r="HS124" s="2">
        <v>0</v>
      </c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>
        <v>0</v>
      </c>
      <c r="IL124" s="2"/>
      <c r="IM124" s="2"/>
      <c r="IN124" s="2"/>
      <c r="IO124" s="2"/>
      <c r="IP124" s="2"/>
      <c r="IQ124" s="2"/>
      <c r="IR124" s="2"/>
      <c r="IS124" s="2"/>
      <c r="IT124" s="2"/>
      <c r="IU124" s="2"/>
    </row>
    <row r="125" spans="1:255" x14ac:dyDescent="0.2">
      <c r="A125" s="3">
        <v>18</v>
      </c>
      <c r="B125" s="3">
        <v>1</v>
      </c>
      <c r="C125" s="3">
        <v>337</v>
      </c>
      <c r="E125" s="3" t="s">
        <v>244</v>
      </c>
      <c r="F125" s="3" t="s">
        <v>245</v>
      </c>
      <c r="G125" s="3" t="s">
        <v>246</v>
      </c>
      <c r="H125" s="3" t="s">
        <v>99</v>
      </c>
      <c r="I125" s="3">
        <f>I123*J125</f>
        <v>45</v>
      </c>
      <c r="J125" s="3">
        <v>50</v>
      </c>
      <c r="K125" s="3">
        <v>50</v>
      </c>
      <c r="O125" s="3">
        <f t="shared" si="148"/>
        <v>8608.76</v>
      </c>
      <c r="P125" s="3">
        <f t="shared" si="146"/>
        <v>8608.76</v>
      </c>
      <c r="Q125" s="3">
        <f>(ROUND((ROUND(((ET125)*AV125*I125),2)*BB125),2)+ROUND((ROUND(((AE125-(EU125))*AV125*I125),2)*BS125),2))</f>
        <v>0</v>
      </c>
      <c r="R125" s="3">
        <f>(ROUND((ROUND(((EU125)*AV125*I125),2)*BS125),2)+ROUND((ROUND(((AE125-(EU125))*AV125*I125),2)*BS125),2))</f>
        <v>0</v>
      </c>
      <c r="S125" s="3">
        <f t="shared" si="149"/>
        <v>0</v>
      </c>
      <c r="T125" s="3">
        <f t="shared" si="150"/>
        <v>0</v>
      </c>
      <c r="U125" s="3">
        <f t="shared" si="151"/>
        <v>0</v>
      </c>
      <c r="V125" s="3">
        <f t="shared" si="152"/>
        <v>0</v>
      </c>
      <c r="W125" s="3">
        <f t="shared" si="153"/>
        <v>0</v>
      </c>
      <c r="X125" s="3">
        <f>(ROUND((((S125+ROUND((ROUND(((EU125)*AV125*I125),2)*BS125),2))*AT125)/100),2)+ROUND(((ROUND((ROUND(((AE125-(EU125))*AV125*I125),2)*BS125),2)*AT125)/100),2))</f>
        <v>0</v>
      </c>
      <c r="Y125" s="3">
        <f>(ROUND((((S125+ROUND((ROUND(((EU125)*AV125*I125),2)*BS125),2))*AU125)/100),2)+ROUND(((ROUND((ROUND(((AE125-(EU125))*AV125*I125),2)*BS125),2)*AU125)/100),2))</f>
        <v>0</v>
      </c>
      <c r="AA125" s="3">
        <v>85739207</v>
      </c>
      <c r="AB125" s="3">
        <f t="shared" si="154"/>
        <v>13.23</v>
      </c>
      <c r="AC125" s="3">
        <f>ROUND((ES125),6)</f>
        <v>13.23</v>
      </c>
      <c r="AD125" s="3">
        <f>ROUND((((ET125)-(EU125))+AE125),6)</f>
        <v>0</v>
      </c>
      <c r="AE125" s="3">
        <f t="shared" si="155"/>
        <v>0</v>
      </c>
      <c r="AF125" s="3">
        <f t="shared" si="155"/>
        <v>0</v>
      </c>
      <c r="AG125" s="3">
        <f t="shared" si="156"/>
        <v>0</v>
      </c>
      <c r="AH125" s="3">
        <f t="shared" si="157"/>
        <v>0</v>
      </c>
      <c r="AI125" s="3">
        <f t="shared" si="157"/>
        <v>0</v>
      </c>
      <c r="AJ125" s="3">
        <f t="shared" si="158"/>
        <v>0</v>
      </c>
      <c r="AK125" s="3">
        <v>13.23</v>
      </c>
      <c r="AL125" s="3">
        <v>13.23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93</v>
      </c>
      <c r="AU125" s="3">
        <v>62</v>
      </c>
      <c r="AV125" s="3">
        <v>1</v>
      </c>
      <c r="AW125" s="3">
        <v>1</v>
      </c>
      <c r="AZ125" s="3">
        <v>1</v>
      </c>
      <c r="BA125" s="3">
        <v>1</v>
      </c>
      <c r="BB125" s="3">
        <v>1</v>
      </c>
      <c r="BC125" s="3">
        <v>14.46</v>
      </c>
      <c r="BD125" s="3" t="s">
        <v>3</v>
      </c>
      <c r="BE125" s="3" t="s">
        <v>3</v>
      </c>
      <c r="BF125" s="3" t="s">
        <v>3</v>
      </c>
      <c r="BG125" s="3" t="s">
        <v>3</v>
      </c>
      <c r="BH125" s="3">
        <v>3</v>
      </c>
      <c r="BI125" s="3">
        <v>1</v>
      </c>
      <c r="BJ125" s="3" t="s">
        <v>247</v>
      </c>
      <c r="BM125" s="3">
        <v>55</v>
      </c>
      <c r="BN125" s="3">
        <v>0</v>
      </c>
      <c r="BO125" s="3" t="s">
        <v>245</v>
      </c>
      <c r="BP125" s="3">
        <v>1</v>
      </c>
      <c r="BQ125" s="3">
        <v>30</v>
      </c>
      <c r="BR125" s="3">
        <v>0</v>
      </c>
      <c r="BS125" s="3">
        <v>1</v>
      </c>
      <c r="BT125" s="3">
        <v>1</v>
      </c>
      <c r="BU125" s="3">
        <v>1</v>
      </c>
      <c r="BV125" s="3">
        <v>1</v>
      </c>
      <c r="BW125" s="3">
        <v>1</v>
      </c>
      <c r="BX125" s="3">
        <v>1</v>
      </c>
      <c r="BY125" s="3" t="s">
        <v>3</v>
      </c>
      <c r="BZ125" s="3">
        <v>93</v>
      </c>
      <c r="CA125" s="3">
        <v>62</v>
      </c>
      <c r="CB125" s="3" t="s">
        <v>3</v>
      </c>
      <c r="CE125" s="3">
        <v>1566</v>
      </c>
      <c r="CF125" s="3">
        <v>0</v>
      </c>
      <c r="CG125" s="3">
        <v>0</v>
      </c>
      <c r="CM125" s="3">
        <v>0</v>
      </c>
      <c r="CN125" s="3" t="s">
        <v>680</v>
      </c>
      <c r="CO125" s="3">
        <v>0</v>
      </c>
      <c r="CP125" s="3">
        <f t="shared" si="159"/>
        <v>8608.76</v>
      </c>
      <c r="CQ125" s="3">
        <f t="shared" si="147"/>
        <v>191.31</v>
      </c>
      <c r="CR125" s="3">
        <f>(ROUND((ROUND(((ET125)*AV125*1),2)*BB125),2)+ROUND((ROUND(((AE125-(EU125))*AV125*1),2)*BS125),2))</f>
        <v>0</v>
      </c>
      <c r="CS125" s="3">
        <f>(ROUND((ROUND(((EU125)*AV125*1),2)*BS125),2)+ROUND((ROUND(((AE125-(EU125))*AV125*1),2)*BS125),2))</f>
        <v>0</v>
      </c>
      <c r="CT125" s="3">
        <f t="shared" si="160"/>
        <v>0</v>
      </c>
      <c r="CU125" s="3">
        <f t="shared" si="161"/>
        <v>0</v>
      </c>
      <c r="CV125" s="3">
        <f t="shared" si="162"/>
        <v>0</v>
      </c>
      <c r="CW125" s="3">
        <f t="shared" si="163"/>
        <v>0</v>
      </c>
      <c r="CX125" s="3">
        <f t="shared" si="164"/>
        <v>0</v>
      </c>
      <c r="CY125" s="3">
        <f>(ROUND((((S125+ROUND((ROUND(((EU125)*AV125*1),2)*BS125),2))*AT125)/100),2)+ROUND(((ROUND((ROUND(((AE125-(EU125))*AV125*1),2)*BS125),2)*AT125)/100),2))</f>
        <v>0</v>
      </c>
      <c r="CZ125" s="3">
        <f>(ROUND((((S125+ROUND((ROUND(((EU125)*AV125*1),2)*BS125),2))*AU125)/100),2)+ROUND(((ROUND((ROUND(((AE125-(EU125))*AV125*1),2)*BS125),2)*AU125)/100),2))</f>
        <v>0</v>
      </c>
      <c r="DC125" s="3" t="s">
        <v>3</v>
      </c>
      <c r="DD125" s="3" t="s">
        <v>3</v>
      </c>
      <c r="DE125" s="3" t="s">
        <v>3</v>
      </c>
      <c r="DF125" s="3" t="s">
        <v>3</v>
      </c>
      <c r="DG125" s="3" t="s">
        <v>3</v>
      </c>
      <c r="DH125" s="3" t="s">
        <v>3</v>
      </c>
      <c r="DI125" s="3" t="s">
        <v>3</v>
      </c>
      <c r="DJ125" s="3" t="s">
        <v>3</v>
      </c>
      <c r="DK125" s="3" t="s">
        <v>3</v>
      </c>
      <c r="DL125" s="3" t="s">
        <v>3</v>
      </c>
      <c r="DM125" s="3" t="s">
        <v>3</v>
      </c>
      <c r="DN125" s="3">
        <v>0</v>
      </c>
      <c r="DO125" s="3">
        <v>0</v>
      </c>
      <c r="DP125" s="3">
        <v>1</v>
      </c>
      <c r="DQ125" s="3">
        <v>1</v>
      </c>
      <c r="DU125" s="3">
        <v>1010</v>
      </c>
      <c r="DV125" s="3" t="s">
        <v>99</v>
      </c>
      <c r="DW125" s="3" t="s">
        <v>99</v>
      </c>
      <c r="DX125" s="3">
        <v>1</v>
      </c>
      <c r="DZ125" s="3" t="s">
        <v>3</v>
      </c>
      <c r="EA125" s="3" t="s">
        <v>3</v>
      </c>
      <c r="EB125" s="3" t="s">
        <v>3</v>
      </c>
      <c r="EC125" s="3" t="s">
        <v>3</v>
      </c>
      <c r="EE125" s="3">
        <v>85133405</v>
      </c>
      <c r="EF125" s="3">
        <v>30</v>
      </c>
      <c r="EG125" s="3" t="s">
        <v>49</v>
      </c>
      <c r="EH125" s="3">
        <v>0</v>
      </c>
      <c r="EI125" s="3" t="s">
        <v>3</v>
      </c>
      <c r="EJ125" s="3">
        <v>1</v>
      </c>
      <c r="EK125" s="3">
        <v>55</v>
      </c>
      <c r="EL125" s="3" t="s">
        <v>242</v>
      </c>
      <c r="EM125" s="3" t="s">
        <v>243</v>
      </c>
      <c r="EO125" s="3" t="s">
        <v>248</v>
      </c>
      <c r="EQ125" s="3">
        <v>0</v>
      </c>
      <c r="ER125" s="3">
        <v>13.23</v>
      </c>
      <c r="ES125" s="3">
        <v>13.23</v>
      </c>
      <c r="ET125" s="3">
        <v>0</v>
      </c>
      <c r="EU125" s="3">
        <v>0</v>
      </c>
      <c r="EV125" s="3">
        <v>0</v>
      </c>
      <c r="EW125" s="3">
        <v>0</v>
      </c>
      <c r="EX125" s="3">
        <v>0</v>
      </c>
      <c r="FQ125" s="3">
        <v>0</v>
      </c>
      <c r="FR125" s="3">
        <v>0</v>
      </c>
      <c r="FS125" s="3">
        <v>0</v>
      </c>
      <c r="FX125" s="3">
        <v>93</v>
      </c>
      <c r="FY125" s="3">
        <v>62</v>
      </c>
      <c r="GA125" s="3" t="s">
        <v>3</v>
      </c>
      <c r="GD125" s="3">
        <v>1</v>
      </c>
      <c r="GF125" s="3">
        <v>-335723436</v>
      </c>
      <c r="GG125" s="3">
        <v>2</v>
      </c>
      <c r="GH125" s="3">
        <v>1</v>
      </c>
      <c r="GI125" s="3">
        <v>2</v>
      </c>
      <c r="GJ125" s="3">
        <v>0</v>
      </c>
      <c r="GK125" s="3">
        <v>0</v>
      </c>
      <c r="GL125" s="3">
        <f t="shared" si="165"/>
        <v>0</v>
      </c>
      <c r="GM125" s="3">
        <f t="shared" si="166"/>
        <v>8608.76</v>
      </c>
      <c r="GN125" s="3">
        <f t="shared" si="167"/>
        <v>8608.76</v>
      </c>
      <c r="GO125" s="3">
        <f t="shared" si="168"/>
        <v>0</v>
      </c>
      <c r="GP125" s="3">
        <f t="shared" si="169"/>
        <v>0</v>
      </c>
      <c r="GR125" s="3">
        <v>0</v>
      </c>
      <c r="GS125" s="3">
        <v>3</v>
      </c>
      <c r="GT125" s="3">
        <v>0</v>
      </c>
      <c r="GU125" s="3" t="s">
        <v>3</v>
      </c>
      <c r="GV125" s="3">
        <f t="shared" si="170"/>
        <v>0</v>
      </c>
      <c r="GW125" s="3">
        <v>1</v>
      </c>
      <c r="GX125" s="3">
        <f t="shared" si="171"/>
        <v>0</v>
      </c>
      <c r="HA125" s="3">
        <v>0</v>
      </c>
      <c r="HB125" s="3">
        <v>0</v>
      </c>
      <c r="HC125" s="3">
        <f t="shared" si="172"/>
        <v>0</v>
      </c>
      <c r="HE125" s="3" t="s">
        <v>3</v>
      </c>
      <c r="HF125" s="3" t="s">
        <v>3</v>
      </c>
      <c r="HM125" s="3" t="s">
        <v>77</v>
      </c>
      <c r="HN125" s="3" t="s">
        <v>3</v>
      </c>
      <c r="HO125" s="3" t="s">
        <v>3</v>
      </c>
      <c r="HP125" s="3" t="s">
        <v>3</v>
      </c>
      <c r="HQ125" s="3" t="s">
        <v>3</v>
      </c>
      <c r="HS125" s="3">
        <v>0</v>
      </c>
      <c r="IK125" s="3">
        <v>0</v>
      </c>
    </row>
    <row r="126" spans="1:255" x14ac:dyDescent="0.2">
      <c r="A126" s="2">
        <v>18</v>
      </c>
      <c r="B126" s="2">
        <v>1</v>
      </c>
      <c r="C126" s="2">
        <v>334</v>
      </c>
      <c r="D126" s="2"/>
      <c r="E126" s="2" t="s">
        <v>249</v>
      </c>
      <c r="F126" s="2" t="s">
        <v>250</v>
      </c>
      <c r="G126" s="2" t="s">
        <v>251</v>
      </c>
      <c r="H126" s="2" t="s">
        <v>240</v>
      </c>
      <c r="I126" s="2">
        <f>I122*J126</f>
        <v>0.45</v>
      </c>
      <c r="J126" s="2">
        <v>0.5</v>
      </c>
      <c r="K126" s="2">
        <v>0.5</v>
      </c>
      <c r="L126" s="2"/>
      <c r="M126" s="2"/>
      <c r="N126" s="2"/>
      <c r="O126" s="2">
        <f t="shared" si="148"/>
        <v>147.83000000000001</v>
      </c>
      <c r="P126" s="2">
        <f t="shared" si="146"/>
        <v>147.83000000000001</v>
      </c>
      <c r="Q126" s="2">
        <f>(ROUND((ROUND(((ET126)*AV126*I126),2)*BB126),2)+ROUND((ROUND(((AE126-(EU126))*AV126*I126),2)*BS126),2))</f>
        <v>0</v>
      </c>
      <c r="R126" s="2">
        <f>(ROUND((ROUND(((EU126)*AV126*I126),2)*BS126),2)+ROUND((ROUND(((AE126-(EU126))*AV126*I126),2)*BS126),2))</f>
        <v>0</v>
      </c>
      <c r="S126" s="2">
        <f t="shared" si="149"/>
        <v>0</v>
      </c>
      <c r="T126" s="2">
        <f t="shared" si="150"/>
        <v>0</v>
      </c>
      <c r="U126" s="2">
        <f t="shared" si="151"/>
        <v>0</v>
      </c>
      <c r="V126" s="2">
        <f t="shared" si="152"/>
        <v>0</v>
      </c>
      <c r="W126" s="2">
        <f t="shared" si="153"/>
        <v>0</v>
      </c>
      <c r="X126" s="2">
        <f>(ROUND((((S126+ROUND((ROUND(((EU126)*AV126*I126),2)*BS126),2))*AT126)/100),2)+ROUND(((ROUND((ROUND(((AE126-(EU126))*AV126*I126),2)*BS126),2)*AT126)/100),2))</f>
        <v>0</v>
      </c>
      <c r="Y126" s="2">
        <f>(ROUND((((S126+ROUND((ROUND(((EU126)*AV126*I126),2)*BS126),2))*AU126)/100),2)+ROUND(((ROUND((ROUND(((AE126-(EU126))*AV126*I126),2)*BS126),2)*AU126)/100),2))</f>
        <v>0</v>
      </c>
      <c r="Z126" s="2"/>
      <c r="AA126" s="2">
        <v>85739205</v>
      </c>
      <c r="AB126" s="2">
        <f t="shared" si="154"/>
        <v>328.5</v>
      </c>
      <c r="AC126" s="2">
        <f>ROUND((ES126),6)</f>
        <v>328.5</v>
      </c>
      <c r="AD126" s="2">
        <f>ROUND((((ET126)-(EU126))+AE126),6)</f>
        <v>0</v>
      </c>
      <c r="AE126" s="2">
        <f t="shared" si="155"/>
        <v>0</v>
      </c>
      <c r="AF126" s="2">
        <f t="shared" si="155"/>
        <v>0</v>
      </c>
      <c r="AG126" s="2">
        <f t="shared" si="156"/>
        <v>0</v>
      </c>
      <c r="AH126" s="2">
        <f t="shared" si="157"/>
        <v>0</v>
      </c>
      <c r="AI126" s="2">
        <f t="shared" si="157"/>
        <v>0</v>
      </c>
      <c r="AJ126" s="2">
        <f t="shared" si="158"/>
        <v>0</v>
      </c>
      <c r="AK126" s="2">
        <v>328.5</v>
      </c>
      <c r="AL126" s="2">
        <v>328.5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93</v>
      </c>
      <c r="AU126" s="2">
        <v>62</v>
      </c>
      <c r="AV126" s="2">
        <v>1</v>
      </c>
      <c r="AW126" s="2">
        <v>1</v>
      </c>
      <c r="AX126" s="2"/>
      <c r="AY126" s="2"/>
      <c r="AZ126" s="2">
        <v>1</v>
      </c>
      <c r="BA126" s="2">
        <v>1</v>
      </c>
      <c r="BB126" s="2">
        <v>1</v>
      </c>
      <c r="BC126" s="2">
        <v>1</v>
      </c>
      <c r="BD126" s="2" t="s">
        <v>3</v>
      </c>
      <c r="BE126" s="2" t="s">
        <v>3</v>
      </c>
      <c r="BF126" s="2" t="s">
        <v>3</v>
      </c>
      <c r="BG126" s="2" t="s">
        <v>3</v>
      </c>
      <c r="BH126" s="2">
        <v>3</v>
      </c>
      <c r="BI126" s="2">
        <v>1</v>
      </c>
      <c r="BJ126" s="2" t="s">
        <v>252</v>
      </c>
      <c r="BK126" s="2"/>
      <c r="BL126" s="2"/>
      <c r="BM126" s="2">
        <v>55</v>
      </c>
      <c r="BN126" s="2">
        <v>0</v>
      </c>
      <c r="BO126" s="2" t="s">
        <v>3</v>
      </c>
      <c r="BP126" s="2">
        <v>0</v>
      </c>
      <c r="BQ126" s="2">
        <v>30</v>
      </c>
      <c r="BR126" s="2">
        <v>0</v>
      </c>
      <c r="BS126" s="2">
        <v>1</v>
      </c>
      <c r="BT126" s="2">
        <v>1</v>
      </c>
      <c r="BU126" s="2">
        <v>1</v>
      </c>
      <c r="BV126" s="2">
        <v>1</v>
      </c>
      <c r="BW126" s="2">
        <v>1</v>
      </c>
      <c r="BX126" s="2">
        <v>1</v>
      </c>
      <c r="BY126" s="2" t="s">
        <v>3</v>
      </c>
      <c r="BZ126" s="2">
        <v>93</v>
      </c>
      <c r="CA126" s="2">
        <v>62</v>
      </c>
      <c r="CB126" s="2" t="s">
        <v>3</v>
      </c>
      <c r="CC126" s="2"/>
      <c r="CD126" s="2"/>
      <c r="CE126" s="2">
        <v>1566</v>
      </c>
      <c r="CF126" s="2">
        <v>0</v>
      </c>
      <c r="CG126" s="2">
        <v>0</v>
      </c>
      <c r="CH126" s="2"/>
      <c r="CI126" s="2"/>
      <c r="CJ126" s="2"/>
      <c r="CK126" s="2"/>
      <c r="CL126" s="2"/>
      <c r="CM126" s="2">
        <v>0</v>
      </c>
      <c r="CN126" s="2" t="s">
        <v>680</v>
      </c>
      <c r="CO126" s="2">
        <v>0</v>
      </c>
      <c r="CP126" s="2">
        <f t="shared" si="159"/>
        <v>147.83000000000001</v>
      </c>
      <c r="CQ126" s="2">
        <f t="shared" si="147"/>
        <v>328.5</v>
      </c>
      <c r="CR126" s="2">
        <f>(ROUND((ROUND(((ET126)*AV126*1),2)*BB126),2)+ROUND((ROUND(((AE126-(EU126))*AV126*1),2)*BS126),2))</f>
        <v>0</v>
      </c>
      <c r="CS126" s="2">
        <f>(ROUND((ROUND(((EU126)*AV126*1),2)*BS126),2)+ROUND((ROUND(((AE126-(EU126))*AV126*1),2)*BS126),2))</f>
        <v>0</v>
      </c>
      <c r="CT126" s="2">
        <f t="shared" si="160"/>
        <v>0</v>
      </c>
      <c r="CU126" s="2">
        <f t="shared" si="161"/>
        <v>0</v>
      </c>
      <c r="CV126" s="2">
        <f t="shared" si="162"/>
        <v>0</v>
      </c>
      <c r="CW126" s="2">
        <f t="shared" si="163"/>
        <v>0</v>
      </c>
      <c r="CX126" s="2">
        <f t="shared" si="164"/>
        <v>0</v>
      </c>
      <c r="CY126" s="2">
        <f>(ROUND((((S126+ROUND((ROUND(((EU126)*AV126*1),2)*BS126),2))*AT126)/100),2)+ROUND(((ROUND((ROUND(((AE126-(EU126))*AV126*1),2)*BS126),2)*AT126)/100),2))</f>
        <v>0</v>
      </c>
      <c r="CZ126" s="2">
        <f>(ROUND((((S126+ROUND((ROUND(((EU126)*AV126*1),2)*BS126),2))*AU126)/100),2)+ROUND(((ROUND((ROUND(((AE126-(EU126))*AV126*1),2)*BS126),2)*AU126)/100),2))</f>
        <v>0</v>
      </c>
      <c r="DA126" s="2"/>
      <c r="DB126" s="2"/>
      <c r="DC126" s="2" t="s">
        <v>3</v>
      </c>
      <c r="DD126" s="2" t="s">
        <v>3</v>
      </c>
      <c r="DE126" s="2" t="s">
        <v>3</v>
      </c>
      <c r="DF126" s="2" t="s">
        <v>3</v>
      </c>
      <c r="DG126" s="2" t="s">
        <v>3</v>
      </c>
      <c r="DH126" s="2" t="s">
        <v>3</v>
      </c>
      <c r="DI126" s="2" t="s">
        <v>3</v>
      </c>
      <c r="DJ126" s="2" t="s">
        <v>3</v>
      </c>
      <c r="DK126" s="2" t="s">
        <v>3</v>
      </c>
      <c r="DL126" s="2" t="s">
        <v>3</v>
      </c>
      <c r="DM126" s="2" t="s">
        <v>3</v>
      </c>
      <c r="DN126" s="2">
        <v>0</v>
      </c>
      <c r="DO126" s="2">
        <v>0</v>
      </c>
      <c r="DP126" s="2">
        <v>1</v>
      </c>
      <c r="DQ126" s="2">
        <v>1</v>
      </c>
      <c r="DR126" s="2"/>
      <c r="DS126" s="2"/>
      <c r="DT126" s="2"/>
      <c r="DU126" s="2">
        <v>1010</v>
      </c>
      <c r="DV126" s="2" t="s">
        <v>240</v>
      </c>
      <c r="DW126" s="2" t="s">
        <v>240</v>
      </c>
      <c r="DX126" s="2">
        <v>100</v>
      </c>
      <c r="DY126" s="2"/>
      <c r="DZ126" s="2" t="s">
        <v>3</v>
      </c>
      <c r="EA126" s="2" t="s">
        <v>3</v>
      </c>
      <c r="EB126" s="2" t="s">
        <v>3</v>
      </c>
      <c r="EC126" s="2" t="s">
        <v>3</v>
      </c>
      <c r="ED126" s="2"/>
      <c r="EE126" s="2">
        <v>85133405</v>
      </c>
      <c r="EF126" s="2">
        <v>30</v>
      </c>
      <c r="EG126" s="2" t="s">
        <v>49</v>
      </c>
      <c r="EH126" s="2">
        <v>0</v>
      </c>
      <c r="EI126" s="2" t="s">
        <v>3</v>
      </c>
      <c r="EJ126" s="2">
        <v>1</v>
      </c>
      <c r="EK126" s="2">
        <v>55</v>
      </c>
      <c r="EL126" s="2" t="s">
        <v>242</v>
      </c>
      <c r="EM126" s="2" t="s">
        <v>243</v>
      </c>
      <c r="EN126" s="2"/>
      <c r="EO126" s="2" t="s">
        <v>248</v>
      </c>
      <c r="EP126" s="2"/>
      <c r="EQ126" s="2">
        <v>0</v>
      </c>
      <c r="ER126" s="2">
        <v>328.5</v>
      </c>
      <c r="ES126" s="2">
        <v>328.5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>
        <v>0</v>
      </c>
      <c r="FR126" s="2">
        <v>0</v>
      </c>
      <c r="FS126" s="2">
        <v>0</v>
      </c>
      <c r="FT126" s="2"/>
      <c r="FU126" s="2"/>
      <c r="FV126" s="2"/>
      <c r="FW126" s="2"/>
      <c r="FX126" s="2">
        <v>93</v>
      </c>
      <c r="FY126" s="2">
        <v>62</v>
      </c>
      <c r="FZ126" s="2"/>
      <c r="GA126" s="2" t="s">
        <v>3</v>
      </c>
      <c r="GB126" s="2"/>
      <c r="GC126" s="2"/>
      <c r="GD126" s="2">
        <v>1</v>
      </c>
      <c r="GE126" s="2"/>
      <c r="GF126" s="2">
        <v>745037488</v>
      </c>
      <c r="GG126" s="2">
        <v>2</v>
      </c>
      <c r="GH126" s="2">
        <v>1</v>
      </c>
      <c r="GI126" s="2">
        <v>-2</v>
      </c>
      <c r="GJ126" s="2">
        <v>0</v>
      </c>
      <c r="GK126" s="2">
        <v>0</v>
      </c>
      <c r="GL126" s="2">
        <f t="shared" si="165"/>
        <v>0</v>
      </c>
      <c r="GM126" s="2">
        <f t="shared" si="166"/>
        <v>147.83000000000001</v>
      </c>
      <c r="GN126" s="2">
        <f t="shared" si="167"/>
        <v>147.83000000000001</v>
      </c>
      <c r="GO126" s="2">
        <f t="shared" si="168"/>
        <v>0</v>
      </c>
      <c r="GP126" s="2">
        <f t="shared" si="169"/>
        <v>0</v>
      </c>
      <c r="GQ126" s="2"/>
      <c r="GR126" s="2">
        <v>0</v>
      </c>
      <c r="GS126" s="2">
        <v>3</v>
      </c>
      <c r="GT126" s="2">
        <v>0</v>
      </c>
      <c r="GU126" s="2" t="s">
        <v>3</v>
      </c>
      <c r="GV126" s="2">
        <f t="shared" si="170"/>
        <v>0</v>
      </c>
      <c r="GW126" s="2">
        <v>1</v>
      </c>
      <c r="GX126" s="2">
        <f t="shared" si="171"/>
        <v>0</v>
      </c>
      <c r="GY126" s="2"/>
      <c r="GZ126" s="2"/>
      <c r="HA126" s="2">
        <v>0</v>
      </c>
      <c r="HB126" s="2">
        <v>0</v>
      </c>
      <c r="HC126" s="2">
        <f t="shared" si="172"/>
        <v>0</v>
      </c>
      <c r="HD126" s="2"/>
      <c r="HE126" s="2" t="s">
        <v>3</v>
      </c>
      <c r="HF126" s="2" t="s">
        <v>3</v>
      </c>
      <c r="HG126" s="2"/>
      <c r="HH126" s="2"/>
      <c r="HI126" s="2"/>
      <c r="HJ126" s="2"/>
      <c r="HK126" s="2"/>
      <c r="HL126" s="2"/>
      <c r="HM126" s="2" t="s">
        <v>77</v>
      </c>
      <c r="HN126" s="2" t="s">
        <v>3</v>
      </c>
      <c r="HO126" s="2" t="s">
        <v>3</v>
      </c>
      <c r="HP126" s="2" t="s">
        <v>3</v>
      </c>
      <c r="HQ126" s="2" t="s">
        <v>3</v>
      </c>
      <c r="HR126" s="2"/>
      <c r="HS126" s="2">
        <v>0</v>
      </c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>
        <v>0</v>
      </c>
      <c r="IL126" s="2"/>
      <c r="IM126" s="2"/>
      <c r="IN126" s="2"/>
      <c r="IO126" s="2"/>
      <c r="IP126" s="2"/>
      <c r="IQ126" s="2"/>
      <c r="IR126" s="2"/>
      <c r="IS126" s="2"/>
      <c r="IT126" s="2"/>
      <c r="IU126" s="2"/>
    </row>
    <row r="127" spans="1:255" x14ac:dyDescent="0.2">
      <c r="A127" s="3">
        <v>18</v>
      </c>
      <c r="B127" s="3">
        <v>1</v>
      </c>
      <c r="C127" s="3">
        <v>338</v>
      </c>
      <c r="E127" s="3" t="s">
        <v>249</v>
      </c>
      <c r="F127" s="3" t="s">
        <v>250</v>
      </c>
      <c r="G127" s="3" t="s">
        <v>251</v>
      </c>
      <c r="H127" s="3" t="s">
        <v>240</v>
      </c>
      <c r="I127" s="3">
        <f>I123*J127</f>
        <v>0.45</v>
      </c>
      <c r="J127" s="3">
        <v>0.5</v>
      </c>
      <c r="K127" s="3">
        <v>0.5</v>
      </c>
      <c r="O127" s="3">
        <f t="shared" si="148"/>
        <v>2378.58</v>
      </c>
      <c r="P127" s="3">
        <f t="shared" si="146"/>
        <v>2378.58</v>
      </c>
      <c r="Q127" s="3">
        <f>(ROUND((ROUND(((ET127)*AV127*I127),2)*BB127),2)+ROUND((ROUND(((AE127-(EU127))*AV127*I127),2)*BS127),2))</f>
        <v>0</v>
      </c>
      <c r="R127" s="3">
        <f>(ROUND((ROUND(((EU127)*AV127*I127),2)*BS127),2)+ROUND((ROUND(((AE127-(EU127))*AV127*I127),2)*BS127),2))</f>
        <v>0</v>
      </c>
      <c r="S127" s="3">
        <f t="shared" si="149"/>
        <v>0</v>
      </c>
      <c r="T127" s="3">
        <f t="shared" si="150"/>
        <v>0</v>
      </c>
      <c r="U127" s="3">
        <f t="shared" si="151"/>
        <v>0</v>
      </c>
      <c r="V127" s="3">
        <f t="shared" si="152"/>
        <v>0</v>
      </c>
      <c r="W127" s="3">
        <f t="shared" si="153"/>
        <v>0</v>
      </c>
      <c r="X127" s="3">
        <f>(ROUND((((S127+ROUND((ROUND(((EU127)*AV127*I127),2)*BS127),2))*AT127)/100),2)+ROUND(((ROUND((ROUND(((AE127-(EU127))*AV127*I127),2)*BS127),2)*AT127)/100),2))</f>
        <v>0</v>
      </c>
      <c r="Y127" s="3">
        <f>(ROUND((((S127+ROUND((ROUND(((EU127)*AV127*I127),2)*BS127),2))*AU127)/100),2)+ROUND(((ROUND((ROUND(((AE127-(EU127))*AV127*I127),2)*BS127),2)*AU127)/100),2))</f>
        <v>0</v>
      </c>
      <c r="AA127" s="3">
        <v>85739207</v>
      </c>
      <c r="AB127" s="3">
        <f t="shared" si="154"/>
        <v>328.5</v>
      </c>
      <c r="AC127" s="3">
        <f>ROUND((ES127),6)</f>
        <v>328.5</v>
      </c>
      <c r="AD127" s="3">
        <f>ROUND((((ET127)-(EU127))+AE127),6)</f>
        <v>0</v>
      </c>
      <c r="AE127" s="3">
        <f t="shared" si="155"/>
        <v>0</v>
      </c>
      <c r="AF127" s="3">
        <f t="shared" si="155"/>
        <v>0</v>
      </c>
      <c r="AG127" s="3">
        <f t="shared" si="156"/>
        <v>0</v>
      </c>
      <c r="AH127" s="3">
        <f t="shared" si="157"/>
        <v>0</v>
      </c>
      <c r="AI127" s="3">
        <f t="shared" si="157"/>
        <v>0</v>
      </c>
      <c r="AJ127" s="3">
        <f t="shared" si="158"/>
        <v>0</v>
      </c>
      <c r="AK127" s="3">
        <v>328.5</v>
      </c>
      <c r="AL127" s="3">
        <v>328.5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93</v>
      </c>
      <c r="AU127" s="3">
        <v>62</v>
      </c>
      <c r="AV127" s="3">
        <v>1</v>
      </c>
      <c r="AW127" s="3">
        <v>1</v>
      </c>
      <c r="AZ127" s="3">
        <v>1</v>
      </c>
      <c r="BA127" s="3">
        <v>1</v>
      </c>
      <c r="BB127" s="3">
        <v>1</v>
      </c>
      <c r="BC127" s="3">
        <v>16.09</v>
      </c>
      <c r="BD127" s="3" t="s">
        <v>3</v>
      </c>
      <c r="BE127" s="3" t="s">
        <v>3</v>
      </c>
      <c r="BF127" s="3" t="s">
        <v>3</v>
      </c>
      <c r="BG127" s="3" t="s">
        <v>3</v>
      </c>
      <c r="BH127" s="3">
        <v>3</v>
      </c>
      <c r="BI127" s="3">
        <v>1</v>
      </c>
      <c r="BJ127" s="3" t="s">
        <v>252</v>
      </c>
      <c r="BM127" s="3">
        <v>55</v>
      </c>
      <c r="BN127" s="3">
        <v>0</v>
      </c>
      <c r="BO127" s="3" t="s">
        <v>250</v>
      </c>
      <c r="BP127" s="3">
        <v>1</v>
      </c>
      <c r="BQ127" s="3">
        <v>30</v>
      </c>
      <c r="BR127" s="3">
        <v>0</v>
      </c>
      <c r="BS127" s="3">
        <v>1</v>
      </c>
      <c r="BT127" s="3">
        <v>1</v>
      </c>
      <c r="BU127" s="3">
        <v>1</v>
      </c>
      <c r="BV127" s="3">
        <v>1</v>
      </c>
      <c r="BW127" s="3">
        <v>1</v>
      </c>
      <c r="BX127" s="3">
        <v>1</v>
      </c>
      <c r="BY127" s="3" t="s">
        <v>3</v>
      </c>
      <c r="BZ127" s="3">
        <v>93</v>
      </c>
      <c r="CA127" s="3">
        <v>62</v>
      </c>
      <c r="CB127" s="3" t="s">
        <v>3</v>
      </c>
      <c r="CE127" s="3">
        <v>1566</v>
      </c>
      <c r="CF127" s="3">
        <v>0</v>
      </c>
      <c r="CG127" s="3">
        <v>0</v>
      </c>
      <c r="CM127" s="3">
        <v>0</v>
      </c>
      <c r="CN127" s="3" t="s">
        <v>680</v>
      </c>
      <c r="CO127" s="3">
        <v>0</v>
      </c>
      <c r="CP127" s="3">
        <f t="shared" si="159"/>
        <v>2378.58</v>
      </c>
      <c r="CQ127" s="3">
        <f t="shared" si="147"/>
        <v>5285.57</v>
      </c>
      <c r="CR127" s="3">
        <f>(ROUND((ROUND(((ET127)*AV127*1),2)*BB127),2)+ROUND((ROUND(((AE127-(EU127))*AV127*1),2)*BS127),2))</f>
        <v>0</v>
      </c>
      <c r="CS127" s="3">
        <f>(ROUND((ROUND(((EU127)*AV127*1),2)*BS127),2)+ROUND((ROUND(((AE127-(EU127))*AV127*1),2)*BS127),2))</f>
        <v>0</v>
      </c>
      <c r="CT127" s="3">
        <f t="shared" si="160"/>
        <v>0</v>
      </c>
      <c r="CU127" s="3">
        <f t="shared" si="161"/>
        <v>0</v>
      </c>
      <c r="CV127" s="3">
        <f t="shared" si="162"/>
        <v>0</v>
      </c>
      <c r="CW127" s="3">
        <f t="shared" si="163"/>
        <v>0</v>
      </c>
      <c r="CX127" s="3">
        <f t="shared" si="164"/>
        <v>0</v>
      </c>
      <c r="CY127" s="3">
        <f>(ROUND((((S127+ROUND((ROUND(((EU127)*AV127*1),2)*BS127),2))*AT127)/100),2)+ROUND(((ROUND((ROUND(((AE127-(EU127))*AV127*1),2)*BS127),2)*AT127)/100),2))</f>
        <v>0</v>
      </c>
      <c r="CZ127" s="3">
        <f>(ROUND((((S127+ROUND((ROUND(((EU127)*AV127*1),2)*BS127),2))*AU127)/100),2)+ROUND(((ROUND((ROUND(((AE127-(EU127))*AV127*1),2)*BS127),2)*AU127)/100),2))</f>
        <v>0</v>
      </c>
      <c r="DC127" s="3" t="s">
        <v>3</v>
      </c>
      <c r="DD127" s="3" t="s">
        <v>3</v>
      </c>
      <c r="DE127" s="3" t="s">
        <v>3</v>
      </c>
      <c r="DF127" s="3" t="s">
        <v>3</v>
      </c>
      <c r="DG127" s="3" t="s">
        <v>3</v>
      </c>
      <c r="DH127" s="3" t="s">
        <v>3</v>
      </c>
      <c r="DI127" s="3" t="s">
        <v>3</v>
      </c>
      <c r="DJ127" s="3" t="s">
        <v>3</v>
      </c>
      <c r="DK127" s="3" t="s">
        <v>3</v>
      </c>
      <c r="DL127" s="3" t="s">
        <v>3</v>
      </c>
      <c r="DM127" s="3" t="s">
        <v>3</v>
      </c>
      <c r="DN127" s="3">
        <v>0</v>
      </c>
      <c r="DO127" s="3">
        <v>0</v>
      </c>
      <c r="DP127" s="3">
        <v>1</v>
      </c>
      <c r="DQ127" s="3">
        <v>1</v>
      </c>
      <c r="DU127" s="3">
        <v>1010</v>
      </c>
      <c r="DV127" s="3" t="s">
        <v>240</v>
      </c>
      <c r="DW127" s="3" t="s">
        <v>240</v>
      </c>
      <c r="DX127" s="3">
        <v>100</v>
      </c>
      <c r="DZ127" s="3" t="s">
        <v>3</v>
      </c>
      <c r="EA127" s="3" t="s">
        <v>3</v>
      </c>
      <c r="EB127" s="3" t="s">
        <v>3</v>
      </c>
      <c r="EC127" s="3" t="s">
        <v>3</v>
      </c>
      <c r="EE127" s="3">
        <v>85133405</v>
      </c>
      <c r="EF127" s="3">
        <v>30</v>
      </c>
      <c r="EG127" s="3" t="s">
        <v>49</v>
      </c>
      <c r="EH127" s="3">
        <v>0</v>
      </c>
      <c r="EI127" s="3" t="s">
        <v>3</v>
      </c>
      <c r="EJ127" s="3">
        <v>1</v>
      </c>
      <c r="EK127" s="3">
        <v>55</v>
      </c>
      <c r="EL127" s="3" t="s">
        <v>242</v>
      </c>
      <c r="EM127" s="3" t="s">
        <v>243</v>
      </c>
      <c r="EO127" s="3" t="s">
        <v>248</v>
      </c>
      <c r="EQ127" s="3">
        <v>0</v>
      </c>
      <c r="ER127" s="3">
        <v>328.5</v>
      </c>
      <c r="ES127" s="3">
        <v>328.5</v>
      </c>
      <c r="ET127" s="3">
        <v>0</v>
      </c>
      <c r="EU127" s="3">
        <v>0</v>
      </c>
      <c r="EV127" s="3">
        <v>0</v>
      </c>
      <c r="EW127" s="3">
        <v>0</v>
      </c>
      <c r="EX127" s="3">
        <v>0</v>
      </c>
      <c r="FQ127" s="3">
        <v>0</v>
      </c>
      <c r="FR127" s="3">
        <v>0</v>
      </c>
      <c r="FS127" s="3">
        <v>0</v>
      </c>
      <c r="FX127" s="3">
        <v>93</v>
      </c>
      <c r="FY127" s="3">
        <v>62</v>
      </c>
      <c r="GA127" s="3" t="s">
        <v>3</v>
      </c>
      <c r="GD127" s="3">
        <v>1</v>
      </c>
      <c r="GF127" s="3">
        <v>745037488</v>
      </c>
      <c r="GG127" s="3">
        <v>2</v>
      </c>
      <c r="GH127" s="3">
        <v>1</v>
      </c>
      <c r="GI127" s="3">
        <v>2</v>
      </c>
      <c r="GJ127" s="3">
        <v>0</v>
      </c>
      <c r="GK127" s="3">
        <v>0</v>
      </c>
      <c r="GL127" s="3">
        <f t="shared" si="165"/>
        <v>0</v>
      </c>
      <c r="GM127" s="3">
        <f t="shared" si="166"/>
        <v>2378.58</v>
      </c>
      <c r="GN127" s="3">
        <f t="shared" si="167"/>
        <v>2378.58</v>
      </c>
      <c r="GO127" s="3">
        <f t="shared" si="168"/>
        <v>0</v>
      </c>
      <c r="GP127" s="3">
        <f t="shared" si="169"/>
        <v>0</v>
      </c>
      <c r="GR127" s="3">
        <v>0</v>
      </c>
      <c r="GS127" s="3">
        <v>3</v>
      </c>
      <c r="GT127" s="3">
        <v>0</v>
      </c>
      <c r="GU127" s="3" t="s">
        <v>3</v>
      </c>
      <c r="GV127" s="3">
        <f t="shared" si="170"/>
        <v>0</v>
      </c>
      <c r="GW127" s="3">
        <v>1</v>
      </c>
      <c r="GX127" s="3">
        <f t="shared" si="171"/>
        <v>0</v>
      </c>
      <c r="HA127" s="3">
        <v>0</v>
      </c>
      <c r="HB127" s="3">
        <v>0</v>
      </c>
      <c r="HC127" s="3">
        <f t="shared" si="172"/>
        <v>0</v>
      </c>
      <c r="HE127" s="3" t="s">
        <v>3</v>
      </c>
      <c r="HF127" s="3" t="s">
        <v>3</v>
      </c>
      <c r="HM127" s="3" t="s">
        <v>77</v>
      </c>
      <c r="HN127" s="3" t="s">
        <v>3</v>
      </c>
      <c r="HO127" s="3" t="s">
        <v>3</v>
      </c>
      <c r="HP127" s="3" t="s">
        <v>3</v>
      </c>
      <c r="HQ127" s="3" t="s">
        <v>3</v>
      </c>
      <c r="HS127" s="3">
        <v>0</v>
      </c>
      <c r="IK127" s="3">
        <v>0</v>
      </c>
    </row>
    <row r="128" spans="1:255" x14ac:dyDescent="0.2">
      <c r="A128" s="2">
        <v>17</v>
      </c>
      <c r="B128" s="2">
        <v>1</v>
      </c>
      <c r="C128" s="2">
        <f>ROW(SmtRes!A345)</f>
        <v>345</v>
      </c>
      <c r="D128" s="2">
        <f>ROW(EtalonRes!A361)</f>
        <v>361</v>
      </c>
      <c r="E128" s="2" t="s">
        <v>253</v>
      </c>
      <c r="F128" s="2" t="s">
        <v>254</v>
      </c>
      <c r="G128" s="2" t="s">
        <v>255</v>
      </c>
      <c r="H128" s="2" t="s">
        <v>256</v>
      </c>
      <c r="I128" s="2">
        <f>ROUND((20*0.72+40*0.48+60*0.37+15*0.26+15*0.18+15*0.16)/100,9)</f>
        <v>0.64800000000000002</v>
      </c>
      <c r="J128" s="2">
        <v>0</v>
      </c>
      <c r="K128" s="2">
        <f>ROUND((20*0.72+40*0.48+60*0.37+15*0.26+15*0.18+15*0.16)/100,9)</f>
        <v>0.64800000000000002</v>
      </c>
      <c r="L128" s="2"/>
      <c r="M128" s="2"/>
      <c r="N128" s="2"/>
      <c r="O128" s="2">
        <f t="shared" si="148"/>
        <v>225.99</v>
      </c>
      <c r="P128" s="2">
        <f t="shared" si="146"/>
        <v>12.23</v>
      </c>
      <c r="Q128" s="2">
        <f>(ROUND((ROUND((((((ET128*2)*1.25)*1.2))*AV128*I128),2)*BB128),2)+ROUND((ROUND(((AE128-((((EU128*2)*1.25)*1.2)))*AV128*I128),2)*BS128),2))</f>
        <v>27.76</v>
      </c>
      <c r="R128" s="2">
        <f>(ROUND((ROUND((((((EU128*2)*1.25)*1.2))*AV128*I128),2)*BS128),2)+ROUND((ROUND(((AE128-((((EU128*2)*1.25)*1.2)))*AV128*I128),2)*BS128),2))</f>
        <v>0.51</v>
      </c>
      <c r="S128" s="2">
        <f t="shared" si="149"/>
        <v>186</v>
      </c>
      <c r="T128" s="2">
        <f t="shared" si="150"/>
        <v>0</v>
      </c>
      <c r="U128" s="2">
        <f t="shared" si="151"/>
        <v>9.9431797535999973</v>
      </c>
      <c r="V128" s="2">
        <f t="shared" si="152"/>
        <v>0</v>
      </c>
      <c r="W128" s="2">
        <f t="shared" si="153"/>
        <v>0</v>
      </c>
      <c r="X128" s="2">
        <f>(ROUND((((S128+ROUND((ROUND((((((EU128*2)*1.25)*1.2))*AV128*I128),2)*BS128),2))*AT128)/100),2)+ROUND(((ROUND((ROUND(((AE128-((((EU128*2)*1.25)*1.2)))*AV128*I128),2)*BS128),2)*AT128)/100),2))</f>
        <v>175.32</v>
      </c>
      <c r="Y128" s="2">
        <f>(ROUND((((S128+ROUND((ROUND((((((EU128*2)*1.25)*1.2))*AV128*I128),2)*BS128),2))*AU128)/100),2)+ROUND(((ROUND((ROUND(((AE128-((((EU128*2)*1.25)*1.2)))*AV128*I128),2)*BS128),2)*AU128)/100),2))</f>
        <v>95.12</v>
      </c>
      <c r="Z128" s="2"/>
      <c r="AA128" s="2">
        <v>85739205</v>
      </c>
      <c r="AB128" s="2">
        <f t="shared" si="154"/>
        <v>333.95080000000002</v>
      </c>
      <c r="AC128" s="2">
        <f>ROUND(((((ES128*2)*1)*1)),6)</f>
        <v>18.88</v>
      </c>
      <c r="AD128" s="2">
        <f>ROUND(((((((ET128*2)*1.25)*1.2))-((((EU128*2)*1.25)*1.2)))+AE128),6)</f>
        <v>40.92</v>
      </c>
      <c r="AE128" s="2">
        <f>ROUND(((((EU128*2)*1.25)*1.2)),6)</f>
        <v>0.75</v>
      </c>
      <c r="AF128" s="2">
        <f>ROUND(((((EV128*2)*1.15)*1.2)),6)</f>
        <v>274.1508</v>
      </c>
      <c r="AG128" s="2">
        <f t="shared" si="156"/>
        <v>0</v>
      </c>
      <c r="AH128" s="2">
        <f>((((EW128*2)*1.15)*1.2))</f>
        <v>14.655599999999996</v>
      </c>
      <c r="AI128" s="2">
        <f>((((EX128*2)*1.25)*1.2))</f>
        <v>0</v>
      </c>
      <c r="AJ128" s="2">
        <f t="shared" si="158"/>
        <v>0</v>
      </c>
      <c r="AK128" s="2">
        <v>122.41</v>
      </c>
      <c r="AL128" s="2">
        <v>9.44</v>
      </c>
      <c r="AM128" s="2">
        <v>13.64</v>
      </c>
      <c r="AN128" s="2">
        <v>0.25</v>
      </c>
      <c r="AO128" s="2">
        <v>99.33</v>
      </c>
      <c r="AP128" s="2">
        <v>0</v>
      </c>
      <c r="AQ128" s="2">
        <v>5.31</v>
      </c>
      <c r="AR128" s="2">
        <v>0</v>
      </c>
      <c r="AS128" s="2">
        <v>0</v>
      </c>
      <c r="AT128" s="2">
        <v>94</v>
      </c>
      <c r="AU128" s="2">
        <v>51</v>
      </c>
      <c r="AV128" s="2">
        <v>1.0469999999999999</v>
      </c>
      <c r="AW128" s="2">
        <v>1</v>
      </c>
      <c r="AX128" s="2"/>
      <c r="AY128" s="2"/>
      <c r="AZ128" s="2">
        <v>1</v>
      </c>
      <c r="BA128" s="2">
        <v>1</v>
      </c>
      <c r="BB128" s="2">
        <v>1</v>
      </c>
      <c r="BC128" s="2">
        <v>1</v>
      </c>
      <c r="BD128" s="2" t="s">
        <v>3</v>
      </c>
      <c r="BE128" s="2" t="s">
        <v>3</v>
      </c>
      <c r="BF128" s="2" t="s">
        <v>3</v>
      </c>
      <c r="BG128" s="2" t="s">
        <v>3</v>
      </c>
      <c r="BH128" s="2">
        <v>0</v>
      </c>
      <c r="BI128" s="2">
        <v>1</v>
      </c>
      <c r="BJ128" s="2" t="s">
        <v>257</v>
      </c>
      <c r="BK128" s="2"/>
      <c r="BL128" s="2"/>
      <c r="BM128" s="2">
        <v>59</v>
      </c>
      <c r="BN128" s="2">
        <v>0</v>
      </c>
      <c r="BO128" s="2" t="s">
        <v>254</v>
      </c>
      <c r="BP128" s="2">
        <v>1</v>
      </c>
      <c r="BQ128" s="2">
        <v>30</v>
      </c>
      <c r="BR128" s="2">
        <v>0</v>
      </c>
      <c r="BS128" s="2">
        <v>1</v>
      </c>
      <c r="BT128" s="2">
        <v>1</v>
      </c>
      <c r="BU128" s="2">
        <v>1</v>
      </c>
      <c r="BV128" s="2">
        <v>1</v>
      </c>
      <c r="BW128" s="2">
        <v>1</v>
      </c>
      <c r="BX128" s="2">
        <v>1</v>
      </c>
      <c r="BY128" s="2" t="s">
        <v>3</v>
      </c>
      <c r="BZ128" s="2">
        <v>94</v>
      </c>
      <c r="CA128" s="2">
        <v>51</v>
      </c>
      <c r="CB128" s="2" t="s">
        <v>3</v>
      </c>
      <c r="CC128" s="2"/>
      <c r="CD128" s="2"/>
      <c r="CE128" s="2">
        <v>1566</v>
      </c>
      <c r="CF128" s="2">
        <v>0</v>
      </c>
      <c r="CG128" s="2">
        <v>0</v>
      </c>
      <c r="CH128" s="2"/>
      <c r="CI128" s="2"/>
      <c r="CJ128" s="2"/>
      <c r="CK128" s="2"/>
      <c r="CL128" s="2"/>
      <c r="CM128" s="2">
        <v>0</v>
      </c>
      <c r="CN128" s="2" t="s">
        <v>678</v>
      </c>
      <c r="CO128" s="2">
        <v>0</v>
      </c>
      <c r="CP128" s="2">
        <f t="shared" si="159"/>
        <v>225.99</v>
      </c>
      <c r="CQ128" s="2">
        <f t="shared" si="147"/>
        <v>18.88</v>
      </c>
      <c r="CR128" s="2">
        <f>(ROUND((ROUND((((((ET128*2)*1.25)*1.2))*AV128*1),2)*BB128),2)+ROUND((ROUND(((AE128-((((EU128*2)*1.25)*1.2)))*AV128*1),2)*BS128),2))</f>
        <v>42.84</v>
      </c>
      <c r="CS128" s="2">
        <f>(ROUND((ROUND((((((EU128*2)*1.25)*1.2))*AV128*1),2)*BS128),2)+ROUND((ROUND(((AE128-((((EU128*2)*1.25)*1.2)))*AV128*1),2)*BS128),2))</f>
        <v>0.79</v>
      </c>
      <c r="CT128" s="2">
        <f t="shared" si="160"/>
        <v>287.04000000000002</v>
      </c>
      <c r="CU128" s="2">
        <f t="shared" si="161"/>
        <v>0</v>
      </c>
      <c r="CV128" s="2">
        <f t="shared" si="162"/>
        <v>15.344413199999995</v>
      </c>
      <c r="CW128" s="2">
        <f t="shared" si="163"/>
        <v>0</v>
      </c>
      <c r="CX128" s="2">
        <f t="shared" si="164"/>
        <v>0</v>
      </c>
      <c r="CY128" s="2">
        <f>(ROUND((((S128+ROUND((ROUND((((((EU128*2)*1.25)*1.2))*AV128*1),2)*BS128),2))*AT128)/100),2)+ROUND(((ROUND((ROUND(((AE128-((((EU128*2)*1.25)*1.2)))*AV128*1),2)*BS128),2)*AT128)/100),2))</f>
        <v>175.58</v>
      </c>
      <c r="CZ128" s="2">
        <f>(ROUND((((S128+ROUND((ROUND((((((EU128*2)*1.25)*1.2))*AV128*1),2)*BS128),2))*AU128)/100),2)+ROUND(((ROUND((ROUND(((AE128-((((EU128*2)*1.25)*1.2)))*AV128*1),2)*BS128),2)*AU128)/100),2))</f>
        <v>95.26</v>
      </c>
      <c r="DA128" s="2"/>
      <c r="DB128" s="2">
        <v>49</v>
      </c>
      <c r="DC128" s="2" t="s">
        <v>3</v>
      </c>
      <c r="DD128" s="2" t="s">
        <v>258</v>
      </c>
      <c r="DE128" s="2" t="s">
        <v>259</v>
      </c>
      <c r="DF128" s="2" t="s">
        <v>259</v>
      </c>
      <c r="DG128" s="2" t="s">
        <v>260</v>
      </c>
      <c r="DH128" s="2" t="s">
        <v>3</v>
      </c>
      <c r="DI128" s="2" t="s">
        <v>260</v>
      </c>
      <c r="DJ128" s="2" t="s">
        <v>259</v>
      </c>
      <c r="DK128" s="2" t="s">
        <v>3</v>
      </c>
      <c r="DL128" s="2" t="s">
        <v>3</v>
      </c>
      <c r="DM128" s="2" t="s">
        <v>3</v>
      </c>
      <c r="DN128" s="2">
        <v>0</v>
      </c>
      <c r="DO128" s="2">
        <v>0</v>
      </c>
      <c r="DP128" s="2">
        <v>1</v>
      </c>
      <c r="DQ128" s="2">
        <v>1</v>
      </c>
      <c r="DR128" s="2"/>
      <c r="DS128" s="2"/>
      <c r="DT128" s="2"/>
      <c r="DU128" s="2">
        <v>1005</v>
      </c>
      <c r="DV128" s="2" t="s">
        <v>256</v>
      </c>
      <c r="DW128" s="2" t="s">
        <v>256</v>
      </c>
      <c r="DX128" s="2">
        <v>100</v>
      </c>
      <c r="DY128" s="2"/>
      <c r="DZ128" s="2" t="s">
        <v>3</v>
      </c>
      <c r="EA128" s="2" t="s">
        <v>3</v>
      </c>
      <c r="EB128" s="2" t="s">
        <v>3</v>
      </c>
      <c r="EC128" s="2" t="s">
        <v>3</v>
      </c>
      <c r="ED128" s="2"/>
      <c r="EE128" s="2">
        <v>85133409</v>
      </c>
      <c r="EF128" s="2">
        <v>30</v>
      </c>
      <c r="EG128" s="2" t="s">
        <v>49</v>
      </c>
      <c r="EH128" s="2">
        <v>0</v>
      </c>
      <c r="EI128" s="2" t="s">
        <v>3</v>
      </c>
      <c r="EJ128" s="2">
        <v>1</v>
      </c>
      <c r="EK128" s="2">
        <v>59</v>
      </c>
      <c r="EL128" s="2" t="s">
        <v>261</v>
      </c>
      <c r="EM128" s="2" t="s">
        <v>262</v>
      </c>
      <c r="EN128" s="2"/>
      <c r="EO128" s="2" t="s">
        <v>80</v>
      </c>
      <c r="EP128" s="2"/>
      <c r="EQ128" s="2">
        <v>0</v>
      </c>
      <c r="ER128" s="2">
        <v>122.41</v>
      </c>
      <c r="ES128" s="2">
        <v>9.44</v>
      </c>
      <c r="ET128" s="2">
        <v>13.64</v>
      </c>
      <c r="EU128" s="2">
        <v>0.25</v>
      </c>
      <c r="EV128" s="2">
        <v>99.33</v>
      </c>
      <c r="EW128" s="2">
        <v>5.31</v>
      </c>
      <c r="EX128" s="2">
        <v>0</v>
      </c>
      <c r="EY128" s="2">
        <v>0</v>
      </c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>
        <v>0</v>
      </c>
      <c r="FR128" s="2">
        <v>0</v>
      </c>
      <c r="FS128" s="2">
        <v>0</v>
      </c>
      <c r="FT128" s="2"/>
      <c r="FU128" s="2"/>
      <c r="FV128" s="2"/>
      <c r="FW128" s="2"/>
      <c r="FX128" s="2">
        <v>94</v>
      </c>
      <c r="FY128" s="2">
        <v>51</v>
      </c>
      <c r="FZ128" s="2"/>
      <c r="GA128" s="2" t="s">
        <v>3</v>
      </c>
      <c r="GB128" s="2"/>
      <c r="GC128" s="2"/>
      <c r="GD128" s="2">
        <v>1</v>
      </c>
      <c r="GE128" s="2"/>
      <c r="GF128" s="2">
        <v>1042934724</v>
      </c>
      <c r="GG128" s="2">
        <v>2</v>
      </c>
      <c r="GH128" s="2">
        <v>1</v>
      </c>
      <c r="GI128" s="2">
        <v>2</v>
      </c>
      <c r="GJ128" s="2">
        <v>0</v>
      </c>
      <c r="GK128" s="2">
        <v>0</v>
      </c>
      <c r="GL128" s="2">
        <f t="shared" si="165"/>
        <v>0</v>
      </c>
      <c r="GM128" s="2">
        <f t="shared" si="166"/>
        <v>496.43</v>
      </c>
      <c r="GN128" s="2">
        <f t="shared" si="167"/>
        <v>496.43</v>
      </c>
      <c r="GO128" s="2">
        <f t="shared" si="168"/>
        <v>0</v>
      </c>
      <c r="GP128" s="2">
        <f t="shared" si="169"/>
        <v>0</v>
      </c>
      <c r="GQ128" s="2"/>
      <c r="GR128" s="2">
        <v>0</v>
      </c>
      <c r="GS128" s="2">
        <v>3</v>
      </c>
      <c r="GT128" s="2">
        <v>0</v>
      </c>
      <c r="GU128" s="2" t="s">
        <v>3</v>
      </c>
      <c r="GV128" s="2">
        <f t="shared" si="170"/>
        <v>0</v>
      </c>
      <c r="GW128" s="2">
        <v>1</v>
      </c>
      <c r="GX128" s="2">
        <f t="shared" si="171"/>
        <v>0</v>
      </c>
      <c r="GY128" s="2"/>
      <c r="GZ128" s="2"/>
      <c r="HA128" s="2">
        <v>0</v>
      </c>
      <c r="HB128" s="2">
        <v>0</v>
      </c>
      <c r="HC128" s="2">
        <f t="shared" si="172"/>
        <v>0</v>
      </c>
      <c r="HD128" s="2"/>
      <c r="HE128" s="2" t="s">
        <v>3</v>
      </c>
      <c r="HF128" s="2" t="s">
        <v>3</v>
      </c>
      <c r="HG128" s="2"/>
      <c r="HH128" s="2"/>
      <c r="HI128" s="2"/>
      <c r="HJ128" s="2"/>
      <c r="HK128" s="2"/>
      <c r="HL128" s="2"/>
      <c r="HM128" s="2" t="s">
        <v>3</v>
      </c>
      <c r="HN128" s="2" t="s">
        <v>3</v>
      </c>
      <c r="HO128" s="2" t="s">
        <v>3</v>
      </c>
      <c r="HP128" s="2" t="s">
        <v>3</v>
      </c>
      <c r="HQ128" s="2" t="s">
        <v>3</v>
      </c>
      <c r="HR128" s="2"/>
      <c r="HS128" s="2">
        <v>0</v>
      </c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>
        <v>0</v>
      </c>
      <c r="IL128" s="2"/>
      <c r="IM128" s="2"/>
      <c r="IN128" s="2"/>
      <c r="IO128" s="2"/>
      <c r="IP128" s="2"/>
      <c r="IQ128" s="2"/>
      <c r="IR128" s="2"/>
      <c r="IS128" s="2"/>
      <c r="IT128" s="2"/>
      <c r="IU128" s="2"/>
    </row>
    <row r="129" spans="1:255" x14ac:dyDescent="0.2">
      <c r="A129" s="3">
        <v>17</v>
      </c>
      <c r="B129" s="3">
        <v>1</v>
      </c>
      <c r="C129" s="3">
        <f>ROW(SmtRes!A352)</f>
        <v>352</v>
      </c>
      <c r="D129" s="3">
        <f>ROW(EtalonRes!A368)</f>
        <v>368</v>
      </c>
      <c r="E129" s="3" t="s">
        <v>253</v>
      </c>
      <c r="F129" s="3" t="s">
        <v>254</v>
      </c>
      <c r="G129" s="3" t="s">
        <v>255</v>
      </c>
      <c r="H129" s="3" t="s">
        <v>256</v>
      </c>
      <c r="I129" s="3">
        <f>ROUND((20*0.72+40*0.48+60*0.37+15*0.26+15*0.18+15*0.16)/100,9)</f>
        <v>0.64800000000000002</v>
      </c>
      <c r="J129" s="3">
        <v>0</v>
      </c>
      <c r="K129" s="3">
        <f>ROUND((20*0.72+40*0.48+60*0.37+15*0.26+15*0.18+15*0.16)/100,9)</f>
        <v>0.64800000000000002</v>
      </c>
      <c r="O129" s="3">
        <f t="shared" si="148"/>
        <v>11236.06</v>
      </c>
      <c r="P129" s="3">
        <f t="shared" si="146"/>
        <v>425.73</v>
      </c>
      <c r="Q129" s="3">
        <f>(ROUND((ROUND((((((ET129*2)*1.25)*1.2))*AV129*I129),2)*BB129),2)+ROUND((ROUND(((AE129-((((EU129*2)*1.25)*1.2)))*AV129*I129),2)*BS129),2))</f>
        <v>329.23</v>
      </c>
      <c r="R129" s="3">
        <f>(ROUND((ROUND((((((EU129*2)*1.25)*1.2))*AV129*I129),2)*BS129),2)+ROUND((ROUND(((AE129-((((EU129*2)*1.25)*1.2)))*AV129*I129),2)*BS129),2))</f>
        <v>28.74</v>
      </c>
      <c r="S129" s="3">
        <f t="shared" si="149"/>
        <v>10481.1</v>
      </c>
      <c r="T129" s="3">
        <f t="shared" si="150"/>
        <v>0</v>
      </c>
      <c r="U129" s="3">
        <f t="shared" si="151"/>
        <v>9.9431797535999973</v>
      </c>
      <c r="V129" s="3">
        <f t="shared" si="152"/>
        <v>0</v>
      </c>
      <c r="W129" s="3">
        <f t="shared" si="153"/>
        <v>0</v>
      </c>
      <c r="X129" s="3">
        <f>(ROUND((((S129+ROUND((ROUND((((((EU129*2)*1.25)*1.2))*AV129*I129),2)*BS129),2))*AT129)/100),2)+ROUND(((ROUND((ROUND(((AE129-((((EU129*2)*1.25)*1.2)))*AV129*I129),2)*BS129),2)*AT129)/100),2))</f>
        <v>9879.25</v>
      </c>
      <c r="Y129" s="3">
        <f>(ROUND((((S129+ROUND((ROUND((((((EU129*2)*1.25)*1.2))*AV129*I129),2)*BS129),2))*AU129)/100),2)+ROUND(((ROUND((ROUND(((AE129-((((EU129*2)*1.25)*1.2)))*AV129*I129),2)*BS129),2)*AU129)/100),2))</f>
        <v>5360.02</v>
      </c>
      <c r="AA129" s="3">
        <v>85739207</v>
      </c>
      <c r="AB129" s="3">
        <f t="shared" si="154"/>
        <v>333.95080000000002</v>
      </c>
      <c r="AC129" s="3">
        <f>ROUND(((((ES129*2)*1)*1)),6)</f>
        <v>18.88</v>
      </c>
      <c r="AD129" s="3">
        <f>ROUND(((((((ET129*2)*1.25)*1.2))-((((EU129*2)*1.25)*1.2)))+AE129),6)</f>
        <v>40.92</v>
      </c>
      <c r="AE129" s="3">
        <f>ROUND(((((EU129*2)*1.25)*1.2)),6)</f>
        <v>0.75</v>
      </c>
      <c r="AF129" s="3">
        <f>ROUND(((((EV129*2)*1.15)*1.2)),6)</f>
        <v>274.1508</v>
      </c>
      <c r="AG129" s="3">
        <f t="shared" si="156"/>
        <v>0</v>
      </c>
      <c r="AH129" s="3">
        <f>((((EW129*2)*1.15)*1.2))</f>
        <v>14.655599999999996</v>
      </c>
      <c r="AI129" s="3">
        <f>((((EX129*2)*1.25)*1.2))</f>
        <v>0</v>
      </c>
      <c r="AJ129" s="3">
        <f t="shared" si="158"/>
        <v>0</v>
      </c>
      <c r="AK129" s="3">
        <v>122.41</v>
      </c>
      <c r="AL129" s="3">
        <v>9.44</v>
      </c>
      <c r="AM129" s="3">
        <v>13.64</v>
      </c>
      <c r="AN129" s="3">
        <v>0.25</v>
      </c>
      <c r="AO129" s="3">
        <v>99.33</v>
      </c>
      <c r="AP129" s="3">
        <v>0</v>
      </c>
      <c r="AQ129" s="3">
        <v>5.31</v>
      </c>
      <c r="AR129" s="3">
        <v>0</v>
      </c>
      <c r="AS129" s="3">
        <v>0</v>
      </c>
      <c r="AT129" s="3">
        <v>94</v>
      </c>
      <c r="AU129" s="3">
        <v>51</v>
      </c>
      <c r="AV129" s="3">
        <v>1.0469999999999999</v>
      </c>
      <c r="AW129" s="3">
        <v>1</v>
      </c>
      <c r="AZ129" s="3">
        <v>1</v>
      </c>
      <c r="BA129" s="3">
        <v>56.35</v>
      </c>
      <c r="BB129" s="3">
        <v>11.86</v>
      </c>
      <c r="BC129" s="3">
        <v>34.81</v>
      </c>
      <c r="BD129" s="3" t="s">
        <v>3</v>
      </c>
      <c r="BE129" s="3" t="s">
        <v>3</v>
      </c>
      <c r="BF129" s="3" t="s">
        <v>3</v>
      </c>
      <c r="BG129" s="3" t="s">
        <v>3</v>
      </c>
      <c r="BH129" s="3">
        <v>0</v>
      </c>
      <c r="BI129" s="3">
        <v>1</v>
      </c>
      <c r="BJ129" s="3" t="s">
        <v>257</v>
      </c>
      <c r="BM129" s="3">
        <v>59</v>
      </c>
      <c r="BN129" s="3">
        <v>0</v>
      </c>
      <c r="BO129" s="3" t="s">
        <v>254</v>
      </c>
      <c r="BP129" s="3">
        <v>1</v>
      </c>
      <c r="BQ129" s="3">
        <v>30</v>
      </c>
      <c r="BR129" s="3">
        <v>0</v>
      </c>
      <c r="BS129" s="3">
        <v>56.35</v>
      </c>
      <c r="BT129" s="3">
        <v>1</v>
      </c>
      <c r="BU129" s="3">
        <v>1</v>
      </c>
      <c r="BV129" s="3">
        <v>1</v>
      </c>
      <c r="BW129" s="3">
        <v>1</v>
      </c>
      <c r="BX129" s="3">
        <v>1</v>
      </c>
      <c r="BY129" s="3" t="s">
        <v>3</v>
      </c>
      <c r="BZ129" s="3">
        <v>94</v>
      </c>
      <c r="CA129" s="3">
        <v>51</v>
      </c>
      <c r="CB129" s="3" t="s">
        <v>3</v>
      </c>
      <c r="CE129" s="3">
        <v>1566</v>
      </c>
      <c r="CF129" s="3">
        <v>0</v>
      </c>
      <c r="CG129" s="3">
        <v>0</v>
      </c>
      <c r="CM129" s="3">
        <v>0</v>
      </c>
      <c r="CN129" s="3" t="s">
        <v>678</v>
      </c>
      <c r="CO129" s="3">
        <v>0</v>
      </c>
      <c r="CP129" s="3">
        <f t="shared" si="159"/>
        <v>11236.060000000001</v>
      </c>
      <c r="CQ129" s="3">
        <f t="shared" si="147"/>
        <v>657.21</v>
      </c>
      <c r="CR129" s="3">
        <f>(ROUND((ROUND((((((ET129*2)*1.25)*1.2))*AV129*1),2)*BB129),2)+ROUND((ROUND(((AE129-((((EU129*2)*1.25)*1.2)))*AV129*1),2)*BS129),2))</f>
        <v>508.08</v>
      </c>
      <c r="CS129" s="3">
        <f>(ROUND((ROUND((((((EU129*2)*1.25)*1.2))*AV129*1),2)*BS129),2)+ROUND((ROUND(((AE129-((((EU129*2)*1.25)*1.2)))*AV129*1),2)*BS129),2))</f>
        <v>44.52</v>
      </c>
      <c r="CT129" s="3">
        <f t="shared" si="160"/>
        <v>16174.7</v>
      </c>
      <c r="CU129" s="3">
        <f t="shared" si="161"/>
        <v>0</v>
      </c>
      <c r="CV129" s="3">
        <f t="shared" si="162"/>
        <v>15.344413199999995</v>
      </c>
      <c r="CW129" s="3">
        <f t="shared" si="163"/>
        <v>0</v>
      </c>
      <c r="CX129" s="3">
        <f t="shared" si="164"/>
        <v>0</v>
      </c>
      <c r="CY129" s="3">
        <f>(ROUND((((S129+ROUND((ROUND((((((EU129*2)*1.25)*1.2))*AV129*1),2)*BS129),2))*AT129)/100),2)+ROUND(((ROUND((ROUND(((AE129-((((EU129*2)*1.25)*1.2)))*AV129*1),2)*BS129),2)*AT129)/100),2))</f>
        <v>9894.08</v>
      </c>
      <c r="CZ129" s="3">
        <f>(ROUND((((S129+ROUND((ROUND((((((EU129*2)*1.25)*1.2))*AV129*1),2)*BS129),2))*AU129)/100),2)+ROUND(((ROUND((ROUND(((AE129-((((EU129*2)*1.25)*1.2)))*AV129*1),2)*BS129),2)*AU129)/100),2))</f>
        <v>5368.07</v>
      </c>
      <c r="DB129" s="3">
        <v>52</v>
      </c>
      <c r="DC129" s="3" t="s">
        <v>3</v>
      </c>
      <c r="DD129" s="3" t="s">
        <v>258</v>
      </c>
      <c r="DE129" s="3" t="s">
        <v>259</v>
      </c>
      <c r="DF129" s="3" t="s">
        <v>259</v>
      </c>
      <c r="DG129" s="3" t="s">
        <v>260</v>
      </c>
      <c r="DH129" s="3" t="s">
        <v>3</v>
      </c>
      <c r="DI129" s="3" t="s">
        <v>260</v>
      </c>
      <c r="DJ129" s="3" t="s">
        <v>259</v>
      </c>
      <c r="DK129" s="3" t="s">
        <v>3</v>
      </c>
      <c r="DL129" s="3" t="s">
        <v>3</v>
      </c>
      <c r="DM129" s="3" t="s">
        <v>3</v>
      </c>
      <c r="DN129" s="3">
        <v>0</v>
      </c>
      <c r="DO129" s="3">
        <v>0</v>
      </c>
      <c r="DP129" s="3">
        <v>1</v>
      </c>
      <c r="DQ129" s="3">
        <v>1</v>
      </c>
      <c r="DU129" s="3">
        <v>1005</v>
      </c>
      <c r="DV129" s="3" t="s">
        <v>256</v>
      </c>
      <c r="DW129" s="3" t="s">
        <v>256</v>
      </c>
      <c r="DX129" s="3">
        <v>100</v>
      </c>
      <c r="DZ129" s="3" t="s">
        <v>3</v>
      </c>
      <c r="EA129" s="3" t="s">
        <v>3</v>
      </c>
      <c r="EB129" s="3" t="s">
        <v>3</v>
      </c>
      <c r="EC129" s="3" t="s">
        <v>3</v>
      </c>
      <c r="EE129" s="3">
        <v>85133409</v>
      </c>
      <c r="EF129" s="3">
        <v>30</v>
      </c>
      <c r="EG129" s="3" t="s">
        <v>49</v>
      </c>
      <c r="EH129" s="3">
        <v>0</v>
      </c>
      <c r="EI129" s="3" t="s">
        <v>3</v>
      </c>
      <c r="EJ129" s="3">
        <v>1</v>
      </c>
      <c r="EK129" s="3">
        <v>59</v>
      </c>
      <c r="EL129" s="3" t="s">
        <v>261</v>
      </c>
      <c r="EM129" s="3" t="s">
        <v>262</v>
      </c>
      <c r="EO129" s="3" t="s">
        <v>80</v>
      </c>
      <c r="EQ129" s="3">
        <v>0</v>
      </c>
      <c r="ER129" s="3">
        <v>122.41</v>
      </c>
      <c r="ES129" s="3">
        <v>9.44</v>
      </c>
      <c r="ET129" s="3">
        <v>13.64</v>
      </c>
      <c r="EU129" s="3">
        <v>0.25</v>
      </c>
      <c r="EV129" s="3">
        <v>99.33</v>
      </c>
      <c r="EW129" s="3">
        <v>5.31</v>
      </c>
      <c r="EX129" s="3">
        <v>0</v>
      </c>
      <c r="EY129" s="3">
        <v>0</v>
      </c>
      <c r="FQ129" s="3">
        <v>0</v>
      </c>
      <c r="FR129" s="3">
        <v>0</v>
      </c>
      <c r="FS129" s="3">
        <v>0</v>
      </c>
      <c r="FX129" s="3">
        <v>94</v>
      </c>
      <c r="FY129" s="3">
        <v>51</v>
      </c>
      <c r="GA129" s="3" t="s">
        <v>3</v>
      </c>
      <c r="GD129" s="3">
        <v>1</v>
      </c>
      <c r="GF129" s="3">
        <v>1042934724</v>
      </c>
      <c r="GG129" s="3">
        <v>2</v>
      </c>
      <c r="GH129" s="3">
        <v>1</v>
      </c>
      <c r="GI129" s="3">
        <v>2</v>
      </c>
      <c r="GJ129" s="3">
        <v>0</v>
      </c>
      <c r="GK129" s="3">
        <v>0</v>
      </c>
      <c r="GL129" s="3">
        <f t="shared" si="165"/>
        <v>0</v>
      </c>
      <c r="GM129" s="3">
        <f t="shared" si="166"/>
        <v>26475.33</v>
      </c>
      <c r="GN129" s="3">
        <f t="shared" si="167"/>
        <v>26475.33</v>
      </c>
      <c r="GO129" s="3">
        <f t="shared" si="168"/>
        <v>0</v>
      </c>
      <c r="GP129" s="3">
        <f t="shared" si="169"/>
        <v>0</v>
      </c>
      <c r="GR129" s="3">
        <v>0</v>
      </c>
      <c r="GS129" s="3">
        <v>3</v>
      </c>
      <c r="GT129" s="3">
        <v>0</v>
      </c>
      <c r="GU129" s="3" t="s">
        <v>3</v>
      </c>
      <c r="GV129" s="3">
        <f t="shared" si="170"/>
        <v>0</v>
      </c>
      <c r="GW129" s="3">
        <v>1</v>
      </c>
      <c r="GX129" s="3">
        <f t="shared" si="171"/>
        <v>0</v>
      </c>
      <c r="HA129" s="3">
        <v>0</v>
      </c>
      <c r="HB129" s="3">
        <v>0</v>
      </c>
      <c r="HC129" s="3">
        <f t="shared" si="172"/>
        <v>0</v>
      </c>
      <c r="HE129" s="3" t="s">
        <v>3</v>
      </c>
      <c r="HF129" s="3" t="s">
        <v>3</v>
      </c>
      <c r="HM129" s="3" t="s">
        <v>3</v>
      </c>
      <c r="HN129" s="3" t="s">
        <v>3</v>
      </c>
      <c r="HO129" s="3" t="s">
        <v>3</v>
      </c>
      <c r="HP129" s="3" t="s">
        <v>3</v>
      </c>
      <c r="HQ129" s="3" t="s">
        <v>3</v>
      </c>
      <c r="HS129" s="3">
        <v>0</v>
      </c>
      <c r="IK129" s="3">
        <v>0</v>
      </c>
    </row>
    <row r="130" spans="1:255" x14ac:dyDescent="0.2">
      <c r="A130" s="2">
        <v>18</v>
      </c>
      <c r="B130" s="2">
        <v>1</v>
      </c>
      <c r="C130" s="2">
        <v>344</v>
      </c>
      <c r="D130" s="2"/>
      <c r="E130" s="2" t="s">
        <v>263</v>
      </c>
      <c r="F130" s="2" t="s">
        <v>264</v>
      </c>
      <c r="G130" s="2" t="s">
        <v>265</v>
      </c>
      <c r="H130" s="2" t="s">
        <v>266</v>
      </c>
      <c r="I130" s="2">
        <f>I128*J130</f>
        <v>1.1664000000000002E-2</v>
      </c>
      <c r="J130" s="2">
        <v>1.8000000000000002E-2</v>
      </c>
      <c r="K130" s="2">
        <v>8.9999999999999993E-3</v>
      </c>
      <c r="L130" s="2"/>
      <c r="M130" s="2"/>
      <c r="N130" s="2"/>
      <c r="O130" s="2">
        <f t="shared" si="148"/>
        <v>217.57</v>
      </c>
      <c r="P130" s="2">
        <f t="shared" si="146"/>
        <v>217.57</v>
      </c>
      <c r="Q130" s="2">
        <f>(ROUND((ROUND(((ET130)*AV130*I130),2)*BB130),2)+ROUND((ROUND(((AE130-(EU130))*AV130*I130),2)*BS130),2))</f>
        <v>0</v>
      </c>
      <c r="R130" s="2">
        <f>(ROUND((ROUND(((EU130)*AV130*I130),2)*BS130),2)+ROUND((ROUND(((AE130-(EU130))*AV130*I130),2)*BS130),2))</f>
        <v>0</v>
      </c>
      <c r="S130" s="2">
        <f t="shared" si="149"/>
        <v>0</v>
      </c>
      <c r="T130" s="2">
        <f t="shared" si="150"/>
        <v>0</v>
      </c>
      <c r="U130" s="2">
        <f t="shared" si="151"/>
        <v>0</v>
      </c>
      <c r="V130" s="2">
        <f t="shared" si="152"/>
        <v>0</v>
      </c>
      <c r="W130" s="2">
        <f t="shared" si="153"/>
        <v>0</v>
      </c>
      <c r="X130" s="2">
        <f>(ROUND((((S130+ROUND((ROUND(((EU130)*AV130*I130),2)*BS130),2))*AT130)/100),2)+ROUND(((ROUND((ROUND(((AE130-(EU130))*AV130*I130),2)*BS130),2)*AT130)/100),2))</f>
        <v>0</v>
      </c>
      <c r="Y130" s="2">
        <f>(ROUND((((S130+ROUND((ROUND(((EU130)*AV130*I130),2)*BS130),2))*AU130)/100),2)+ROUND(((ROUND((ROUND(((AE130-(EU130))*AV130*I130),2)*BS130),2)*AU130)/100),2))</f>
        <v>0</v>
      </c>
      <c r="Z130" s="2"/>
      <c r="AA130" s="2">
        <v>85739205</v>
      </c>
      <c r="AB130" s="2">
        <f t="shared" si="154"/>
        <v>18653.07</v>
      </c>
      <c r="AC130" s="2">
        <f>ROUND((ES130),6)</f>
        <v>18653.07</v>
      </c>
      <c r="AD130" s="2">
        <f>ROUND((((ET130)-(EU130))+AE130),6)</f>
        <v>0</v>
      </c>
      <c r="AE130" s="2">
        <f>ROUND((EU130),6)</f>
        <v>0</v>
      </c>
      <c r="AF130" s="2">
        <f>ROUND((EV130),6)</f>
        <v>0</v>
      </c>
      <c r="AG130" s="2">
        <f t="shared" si="156"/>
        <v>0</v>
      </c>
      <c r="AH130" s="2">
        <f>(EW130)</f>
        <v>0</v>
      </c>
      <c r="AI130" s="2">
        <f>(EX130)</f>
        <v>0</v>
      </c>
      <c r="AJ130" s="2">
        <f t="shared" si="158"/>
        <v>0</v>
      </c>
      <c r="AK130" s="2">
        <v>18653.07</v>
      </c>
      <c r="AL130" s="2">
        <v>18653.07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94</v>
      </c>
      <c r="AU130" s="2">
        <v>51</v>
      </c>
      <c r="AV130" s="2">
        <v>1</v>
      </c>
      <c r="AW130" s="2">
        <v>1</v>
      </c>
      <c r="AX130" s="2"/>
      <c r="AY130" s="2"/>
      <c r="AZ130" s="2">
        <v>1</v>
      </c>
      <c r="BA130" s="2">
        <v>1</v>
      </c>
      <c r="BB130" s="2">
        <v>1</v>
      </c>
      <c r="BC130" s="2">
        <v>1</v>
      </c>
      <c r="BD130" s="2" t="s">
        <v>3</v>
      </c>
      <c r="BE130" s="2" t="s">
        <v>3</v>
      </c>
      <c r="BF130" s="2" t="s">
        <v>3</v>
      </c>
      <c r="BG130" s="2" t="s">
        <v>3</v>
      </c>
      <c r="BH130" s="2">
        <v>3</v>
      </c>
      <c r="BI130" s="2">
        <v>1</v>
      </c>
      <c r="BJ130" s="2" t="s">
        <v>267</v>
      </c>
      <c r="BK130" s="2"/>
      <c r="BL130" s="2"/>
      <c r="BM130" s="2">
        <v>59</v>
      </c>
      <c r="BN130" s="2">
        <v>0</v>
      </c>
      <c r="BO130" s="2" t="s">
        <v>3</v>
      </c>
      <c r="BP130" s="2">
        <v>0</v>
      </c>
      <c r="BQ130" s="2">
        <v>30</v>
      </c>
      <c r="BR130" s="2">
        <v>0</v>
      </c>
      <c r="BS130" s="2">
        <v>1</v>
      </c>
      <c r="BT130" s="2">
        <v>1</v>
      </c>
      <c r="BU130" s="2">
        <v>1</v>
      </c>
      <c r="BV130" s="2">
        <v>1</v>
      </c>
      <c r="BW130" s="2">
        <v>1</v>
      </c>
      <c r="BX130" s="2">
        <v>1</v>
      </c>
      <c r="BY130" s="2" t="s">
        <v>3</v>
      </c>
      <c r="BZ130" s="2">
        <v>94</v>
      </c>
      <c r="CA130" s="2">
        <v>51</v>
      </c>
      <c r="CB130" s="2" t="s">
        <v>3</v>
      </c>
      <c r="CC130" s="2"/>
      <c r="CD130" s="2"/>
      <c r="CE130" s="2">
        <v>1566</v>
      </c>
      <c r="CF130" s="2">
        <v>0</v>
      </c>
      <c r="CG130" s="2">
        <v>0</v>
      </c>
      <c r="CH130" s="2"/>
      <c r="CI130" s="2"/>
      <c r="CJ130" s="2"/>
      <c r="CK130" s="2"/>
      <c r="CL130" s="2"/>
      <c r="CM130" s="2">
        <v>0</v>
      </c>
      <c r="CN130" s="2" t="s">
        <v>680</v>
      </c>
      <c r="CO130" s="2">
        <v>0</v>
      </c>
      <c r="CP130" s="2">
        <f t="shared" si="159"/>
        <v>217.57</v>
      </c>
      <c r="CQ130" s="2">
        <f t="shared" si="147"/>
        <v>18653.07</v>
      </c>
      <c r="CR130" s="2">
        <f>(ROUND((ROUND(((ET130)*AV130*1),2)*BB130),2)+ROUND((ROUND(((AE130-(EU130))*AV130*1),2)*BS130),2))</f>
        <v>0</v>
      </c>
      <c r="CS130" s="2">
        <f>(ROUND((ROUND(((EU130)*AV130*1),2)*BS130),2)+ROUND((ROUND(((AE130-(EU130))*AV130*1),2)*BS130),2))</f>
        <v>0</v>
      </c>
      <c r="CT130" s="2">
        <f t="shared" si="160"/>
        <v>0</v>
      </c>
      <c r="CU130" s="2">
        <f t="shared" si="161"/>
        <v>0</v>
      </c>
      <c r="CV130" s="2">
        <f t="shared" si="162"/>
        <v>0</v>
      </c>
      <c r="CW130" s="2">
        <f t="shared" si="163"/>
        <v>0</v>
      </c>
      <c r="CX130" s="2">
        <f t="shared" si="164"/>
        <v>0</v>
      </c>
      <c r="CY130" s="2">
        <f>(ROUND((((S130+ROUND((ROUND(((EU130)*AV130*1),2)*BS130),2))*AT130)/100),2)+ROUND(((ROUND((ROUND(((AE130-(EU130))*AV130*1),2)*BS130),2)*AT130)/100),2))</f>
        <v>0</v>
      </c>
      <c r="CZ130" s="2">
        <f>(ROUND((((S130+ROUND((ROUND(((EU130)*AV130*1),2)*BS130),2))*AU130)/100),2)+ROUND(((ROUND((ROUND(((AE130-(EU130))*AV130*1),2)*BS130),2)*AU130)/100),2))</f>
        <v>0</v>
      </c>
      <c r="DA130" s="2"/>
      <c r="DB130" s="2"/>
      <c r="DC130" s="2" t="s">
        <v>3</v>
      </c>
      <c r="DD130" s="2" t="s">
        <v>3</v>
      </c>
      <c r="DE130" s="2" t="s">
        <v>3</v>
      </c>
      <c r="DF130" s="2" t="s">
        <v>3</v>
      </c>
      <c r="DG130" s="2" t="s">
        <v>3</v>
      </c>
      <c r="DH130" s="2" t="s">
        <v>3</v>
      </c>
      <c r="DI130" s="2" t="s">
        <v>3</v>
      </c>
      <c r="DJ130" s="2" t="s">
        <v>3</v>
      </c>
      <c r="DK130" s="2" t="s">
        <v>3</v>
      </c>
      <c r="DL130" s="2" t="s">
        <v>3</v>
      </c>
      <c r="DM130" s="2" t="s">
        <v>3</v>
      </c>
      <c r="DN130" s="2">
        <v>0</v>
      </c>
      <c r="DO130" s="2">
        <v>0</v>
      </c>
      <c r="DP130" s="2">
        <v>1</v>
      </c>
      <c r="DQ130" s="2">
        <v>1</v>
      </c>
      <c r="DR130" s="2"/>
      <c r="DS130" s="2"/>
      <c r="DT130" s="2"/>
      <c r="DU130" s="2">
        <v>1009</v>
      </c>
      <c r="DV130" s="2" t="s">
        <v>266</v>
      </c>
      <c r="DW130" s="2" t="s">
        <v>266</v>
      </c>
      <c r="DX130" s="2">
        <v>1000</v>
      </c>
      <c r="DY130" s="2"/>
      <c r="DZ130" s="2" t="s">
        <v>3</v>
      </c>
      <c r="EA130" s="2" t="s">
        <v>3</v>
      </c>
      <c r="EB130" s="2" t="s">
        <v>3</v>
      </c>
      <c r="EC130" s="2" t="s">
        <v>3</v>
      </c>
      <c r="ED130" s="2"/>
      <c r="EE130" s="2">
        <v>85133409</v>
      </c>
      <c r="EF130" s="2">
        <v>30</v>
      </c>
      <c r="EG130" s="2" t="s">
        <v>49</v>
      </c>
      <c r="EH130" s="2">
        <v>0</v>
      </c>
      <c r="EI130" s="2" t="s">
        <v>3</v>
      </c>
      <c r="EJ130" s="2">
        <v>1</v>
      </c>
      <c r="EK130" s="2">
        <v>59</v>
      </c>
      <c r="EL130" s="2" t="s">
        <v>261</v>
      </c>
      <c r="EM130" s="2" t="s">
        <v>262</v>
      </c>
      <c r="EN130" s="2"/>
      <c r="EO130" s="2" t="s">
        <v>248</v>
      </c>
      <c r="EP130" s="2"/>
      <c r="EQ130" s="2">
        <v>0</v>
      </c>
      <c r="ER130" s="2">
        <v>18653.07</v>
      </c>
      <c r="ES130" s="2">
        <v>18653.07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>
        <v>0</v>
      </c>
      <c r="FR130" s="2">
        <v>0</v>
      </c>
      <c r="FS130" s="2">
        <v>0</v>
      </c>
      <c r="FT130" s="2"/>
      <c r="FU130" s="2"/>
      <c r="FV130" s="2"/>
      <c r="FW130" s="2"/>
      <c r="FX130" s="2">
        <v>94</v>
      </c>
      <c r="FY130" s="2">
        <v>51</v>
      </c>
      <c r="FZ130" s="2"/>
      <c r="GA130" s="2" t="s">
        <v>3</v>
      </c>
      <c r="GB130" s="2"/>
      <c r="GC130" s="2"/>
      <c r="GD130" s="2">
        <v>1</v>
      </c>
      <c r="GE130" s="2"/>
      <c r="GF130" s="2">
        <v>650902129</v>
      </c>
      <c r="GG130" s="2">
        <v>2</v>
      </c>
      <c r="GH130" s="2">
        <v>1</v>
      </c>
      <c r="GI130" s="2">
        <v>-2</v>
      </c>
      <c r="GJ130" s="2">
        <v>0</v>
      </c>
      <c r="GK130" s="2">
        <v>0</v>
      </c>
      <c r="GL130" s="2">
        <f t="shared" si="165"/>
        <v>0</v>
      </c>
      <c r="GM130" s="2">
        <f t="shared" si="166"/>
        <v>217.57</v>
      </c>
      <c r="GN130" s="2">
        <f t="shared" si="167"/>
        <v>217.57</v>
      </c>
      <c r="GO130" s="2">
        <f t="shared" si="168"/>
        <v>0</v>
      </c>
      <c r="GP130" s="2">
        <f t="shared" si="169"/>
        <v>0</v>
      </c>
      <c r="GQ130" s="2"/>
      <c r="GR130" s="2">
        <v>0</v>
      </c>
      <c r="GS130" s="2">
        <v>3</v>
      </c>
      <c r="GT130" s="2">
        <v>0</v>
      </c>
      <c r="GU130" s="2" t="s">
        <v>3</v>
      </c>
      <c r="GV130" s="2">
        <f t="shared" si="170"/>
        <v>0</v>
      </c>
      <c r="GW130" s="2">
        <v>1</v>
      </c>
      <c r="GX130" s="2">
        <f t="shared" si="171"/>
        <v>0</v>
      </c>
      <c r="GY130" s="2"/>
      <c r="GZ130" s="2"/>
      <c r="HA130" s="2">
        <v>0</v>
      </c>
      <c r="HB130" s="2">
        <v>0</v>
      </c>
      <c r="HC130" s="2">
        <f t="shared" si="172"/>
        <v>0</v>
      </c>
      <c r="HD130" s="2"/>
      <c r="HE130" s="2" t="s">
        <v>3</v>
      </c>
      <c r="HF130" s="2" t="s">
        <v>3</v>
      </c>
      <c r="HG130" s="2"/>
      <c r="HH130" s="2"/>
      <c r="HI130" s="2"/>
      <c r="HJ130" s="2"/>
      <c r="HK130" s="2"/>
      <c r="HL130" s="2"/>
      <c r="HM130" s="2" t="s">
        <v>258</v>
      </c>
      <c r="HN130" s="2" t="s">
        <v>3</v>
      </c>
      <c r="HO130" s="2" t="s">
        <v>3</v>
      </c>
      <c r="HP130" s="2" t="s">
        <v>3</v>
      </c>
      <c r="HQ130" s="2" t="s">
        <v>3</v>
      </c>
      <c r="HR130" s="2"/>
      <c r="HS130" s="2">
        <v>0</v>
      </c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>
        <v>0</v>
      </c>
      <c r="IL130" s="2"/>
      <c r="IM130" s="2"/>
      <c r="IN130" s="2"/>
      <c r="IO130" s="2"/>
      <c r="IP130" s="2"/>
      <c r="IQ130" s="2"/>
      <c r="IR130" s="2"/>
      <c r="IS130" s="2"/>
      <c r="IT130" s="2"/>
      <c r="IU130" s="2"/>
    </row>
    <row r="131" spans="1:255" x14ac:dyDescent="0.2">
      <c r="A131" s="3">
        <v>18</v>
      </c>
      <c r="B131" s="3">
        <v>1</v>
      </c>
      <c r="C131" s="3">
        <v>351</v>
      </c>
      <c r="E131" s="3" t="s">
        <v>263</v>
      </c>
      <c r="F131" s="3" t="s">
        <v>264</v>
      </c>
      <c r="G131" s="3" t="s">
        <v>265</v>
      </c>
      <c r="H131" s="3" t="s">
        <v>266</v>
      </c>
      <c r="I131" s="3">
        <f>I129*J131</f>
        <v>1.1664000000000002E-2</v>
      </c>
      <c r="J131" s="3">
        <v>1.8000000000000002E-2</v>
      </c>
      <c r="K131" s="3">
        <v>8.9999999999999993E-3</v>
      </c>
      <c r="O131" s="3">
        <f t="shared" si="148"/>
        <v>781.08</v>
      </c>
      <c r="P131" s="3">
        <f t="shared" si="146"/>
        <v>781.08</v>
      </c>
      <c r="Q131" s="3">
        <f>(ROUND((ROUND(((ET131)*AV131*I131),2)*BB131),2)+ROUND((ROUND(((AE131-(EU131))*AV131*I131),2)*BS131),2))</f>
        <v>0</v>
      </c>
      <c r="R131" s="3">
        <f>(ROUND((ROUND(((EU131)*AV131*I131),2)*BS131),2)+ROUND((ROUND(((AE131-(EU131))*AV131*I131),2)*BS131),2))</f>
        <v>0</v>
      </c>
      <c r="S131" s="3">
        <f t="shared" si="149"/>
        <v>0</v>
      </c>
      <c r="T131" s="3">
        <f t="shared" si="150"/>
        <v>0</v>
      </c>
      <c r="U131" s="3">
        <f t="shared" si="151"/>
        <v>0</v>
      </c>
      <c r="V131" s="3">
        <f t="shared" si="152"/>
        <v>0</v>
      </c>
      <c r="W131" s="3">
        <f t="shared" si="153"/>
        <v>0</v>
      </c>
      <c r="X131" s="3">
        <f>(ROUND((((S131+ROUND((ROUND(((EU131)*AV131*I131),2)*BS131),2))*AT131)/100),2)+ROUND(((ROUND((ROUND(((AE131-(EU131))*AV131*I131),2)*BS131),2)*AT131)/100),2))</f>
        <v>0</v>
      </c>
      <c r="Y131" s="3">
        <f>(ROUND((((S131+ROUND((ROUND(((EU131)*AV131*I131),2)*BS131),2))*AU131)/100),2)+ROUND(((ROUND((ROUND(((AE131-(EU131))*AV131*I131),2)*BS131),2)*AU131)/100),2))</f>
        <v>0</v>
      </c>
      <c r="AA131" s="3">
        <v>85739207</v>
      </c>
      <c r="AB131" s="3">
        <f t="shared" si="154"/>
        <v>18653.07</v>
      </c>
      <c r="AC131" s="3">
        <f>ROUND((ES131),6)</f>
        <v>18653.07</v>
      </c>
      <c r="AD131" s="3">
        <f>ROUND((((ET131)-(EU131))+AE131),6)</f>
        <v>0</v>
      </c>
      <c r="AE131" s="3">
        <f>ROUND((EU131),6)</f>
        <v>0</v>
      </c>
      <c r="AF131" s="3">
        <f>ROUND((EV131),6)</f>
        <v>0</v>
      </c>
      <c r="AG131" s="3">
        <f t="shared" si="156"/>
        <v>0</v>
      </c>
      <c r="AH131" s="3">
        <f>(EW131)</f>
        <v>0</v>
      </c>
      <c r="AI131" s="3">
        <f>(EX131)</f>
        <v>0</v>
      </c>
      <c r="AJ131" s="3">
        <f t="shared" si="158"/>
        <v>0</v>
      </c>
      <c r="AK131" s="3">
        <v>18653.07</v>
      </c>
      <c r="AL131" s="3">
        <v>18653.07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94</v>
      </c>
      <c r="AU131" s="3">
        <v>51</v>
      </c>
      <c r="AV131" s="3">
        <v>1</v>
      </c>
      <c r="AW131" s="3">
        <v>1</v>
      </c>
      <c r="AZ131" s="3">
        <v>1</v>
      </c>
      <c r="BA131" s="3">
        <v>1</v>
      </c>
      <c r="BB131" s="3">
        <v>1</v>
      </c>
      <c r="BC131" s="3">
        <v>3.59</v>
      </c>
      <c r="BD131" s="3" t="s">
        <v>3</v>
      </c>
      <c r="BE131" s="3" t="s">
        <v>3</v>
      </c>
      <c r="BF131" s="3" t="s">
        <v>3</v>
      </c>
      <c r="BG131" s="3" t="s">
        <v>3</v>
      </c>
      <c r="BH131" s="3">
        <v>3</v>
      </c>
      <c r="BI131" s="3">
        <v>1</v>
      </c>
      <c r="BJ131" s="3" t="s">
        <v>267</v>
      </c>
      <c r="BM131" s="3">
        <v>59</v>
      </c>
      <c r="BN131" s="3">
        <v>0</v>
      </c>
      <c r="BO131" s="3" t="s">
        <v>264</v>
      </c>
      <c r="BP131" s="3">
        <v>1</v>
      </c>
      <c r="BQ131" s="3">
        <v>30</v>
      </c>
      <c r="BR131" s="3">
        <v>0</v>
      </c>
      <c r="BS131" s="3">
        <v>1</v>
      </c>
      <c r="BT131" s="3">
        <v>1</v>
      </c>
      <c r="BU131" s="3">
        <v>1</v>
      </c>
      <c r="BV131" s="3">
        <v>1</v>
      </c>
      <c r="BW131" s="3">
        <v>1</v>
      </c>
      <c r="BX131" s="3">
        <v>1</v>
      </c>
      <c r="BY131" s="3" t="s">
        <v>3</v>
      </c>
      <c r="BZ131" s="3">
        <v>94</v>
      </c>
      <c r="CA131" s="3">
        <v>51</v>
      </c>
      <c r="CB131" s="3" t="s">
        <v>3</v>
      </c>
      <c r="CE131" s="3">
        <v>1566</v>
      </c>
      <c r="CF131" s="3">
        <v>0</v>
      </c>
      <c r="CG131" s="3">
        <v>0</v>
      </c>
      <c r="CM131" s="3">
        <v>0</v>
      </c>
      <c r="CN131" s="3" t="s">
        <v>680</v>
      </c>
      <c r="CO131" s="3">
        <v>0</v>
      </c>
      <c r="CP131" s="3">
        <f t="shared" si="159"/>
        <v>781.08</v>
      </c>
      <c r="CQ131" s="3">
        <f t="shared" si="147"/>
        <v>66964.52</v>
      </c>
      <c r="CR131" s="3">
        <f>(ROUND((ROUND(((ET131)*AV131*1),2)*BB131),2)+ROUND((ROUND(((AE131-(EU131))*AV131*1),2)*BS131),2))</f>
        <v>0</v>
      </c>
      <c r="CS131" s="3">
        <f>(ROUND((ROUND(((EU131)*AV131*1),2)*BS131),2)+ROUND((ROUND(((AE131-(EU131))*AV131*1),2)*BS131),2))</f>
        <v>0</v>
      </c>
      <c r="CT131" s="3">
        <f t="shared" si="160"/>
        <v>0</v>
      </c>
      <c r="CU131" s="3">
        <f t="shared" si="161"/>
        <v>0</v>
      </c>
      <c r="CV131" s="3">
        <f t="shared" si="162"/>
        <v>0</v>
      </c>
      <c r="CW131" s="3">
        <f t="shared" si="163"/>
        <v>0</v>
      </c>
      <c r="CX131" s="3">
        <f t="shared" si="164"/>
        <v>0</v>
      </c>
      <c r="CY131" s="3">
        <f>(ROUND((((S131+ROUND((ROUND(((EU131)*AV131*1),2)*BS131),2))*AT131)/100),2)+ROUND(((ROUND((ROUND(((AE131-(EU131))*AV131*1),2)*BS131),2)*AT131)/100),2))</f>
        <v>0</v>
      </c>
      <c r="CZ131" s="3">
        <f>(ROUND((((S131+ROUND((ROUND(((EU131)*AV131*1),2)*BS131),2))*AU131)/100),2)+ROUND(((ROUND((ROUND(((AE131-(EU131))*AV131*1),2)*BS131),2)*AU131)/100),2))</f>
        <v>0</v>
      </c>
      <c r="DC131" s="3" t="s">
        <v>3</v>
      </c>
      <c r="DD131" s="3" t="s">
        <v>3</v>
      </c>
      <c r="DE131" s="3" t="s">
        <v>3</v>
      </c>
      <c r="DF131" s="3" t="s">
        <v>3</v>
      </c>
      <c r="DG131" s="3" t="s">
        <v>3</v>
      </c>
      <c r="DH131" s="3" t="s">
        <v>3</v>
      </c>
      <c r="DI131" s="3" t="s">
        <v>3</v>
      </c>
      <c r="DJ131" s="3" t="s">
        <v>3</v>
      </c>
      <c r="DK131" s="3" t="s">
        <v>3</v>
      </c>
      <c r="DL131" s="3" t="s">
        <v>3</v>
      </c>
      <c r="DM131" s="3" t="s">
        <v>3</v>
      </c>
      <c r="DN131" s="3">
        <v>0</v>
      </c>
      <c r="DO131" s="3">
        <v>0</v>
      </c>
      <c r="DP131" s="3">
        <v>1</v>
      </c>
      <c r="DQ131" s="3">
        <v>1</v>
      </c>
      <c r="DU131" s="3">
        <v>1009</v>
      </c>
      <c r="DV131" s="3" t="s">
        <v>266</v>
      </c>
      <c r="DW131" s="3" t="s">
        <v>266</v>
      </c>
      <c r="DX131" s="3">
        <v>1000</v>
      </c>
      <c r="DZ131" s="3" t="s">
        <v>3</v>
      </c>
      <c r="EA131" s="3" t="s">
        <v>3</v>
      </c>
      <c r="EB131" s="3" t="s">
        <v>3</v>
      </c>
      <c r="EC131" s="3" t="s">
        <v>3</v>
      </c>
      <c r="EE131" s="3">
        <v>85133409</v>
      </c>
      <c r="EF131" s="3">
        <v>30</v>
      </c>
      <c r="EG131" s="3" t="s">
        <v>49</v>
      </c>
      <c r="EH131" s="3">
        <v>0</v>
      </c>
      <c r="EI131" s="3" t="s">
        <v>3</v>
      </c>
      <c r="EJ131" s="3">
        <v>1</v>
      </c>
      <c r="EK131" s="3">
        <v>59</v>
      </c>
      <c r="EL131" s="3" t="s">
        <v>261</v>
      </c>
      <c r="EM131" s="3" t="s">
        <v>262</v>
      </c>
      <c r="EO131" s="3" t="s">
        <v>248</v>
      </c>
      <c r="EQ131" s="3">
        <v>0</v>
      </c>
      <c r="ER131" s="3">
        <v>18653.07</v>
      </c>
      <c r="ES131" s="3">
        <v>18653.07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FQ131" s="3">
        <v>0</v>
      </c>
      <c r="FR131" s="3">
        <v>0</v>
      </c>
      <c r="FS131" s="3">
        <v>0</v>
      </c>
      <c r="FX131" s="3">
        <v>94</v>
      </c>
      <c r="FY131" s="3">
        <v>51</v>
      </c>
      <c r="GA131" s="3" t="s">
        <v>3</v>
      </c>
      <c r="GD131" s="3">
        <v>1</v>
      </c>
      <c r="GF131" s="3">
        <v>650902129</v>
      </c>
      <c r="GG131" s="3">
        <v>2</v>
      </c>
      <c r="GH131" s="3">
        <v>1</v>
      </c>
      <c r="GI131" s="3">
        <v>2</v>
      </c>
      <c r="GJ131" s="3">
        <v>0</v>
      </c>
      <c r="GK131" s="3">
        <v>0</v>
      </c>
      <c r="GL131" s="3">
        <f t="shared" si="165"/>
        <v>0</v>
      </c>
      <c r="GM131" s="3">
        <f t="shared" si="166"/>
        <v>781.08</v>
      </c>
      <c r="GN131" s="3">
        <f t="shared" si="167"/>
        <v>781.08</v>
      </c>
      <c r="GO131" s="3">
        <f t="shared" si="168"/>
        <v>0</v>
      </c>
      <c r="GP131" s="3">
        <f t="shared" si="169"/>
        <v>0</v>
      </c>
      <c r="GR131" s="3">
        <v>0</v>
      </c>
      <c r="GS131" s="3">
        <v>3</v>
      </c>
      <c r="GT131" s="3">
        <v>0</v>
      </c>
      <c r="GU131" s="3" t="s">
        <v>3</v>
      </c>
      <c r="GV131" s="3">
        <f t="shared" si="170"/>
        <v>0</v>
      </c>
      <c r="GW131" s="3">
        <v>1</v>
      </c>
      <c r="GX131" s="3">
        <f t="shared" si="171"/>
        <v>0</v>
      </c>
      <c r="HA131" s="3">
        <v>0</v>
      </c>
      <c r="HB131" s="3">
        <v>0</v>
      </c>
      <c r="HC131" s="3">
        <f t="shared" si="172"/>
        <v>0</v>
      </c>
      <c r="HE131" s="3" t="s">
        <v>3</v>
      </c>
      <c r="HF131" s="3" t="s">
        <v>3</v>
      </c>
      <c r="HM131" s="3" t="s">
        <v>258</v>
      </c>
      <c r="HN131" s="3" t="s">
        <v>3</v>
      </c>
      <c r="HO131" s="3" t="s">
        <v>3</v>
      </c>
      <c r="HP131" s="3" t="s">
        <v>3</v>
      </c>
      <c r="HQ131" s="3" t="s">
        <v>3</v>
      </c>
      <c r="HS131" s="3">
        <v>0</v>
      </c>
      <c r="IK131" s="3">
        <v>0</v>
      </c>
    </row>
    <row r="132" spans="1:255" x14ac:dyDescent="0.2">
      <c r="A132" s="2">
        <v>17</v>
      </c>
      <c r="B132" s="2">
        <v>1</v>
      </c>
      <c r="C132" s="2">
        <f>ROW(SmtRes!A357)</f>
        <v>357</v>
      </c>
      <c r="D132" s="2">
        <f>ROW(EtalonRes!A373)</f>
        <v>373</v>
      </c>
      <c r="E132" s="2" t="s">
        <v>268</v>
      </c>
      <c r="F132" s="2" t="s">
        <v>269</v>
      </c>
      <c r="G132" s="2" t="s">
        <v>270</v>
      </c>
      <c r="H132" s="2" t="s">
        <v>256</v>
      </c>
      <c r="I132" s="2">
        <f>ROUND((64.8)/100,9)</f>
        <v>0.64800000000000002</v>
      </c>
      <c r="J132" s="2">
        <v>0</v>
      </c>
      <c r="K132" s="2">
        <f>ROUND((64.8)/100,9)</f>
        <v>0.64800000000000002</v>
      </c>
      <c r="L132" s="2"/>
      <c r="M132" s="2"/>
      <c r="N132" s="2"/>
      <c r="O132" s="2">
        <f t="shared" si="148"/>
        <v>220.16</v>
      </c>
      <c r="P132" s="2">
        <f t="shared" si="146"/>
        <v>186.33</v>
      </c>
      <c r="Q132" s="2">
        <f>(ROUND((ROUND(((((ET132*1.25)*1.2))*AV132*I132),2)*BB132),2)+ROUND((ROUND(((AE132-(((EU132*1.25)*1.2)))*AV132*I132),2)*BS132),2))</f>
        <v>2.02</v>
      </c>
      <c r="R132" s="2">
        <f>(ROUND((ROUND(((((EU132*1.25)*1.2))*AV132*I132),2)*BS132),2)+ROUND((ROUND(((AE132-(((EU132*1.25)*1.2)))*AV132*I132),2)*BS132),2))</f>
        <v>0.25</v>
      </c>
      <c r="S132" s="2">
        <f t="shared" si="149"/>
        <v>31.81</v>
      </c>
      <c r="T132" s="2">
        <f t="shared" si="150"/>
        <v>0</v>
      </c>
      <c r="U132" s="2">
        <f t="shared" si="151"/>
        <v>1.9942535663999996</v>
      </c>
      <c r="V132" s="2">
        <f t="shared" si="152"/>
        <v>0</v>
      </c>
      <c r="W132" s="2">
        <f t="shared" si="153"/>
        <v>0</v>
      </c>
      <c r="X132" s="2">
        <f>(ROUND((((S132+ROUND((ROUND(((((EU132*1.25)*1.2))*AV132*I132),2)*BS132),2))*AT132)/100),2)+ROUND(((ROUND((ROUND(((AE132-(((EU132*1.25)*1.2)))*AV132*I132),2)*BS132),2)*AT132)/100),2))</f>
        <v>30.14</v>
      </c>
      <c r="Y132" s="2">
        <f>(ROUND((((S132+ROUND((ROUND(((((EU132*1.25)*1.2))*AV132*I132),2)*BS132),2))*AU132)/100),2)+ROUND(((ROUND((ROUND(((AE132-(((EU132*1.25)*1.2)))*AV132*I132),2)*BS132),2)*AU132)/100),2))</f>
        <v>16.350000000000001</v>
      </c>
      <c r="Z132" s="2"/>
      <c r="AA132" s="2">
        <v>85739205</v>
      </c>
      <c r="AB132" s="2">
        <f t="shared" si="154"/>
        <v>337.3886</v>
      </c>
      <c r="AC132" s="2">
        <f>ROUND((((ES132*1)*1)),6)</f>
        <v>287.54000000000002</v>
      </c>
      <c r="AD132" s="2">
        <f>ROUND((((((ET132*1.25)*1.2))-(((EU132*1.25)*1.2)))+AE132),6)</f>
        <v>2.97</v>
      </c>
      <c r="AE132" s="2">
        <f>ROUND((((EU132*1.25)*1.2)),6)</f>
        <v>0.375</v>
      </c>
      <c r="AF132" s="2">
        <f>ROUND((((EV132*1.15)*1.2)),6)</f>
        <v>46.878599999999999</v>
      </c>
      <c r="AG132" s="2">
        <f t="shared" si="156"/>
        <v>0</v>
      </c>
      <c r="AH132" s="2">
        <f>(((EW132*1.15)*1.2))</f>
        <v>2.9393999999999996</v>
      </c>
      <c r="AI132" s="2">
        <f>(((EX132*1.25)*1.2))</f>
        <v>0</v>
      </c>
      <c r="AJ132" s="2">
        <f t="shared" si="158"/>
        <v>0</v>
      </c>
      <c r="AK132" s="2">
        <v>323.49</v>
      </c>
      <c r="AL132" s="2">
        <v>287.54000000000002</v>
      </c>
      <c r="AM132" s="2">
        <v>1.98</v>
      </c>
      <c r="AN132" s="2">
        <v>0.25</v>
      </c>
      <c r="AO132" s="2">
        <v>33.97</v>
      </c>
      <c r="AP132" s="2">
        <v>0</v>
      </c>
      <c r="AQ132" s="2">
        <v>2.13</v>
      </c>
      <c r="AR132" s="2">
        <v>0</v>
      </c>
      <c r="AS132" s="2">
        <v>0</v>
      </c>
      <c r="AT132" s="2">
        <v>94</v>
      </c>
      <c r="AU132" s="2">
        <v>51</v>
      </c>
      <c r="AV132" s="2">
        <v>1.0469999999999999</v>
      </c>
      <c r="AW132" s="2">
        <v>1</v>
      </c>
      <c r="AX132" s="2"/>
      <c r="AY132" s="2"/>
      <c r="AZ132" s="2">
        <v>1</v>
      </c>
      <c r="BA132" s="2">
        <v>1</v>
      </c>
      <c r="BB132" s="2">
        <v>1</v>
      </c>
      <c r="BC132" s="2">
        <v>1</v>
      </c>
      <c r="BD132" s="2" t="s">
        <v>3</v>
      </c>
      <c r="BE132" s="2" t="s">
        <v>3</v>
      </c>
      <c r="BF132" s="2" t="s">
        <v>3</v>
      </c>
      <c r="BG132" s="2" t="s">
        <v>3</v>
      </c>
      <c r="BH132" s="2">
        <v>0</v>
      </c>
      <c r="BI132" s="2">
        <v>1</v>
      </c>
      <c r="BJ132" s="2" t="s">
        <v>271</v>
      </c>
      <c r="BK132" s="2"/>
      <c r="BL132" s="2"/>
      <c r="BM132" s="2">
        <v>59</v>
      </c>
      <c r="BN132" s="2">
        <v>0</v>
      </c>
      <c r="BO132" s="2" t="s">
        <v>269</v>
      </c>
      <c r="BP132" s="2">
        <v>1</v>
      </c>
      <c r="BQ132" s="2">
        <v>30</v>
      </c>
      <c r="BR132" s="2">
        <v>0</v>
      </c>
      <c r="BS132" s="2">
        <v>1</v>
      </c>
      <c r="BT132" s="2">
        <v>1</v>
      </c>
      <c r="BU132" s="2">
        <v>1</v>
      </c>
      <c r="BV132" s="2">
        <v>1</v>
      </c>
      <c r="BW132" s="2">
        <v>1</v>
      </c>
      <c r="BX132" s="2">
        <v>1</v>
      </c>
      <c r="BY132" s="2" t="s">
        <v>3</v>
      </c>
      <c r="BZ132" s="2">
        <v>94</v>
      </c>
      <c r="CA132" s="2">
        <v>51</v>
      </c>
      <c r="CB132" s="2" t="s">
        <v>3</v>
      </c>
      <c r="CC132" s="2"/>
      <c r="CD132" s="2"/>
      <c r="CE132" s="2">
        <v>1566</v>
      </c>
      <c r="CF132" s="2">
        <v>0</v>
      </c>
      <c r="CG132" s="2">
        <v>0</v>
      </c>
      <c r="CH132" s="2"/>
      <c r="CI132" s="2"/>
      <c r="CJ132" s="2"/>
      <c r="CK132" s="2"/>
      <c r="CL132" s="2"/>
      <c r="CM132" s="2">
        <v>0</v>
      </c>
      <c r="CN132" s="2" t="s">
        <v>678</v>
      </c>
      <c r="CO132" s="2">
        <v>0</v>
      </c>
      <c r="CP132" s="2">
        <f t="shared" si="159"/>
        <v>220.16000000000003</v>
      </c>
      <c r="CQ132" s="2">
        <f t="shared" si="147"/>
        <v>287.54000000000002</v>
      </c>
      <c r="CR132" s="2">
        <f>(ROUND((ROUND(((((ET132*1.25)*1.2))*AV132*1),2)*BB132),2)+ROUND((ROUND(((AE132-(((EU132*1.25)*1.2)))*AV132*1),2)*BS132),2))</f>
        <v>3.11</v>
      </c>
      <c r="CS132" s="2">
        <f>(ROUND((ROUND(((((EU132*1.25)*1.2))*AV132*1),2)*BS132),2)+ROUND((ROUND(((AE132-(((EU132*1.25)*1.2)))*AV132*1),2)*BS132),2))</f>
        <v>0.39</v>
      </c>
      <c r="CT132" s="2">
        <f t="shared" si="160"/>
        <v>49.08</v>
      </c>
      <c r="CU132" s="2">
        <f t="shared" si="161"/>
        <v>0</v>
      </c>
      <c r="CV132" s="2">
        <f t="shared" si="162"/>
        <v>3.0775517999999993</v>
      </c>
      <c r="CW132" s="2">
        <f t="shared" si="163"/>
        <v>0</v>
      </c>
      <c r="CX132" s="2">
        <f t="shared" si="164"/>
        <v>0</v>
      </c>
      <c r="CY132" s="2">
        <f>(ROUND((((S132+ROUND((ROUND(((((EU132*1.25)*1.2))*AV132*1),2)*BS132),2))*AT132)/100),2)+ROUND(((ROUND((ROUND(((AE132-(((EU132*1.25)*1.2)))*AV132*1),2)*BS132),2)*AT132)/100),2))</f>
        <v>30.27</v>
      </c>
      <c r="CZ132" s="2">
        <f>(ROUND((((S132+ROUND((ROUND(((((EU132*1.25)*1.2))*AV132*1),2)*BS132),2))*AU132)/100),2)+ROUND(((ROUND((ROUND(((AE132-(((EU132*1.25)*1.2)))*AV132*1),2)*BS132),2)*AU132)/100),2))</f>
        <v>16.420000000000002</v>
      </c>
      <c r="DA132" s="2"/>
      <c r="DB132" s="2">
        <v>55</v>
      </c>
      <c r="DC132" s="2" t="s">
        <v>3</v>
      </c>
      <c r="DD132" s="2" t="s">
        <v>77</v>
      </c>
      <c r="DE132" s="2" t="s">
        <v>78</v>
      </c>
      <c r="DF132" s="2" t="s">
        <v>78</v>
      </c>
      <c r="DG132" s="2" t="s">
        <v>79</v>
      </c>
      <c r="DH132" s="2" t="s">
        <v>3</v>
      </c>
      <c r="DI132" s="2" t="s">
        <v>79</v>
      </c>
      <c r="DJ132" s="2" t="s">
        <v>78</v>
      </c>
      <c r="DK132" s="2" t="s">
        <v>3</v>
      </c>
      <c r="DL132" s="2" t="s">
        <v>3</v>
      </c>
      <c r="DM132" s="2" t="s">
        <v>3</v>
      </c>
      <c r="DN132" s="2">
        <v>0</v>
      </c>
      <c r="DO132" s="2">
        <v>0</v>
      </c>
      <c r="DP132" s="2">
        <v>1</v>
      </c>
      <c r="DQ132" s="2">
        <v>1</v>
      </c>
      <c r="DR132" s="2"/>
      <c r="DS132" s="2"/>
      <c r="DT132" s="2"/>
      <c r="DU132" s="2">
        <v>1005</v>
      </c>
      <c r="DV132" s="2" t="s">
        <v>256</v>
      </c>
      <c r="DW132" s="2" t="s">
        <v>256</v>
      </c>
      <c r="DX132" s="2">
        <v>100</v>
      </c>
      <c r="DY132" s="2"/>
      <c r="DZ132" s="2" t="s">
        <v>3</v>
      </c>
      <c r="EA132" s="2" t="s">
        <v>3</v>
      </c>
      <c r="EB132" s="2" t="s">
        <v>3</v>
      </c>
      <c r="EC132" s="2" t="s">
        <v>3</v>
      </c>
      <c r="ED132" s="2"/>
      <c r="EE132" s="2">
        <v>85133409</v>
      </c>
      <c r="EF132" s="2">
        <v>30</v>
      </c>
      <c r="EG132" s="2" t="s">
        <v>49</v>
      </c>
      <c r="EH132" s="2">
        <v>0</v>
      </c>
      <c r="EI132" s="2" t="s">
        <v>3</v>
      </c>
      <c r="EJ132" s="2">
        <v>1</v>
      </c>
      <c r="EK132" s="2">
        <v>59</v>
      </c>
      <c r="EL132" s="2" t="s">
        <v>261</v>
      </c>
      <c r="EM132" s="2" t="s">
        <v>262</v>
      </c>
      <c r="EN132" s="2"/>
      <c r="EO132" s="2" t="s">
        <v>80</v>
      </c>
      <c r="EP132" s="2"/>
      <c r="EQ132" s="2">
        <v>0</v>
      </c>
      <c r="ER132" s="2">
        <v>323.49</v>
      </c>
      <c r="ES132" s="2">
        <v>287.54000000000002</v>
      </c>
      <c r="ET132" s="2">
        <v>1.98</v>
      </c>
      <c r="EU132" s="2">
        <v>0.25</v>
      </c>
      <c r="EV132" s="2">
        <v>33.97</v>
      </c>
      <c r="EW132" s="2">
        <v>2.13</v>
      </c>
      <c r="EX132" s="2">
        <v>0</v>
      </c>
      <c r="EY132" s="2">
        <v>0</v>
      </c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>
        <v>0</v>
      </c>
      <c r="FR132" s="2">
        <v>0</v>
      </c>
      <c r="FS132" s="2">
        <v>0</v>
      </c>
      <c r="FT132" s="2"/>
      <c r="FU132" s="2"/>
      <c r="FV132" s="2"/>
      <c r="FW132" s="2"/>
      <c r="FX132" s="2">
        <v>94</v>
      </c>
      <c r="FY132" s="2">
        <v>51</v>
      </c>
      <c r="FZ132" s="2"/>
      <c r="GA132" s="2" t="s">
        <v>3</v>
      </c>
      <c r="GB132" s="2"/>
      <c r="GC132" s="2"/>
      <c r="GD132" s="2">
        <v>1</v>
      </c>
      <c r="GE132" s="2"/>
      <c r="GF132" s="2">
        <v>-1685271516</v>
      </c>
      <c r="GG132" s="2">
        <v>2</v>
      </c>
      <c r="GH132" s="2">
        <v>1</v>
      </c>
      <c r="GI132" s="2">
        <v>2</v>
      </c>
      <c r="GJ132" s="2">
        <v>0</v>
      </c>
      <c r="GK132" s="2">
        <v>0</v>
      </c>
      <c r="GL132" s="2">
        <f t="shared" si="165"/>
        <v>0</v>
      </c>
      <c r="GM132" s="2">
        <f t="shared" si="166"/>
        <v>266.64999999999998</v>
      </c>
      <c r="GN132" s="2">
        <f t="shared" si="167"/>
        <v>266.64999999999998</v>
      </c>
      <c r="GO132" s="2">
        <f t="shared" si="168"/>
        <v>0</v>
      </c>
      <c r="GP132" s="2">
        <f t="shared" si="169"/>
        <v>0</v>
      </c>
      <c r="GQ132" s="2"/>
      <c r="GR132" s="2">
        <v>0</v>
      </c>
      <c r="GS132" s="2">
        <v>3</v>
      </c>
      <c r="GT132" s="2">
        <v>0</v>
      </c>
      <c r="GU132" s="2" t="s">
        <v>3</v>
      </c>
      <c r="GV132" s="2">
        <f t="shared" si="170"/>
        <v>0</v>
      </c>
      <c r="GW132" s="2">
        <v>1</v>
      </c>
      <c r="GX132" s="2">
        <f t="shared" si="171"/>
        <v>0</v>
      </c>
      <c r="GY132" s="2"/>
      <c r="GZ132" s="2"/>
      <c r="HA132" s="2">
        <v>0</v>
      </c>
      <c r="HB132" s="2">
        <v>0</v>
      </c>
      <c r="HC132" s="2">
        <f t="shared" si="172"/>
        <v>0</v>
      </c>
      <c r="HD132" s="2"/>
      <c r="HE132" s="2" t="s">
        <v>3</v>
      </c>
      <c r="HF132" s="2" t="s">
        <v>3</v>
      </c>
      <c r="HG132" s="2"/>
      <c r="HH132" s="2"/>
      <c r="HI132" s="2"/>
      <c r="HJ132" s="2"/>
      <c r="HK132" s="2"/>
      <c r="HL132" s="2"/>
      <c r="HM132" s="2" t="s">
        <v>3</v>
      </c>
      <c r="HN132" s="2" t="s">
        <v>3</v>
      </c>
      <c r="HO132" s="2" t="s">
        <v>3</v>
      </c>
      <c r="HP132" s="2" t="s">
        <v>3</v>
      </c>
      <c r="HQ132" s="2" t="s">
        <v>3</v>
      </c>
      <c r="HR132" s="2"/>
      <c r="HS132" s="2">
        <v>0</v>
      </c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>
        <v>0</v>
      </c>
      <c r="IL132" s="2"/>
      <c r="IM132" s="2"/>
      <c r="IN132" s="2"/>
      <c r="IO132" s="2"/>
      <c r="IP132" s="2"/>
      <c r="IQ132" s="2"/>
      <c r="IR132" s="2"/>
      <c r="IS132" s="2"/>
      <c r="IT132" s="2"/>
      <c r="IU132" s="2"/>
    </row>
    <row r="133" spans="1:255" x14ac:dyDescent="0.2">
      <c r="A133" s="3">
        <v>17</v>
      </c>
      <c r="B133" s="3">
        <v>1</v>
      </c>
      <c r="C133" s="3">
        <f>ROW(SmtRes!A362)</f>
        <v>362</v>
      </c>
      <c r="D133" s="3">
        <f>ROW(EtalonRes!A378)</f>
        <v>378</v>
      </c>
      <c r="E133" s="3" t="s">
        <v>268</v>
      </c>
      <c r="F133" s="3" t="s">
        <v>269</v>
      </c>
      <c r="G133" s="3" t="s">
        <v>270</v>
      </c>
      <c r="H133" s="3" t="s">
        <v>256</v>
      </c>
      <c r="I133" s="3">
        <f>ROUND((64.8)/100,9)</f>
        <v>0.64800000000000002</v>
      </c>
      <c r="J133" s="3">
        <v>0</v>
      </c>
      <c r="K133" s="3">
        <f>ROUND((64.8)/100,9)</f>
        <v>0.64800000000000002</v>
      </c>
      <c r="O133" s="3">
        <f t="shared" si="148"/>
        <v>2468.7399999999998</v>
      </c>
      <c r="P133" s="3">
        <f t="shared" si="146"/>
        <v>642.84</v>
      </c>
      <c r="Q133" s="3">
        <f>(ROUND((ROUND(((((ET133*1.25)*1.2))*AV133*I133),2)*BB133),2)+ROUND((ROUND(((AE133-(((EU133*1.25)*1.2)))*AV133*I133),2)*BS133),2))</f>
        <v>33.409999999999997</v>
      </c>
      <c r="R133" s="3">
        <f>(ROUND((ROUND(((((EU133*1.25)*1.2))*AV133*I133),2)*BS133),2)+ROUND((ROUND(((AE133-(((EU133*1.25)*1.2)))*AV133*I133),2)*BS133),2))</f>
        <v>14.09</v>
      </c>
      <c r="S133" s="3">
        <f t="shared" si="149"/>
        <v>1792.49</v>
      </c>
      <c r="T133" s="3">
        <f t="shared" si="150"/>
        <v>0</v>
      </c>
      <c r="U133" s="3">
        <f t="shared" si="151"/>
        <v>1.9942535663999996</v>
      </c>
      <c r="V133" s="3">
        <f t="shared" si="152"/>
        <v>0</v>
      </c>
      <c r="W133" s="3">
        <f t="shared" si="153"/>
        <v>0</v>
      </c>
      <c r="X133" s="3">
        <f>(ROUND((((S133+ROUND((ROUND(((((EU133*1.25)*1.2))*AV133*I133),2)*BS133),2))*AT133)/100),2)+ROUND(((ROUND((ROUND(((AE133-(((EU133*1.25)*1.2)))*AV133*I133),2)*BS133),2)*AT133)/100),2))</f>
        <v>1698.19</v>
      </c>
      <c r="Y133" s="3">
        <f>(ROUND((((S133+ROUND((ROUND(((((EU133*1.25)*1.2))*AV133*I133),2)*BS133),2))*AU133)/100),2)+ROUND(((ROUND((ROUND(((AE133-(((EU133*1.25)*1.2)))*AV133*I133),2)*BS133),2)*AU133)/100),2))</f>
        <v>921.36</v>
      </c>
      <c r="AA133" s="3">
        <v>85739207</v>
      </c>
      <c r="AB133" s="3">
        <f t="shared" si="154"/>
        <v>337.3886</v>
      </c>
      <c r="AC133" s="3">
        <f>ROUND((((ES133*1)*1)),6)</f>
        <v>287.54000000000002</v>
      </c>
      <c r="AD133" s="3">
        <f>ROUND((((((ET133*1.25)*1.2))-(((EU133*1.25)*1.2)))+AE133),6)</f>
        <v>2.97</v>
      </c>
      <c r="AE133" s="3">
        <f>ROUND((((EU133*1.25)*1.2)),6)</f>
        <v>0.375</v>
      </c>
      <c r="AF133" s="3">
        <f>ROUND((((EV133*1.15)*1.2)),6)</f>
        <v>46.878599999999999</v>
      </c>
      <c r="AG133" s="3">
        <f t="shared" si="156"/>
        <v>0</v>
      </c>
      <c r="AH133" s="3">
        <f>(((EW133*1.15)*1.2))</f>
        <v>2.9393999999999996</v>
      </c>
      <c r="AI133" s="3">
        <f>(((EX133*1.25)*1.2))</f>
        <v>0</v>
      </c>
      <c r="AJ133" s="3">
        <f t="shared" si="158"/>
        <v>0</v>
      </c>
      <c r="AK133" s="3">
        <v>323.49</v>
      </c>
      <c r="AL133" s="3">
        <v>287.54000000000002</v>
      </c>
      <c r="AM133" s="3">
        <v>1.98</v>
      </c>
      <c r="AN133" s="3">
        <v>0.25</v>
      </c>
      <c r="AO133" s="3">
        <v>33.97</v>
      </c>
      <c r="AP133" s="3">
        <v>0</v>
      </c>
      <c r="AQ133" s="3">
        <v>2.13</v>
      </c>
      <c r="AR133" s="3">
        <v>0</v>
      </c>
      <c r="AS133" s="3">
        <v>0</v>
      </c>
      <c r="AT133" s="3">
        <v>94</v>
      </c>
      <c r="AU133" s="3">
        <v>51</v>
      </c>
      <c r="AV133" s="3">
        <v>1.0469999999999999</v>
      </c>
      <c r="AW133" s="3">
        <v>1</v>
      </c>
      <c r="AZ133" s="3">
        <v>1</v>
      </c>
      <c r="BA133" s="3">
        <v>56.35</v>
      </c>
      <c r="BB133" s="3">
        <v>16.54</v>
      </c>
      <c r="BC133" s="3">
        <v>3.45</v>
      </c>
      <c r="BD133" s="3" t="s">
        <v>3</v>
      </c>
      <c r="BE133" s="3" t="s">
        <v>3</v>
      </c>
      <c r="BF133" s="3" t="s">
        <v>3</v>
      </c>
      <c r="BG133" s="3" t="s">
        <v>3</v>
      </c>
      <c r="BH133" s="3">
        <v>0</v>
      </c>
      <c r="BI133" s="3">
        <v>1</v>
      </c>
      <c r="BJ133" s="3" t="s">
        <v>271</v>
      </c>
      <c r="BM133" s="3">
        <v>59</v>
      </c>
      <c r="BN133" s="3">
        <v>0</v>
      </c>
      <c r="BO133" s="3" t="s">
        <v>269</v>
      </c>
      <c r="BP133" s="3">
        <v>1</v>
      </c>
      <c r="BQ133" s="3">
        <v>30</v>
      </c>
      <c r="BR133" s="3">
        <v>0</v>
      </c>
      <c r="BS133" s="3">
        <v>56.35</v>
      </c>
      <c r="BT133" s="3">
        <v>1</v>
      </c>
      <c r="BU133" s="3">
        <v>1</v>
      </c>
      <c r="BV133" s="3">
        <v>1</v>
      </c>
      <c r="BW133" s="3">
        <v>1</v>
      </c>
      <c r="BX133" s="3">
        <v>1</v>
      </c>
      <c r="BY133" s="3" t="s">
        <v>3</v>
      </c>
      <c r="BZ133" s="3">
        <v>94</v>
      </c>
      <c r="CA133" s="3">
        <v>51</v>
      </c>
      <c r="CB133" s="3" t="s">
        <v>3</v>
      </c>
      <c r="CE133" s="3">
        <v>1566</v>
      </c>
      <c r="CF133" s="3">
        <v>0</v>
      </c>
      <c r="CG133" s="3">
        <v>0</v>
      </c>
      <c r="CM133" s="3">
        <v>0</v>
      </c>
      <c r="CN133" s="3" t="s">
        <v>678</v>
      </c>
      <c r="CO133" s="3">
        <v>0</v>
      </c>
      <c r="CP133" s="3">
        <f t="shared" si="159"/>
        <v>2468.7399999999998</v>
      </c>
      <c r="CQ133" s="3">
        <f t="shared" si="147"/>
        <v>992.01</v>
      </c>
      <c r="CR133" s="3">
        <f>(ROUND((ROUND(((((ET133*1.25)*1.2))*AV133*1),2)*BB133),2)+ROUND((ROUND(((AE133-(((EU133*1.25)*1.2)))*AV133*1),2)*BS133),2))</f>
        <v>51.44</v>
      </c>
      <c r="CS133" s="3">
        <f>(ROUND((ROUND(((((EU133*1.25)*1.2))*AV133*1),2)*BS133),2)+ROUND((ROUND(((AE133-(((EU133*1.25)*1.2)))*AV133*1),2)*BS133),2))</f>
        <v>21.98</v>
      </c>
      <c r="CT133" s="3">
        <f t="shared" si="160"/>
        <v>2765.66</v>
      </c>
      <c r="CU133" s="3">
        <f t="shared" si="161"/>
        <v>0</v>
      </c>
      <c r="CV133" s="3">
        <f t="shared" si="162"/>
        <v>3.0775517999999993</v>
      </c>
      <c r="CW133" s="3">
        <f t="shared" si="163"/>
        <v>0</v>
      </c>
      <c r="CX133" s="3">
        <f t="shared" si="164"/>
        <v>0</v>
      </c>
      <c r="CY133" s="3">
        <f>(ROUND((((S133+ROUND((ROUND(((((EU133*1.25)*1.2))*AV133*1),2)*BS133),2))*AT133)/100),2)+ROUND(((ROUND((ROUND(((AE133-(((EU133*1.25)*1.2)))*AV133*1),2)*BS133),2)*AT133)/100),2))</f>
        <v>1705.6</v>
      </c>
      <c r="CZ133" s="3">
        <f>(ROUND((((S133+ROUND((ROUND(((((EU133*1.25)*1.2))*AV133*1),2)*BS133),2))*AU133)/100),2)+ROUND(((ROUND((ROUND(((AE133-(((EU133*1.25)*1.2)))*AV133*1),2)*BS133),2)*AU133)/100),2))</f>
        <v>925.38</v>
      </c>
      <c r="DB133" s="3">
        <v>57</v>
      </c>
      <c r="DC133" s="3" t="s">
        <v>3</v>
      </c>
      <c r="DD133" s="3" t="s">
        <v>77</v>
      </c>
      <c r="DE133" s="3" t="s">
        <v>78</v>
      </c>
      <c r="DF133" s="3" t="s">
        <v>78</v>
      </c>
      <c r="DG133" s="3" t="s">
        <v>79</v>
      </c>
      <c r="DH133" s="3" t="s">
        <v>3</v>
      </c>
      <c r="DI133" s="3" t="s">
        <v>79</v>
      </c>
      <c r="DJ133" s="3" t="s">
        <v>78</v>
      </c>
      <c r="DK133" s="3" t="s">
        <v>3</v>
      </c>
      <c r="DL133" s="3" t="s">
        <v>3</v>
      </c>
      <c r="DM133" s="3" t="s">
        <v>3</v>
      </c>
      <c r="DN133" s="3">
        <v>0</v>
      </c>
      <c r="DO133" s="3">
        <v>0</v>
      </c>
      <c r="DP133" s="3">
        <v>1</v>
      </c>
      <c r="DQ133" s="3">
        <v>1</v>
      </c>
      <c r="DU133" s="3">
        <v>1005</v>
      </c>
      <c r="DV133" s="3" t="s">
        <v>256</v>
      </c>
      <c r="DW133" s="3" t="s">
        <v>256</v>
      </c>
      <c r="DX133" s="3">
        <v>100</v>
      </c>
      <c r="DZ133" s="3" t="s">
        <v>3</v>
      </c>
      <c r="EA133" s="3" t="s">
        <v>3</v>
      </c>
      <c r="EB133" s="3" t="s">
        <v>3</v>
      </c>
      <c r="EC133" s="3" t="s">
        <v>3</v>
      </c>
      <c r="EE133" s="3">
        <v>85133409</v>
      </c>
      <c r="EF133" s="3">
        <v>30</v>
      </c>
      <c r="EG133" s="3" t="s">
        <v>49</v>
      </c>
      <c r="EH133" s="3">
        <v>0</v>
      </c>
      <c r="EI133" s="3" t="s">
        <v>3</v>
      </c>
      <c r="EJ133" s="3">
        <v>1</v>
      </c>
      <c r="EK133" s="3">
        <v>59</v>
      </c>
      <c r="EL133" s="3" t="s">
        <v>261</v>
      </c>
      <c r="EM133" s="3" t="s">
        <v>262</v>
      </c>
      <c r="EO133" s="3" t="s">
        <v>80</v>
      </c>
      <c r="EQ133" s="3">
        <v>0</v>
      </c>
      <c r="ER133" s="3">
        <v>323.49</v>
      </c>
      <c r="ES133" s="3">
        <v>287.54000000000002</v>
      </c>
      <c r="ET133" s="3">
        <v>1.98</v>
      </c>
      <c r="EU133" s="3">
        <v>0.25</v>
      </c>
      <c r="EV133" s="3">
        <v>33.97</v>
      </c>
      <c r="EW133" s="3">
        <v>2.13</v>
      </c>
      <c r="EX133" s="3">
        <v>0</v>
      </c>
      <c r="EY133" s="3">
        <v>0</v>
      </c>
      <c r="FQ133" s="3">
        <v>0</v>
      </c>
      <c r="FR133" s="3">
        <v>0</v>
      </c>
      <c r="FS133" s="3">
        <v>0</v>
      </c>
      <c r="FX133" s="3">
        <v>94</v>
      </c>
      <c r="FY133" s="3">
        <v>51</v>
      </c>
      <c r="GA133" s="3" t="s">
        <v>3</v>
      </c>
      <c r="GD133" s="3">
        <v>1</v>
      </c>
      <c r="GF133" s="3">
        <v>-1685271516</v>
      </c>
      <c r="GG133" s="3">
        <v>2</v>
      </c>
      <c r="GH133" s="3">
        <v>1</v>
      </c>
      <c r="GI133" s="3">
        <v>2</v>
      </c>
      <c r="GJ133" s="3">
        <v>0</v>
      </c>
      <c r="GK133" s="3">
        <v>0</v>
      </c>
      <c r="GL133" s="3">
        <f t="shared" si="165"/>
        <v>0</v>
      </c>
      <c r="GM133" s="3">
        <f t="shared" si="166"/>
        <v>5088.29</v>
      </c>
      <c r="GN133" s="3">
        <f t="shared" si="167"/>
        <v>5088.29</v>
      </c>
      <c r="GO133" s="3">
        <f t="shared" si="168"/>
        <v>0</v>
      </c>
      <c r="GP133" s="3">
        <f t="shared" si="169"/>
        <v>0</v>
      </c>
      <c r="GR133" s="3">
        <v>0</v>
      </c>
      <c r="GS133" s="3">
        <v>3</v>
      </c>
      <c r="GT133" s="3">
        <v>0</v>
      </c>
      <c r="GU133" s="3" t="s">
        <v>3</v>
      </c>
      <c r="GV133" s="3">
        <f t="shared" si="170"/>
        <v>0</v>
      </c>
      <c r="GW133" s="3">
        <v>1</v>
      </c>
      <c r="GX133" s="3">
        <f t="shared" si="171"/>
        <v>0</v>
      </c>
      <c r="HA133" s="3">
        <v>0</v>
      </c>
      <c r="HB133" s="3">
        <v>0</v>
      </c>
      <c r="HC133" s="3">
        <f t="shared" si="172"/>
        <v>0</v>
      </c>
      <c r="HE133" s="3" t="s">
        <v>3</v>
      </c>
      <c r="HF133" s="3" t="s">
        <v>3</v>
      </c>
      <c r="HM133" s="3" t="s">
        <v>3</v>
      </c>
      <c r="HN133" s="3" t="s">
        <v>3</v>
      </c>
      <c r="HO133" s="3" t="s">
        <v>3</v>
      </c>
      <c r="HP133" s="3" t="s">
        <v>3</v>
      </c>
      <c r="HQ133" s="3" t="s">
        <v>3</v>
      </c>
      <c r="HS133" s="3">
        <v>0</v>
      </c>
      <c r="IK133" s="3">
        <v>0</v>
      </c>
    </row>
    <row r="134" spans="1:255" x14ac:dyDescent="0.2">
      <c r="A134" s="2">
        <v>17</v>
      </c>
      <c r="B134" s="2">
        <v>1</v>
      </c>
      <c r="C134" s="2">
        <f>ROW(SmtRes!A369)</f>
        <v>369</v>
      </c>
      <c r="D134" s="2">
        <f>ROW(EtalonRes!A385)</f>
        <v>385</v>
      </c>
      <c r="E134" s="2" t="s">
        <v>272</v>
      </c>
      <c r="F134" s="2" t="s">
        <v>273</v>
      </c>
      <c r="G134" s="2" t="s">
        <v>274</v>
      </c>
      <c r="H134" s="2" t="s">
        <v>23</v>
      </c>
      <c r="I134" s="2">
        <f>ROUND(1,9)</f>
        <v>1</v>
      </c>
      <c r="J134" s="2">
        <v>0</v>
      </c>
      <c r="K134" s="2">
        <f>ROUND(1,9)</f>
        <v>1</v>
      </c>
      <c r="L134" s="2"/>
      <c r="M134" s="2"/>
      <c r="N134" s="2"/>
      <c r="O134" s="2">
        <f t="shared" si="148"/>
        <v>156.83000000000001</v>
      </c>
      <c r="P134" s="2">
        <f t="shared" si="146"/>
        <v>4.45</v>
      </c>
      <c r="Q134" s="2">
        <f>(ROUND((ROUND((((ET134*1.2))*AV134*I134),2)*BB134),2)+ROUND((ROUND(((AE134-((EU134*1.2)))*AV134*I134),2)*BS134),2))</f>
        <v>15.03</v>
      </c>
      <c r="R134" s="2">
        <f>(ROUND((ROUND((((EU134*1.2))*AV134*I134),2)*BS134),2)+ROUND((ROUND(((AE134-((EU134*1.2)))*AV134*I134),2)*BS134),2))</f>
        <v>0.49</v>
      </c>
      <c r="S134" s="2">
        <f t="shared" si="149"/>
        <v>137.35</v>
      </c>
      <c r="T134" s="2">
        <f t="shared" si="150"/>
        <v>0</v>
      </c>
      <c r="U134" s="2">
        <f t="shared" si="151"/>
        <v>10.883399999999998</v>
      </c>
      <c r="V134" s="2">
        <f t="shared" si="152"/>
        <v>0</v>
      </c>
      <c r="W134" s="2">
        <f t="shared" si="153"/>
        <v>0</v>
      </c>
      <c r="X134" s="2">
        <f>(ROUND((((S134+ROUND((ROUND((((EU134*1.2))*AV134*I134),2)*BS134),2))*AT134)/100),2)+ROUND(((ROUND((ROUND(((AE134-((EU134*1.2)))*AV134*I134),2)*BS134),2)*AT134)/100),2))</f>
        <v>124.06</v>
      </c>
      <c r="Y134" s="2">
        <f>(ROUND((((S134+ROUND((ROUND((((EU134*1.2))*AV134*I134),2)*BS134),2))*AU134)/100),2)+ROUND(((ROUND((ROUND(((AE134-((EU134*1.2)))*AV134*I134),2)*BS134),2)*AU134)/100),2))</f>
        <v>63.41</v>
      </c>
      <c r="Z134" s="2"/>
      <c r="AA134" s="2">
        <v>85739205</v>
      </c>
      <c r="AB134" s="2">
        <f t="shared" si="154"/>
        <v>147.142</v>
      </c>
      <c r="AC134" s="2">
        <f>ROUND(((ES134*1)),6)</f>
        <v>4.33</v>
      </c>
      <c r="AD134" s="2">
        <f>ROUND(((((ET134*1.2))-((EU134*1.2)))+AE134),6)</f>
        <v>14.087999999999999</v>
      </c>
      <c r="AE134" s="2">
        <f>ROUND(((EU134*1.2)),6)</f>
        <v>0.45600000000000002</v>
      </c>
      <c r="AF134" s="2">
        <f>ROUND(((EV134*1.2)),6)</f>
        <v>128.72399999999999</v>
      </c>
      <c r="AG134" s="2">
        <f t="shared" si="156"/>
        <v>0</v>
      </c>
      <c r="AH134" s="2">
        <f>((EW134*1.2))</f>
        <v>10.199999999999999</v>
      </c>
      <c r="AI134" s="2">
        <f>((EX134*1.2))</f>
        <v>0</v>
      </c>
      <c r="AJ134" s="2">
        <f t="shared" si="158"/>
        <v>0</v>
      </c>
      <c r="AK134" s="2">
        <v>123.34</v>
      </c>
      <c r="AL134" s="2">
        <v>4.33</v>
      </c>
      <c r="AM134" s="2">
        <v>11.74</v>
      </c>
      <c r="AN134" s="2">
        <v>0.38</v>
      </c>
      <c r="AO134" s="2">
        <v>107.27</v>
      </c>
      <c r="AP134" s="2">
        <v>0</v>
      </c>
      <c r="AQ134" s="2">
        <v>8.5</v>
      </c>
      <c r="AR134" s="2">
        <v>0</v>
      </c>
      <c r="AS134" s="2">
        <v>0</v>
      </c>
      <c r="AT134" s="2">
        <v>90</v>
      </c>
      <c r="AU134" s="2">
        <v>46</v>
      </c>
      <c r="AV134" s="2">
        <v>1.0669999999999999</v>
      </c>
      <c r="AW134" s="2">
        <v>1.028</v>
      </c>
      <c r="AX134" s="2"/>
      <c r="AY134" s="2"/>
      <c r="AZ134" s="2">
        <v>1</v>
      </c>
      <c r="BA134" s="2">
        <v>1</v>
      </c>
      <c r="BB134" s="2">
        <v>1</v>
      </c>
      <c r="BC134" s="2">
        <v>1</v>
      </c>
      <c r="BD134" s="2" t="s">
        <v>3</v>
      </c>
      <c r="BE134" s="2" t="s">
        <v>3</v>
      </c>
      <c r="BF134" s="2" t="s">
        <v>3</v>
      </c>
      <c r="BG134" s="2" t="s">
        <v>3</v>
      </c>
      <c r="BH134" s="2">
        <v>0</v>
      </c>
      <c r="BI134" s="2">
        <v>2</v>
      </c>
      <c r="BJ134" s="2" t="s">
        <v>275</v>
      </c>
      <c r="BK134" s="2"/>
      <c r="BL134" s="2"/>
      <c r="BM134" s="2">
        <v>73</v>
      </c>
      <c r="BN134" s="2">
        <v>0</v>
      </c>
      <c r="BO134" s="2" t="s">
        <v>273</v>
      </c>
      <c r="BP134" s="2">
        <v>1</v>
      </c>
      <c r="BQ134" s="2">
        <v>40</v>
      </c>
      <c r="BR134" s="2">
        <v>0</v>
      </c>
      <c r="BS134" s="2">
        <v>1</v>
      </c>
      <c r="BT134" s="2">
        <v>1</v>
      </c>
      <c r="BU134" s="2">
        <v>1</v>
      </c>
      <c r="BV134" s="2">
        <v>1</v>
      </c>
      <c r="BW134" s="2">
        <v>1</v>
      </c>
      <c r="BX134" s="2">
        <v>1</v>
      </c>
      <c r="BY134" s="2" t="s">
        <v>3</v>
      </c>
      <c r="BZ134" s="2">
        <v>90</v>
      </c>
      <c r="CA134" s="2">
        <v>46</v>
      </c>
      <c r="CB134" s="2" t="s">
        <v>3</v>
      </c>
      <c r="CC134" s="2"/>
      <c r="CD134" s="2"/>
      <c r="CE134" s="2">
        <v>1566</v>
      </c>
      <c r="CF134" s="2">
        <v>0</v>
      </c>
      <c r="CG134" s="2">
        <v>0</v>
      </c>
      <c r="CH134" s="2"/>
      <c r="CI134" s="2"/>
      <c r="CJ134" s="2"/>
      <c r="CK134" s="2"/>
      <c r="CL134" s="2"/>
      <c r="CM134" s="2">
        <v>0</v>
      </c>
      <c r="CN134" s="2" t="s">
        <v>677</v>
      </c>
      <c r="CO134" s="2">
        <v>0</v>
      </c>
      <c r="CP134" s="2">
        <f t="shared" si="159"/>
        <v>156.82999999999998</v>
      </c>
      <c r="CQ134" s="2">
        <f t="shared" si="147"/>
        <v>4.45</v>
      </c>
      <c r="CR134" s="2">
        <f>(ROUND((ROUND((((ET134*1.2))*AV134*1),2)*BB134),2)+ROUND((ROUND(((AE134-((EU134*1.2)))*AV134*1),2)*BS134),2))</f>
        <v>15.03</v>
      </c>
      <c r="CS134" s="2">
        <f>(ROUND((ROUND((((EU134*1.2))*AV134*1),2)*BS134),2)+ROUND((ROUND(((AE134-((EU134*1.2)))*AV134*1),2)*BS134),2))</f>
        <v>0.49</v>
      </c>
      <c r="CT134" s="2">
        <f t="shared" si="160"/>
        <v>137.35</v>
      </c>
      <c r="CU134" s="2">
        <f t="shared" si="161"/>
        <v>0</v>
      </c>
      <c r="CV134" s="2">
        <f t="shared" si="162"/>
        <v>10.883399999999998</v>
      </c>
      <c r="CW134" s="2">
        <f t="shared" si="163"/>
        <v>0</v>
      </c>
      <c r="CX134" s="2">
        <f t="shared" si="164"/>
        <v>0</v>
      </c>
      <c r="CY134" s="2">
        <f>(ROUND((((S134+ROUND((ROUND((((EU134*1.2))*AV134*1),2)*BS134),2))*AT134)/100),2)+ROUND(((ROUND((ROUND(((AE134-((EU134*1.2)))*AV134*1),2)*BS134),2)*AT134)/100),2))</f>
        <v>124.06</v>
      </c>
      <c r="CZ134" s="2">
        <f>(ROUND((((S134+ROUND((ROUND((((EU134*1.2))*AV134*1),2)*BS134),2))*AU134)/100),2)+ROUND(((ROUND((ROUND(((AE134-((EU134*1.2)))*AV134*1),2)*BS134),2)*AU134)/100),2))</f>
        <v>63.41</v>
      </c>
      <c r="DA134" s="2"/>
      <c r="DB134" s="2">
        <v>59</v>
      </c>
      <c r="DC134" s="2" t="s">
        <v>3</v>
      </c>
      <c r="DD134" s="2" t="s">
        <v>35</v>
      </c>
      <c r="DE134" s="2" t="s">
        <v>36</v>
      </c>
      <c r="DF134" s="2" t="s">
        <v>36</v>
      </c>
      <c r="DG134" s="2" t="s">
        <v>36</v>
      </c>
      <c r="DH134" s="2" t="s">
        <v>3</v>
      </c>
      <c r="DI134" s="2" t="s">
        <v>36</v>
      </c>
      <c r="DJ134" s="2" t="s">
        <v>36</v>
      </c>
      <c r="DK134" s="2" t="s">
        <v>3</v>
      </c>
      <c r="DL134" s="2" t="s">
        <v>3</v>
      </c>
      <c r="DM134" s="2" t="s">
        <v>3</v>
      </c>
      <c r="DN134" s="2">
        <v>0</v>
      </c>
      <c r="DO134" s="2">
        <v>0</v>
      </c>
      <c r="DP134" s="2">
        <v>1</v>
      </c>
      <c r="DQ134" s="2">
        <v>1</v>
      </c>
      <c r="DR134" s="2"/>
      <c r="DS134" s="2"/>
      <c r="DT134" s="2"/>
      <c r="DU134" s="2">
        <v>1013</v>
      </c>
      <c r="DV134" s="2" t="s">
        <v>23</v>
      </c>
      <c r="DW134" s="2" t="s">
        <v>23</v>
      </c>
      <c r="DX134" s="2">
        <v>1</v>
      </c>
      <c r="DY134" s="2"/>
      <c r="DZ134" s="2" t="s">
        <v>3</v>
      </c>
      <c r="EA134" s="2" t="s">
        <v>3</v>
      </c>
      <c r="EB134" s="2" t="s">
        <v>3</v>
      </c>
      <c r="EC134" s="2" t="s">
        <v>3</v>
      </c>
      <c r="ED134" s="2"/>
      <c r="EE134" s="2">
        <v>85133422</v>
      </c>
      <c r="EF134" s="2">
        <v>40</v>
      </c>
      <c r="EG134" s="2" t="s">
        <v>27</v>
      </c>
      <c r="EH134" s="2">
        <v>0</v>
      </c>
      <c r="EI134" s="2" t="s">
        <v>3</v>
      </c>
      <c r="EJ134" s="2">
        <v>2</v>
      </c>
      <c r="EK134" s="2">
        <v>73</v>
      </c>
      <c r="EL134" s="2" t="s">
        <v>62</v>
      </c>
      <c r="EM134" s="2" t="s">
        <v>63</v>
      </c>
      <c r="EN134" s="2"/>
      <c r="EO134" s="2" t="s">
        <v>37</v>
      </c>
      <c r="EP134" s="2"/>
      <c r="EQ134" s="2">
        <v>0</v>
      </c>
      <c r="ER134" s="2">
        <v>123.34</v>
      </c>
      <c r="ES134" s="2">
        <v>4.33</v>
      </c>
      <c r="ET134" s="2">
        <v>11.74</v>
      </c>
      <c r="EU134" s="2">
        <v>0.38</v>
      </c>
      <c r="EV134" s="2">
        <v>107.27</v>
      </c>
      <c r="EW134" s="2">
        <v>8.5</v>
      </c>
      <c r="EX134" s="2">
        <v>0</v>
      </c>
      <c r="EY134" s="2">
        <v>0</v>
      </c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>
        <v>0</v>
      </c>
      <c r="FR134" s="2">
        <v>0</v>
      </c>
      <c r="FS134" s="2">
        <v>2</v>
      </c>
      <c r="FT134" s="2"/>
      <c r="FU134" s="2"/>
      <c r="FV134" s="2"/>
      <c r="FW134" s="2"/>
      <c r="FX134" s="2">
        <v>90</v>
      </c>
      <c r="FY134" s="2">
        <v>46</v>
      </c>
      <c r="FZ134" s="2"/>
      <c r="GA134" s="2" t="s">
        <v>3</v>
      </c>
      <c r="GB134" s="2"/>
      <c r="GC134" s="2"/>
      <c r="GD134" s="2">
        <v>1</v>
      </c>
      <c r="GE134" s="2"/>
      <c r="GF134" s="2">
        <v>-1550498539</v>
      </c>
      <c r="GG134" s="2">
        <v>2</v>
      </c>
      <c r="GH134" s="2">
        <v>1</v>
      </c>
      <c r="GI134" s="2">
        <v>2</v>
      </c>
      <c r="GJ134" s="2">
        <v>0</v>
      </c>
      <c r="GK134" s="2">
        <v>0</v>
      </c>
      <c r="GL134" s="2">
        <f t="shared" si="165"/>
        <v>0</v>
      </c>
      <c r="GM134" s="2">
        <f t="shared" si="166"/>
        <v>344.3</v>
      </c>
      <c r="GN134" s="2">
        <f t="shared" si="167"/>
        <v>0</v>
      </c>
      <c r="GO134" s="2">
        <f t="shared" si="168"/>
        <v>344.3</v>
      </c>
      <c r="GP134" s="2">
        <f t="shared" si="169"/>
        <v>0</v>
      </c>
      <c r="GQ134" s="2"/>
      <c r="GR134" s="2">
        <v>0</v>
      </c>
      <c r="GS134" s="2">
        <v>3</v>
      </c>
      <c r="GT134" s="2">
        <v>0</v>
      </c>
      <c r="GU134" s="2" t="s">
        <v>3</v>
      </c>
      <c r="GV134" s="2">
        <f t="shared" si="170"/>
        <v>0</v>
      </c>
      <c r="GW134" s="2">
        <v>1</v>
      </c>
      <c r="GX134" s="2">
        <f t="shared" si="171"/>
        <v>0</v>
      </c>
      <c r="GY134" s="2"/>
      <c r="GZ134" s="2"/>
      <c r="HA134" s="2">
        <v>0</v>
      </c>
      <c r="HB134" s="2">
        <v>0</v>
      </c>
      <c r="HC134" s="2">
        <f t="shared" si="172"/>
        <v>0</v>
      </c>
      <c r="HD134" s="2"/>
      <c r="HE134" s="2" t="s">
        <v>3</v>
      </c>
      <c r="HF134" s="2" t="s">
        <v>3</v>
      </c>
      <c r="HG134" s="2"/>
      <c r="HH134" s="2"/>
      <c r="HI134" s="2"/>
      <c r="HJ134" s="2"/>
      <c r="HK134" s="2"/>
      <c r="HL134" s="2"/>
      <c r="HM134" s="2" t="s">
        <v>3</v>
      </c>
      <c r="HN134" s="2" t="s">
        <v>3</v>
      </c>
      <c r="HO134" s="2" t="s">
        <v>3</v>
      </c>
      <c r="HP134" s="2" t="s">
        <v>3</v>
      </c>
      <c r="HQ134" s="2" t="s">
        <v>3</v>
      </c>
      <c r="HR134" s="2"/>
      <c r="HS134" s="2">
        <v>0</v>
      </c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>
        <v>0</v>
      </c>
      <c r="IL134" s="2"/>
      <c r="IM134" s="2"/>
      <c r="IN134" s="2"/>
      <c r="IO134" s="2"/>
      <c r="IP134" s="2"/>
      <c r="IQ134" s="2"/>
      <c r="IR134" s="2"/>
      <c r="IS134" s="2"/>
      <c r="IT134" s="2"/>
      <c r="IU134" s="2"/>
    </row>
    <row r="135" spans="1:255" x14ac:dyDescent="0.2">
      <c r="A135" s="3">
        <v>17</v>
      </c>
      <c r="B135" s="3">
        <v>1</v>
      </c>
      <c r="C135" s="3">
        <f>ROW(SmtRes!A376)</f>
        <v>376</v>
      </c>
      <c r="D135" s="3">
        <f>ROW(EtalonRes!A392)</f>
        <v>392</v>
      </c>
      <c r="E135" s="3" t="s">
        <v>272</v>
      </c>
      <c r="F135" s="3" t="s">
        <v>273</v>
      </c>
      <c r="G135" s="3" t="s">
        <v>274</v>
      </c>
      <c r="H135" s="3" t="s">
        <v>23</v>
      </c>
      <c r="I135" s="3">
        <f>ROUND(1,9)</f>
        <v>1</v>
      </c>
      <c r="J135" s="3">
        <v>0</v>
      </c>
      <c r="K135" s="3">
        <f>ROUND(1,9)</f>
        <v>1</v>
      </c>
      <c r="O135" s="3">
        <f t="shared" si="148"/>
        <v>8000.53</v>
      </c>
      <c r="P135" s="3">
        <f t="shared" si="146"/>
        <v>47.13</v>
      </c>
      <c r="Q135" s="3">
        <f>(ROUND((ROUND((((ET135*1.2))*AV135*I135),2)*BB135),2)+ROUND((ROUND(((AE135-((EU135*1.2)))*AV135*I135),2)*BS135),2))</f>
        <v>213.73</v>
      </c>
      <c r="R135" s="3">
        <f>(ROUND((ROUND((((EU135*1.2))*AV135*I135),2)*BS135),2)+ROUND((ROUND(((AE135-((EU135*1.2)))*AV135*I135),2)*BS135),2))</f>
        <v>27.61</v>
      </c>
      <c r="S135" s="3">
        <f t="shared" si="149"/>
        <v>7739.67</v>
      </c>
      <c r="T135" s="3">
        <f t="shared" si="150"/>
        <v>0</v>
      </c>
      <c r="U135" s="3">
        <f t="shared" si="151"/>
        <v>10.883399999999998</v>
      </c>
      <c r="V135" s="3">
        <f t="shared" si="152"/>
        <v>0</v>
      </c>
      <c r="W135" s="3">
        <f t="shared" si="153"/>
        <v>0</v>
      </c>
      <c r="X135" s="3">
        <f>(ROUND((((S135+ROUND((ROUND((((EU135*1.2))*AV135*I135),2)*BS135),2))*AT135)/100),2)+ROUND(((ROUND((ROUND(((AE135-((EU135*1.2)))*AV135*I135),2)*BS135),2)*AT135)/100),2))</f>
        <v>6990.55</v>
      </c>
      <c r="Y135" s="3">
        <f>(ROUND((((S135+ROUND((ROUND((((EU135*1.2))*AV135*I135),2)*BS135),2))*AU135)/100),2)+ROUND(((ROUND((ROUND(((AE135-((EU135*1.2)))*AV135*I135),2)*BS135),2)*AU135)/100),2))</f>
        <v>3572.95</v>
      </c>
      <c r="AA135" s="3">
        <v>85739207</v>
      </c>
      <c r="AB135" s="3">
        <f t="shared" si="154"/>
        <v>147.142</v>
      </c>
      <c r="AC135" s="3">
        <f>ROUND(((ES135*1)),6)</f>
        <v>4.33</v>
      </c>
      <c r="AD135" s="3">
        <f>ROUND(((((ET135*1.2))-((EU135*1.2)))+AE135),6)</f>
        <v>14.087999999999999</v>
      </c>
      <c r="AE135" s="3">
        <f>ROUND(((EU135*1.2)),6)</f>
        <v>0.45600000000000002</v>
      </c>
      <c r="AF135" s="3">
        <f>ROUND(((EV135*1.2)),6)</f>
        <v>128.72399999999999</v>
      </c>
      <c r="AG135" s="3">
        <f t="shared" si="156"/>
        <v>0</v>
      </c>
      <c r="AH135" s="3">
        <f>((EW135*1.2))</f>
        <v>10.199999999999999</v>
      </c>
      <c r="AI135" s="3">
        <f>((EX135*1.2))</f>
        <v>0</v>
      </c>
      <c r="AJ135" s="3">
        <f t="shared" si="158"/>
        <v>0</v>
      </c>
      <c r="AK135" s="3">
        <v>123.34</v>
      </c>
      <c r="AL135" s="3">
        <v>4.33</v>
      </c>
      <c r="AM135" s="3">
        <v>11.74</v>
      </c>
      <c r="AN135" s="3">
        <v>0.38</v>
      </c>
      <c r="AO135" s="3">
        <v>107.27</v>
      </c>
      <c r="AP135" s="3">
        <v>0</v>
      </c>
      <c r="AQ135" s="3">
        <v>8.5</v>
      </c>
      <c r="AR135" s="3">
        <v>0</v>
      </c>
      <c r="AS135" s="3">
        <v>0</v>
      </c>
      <c r="AT135" s="3">
        <v>90</v>
      </c>
      <c r="AU135" s="3">
        <v>46</v>
      </c>
      <c r="AV135" s="3">
        <v>1.0669999999999999</v>
      </c>
      <c r="AW135" s="3">
        <v>1.028</v>
      </c>
      <c r="AZ135" s="3">
        <v>1</v>
      </c>
      <c r="BA135" s="3">
        <v>56.35</v>
      </c>
      <c r="BB135" s="3">
        <v>14.22</v>
      </c>
      <c r="BC135" s="3">
        <v>10.59</v>
      </c>
      <c r="BD135" s="3" t="s">
        <v>3</v>
      </c>
      <c r="BE135" s="3" t="s">
        <v>3</v>
      </c>
      <c r="BF135" s="3" t="s">
        <v>3</v>
      </c>
      <c r="BG135" s="3" t="s">
        <v>3</v>
      </c>
      <c r="BH135" s="3">
        <v>0</v>
      </c>
      <c r="BI135" s="3">
        <v>2</v>
      </c>
      <c r="BJ135" s="3" t="s">
        <v>275</v>
      </c>
      <c r="BM135" s="3">
        <v>73</v>
      </c>
      <c r="BN135" s="3">
        <v>0</v>
      </c>
      <c r="BO135" s="3" t="s">
        <v>273</v>
      </c>
      <c r="BP135" s="3">
        <v>1</v>
      </c>
      <c r="BQ135" s="3">
        <v>40</v>
      </c>
      <c r="BR135" s="3">
        <v>0</v>
      </c>
      <c r="BS135" s="3">
        <v>56.35</v>
      </c>
      <c r="BT135" s="3">
        <v>1</v>
      </c>
      <c r="BU135" s="3">
        <v>1</v>
      </c>
      <c r="BV135" s="3">
        <v>1</v>
      </c>
      <c r="BW135" s="3">
        <v>1</v>
      </c>
      <c r="BX135" s="3">
        <v>1</v>
      </c>
      <c r="BY135" s="3" t="s">
        <v>3</v>
      </c>
      <c r="BZ135" s="3">
        <v>90</v>
      </c>
      <c r="CA135" s="3">
        <v>46</v>
      </c>
      <c r="CB135" s="3" t="s">
        <v>3</v>
      </c>
      <c r="CE135" s="3">
        <v>1566</v>
      </c>
      <c r="CF135" s="3">
        <v>0</v>
      </c>
      <c r="CG135" s="3">
        <v>0</v>
      </c>
      <c r="CM135" s="3">
        <v>0</v>
      </c>
      <c r="CN135" s="3" t="s">
        <v>677</v>
      </c>
      <c r="CO135" s="3">
        <v>0</v>
      </c>
      <c r="CP135" s="3">
        <f t="shared" si="159"/>
        <v>8000.53</v>
      </c>
      <c r="CQ135" s="3">
        <f t="shared" si="147"/>
        <v>47.13</v>
      </c>
      <c r="CR135" s="3">
        <f>(ROUND((ROUND((((ET135*1.2))*AV135*1),2)*BB135),2)+ROUND((ROUND(((AE135-((EU135*1.2)))*AV135*1),2)*BS135),2))</f>
        <v>213.73</v>
      </c>
      <c r="CS135" s="3">
        <f>(ROUND((ROUND((((EU135*1.2))*AV135*1),2)*BS135),2)+ROUND((ROUND(((AE135-((EU135*1.2)))*AV135*1),2)*BS135),2))</f>
        <v>27.61</v>
      </c>
      <c r="CT135" s="3">
        <f t="shared" si="160"/>
        <v>7739.67</v>
      </c>
      <c r="CU135" s="3">
        <f t="shared" si="161"/>
        <v>0</v>
      </c>
      <c r="CV135" s="3">
        <f t="shared" si="162"/>
        <v>10.883399999999998</v>
      </c>
      <c r="CW135" s="3">
        <f t="shared" si="163"/>
        <v>0</v>
      </c>
      <c r="CX135" s="3">
        <f t="shared" si="164"/>
        <v>0</v>
      </c>
      <c r="CY135" s="3">
        <f>(ROUND((((S135+ROUND((ROUND((((EU135*1.2))*AV135*1),2)*BS135),2))*AT135)/100),2)+ROUND(((ROUND((ROUND(((AE135-((EU135*1.2)))*AV135*1),2)*BS135),2)*AT135)/100),2))</f>
        <v>6990.55</v>
      </c>
      <c r="CZ135" s="3">
        <f>(ROUND((((S135+ROUND((ROUND((((EU135*1.2))*AV135*1),2)*BS135),2))*AU135)/100),2)+ROUND(((ROUND((ROUND(((AE135-((EU135*1.2)))*AV135*1),2)*BS135),2)*AU135)/100),2))</f>
        <v>3572.95</v>
      </c>
      <c r="DB135" s="3">
        <v>60</v>
      </c>
      <c r="DC135" s="3" t="s">
        <v>3</v>
      </c>
      <c r="DD135" s="3" t="s">
        <v>35</v>
      </c>
      <c r="DE135" s="3" t="s">
        <v>36</v>
      </c>
      <c r="DF135" s="3" t="s">
        <v>36</v>
      </c>
      <c r="DG135" s="3" t="s">
        <v>36</v>
      </c>
      <c r="DH135" s="3" t="s">
        <v>3</v>
      </c>
      <c r="DI135" s="3" t="s">
        <v>36</v>
      </c>
      <c r="DJ135" s="3" t="s">
        <v>36</v>
      </c>
      <c r="DK135" s="3" t="s">
        <v>3</v>
      </c>
      <c r="DL135" s="3" t="s">
        <v>3</v>
      </c>
      <c r="DM135" s="3" t="s">
        <v>3</v>
      </c>
      <c r="DN135" s="3">
        <v>0</v>
      </c>
      <c r="DO135" s="3">
        <v>0</v>
      </c>
      <c r="DP135" s="3">
        <v>1</v>
      </c>
      <c r="DQ135" s="3">
        <v>1</v>
      </c>
      <c r="DU135" s="3">
        <v>1013</v>
      </c>
      <c r="DV135" s="3" t="s">
        <v>23</v>
      </c>
      <c r="DW135" s="3" t="s">
        <v>23</v>
      </c>
      <c r="DX135" s="3">
        <v>1</v>
      </c>
      <c r="DZ135" s="3" t="s">
        <v>3</v>
      </c>
      <c r="EA135" s="3" t="s">
        <v>3</v>
      </c>
      <c r="EB135" s="3" t="s">
        <v>3</v>
      </c>
      <c r="EC135" s="3" t="s">
        <v>3</v>
      </c>
      <c r="EE135" s="3">
        <v>85133422</v>
      </c>
      <c r="EF135" s="3">
        <v>40</v>
      </c>
      <c r="EG135" s="3" t="s">
        <v>27</v>
      </c>
      <c r="EH135" s="3">
        <v>0</v>
      </c>
      <c r="EI135" s="3" t="s">
        <v>3</v>
      </c>
      <c r="EJ135" s="3">
        <v>2</v>
      </c>
      <c r="EK135" s="3">
        <v>73</v>
      </c>
      <c r="EL135" s="3" t="s">
        <v>62</v>
      </c>
      <c r="EM135" s="3" t="s">
        <v>63</v>
      </c>
      <c r="EO135" s="3" t="s">
        <v>37</v>
      </c>
      <c r="EQ135" s="3">
        <v>0</v>
      </c>
      <c r="ER135" s="3">
        <v>123.34</v>
      </c>
      <c r="ES135" s="3">
        <v>4.33</v>
      </c>
      <c r="ET135" s="3">
        <v>11.74</v>
      </c>
      <c r="EU135" s="3">
        <v>0.38</v>
      </c>
      <c r="EV135" s="3">
        <v>107.27</v>
      </c>
      <c r="EW135" s="3">
        <v>8.5</v>
      </c>
      <c r="EX135" s="3">
        <v>0</v>
      </c>
      <c r="EY135" s="3">
        <v>0</v>
      </c>
      <c r="FQ135" s="3">
        <v>0</v>
      </c>
      <c r="FR135" s="3">
        <v>0</v>
      </c>
      <c r="FS135" s="3">
        <v>2</v>
      </c>
      <c r="FX135" s="3">
        <v>90</v>
      </c>
      <c r="FY135" s="3">
        <v>46</v>
      </c>
      <c r="GA135" s="3" t="s">
        <v>3</v>
      </c>
      <c r="GD135" s="3">
        <v>1</v>
      </c>
      <c r="GF135" s="3">
        <v>-1550498539</v>
      </c>
      <c r="GG135" s="3">
        <v>2</v>
      </c>
      <c r="GH135" s="3">
        <v>1</v>
      </c>
      <c r="GI135" s="3">
        <v>2</v>
      </c>
      <c r="GJ135" s="3">
        <v>0</v>
      </c>
      <c r="GK135" s="3">
        <v>0</v>
      </c>
      <c r="GL135" s="3">
        <f t="shared" si="165"/>
        <v>0</v>
      </c>
      <c r="GM135" s="3">
        <f t="shared" si="166"/>
        <v>18564.03</v>
      </c>
      <c r="GN135" s="3">
        <f t="shared" si="167"/>
        <v>0</v>
      </c>
      <c r="GO135" s="3">
        <f t="shared" si="168"/>
        <v>18564.03</v>
      </c>
      <c r="GP135" s="3">
        <f t="shared" si="169"/>
        <v>0</v>
      </c>
      <c r="GR135" s="3">
        <v>0</v>
      </c>
      <c r="GS135" s="3">
        <v>3</v>
      </c>
      <c r="GT135" s="3">
        <v>0</v>
      </c>
      <c r="GU135" s="3" t="s">
        <v>3</v>
      </c>
      <c r="GV135" s="3">
        <f t="shared" si="170"/>
        <v>0</v>
      </c>
      <c r="GW135" s="3">
        <v>1</v>
      </c>
      <c r="GX135" s="3">
        <f t="shared" si="171"/>
        <v>0</v>
      </c>
      <c r="HA135" s="3">
        <v>0</v>
      </c>
      <c r="HB135" s="3">
        <v>0</v>
      </c>
      <c r="HC135" s="3">
        <f t="shared" si="172"/>
        <v>0</v>
      </c>
      <c r="HE135" s="3" t="s">
        <v>3</v>
      </c>
      <c r="HF135" s="3" t="s">
        <v>3</v>
      </c>
      <c r="HM135" s="3" t="s">
        <v>3</v>
      </c>
      <c r="HN135" s="3" t="s">
        <v>3</v>
      </c>
      <c r="HO135" s="3" t="s">
        <v>3</v>
      </c>
      <c r="HP135" s="3" t="s">
        <v>3</v>
      </c>
      <c r="HQ135" s="3" t="s">
        <v>3</v>
      </c>
      <c r="HS135" s="3">
        <v>0</v>
      </c>
      <c r="IK135" s="3">
        <v>0</v>
      </c>
    </row>
    <row r="136" spans="1:255" x14ac:dyDescent="0.2">
      <c r="A136" s="2">
        <v>18</v>
      </c>
      <c r="B136" s="2">
        <v>1</v>
      </c>
      <c r="C136" s="2">
        <v>369</v>
      </c>
      <c r="D136" s="2"/>
      <c r="E136" s="2" t="s">
        <v>276</v>
      </c>
      <c r="F136" s="2" t="s">
        <v>277</v>
      </c>
      <c r="G136" s="2" t="s">
        <v>278</v>
      </c>
      <c r="H136" s="2" t="s">
        <v>99</v>
      </c>
      <c r="I136" s="2">
        <f>I134*J136</f>
        <v>1</v>
      </c>
      <c r="J136" s="2">
        <v>1</v>
      </c>
      <c r="K136" s="2">
        <v>1</v>
      </c>
      <c r="L136" s="2"/>
      <c r="M136" s="2"/>
      <c r="N136" s="2"/>
      <c r="O136" s="2">
        <f t="shared" si="148"/>
        <v>2638.17</v>
      </c>
      <c r="P136" s="2">
        <f t="shared" si="146"/>
        <v>2638.17</v>
      </c>
      <c r="Q136" s="2">
        <f>(ROUND((ROUND(((ET136)*AV136*I136),2)*BB136),2)+ROUND((ROUND(((AE136-(EU136))*AV136*I136),2)*BS136),2))</f>
        <v>0</v>
      </c>
      <c r="R136" s="2">
        <f>(ROUND((ROUND(((EU136)*AV136*I136),2)*BS136),2)+ROUND((ROUND(((AE136-(EU136))*AV136*I136),2)*BS136),2))</f>
        <v>0</v>
      </c>
      <c r="S136" s="2">
        <f t="shared" si="149"/>
        <v>0</v>
      </c>
      <c r="T136" s="2">
        <f t="shared" si="150"/>
        <v>0</v>
      </c>
      <c r="U136" s="2">
        <f t="shared" si="151"/>
        <v>0</v>
      </c>
      <c r="V136" s="2">
        <f t="shared" si="152"/>
        <v>0</v>
      </c>
      <c r="W136" s="2">
        <f t="shared" si="153"/>
        <v>0</v>
      </c>
      <c r="X136" s="2">
        <f>(ROUND((((S136+ROUND((ROUND(((EU136)*AV136*I136),2)*BS136),2))*AT136)/100),2)+ROUND(((ROUND((ROUND(((AE136-(EU136))*AV136*I136),2)*BS136),2)*AT136)/100),2))</f>
        <v>0</v>
      </c>
      <c r="Y136" s="2">
        <f>(ROUND((((S136+ROUND((ROUND(((EU136)*AV136*I136),2)*BS136),2))*AU136)/100),2)+ROUND(((ROUND((ROUND(((AE136-(EU136))*AV136*I136),2)*BS136),2)*AU136)/100),2))</f>
        <v>0</v>
      </c>
      <c r="Z136" s="2"/>
      <c r="AA136" s="2">
        <v>85739205</v>
      </c>
      <c r="AB136" s="2">
        <f t="shared" si="154"/>
        <v>2638.17</v>
      </c>
      <c r="AC136" s="2">
        <f>ROUND((ES136),6)</f>
        <v>2638.17</v>
      </c>
      <c r="AD136" s="2">
        <f>ROUND((((ET136)-(EU136))+AE136),6)</f>
        <v>0</v>
      </c>
      <c r="AE136" s="2">
        <f>ROUND((EU136),6)</f>
        <v>0</v>
      </c>
      <c r="AF136" s="2">
        <f>ROUND((EV136),6)</f>
        <v>0</v>
      </c>
      <c r="AG136" s="2">
        <f t="shared" si="156"/>
        <v>0</v>
      </c>
      <c r="AH136" s="2">
        <f>(EW136)</f>
        <v>0</v>
      </c>
      <c r="AI136" s="2">
        <f>(EX136)</f>
        <v>0</v>
      </c>
      <c r="AJ136" s="2">
        <f t="shared" si="158"/>
        <v>0</v>
      </c>
      <c r="AK136" s="2">
        <v>2638.17</v>
      </c>
      <c r="AL136" s="2">
        <v>2638.17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90</v>
      </c>
      <c r="AU136" s="2">
        <v>46</v>
      </c>
      <c r="AV136" s="2">
        <v>1</v>
      </c>
      <c r="AW136" s="2">
        <v>1</v>
      </c>
      <c r="AX136" s="2"/>
      <c r="AY136" s="2"/>
      <c r="AZ136" s="2">
        <v>1</v>
      </c>
      <c r="BA136" s="2">
        <v>1</v>
      </c>
      <c r="BB136" s="2">
        <v>1</v>
      </c>
      <c r="BC136" s="2">
        <v>1</v>
      </c>
      <c r="BD136" s="2" t="s">
        <v>3</v>
      </c>
      <c r="BE136" s="2" t="s">
        <v>3</v>
      </c>
      <c r="BF136" s="2" t="s">
        <v>3</v>
      </c>
      <c r="BG136" s="2" t="s">
        <v>3</v>
      </c>
      <c r="BH136" s="2">
        <v>3</v>
      </c>
      <c r="BI136" s="2">
        <v>2</v>
      </c>
      <c r="BJ136" s="2" t="s">
        <v>3</v>
      </c>
      <c r="BK136" s="2"/>
      <c r="BL136" s="2"/>
      <c r="BM136" s="2">
        <v>73</v>
      </c>
      <c r="BN136" s="2">
        <v>0</v>
      </c>
      <c r="BO136" s="2" t="s">
        <v>3</v>
      </c>
      <c r="BP136" s="2">
        <v>0</v>
      </c>
      <c r="BQ136" s="2">
        <v>40</v>
      </c>
      <c r="BR136" s="2">
        <v>0</v>
      </c>
      <c r="BS136" s="2">
        <v>1</v>
      </c>
      <c r="BT136" s="2">
        <v>1</v>
      </c>
      <c r="BU136" s="2">
        <v>1</v>
      </c>
      <c r="BV136" s="2">
        <v>1</v>
      </c>
      <c r="BW136" s="2">
        <v>1</v>
      </c>
      <c r="BX136" s="2">
        <v>1</v>
      </c>
      <c r="BY136" s="2" t="s">
        <v>3</v>
      </c>
      <c r="BZ136" s="2">
        <v>90</v>
      </c>
      <c r="CA136" s="2">
        <v>46</v>
      </c>
      <c r="CB136" s="2" t="s">
        <v>3</v>
      </c>
      <c r="CC136" s="2"/>
      <c r="CD136" s="2"/>
      <c r="CE136" s="2">
        <v>1566</v>
      </c>
      <c r="CF136" s="2">
        <v>0</v>
      </c>
      <c r="CG136" s="2">
        <v>0</v>
      </c>
      <c r="CH136" s="2"/>
      <c r="CI136" s="2"/>
      <c r="CJ136" s="2"/>
      <c r="CK136" s="2"/>
      <c r="CL136" s="2"/>
      <c r="CM136" s="2">
        <v>0</v>
      </c>
      <c r="CN136" s="2" t="s">
        <v>679</v>
      </c>
      <c r="CO136" s="2">
        <v>0</v>
      </c>
      <c r="CP136" s="2">
        <f t="shared" si="159"/>
        <v>2638.17</v>
      </c>
      <c r="CQ136" s="2">
        <f t="shared" si="147"/>
        <v>2638.17</v>
      </c>
      <c r="CR136" s="2">
        <f>(ROUND((ROUND(((ET136)*AV136*1),2)*BB136),2)+ROUND((ROUND(((AE136-(EU136))*AV136*1),2)*BS136),2))</f>
        <v>0</v>
      </c>
      <c r="CS136" s="2">
        <f>(ROUND((ROUND(((EU136)*AV136*1),2)*BS136),2)+ROUND((ROUND(((AE136-(EU136))*AV136*1),2)*BS136),2))</f>
        <v>0</v>
      </c>
      <c r="CT136" s="2">
        <f t="shared" si="160"/>
        <v>0</v>
      </c>
      <c r="CU136" s="2">
        <f t="shared" si="161"/>
        <v>0</v>
      </c>
      <c r="CV136" s="2">
        <f t="shared" si="162"/>
        <v>0</v>
      </c>
      <c r="CW136" s="2">
        <f t="shared" si="163"/>
        <v>0</v>
      </c>
      <c r="CX136" s="2">
        <f t="shared" si="164"/>
        <v>0</v>
      </c>
      <c r="CY136" s="2">
        <f>(ROUND((((S136+ROUND((ROUND(((EU136)*AV136*1),2)*BS136),2))*AT136)/100),2)+ROUND(((ROUND((ROUND(((AE136-(EU136))*AV136*1),2)*BS136),2)*AT136)/100),2))</f>
        <v>0</v>
      </c>
      <c r="CZ136" s="2">
        <f>(ROUND((((S136+ROUND((ROUND(((EU136)*AV136*1),2)*BS136),2))*AU136)/100),2)+ROUND(((ROUND((ROUND(((AE136-(EU136))*AV136*1),2)*BS136),2)*AU136)/100),2))</f>
        <v>0</v>
      </c>
      <c r="DA136" s="2"/>
      <c r="DB136" s="2"/>
      <c r="DC136" s="2" t="s">
        <v>3</v>
      </c>
      <c r="DD136" s="2" t="s">
        <v>3</v>
      </c>
      <c r="DE136" s="2" t="s">
        <v>3</v>
      </c>
      <c r="DF136" s="2" t="s">
        <v>3</v>
      </c>
      <c r="DG136" s="2" t="s">
        <v>3</v>
      </c>
      <c r="DH136" s="2" t="s">
        <v>3</v>
      </c>
      <c r="DI136" s="2" t="s">
        <v>3</v>
      </c>
      <c r="DJ136" s="2" t="s">
        <v>3</v>
      </c>
      <c r="DK136" s="2" t="s">
        <v>3</v>
      </c>
      <c r="DL136" s="2" t="s">
        <v>3</v>
      </c>
      <c r="DM136" s="2" t="s">
        <v>3</v>
      </c>
      <c r="DN136" s="2">
        <v>0</v>
      </c>
      <c r="DO136" s="2">
        <v>0</v>
      </c>
      <c r="DP136" s="2">
        <v>1</v>
      </c>
      <c r="DQ136" s="2">
        <v>1</v>
      </c>
      <c r="DR136" s="2"/>
      <c r="DS136" s="2"/>
      <c r="DT136" s="2"/>
      <c r="DU136" s="2">
        <v>1010</v>
      </c>
      <c r="DV136" s="2" t="s">
        <v>99</v>
      </c>
      <c r="DW136" s="2" t="s">
        <v>99</v>
      </c>
      <c r="DX136" s="2">
        <v>1</v>
      </c>
      <c r="DY136" s="2"/>
      <c r="DZ136" s="2" t="s">
        <v>3</v>
      </c>
      <c r="EA136" s="2" t="s">
        <v>3</v>
      </c>
      <c r="EB136" s="2" t="s">
        <v>3</v>
      </c>
      <c r="EC136" s="2" t="s">
        <v>3</v>
      </c>
      <c r="ED136" s="2"/>
      <c r="EE136" s="2">
        <v>85133422</v>
      </c>
      <c r="EF136" s="2">
        <v>40</v>
      </c>
      <c r="EG136" s="2" t="s">
        <v>27</v>
      </c>
      <c r="EH136" s="2">
        <v>0</v>
      </c>
      <c r="EI136" s="2" t="s">
        <v>3</v>
      </c>
      <c r="EJ136" s="2">
        <v>2</v>
      </c>
      <c r="EK136" s="2">
        <v>73</v>
      </c>
      <c r="EL136" s="2" t="s">
        <v>62</v>
      </c>
      <c r="EM136" s="2" t="s">
        <v>63</v>
      </c>
      <c r="EN136" s="2"/>
      <c r="EO136" s="2" t="s">
        <v>37</v>
      </c>
      <c r="EP136" s="2"/>
      <c r="EQ136" s="2">
        <v>2097152</v>
      </c>
      <c r="ER136" s="2">
        <v>0</v>
      </c>
      <c r="ES136" s="2">
        <v>2638.17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>
        <v>0</v>
      </c>
      <c r="FR136" s="2">
        <v>0</v>
      </c>
      <c r="FS136" s="2">
        <v>0</v>
      </c>
      <c r="FT136" s="2"/>
      <c r="FU136" s="2"/>
      <c r="FV136" s="2"/>
      <c r="FW136" s="2"/>
      <c r="FX136" s="2">
        <v>90</v>
      </c>
      <c r="FY136" s="2">
        <v>46</v>
      </c>
      <c r="FZ136" s="2"/>
      <c r="GA136" s="2" t="s">
        <v>279</v>
      </c>
      <c r="GB136" s="2"/>
      <c r="GC136" s="2"/>
      <c r="GD136" s="2">
        <v>1</v>
      </c>
      <c r="GE136" s="2"/>
      <c r="GF136" s="2">
        <v>988859924</v>
      </c>
      <c r="GG136" s="2">
        <v>2</v>
      </c>
      <c r="GH136" s="2">
        <v>4</v>
      </c>
      <c r="GI136" s="2">
        <v>-2</v>
      </c>
      <c r="GJ136" s="2">
        <v>0</v>
      </c>
      <c r="GK136" s="2">
        <v>0</v>
      </c>
      <c r="GL136" s="2">
        <f t="shared" si="165"/>
        <v>0</v>
      </c>
      <c r="GM136" s="2">
        <f t="shared" si="166"/>
        <v>2638.17</v>
      </c>
      <c r="GN136" s="2">
        <f t="shared" si="167"/>
        <v>0</v>
      </c>
      <c r="GO136" s="2">
        <f t="shared" si="168"/>
        <v>2638.17</v>
      </c>
      <c r="GP136" s="2">
        <f t="shared" si="169"/>
        <v>0</v>
      </c>
      <c r="GQ136" s="2"/>
      <c r="GR136" s="2">
        <v>0</v>
      </c>
      <c r="GS136" s="2">
        <v>2</v>
      </c>
      <c r="GT136" s="2">
        <v>0</v>
      </c>
      <c r="GU136" s="2" t="s">
        <v>3</v>
      </c>
      <c r="GV136" s="2">
        <f t="shared" si="170"/>
        <v>0</v>
      </c>
      <c r="GW136" s="2">
        <v>1</v>
      </c>
      <c r="GX136" s="2">
        <f t="shared" si="171"/>
        <v>0</v>
      </c>
      <c r="GY136" s="2"/>
      <c r="GZ136" s="2"/>
      <c r="HA136" s="2">
        <v>0</v>
      </c>
      <c r="HB136" s="2">
        <v>0</v>
      </c>
      <c r="HC136" s="2">
        <f t="shared" si="172"/>
        <v>0</v>
      </c>
      <c r="HD136" s="2"/>
      <c r="HE136" s="2" t="s">
        <v>280</v>
      </c>
      <c r="HF136" s="2" t="s">
        <v>31</v>
      </c>
      <c r="HG136" s="2"/>
      <c r="HH136" s="2"/>
      <c r="HI136" s="2"/>
      <c r="HJ136" s="2"/>
      <c r="HK136" s="2"/>
      <c r="HL136" s="2"/>
      <c r="HM136" s="2" t="s">
        <v>35</v>
      </c>
      <c r="HN136" s="2" t="s">
        <v>3</v>
      </c>
      <c r="HO136" s="2" t="s">
        <v>3</v>
      </c>
      <c r="HP136" s="2" t="s">
        <v>3</v>
      </c>
      <c r="HQ136" s="2" t="s">
        <v>3</v>
      </c>
      <c r="HR136" s="2"/>
      <c r="HS136" s="2">
        <v>0</v>
      </c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>
        <v>0</v>
      </c>
      <c r="IL136" s="2"/>
      <c r="IM136" s="2"/>
      <c r="IN136" s="2"/>
      <c r="IO136" s="2"/>
      <c r="IP136" s="2"/>
      <c r="IQ136" s="2"/>
      <c r="IR136" s="2"/>
      <c r="IS136" s="2"/>
      <c r="IT136" s="2"/>
      <c r="IU136" s="2"/>
    </row>
    <row r="137" spans="1:255" x14ac:dyDescent="0.2">
      <c r="A137" s="3">
        <v>18</v>
      </c>
      <c r="B137" s="3">
        <v>1</v>
      </c>
      <c r="C137" s="3">
        <v>376</v>
      </c>
      <c r="E137" s="3" t="s">
        <v>276</v>
      </c>
      <c r="F137" s="3" t="s">
        <v>277</v>
      </c>
      <c r="G137" s="3" t="s">
        <v>278</v>
      </c>
      <c r="H137" s="3" t="s">
        <v>99</v>
      </c>
      <c r="I137" s="3">
        <f>I135*J137</f>
        <v>1</v>
      </c>
      <c r="J137" s="3">
        <v>1</v>
      </c>
      <c r="K137" s="3">
        <v>1</v>
      </c>
      <c r="O137" s="3">
        <f t="shared" si="148"/>
        <v>25959.59</v>
      </c>
      <c r="P137" s="3">
        <f t="shared" si="146"/>
        <v>25959.59</v>
      </c>
      <c r="Q137" s="3">
        <f>(ROUND((ROUND(((ET137)*AV137*I137),2)*BB137),2)+ROUND((ROUND(((AE137-(EU137))*AV137*I137),2)*BS137),2))</f>
        <v>0</v>
      </c>
      <c r="R137" s="3">
        <f>(ROUND((ROUND(((EU137)*AV137*I137),2)*BS137),2)+ROUND((ROUND(((AE137-(EU137))*AV137*I137),2)*BS137),2))</f>
        <v>0</v>
      </c>
      <c r="S137" s="3">
        <f t="shared" si="149"/>
        <v>0</v>
      </c>
      <c r="T137" s="3">
        <f t="shared" si="150"/>
        <v>0</v>
      </c>
      <c r="U137" s="3">
        <f t="shared" si="151"/>
        <v>0</v>
      </c>
      <c r="V137" s="3">
        <f t="shared" si="152"/>
        <v>0</v>
      </c>
      <c r="W137" s="3">
        <f t="shared" si="153"/>
        <v>0</v>
      </c>
      <c r="X137" s="3">
        <f>(ROUND((((S137+ROUND((ROUND(((EU137)*AV137*I137),2)*BS137),2))*AT137)/100),2)+ROUND(((ROUND((ROUND(((AE137-(EU137))*AV137*I137),2)*BS137),2)*AT137)/100),2))</f>
        <v>0</v>
      </c>
      <c r="Y137" s="3">
        <f>(ROUND((((S137+ROUND((ROUND(((EU137)*AV137*I137),2)*BS137),2))*AU137)/100),2)+ROUND(((ROUND((ROUND(((AE137-(EU137))*AV137*I137),2)*BS137),2)*AU137)/100),2))</f>
        <v>0</v>
      </c>
      <c r="AA137" s="3">
        <v>85739207</v>
      </c>
      <c r="AB137" s="3">
        <f t="shared" si="154"/>
        <v>2638.17</v>
      </c>
      <c r="AC137" s="3">
        <f>ROUND((ES137),6)</f>
        <v>2638.17</v>
      </c>
      <c r="AD137" s="3">
        <f>ROUND((((ET137)-(EU137))+AE137),6)</f>
        <v>0</v>
      </c>
      <c r="AE137" s="3">
        <f>ROUND((EU137),6)</f>
        <v>0</v>
      </c>
      <c r="AF137" s="3">
        <f>ROUND((EV137),6)</f>
        <v>0</v>
      </c>
      <c r="AG137" s="3">
        <f t="shared" si="156"/>
        <v>0</v>
      </c>
      <c r="AH137" s="3">
        <f>(EW137)</f>
        <v>0</v>
      </c>
      <c r="AI137" s="3">
        <f>(EX137)</f>
        <v>0</v>
      </c>
      <c r="AJ137" s="3">
        <f t="shared" si="158"/>
        <v>0</v>
      </c>
      <c r="AK137" s="3">
        <v>2638.17</v>
      </c>
      <c r="AL137" s="3">
        <v>2638.17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90</v>
      </c>
      <c r="AU137" s="3">
        <v>46</v>
      </c>
      <c r="AV137" s="3">
        <v>1</v>
      </c>
      <c r="AW137" s="3">
        <v>1</v>
      </c>
      <c r="AZ137" s="3">
        <v>1</v>
      </c>
      <c r="BA137" s="3">
        <v>1</v>
      </c>
      <c r="BB137" s="3">
        <v>1</v>
      </c>
      <c r="BC137" s="3">
        <v>9.84</v>
      </c>
      <c r="BD137" s="3" t="s">
        <v>3</v>
      </c>
      <c r="BE137" s="3" t="s">
        <v>3</v>
      </c>
      <c r="BF137" s="3" t="s">
        <v>3</v>
      </c>
      <c r="BG137" s="3" t="s">
        <v>3</v>
      </c>
      <c r="BH137" s="3">
        <v>3</v>
      </c>
      <c r="BI137" s="3">
        <v>2</v>
      </c>
      <c r="BJ137" s="3" t="s">
        <v>3</v>
      </c>
      <c r="BM137" s="3">
        <v>73</v>
      </c>
      <c r="BN137" s="3">
        <v>0</v>
      </c>
      <c r="BO137" s="3" t="s">
        <v>3</v>
      </c>
      <c r="BP137" s="3">
        <v>0</v>
      </c>
      <c r="BQ137" s="3">
        <v>40</v>
      </c>
      <c r="BR137" s="3">
        <v>0</v>
      </c>
      <c r="BS137" s="3">
        <v>1</v>
      </c>
      <c r="BT137" s="3">
        <v>1</v>
      </c>
      <c r="BU137" s="3">
        <v>1</v>
      </c>
      <c r="BV137" s="3">
        <v>1</v>
      </c>
      <c r="BW137" s="3">
        <v>1</v>
      </c>
      <c r="BX137" s="3">
        <v>1</v>
      </c>
      <c r="BY137" s="3" t="s">
        <v>3</v>
      </c>
      <c r="BZ137" s="3">
        <v>90</v>
      </c>
      <c r="CA137" s="3">
        <v>46</v>
      </c>
      <c r="CB137" s="3" t="s">
        <v>3</v>
      </c>
      <c r="CE137" s="3">
        <v>1566</v>
      </c>
      <c r="CF137" s="3">
        <v>0</v>
      </c>
      <c r="CG137" s="3">
        <v>0</v>
      </c>
      <c r="CM137" s="3">
        <v>0</v>
      </c>
      <c r="CN137" s="3" t="s">
        <v>679</v>
      </c>
      <c r="CO137" s="3">
        <v>0</v>
      </c>
      <c r="CP137" s="3">
        <f t="shared" si="159"/>
        <v>25959.59</v>
      </c>
      <c r="CQ137" s="3">
        <f t="shared" si="147"/>
        <v>25959.59</v>
      </c>
      <c r="CR137" s="3">
        <f>(ROUND((ROUND(((ET137)*AV137*1),2)*BB137),2)+ROUND((ROUND(((AE137-(EU137))*AV137*1),2)*BS137),2))</f>
        <v>0</v>
      </c>
      <c r="CS137" s="3">
        <f>(ROUND((ROUND(((EU137)*AV137*1),2)*BS137),2)+ROUND((ROUND(((AE137-(EU137))*AV137*1),2)*BS137),2))</f>
        <v>0</v>
      </c>
      <c r="CT137" s="3">
        <f t="shared" si="160"/>
        <v>0</v>
      </c>
      <c r="CU137" s="3">
        <f t="shared" si="161"/>
        <v>0</v>
      </c>
      <c r="CV137" s="3">
        <f t="shared" si="162"/>
        <v>0</v>
      </c>
      <c r="CW137" s="3">
        <f t="shared" si="163"/>
        <v>0</v>
      </c>
      <c r="CX137" s="3">
        <f t="shared" si="164"/>
        <v>0</v>
      </c>
      <c r="CY137" s="3">
        <f>(ROUND((((S137+ROUND((ROUND(((EU137)*AV137*1),2)*BS137),2))*AT137)/100),2)+ROUND(((ROUND((ROUND(((AE137-(EU137))*AV137*1),2)*BS137),2)*AT137)/100),2))</f>
        <v>0</v>
      </c>
      <c r="CZ137" s="3">
        <f>(ROUND((((S137+ROUND((ROUND(((EU137)*AV137*1),2)*BS137),2))*AU137)/100),2)+ROUND(((ROUND((ROUND(((AE137-(EU137))*AV137*1),2)*BS137),2)*AU137)/100),2))</f>
        <v>0</v>
      </c>
      <c r="DC137" s="3" t="s">
        <v>3</v>
      </c>
      <c r="DD137" s="3" t="s">
        <v>3</v>
      </c>
      <c r="DE137" s="3" t="s">
        <v>3</v>
      </c>
      <c r="DF137" s="3" t="s">
        <v>3</v>
      </c>
      <c r="DG137" s="3" t="s">
        <v>3</v>
      </c>
      <c r="DH137" s="3" t="s">
        <v>3</v>
      </c>
      <c r="DI137" s="3" t="s">
        <v>3</v>
      </c>
      <c r="DJ137" s="3" t="s">
        <v>3</v>
      </c>
      <c r="DK137" s="3" t="s">
        <v>3</v>
      </c>
      <c r="DL137" s="3" t="s">
        <v>3</v>
      </c>
      <c r="DM137" s="3" t="s">
        <v>3</v>
      </c>
      <c r="DN137" s="3">
        <v>0</v>
      </c>
      <c r="DO137" s="3">
        <v>0</v>
      </c>
      <c r="DP137" s="3">
        <v>1</v>
      </c>
      <c r="DQ137" s="3">
        <v>1</v>
      </c>
      <c r="DU137" s="3">
        <v>1010</v>
      </c>
      <c r="DV137" s="3" t="s">
        <v>99</v>
      </c>
      <c r="DW137" s="3" t="s">
        <v>99</v>
      </c>
      <c r="DX137" s="3">
        <v>1</v>
      </c>
      <c r="DZ137" s="3" t="s">
        <v>3</v>
      </c>
      <c r="EA137" s="3" t="s">
        <v>3</v>
      </c>
      <c r="EB137" s="3" t="s">
        <v>3</v>
      </c>
      <c r="EC137" s="3" t="s">
        <v>3</v>
      </c>
      <c r="EE137" s="3">
        <v>85133422</v>
      </c>
      <c r="EF137" s="3">
        <v>40</v>
      </c>
      <c r="EG137" s="3" t="s">
        <v>27</v>
      </c>
      <c r="EH137" s="3">
        <v>0</v>
      </c>
      <c r="EI137" s="3" t="s">
        <v>3</v>
      </c>
      <c r="EJ137" s="3">
        <v>2</v>
      </c>
      <c r="EK137" s="3">
        <v>73</v>
      </c>
      <c r="EL137" s="3" t="s">
        <v>62</v>
      </c>
      <c r="EM137" s="3" t="s">
        <v>63</v>
      </c>
      <c r="EO137" s="3" t="s">
        <v>37</v>
      </c>
      <c r="EQ137" s="3">
        <v>2097152</v>
      </c>
      <c r="ER137" s="3">
        <v>2638.17</v>
      </c>
      <c r="ES137" s="3">
        <v>2638.17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EZ137" s="3">
        <v>5</v>
      </c>
      <c r="FC137" s="3">
        <v>1</v>
      </c>
      <c r="FD137" s="3">
        <v>18</v>
      </c>
      <c r="FF137" s="3">
        <v>31049.7</v>
      </c>
      <c r="FQ137" s="3">
        <v>0</v>
      </c>
      <c r="FR137" s="3">
        <v>0</v>
      </c>
      <c r="FS137" s="3">
        <v>0</v>
      </c>
      <c r="FX137" s="3">
        <v>90</v>
      </c>
      <c r="FY137" s="3">
        <v>46</v>
      </c>
      <c r="GA137" s="3" t="s">
        <v>279</v>
      </c>
      <c r="GD137" s="3">
        <v>1</v>
      </c>
      <c r="GF137" s="3">
        <v>988859924</v>
      </c>
      <c r="GG137" s="3">
        <v>2</v>
      </c>
      <c r="GH137" s="3">
        <v>3</v>
      </c>
      <c r="GI137" s="3">
        <v>5</v>
      </c>
      <c r="GJ137" s="3">
        <v>0</v>
      </c>
      <c r="GK137" s="3">
        <v>0</v>
      </c>
      <c r="GL137" s="3">
        <f t="shared" si="165"/>
        <v>0</v>
      </c>
      <c r="GM137" s="3">
        <f t="shared" si="166"/>
        <v>25959.59</v>
      </c>
      <c r="GN137" s="3">
        <f t="shared" si="167"/>
        <v>0</v>
      </c>
      <c r="GO137" s="3">
        <f t="shared" si="168"/>
        <v>25959.59</v>
      </c>
      <c r="GP137" s="3">
        <f t="shared" si="169"/>
        <v>0</v>
      </c>
      <c r="GR137" s="3">
        <v>1</v>
      </c>
      <c r="GS137" s="3">
        <v>1</v>
      </c>
      <c r="GT137" s="3">
        <v>0</v>
      </c>
      <c r="GU137" s="3" t="s">
        <v>3</v>
      </c>
      <c r="GV137" s="3">
        <f t="shared" si="170"/>
        <v>0</v>
      </c>
      <c r="GW137" s="3">
        <v>1</v>
      </c>
      <c r="GX137" s="3">
        <f t="shared" si="171"/>
        <v>0</v>
      </c>
      <c r="HA137" s="3">
        <v>0</v>
      </c>
      <c r="HB137" s="3">
        <v>0</v>
      </c>
      <c r="HC137" s="3">
        <f t="shared" si="172"/>
        <v>0</v>
      </c>
      <c r="HE137" s="3" t="s">
        <v>280</v>
      </c>
      <c r="HF137" s="3" t="s">
        <v>31</v>
      </c>
      <c r="HM137" s="3" t="s">
        <v>35</v>
      </c>
      <c r="HN137" s="3" t="s">
        <v>3</v>
      </c>
      <c r="HO137" s="3" t="s">
        <v>3</v>
      </c>
      <c r="HP137" s="3" t="s">
        <v>3</v>
      </c>
      <c r="HQ137" s="3" t="s">
        <v>3</v>
      </c>
      <c r="HS137" s="3">
        <v>0</v>
      </c>
      <c r="IK137" s="3">
        <v>0</v>
      </c>
    </row>
    <row r="139" spans="1:255" x14ac:dyDescent="0.2">
      <c r="A139" s="11">
        <v>51</v>
      </c>
      <c r="B139" s="11">
        <f>B24</f>
        <v>1</v>
      </c>
      <c r="C139" s="11">
        <f>A24</f>
        <v>4</v>
      </c>
      <c r="D139" s="11">
        <f>ROW(A24)</f>
        <v>24</v>
      </c>
      <c r="E139" s="11"/>
      <c r="F139" s="11" t="str">
        <f>IF(F24&lt;&gt;"",F24,"")</f>
        <v>Новый раздел</v>
      </c>
      <c r="G139" s="11" t="str">
        <f>IF(G24&lt;&gt;"",G24,"")</f>
        <v>Насосная установка.</v>
      </c>
      <c r="H139" s="11">
        <v>0</v>
      </c>
      <c r="I139" s="11"/>
      <c r="J139" s="11"/>
      <c r="K139" s="11"/>
      <c r="L139" s="11"/>
      <c r="M139" s="11"/>
      <c r="N139" s="11"/>
      <c r="O139" s="11">
        <f t="shared" ref="O139:T139" si="173">ROUND(AB139,2)</f>
        <v>315114.06</v>
      </c>
      <c r="P139" s="11">
        <f t="shared" si="173"/>
        <v>300967.81</v>
      </c>
      <c r="Q139" s="11">
        <f t="shared" si="173"/>
        <v>2307.81</v>
      </c>
      <c r="R139" s="11">
        <f t="shared" si="173"/>
        <v>330.58</v>
      </c>
      <c r="S139" s="11">
        <f t="shared" si="173"/>
        <v>11838.44</v>
      </c>
      <c r="T139" s="11">
        <f t="shared" si="173"/>
        <v>0</v>
      </c>
      <c r="U139" s="11">
        <f>AH139</f>
        <v>925.57626372000004</v>
      </c>
      <c r="V139" s="11">
        <f>AI139</f>
        <v>0</v>
      </c>
      <c r="W139" s="11">
        <f>ROUND(AJ139,2)</f>
        <v>0</v>
      </c>
      <c r="X139" s="11">
        <f>ROUND(AK139,2)</f>
        <v>10995.81</v>
      </c>
      <c r="Y139" s="11">
        <f>ROUND(AL139,2)</f>
        <v>5687.05</v>
      </c>
      <c r="Z139" s="11"/>
      <c r="AA139" s="11"/>
      <c r="AB139" s="11">
        <f>ROUND(SUMIF(AA28:AA137,"=85739205",O28:O137),2)</f>
        <v>315114.06</v>
      </c>
      <c r="AC139" s="11">
        <f>ROUND(SUMIF(AA28:AA137,"=85739205",P28:P137),2)</f>
        <v>300967.81</v>
      </c>
      <c r="AD139" s="11">
        <f>ROUND(SUMIF(AA28:AA137,"=85739205",Q28:Q137),2)</f>
        <v>2307.81</v>
      </c>
      <c r="AE139" s="11">
        <f>ROUND(SUMIF(AA28:AA137,"=85739205",R28:R137),2)</f>
        <v>330.58</v>
      </c>
      <c r="AF139" s="11">
        <f>ROUND(SUMIF(AA28:AA137,"=85739205",S28:S137),2)</f>
        <v>11838.44</v>
      </c>
      <c r="AG139" s="11">
        <f>ROUND(SUMIF(AA28:AA137,"=85739205",T28:T137),2)</f>
        <v>0</v>
      </c>
      <c r="AH139" s="11">
        <f>SUMIF(AA28:AA137,"=85739205",U28:U137)</f>
        <v>925.57626372000004</v>
      </c>
      <c r="AI139" s="11">
        <f>SUMIF(AA28:AA137,"=85739205",V28:V137)</f>
        <v>0</v>
      </c>
      <c r="AJ139" s="11">
        <f>ROUND(SUMIF(AA28:AA137,"=85739205",W28:W137),2)</f>
        <v>0</v>
      </c>
      <c r="AK139" s="11">
        <f>ROUND(SUMIF(AA28:AA137,"=85739205",X28:X137),2)</f>
        <v>10995.81</v>
      </c>
      <c r="AL139" s="11">
        <f>ROUND(SUMIF(AA28:AA137,"=85739205",Y28:Y137),2)</f>
        <v>5687.05</v>
      </c>
      <c r="AM139" s="11"/>
      <c r="AN139" s="11"/>
      <c r="AO139" s="11">
        <f t="shared" ref="AO139:BD139" si="174">ROUND(BX139,2)</f>
        <v>0</v>
      </c>
      <c r="AP139" s="11">
        <f t="shared" si="174"/>
        <v>236148.74</v>
      </c>
      <c r="AQ139" s="11">
        <f t="shared" si="174"/>
        <v>0</v>
      </c>
      <c r="AR139" s="11">
        <f t="shared" si="174"/>
        <v>331796.92</v>
      </c>
      <c r="AS139" s="11">
        <f t="shared" si="174"/>
        <v>3220.89</v>
      </c>
      <c r="AT139" s="11">
        <f t="shared" si="174"/>
        <v>92427.29</v>
      </c>
      <c r="AU139" s="11">
        <f t="shared" si="174"/>
        <v>0</v>
      </c>
      <c r="AV139" s="11">
        <f t="shared" si="174"/>
        <v>300967.81</v>
      </c>
      <c r="AW139" s="11">
        <f t="shared" si="174"/>
        <v>64819.07</v>
      </c>
      <c r="AX139" s="11">
        <f t="shared" si="174"/>
        <v>0</v>
      </c>
      <c r="AY139" s="11">
        <f t="shared" si="174"/>
        <v>64819.07</v>
      </c>
      <c r="AZ139" s="11">
        <f t="shared" si="174"/>
        <v>236148.74</v>
      </c>
      <c r="BA139" s="11">
        <f t="shared" si="174"/>
        <v>0</v>
      </c>
      <c r="BB139" s="11">
        <f t="shared" si="174"/>
        <v>0</v>
      </c>
      <c r="BC139" s="11">
        <f t="shared" si="174"/>
        <v>0</v>
      </c>
      <c r="BD139" s="11">
        <f t="shared" si="174"/>
        <v>0</v>
      </c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>
        <f>ROUND(SUMIF(AA28:AA137,"=85739205",FQ28:FQ137),2)</f>
        <v>0</v>
      </c>
      <c r="BY139" s="11">
        <f>ROUND(SUMIF(AA28:AA137,"=85739205",FR28:FR137),2)</f>
        <v>236148.74</v>
      </c>
      <c r="BZ139" s="11">
        <f>ROUND(SUMIF(AA28:AA137,"=85739205",GL28:GL137),2)</f>
        <v>0</v>
      </c>
      <c r="CA139" s="11">
        <f>ROUND(SUMIF(AA28:AA137,"=85739205",GM28:GM137),2)</f>
        <v>331796.92</v>
      </c>
      <c r="CB139" s="11">
        <f>ROUND(SUMIF(AA28:AA137,"=85739205",GN28:GN137),2)</f>
        <v>3220.89</v>
      </c>
      <c r="CC139" s="11">
        <f>ROUND(SUMIF(AA28:AA137,"=85739205",GO28:GO137),2)</f>
        <v>92427.29</v>
      </c>
      <c r="CD139" s="11">
        <f>ROUND(SUMIF(AA28:AA137,"=85739205",GP28:GP137),2)</f>
        <v>0</v>
      </c>
      <c r="CE139" s="11">
        <f>AC139-BX139</f>
        <v>300967.81</v>
      </c>
      <c r="CF139" s="11">
        <f>AC139-BY139</f>
        <v>64819.070000000007</v>
      </c>
      <c r="CG139" s="11">
        <f>BX139-BZ139</f>
        <v>0</v>
      </c>
      <c r="CH139" s="11">
        <f>AC139-BX139-BY139+BZ139</f>
        <v>64819.070000000007</v>
      </c>
      <c r="CI139" s="11">
        <f>BY139-BZ139</f>
        <v>236148.74</v>
      </c>
      <c r="CJ139" s="11">
        <f>ROUND(SUMIF(AA28:AA137,"=85739205",GX28:GX137),2)</f>
        <v>0</v>
      </c>
      <c r="CK139" s="11">
        <f>ROUND(SUMIF(AA28:AA137,"=85739205",GY28:GY137),2)</f>
        <v>0</v>
      </c>
      <c r="CL139" s="11">
        <f>ROUND(SUMIF(AA28:AA137,"=85739205",GZ28:GZ137),2)</f>
        <v>0</v>
      </c>
      <c r="CM139" s="11">
        <f>ROUND(SUMIF(AA28:AA137,"=85739205",HD28:HD137),2)</f>
        <v>0</v>
      </c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2">
        <f t="shared" ref="DG139:DL139" si="175">ROUND(DT139,2)</f>
        <v>2923829.43</v>
      </c>
      <c r="DH139" s="12">
        <f t="shared" si="175"/>
        <v>2214408.86</v>
      </c>
      <c r="DI139" s="12">
        <f t="shared" si="175"/>
        <v>42324.49</v>
      </c>
      <c r="DJ139" s="12">
        <f t="shared" si="175"/>
        <v>18628.18</v>
      </c>
      <c r="DK139" s="12">
        <f t="shared" si="175"/>
        <v>667096.07999999996</v>
      </c>
      <c r="DL139" s="12">
        <f t="shared" si="175"/>
        <v>0</v>
      </c>
      <c r="DM139" s="12">
        <f>DZ139</f>
        <v>925.57626372000004</v>
      </c>
      <c r="DN139" s="12">
        <f>EA139</f>
        <v>0</v>
      </c>
      <c r="DO139" s="12">
        <f>ROUND(EB139,2)</f>
        <v>0</v>
      </c>
      <c r="DP139" s="12">
        <f>ROUND(EC139,2)</f>
        <v>619612.88</v>
      </c>
      <c r="DQ139" s="12">
        <f>ROUND(ED139,2)</f>
        <v>320465.62</v>
      </c>
      <c r="DR139" s="12"/>
      <c r="DS139" s="12"/>
      <c r="DT139" s="12">
        <f>ROUND(SUMIF(AA28:AA137,"=85739207",O28:O137),2)</f>
        <v>2923829.43</v>
      </c>
      <c r="DU139" s="12">
        <f>ROUND(SUMIF(AA28:AA137,"=85739207",P28:P137),2)</f>
        <v>2214408.86</v>
      </c>
      <c r="DV139" s="12">
        <f>ROUND(SUMIF(AA28:AA137,"=85739207",Q28:Q137),2)</f>
        <v>42324.49</v>
      </c>
      <c r="DW139" s="12">
        <f>ROUND(SUMIF(AA28:AA137,"=85739207",R28:R137),2)</f>
        <v>18628.18</v>
      </c>
      <c r="DX139" s="12">
        <f>ROUND(SUMIF(AA28:AA137,"=85739207",S28:S137),2)</f>
        <v>667096.07999999996</v>
      </c>
      <c r="DY139" s="12">
        <f>ROUND(SUMIF(AA28:AA137,"=85739207",T28:T137),2)</f>
        <v>0</v>
      </c>
      <c r="DZ139" s="12">
        <f>SUMIF(AA28:AA137,"=85739207",U28:U137)</f>
        <v>925.57626372000004</v>
      </c>
      <c r="EA139" s="12">
        <f>SUMIF(AA28:AA137,"=85739207",V28:V137)</f>
        <v>0</v>
      </c>
      <c r="EB139" s="12">
        <f>ROUND(SUMIF(AA28:AA137,"=85739207",W28:W137),2)</f>
        <v>0</v>
      </c>
      <c r="EC139" s="12">
        <f>ROUND(SUMIF(AA28:AA137,"=85739207",X28:X137),2)</f>
        <v>619612.88</v>
      </c>
      <c r="ED139" s="12">
        <f>ROUND(SUMIF(AA28:AA137,"=85739207",Y28:Y137),2)</f>
        <v>320465.62</v>
      </c>
      <c r="EE139" s="12"/>
      <c r="EF139" s="12"/>
      <c r="EG139" s="12">
        <f t="shared" ref="EG139:EV139" si="176">ROUND(FP139,2)</f>
        <v>0</v>
      </c>
      <c r="EH139" s="12">
        <f t="shared" si="176"/>
        <v>1878382.1</v>
      </c>
      <c r="EI139" s="12">
        <f t="shared" si="176"/>
        <v>0</v>
      </c>
      <c r="EJ139" s="12">
        <f t="shared" si="176"/>
        <v>3863907.93</v>
      </c>
      <c r="EK139" s="12">
        <f t="shared" si="176"/>
        <v>110156.25</v>
      </c>
      <c r="EL139" s="12">
        <f t="shared" si="176"/>
        <v>1875369.58</v>
      </c>
      <c r="EM139" s="12">
        <f t="shared" si="176"/>
        <v>0</v>
      </c>
      <c r="EN139" s="12">
        <f t="shared" si="176"/>
        <v>2214408.86</v>
      </c>
      <c r="EO139" s="12">
        <f t="shared" si="176"/>
        <v>336026.76</v>
      </c>
      <c r="EP139" s="12">
        <f t="shared" si="176"/>
        <v>0</v>
      </c>
      <c r="EQ139" s="12">
        <f t="shared" si="176"/>
        <v>336026.76</v>
      </c>
      <c r="ER139" s="12">
        <f t="shared" si="176"/>
        <v>1878382.1</v>
      </c>
      <c r="ES139" s="12">
        <f t="shared" si="176"/>
        <v>0</v>
      </c>
      <c r="ET139" s="12">
        <f t="shared" si="176"/>
        <v>0</v>
      </c>
      <c r="EU139" s="12">
        <f t="shared" si="176"/>
        <v>0</v>
      </c>
      <c r="EV139" s="12">
        <f t="shared" si="176"/>
        <v>0</v>
      </c>
      <c r="EW139" s="12"/>
      <c r="EX139" s="12"/>
      <c r="EY139" s="12"/>
      <c r="EZ139" s="12"/>
      <c r="FA139" s="12"/>
      <c r="FB139" s="12"/>
      <c r="FC139" s="12"/>
      <c r="FD139" s="12"/>
      <c r="FE139" s="12"/>
      <c r="FF139" s="12"/>
      <c r="FG139" s="12"/>
      <c r="FH139" s="12"/>
      <c r="FI139" s="12"/>
      <c r="FJ139" s="12"/>
      <c r="FK139" s="12"/>
      <c r="FL139" s="12"/>
      <c r="FM139" s="12"/>
      <c r="FN139" s="12"/>
      <c r="FO139" s="12"/>
      <c r="FP139" s="12">
        <f>ROUND(SUMIF(AA28:AA137,"=85739207",FQ28:FQ137),2)</f>
        <v>0</v>
      </c>
      <c r="FQ139" s="12">
        <f>ROUND(SUMIF(AA28:AA137,"=85739207",FR28:FR137),2)</f>
        <v>1878382.1</v>
      </c>
      <c r="FR139" s="12">
        <f>ROUND(SUMIF(AA28:AA137,"=85739207",GL28:GL137),2)</f>
        <v>0</v>
      </c>
      <c r="FS139" s="12">
        <f>ROUND(SUMIF(AA28:AA137,"=85739207",GM28:GM137),2)</f>
        <v>3863907.93</v>
      </c>
      <c r="FT139" s="12">
        <f>ROUND(SUMIF(AA28:AA137,"=85739207",GN28:GN137),2)</f>
        <v>110156.25</v>
      </c>
      <c r="FU139" s="12">
        <f>ROUND(SUMIF(AA28:AA137,"=85739207",GO28:GO137),2)</f>
        <v>1875369.58</v>
      </c>
      <c r="FV139" s="12">
        <f>ROUND(SUMIF(AA28:AA137,"=85739207",GP28:GP137),2)</f>
        <v>0</v>
      </c>
      <c r="FW139" s="12">
        <f>DU139-FP139</f>
        <v>2214408.86</v>
      </c>
      <c r="FX139" s="12">
        <f>DU139-FQ139</f>
        <v>336026.75999999978</v>
      </c>
      <c r="FY139" s="12">
        <f>FP139-FR139</f>
        <v>0</v>
      </c>
      <c r="FZ139" s="12">
        <f>DU139-FP139-FQ139+FR139</f>
        <v>336026.75999999978</v>
      </c>
      <c r="GA139" s="12">
        <f>FQ139-FR139</f>
        <v>1878382.1</v>
      </c>
      <c r="GB139" s="12">
        <f>ROUND(SUMIF(AA28:AA137,"=85739207",GX28:GX137),2)</f>
        <v>0</v>
      </c>
      <c r="GC139" s="12">
        <f>ROUND(SUMIF(AA28:AA137,"=85739207",GY28:GY137),2)</f>
        <v>0</v>
      </c>
      <c r="GD139" s="12">
        <f>ROUND(SUMIF(AA28:AA137,"=85739207",GZ28:GZ137),2)</f>
        <v>0</v>
      </c>
      <c r="GE139" s="12">
        <f>ROUND(SUMIF(AA28:AA137,"=85739207",HD28:HD137),2)</f>
        <v>0</v>
      </c>
      <c r="GF139" s="12"/>
      <c r="GG139" s="12"/>
      <c r="GH139" s="12"/>
      <c r="GI139" s="12"/>
      <c r="GJ139" s="12"/>
      <c r="GK139" s="12"/>
      <c r="GL139" s="12"/>
      <c r="GM139" s="12"/>
      <c r="GN139" s="12"/>
      <c r="GO139" s="12"/>
      <c r="GP139" s="12"/>
      <c r="GQ139" s="12"/>
      <c r="GR139" s="12"/>
      <c r="GS139" s="12"/>
      <c r="GT139" s="12"/>
      <c r="GU139" s="12"/>
      <c r="GV139" s="12"/>
      <c r="GW139" s="12"/>
      <c r="GX139" s="12">
        <v>0</v>
      </c>
    </row>
    <row r="141" spans="1:255" x14ac:dyDescent="0.2">
      <c r="A141" s="13">
        <v>50</v>
      </c>
      <c r="B141" s="13">
        <v>0</v>
      </c>
      <c r="C141" s="13">
        <v>0</v>
      </c>
      <c r="D141" s="13">
        <v>1</v>
      </c>
      <c r="E141" s="13">
        <v>201</v>
      </c>
      <c r="F141" s="13">
        <f>ROUND(Source!O139,O141)</f>
        <v>315114.06</v>
      </c>
      <c r="G141" s="13" t="s">
        <v>281</v>
      </c>
      <c r="H141" s="13" t="s">
        <v>282</v>
      </c>
      <c r="I141" s="13"/>
      <c r="J141" s="13"/>
      <c r="K141" s="13">
        <v>201</v>
      </c>
      <c r="L141" s="13">
        <v>1</v>
      </c>
      <c r="M141" s="13">
        <v>3</v>
      </c>
      <c r="N141" s="13" t="s">
        <v>3</v>
      </c>
      <c r="O141" s="13">
        <v>2</v>
      </c>
      <c r="P141" s="13">
        <f>ROUND(Source!DG139,O141)</f>
        <v>2923829.43</v>
      </c>
      <c r="Q141" s="13"/>
      <c r="R141" s="13"/>
      <c r="S141" s="13"/>
      <c r="T141" s="13"/>
      <c r="U141" s="13"/>
      <c r="V141" s="13"/>
      <c r="W141" s="13">
        <v>315114.06</v>
      </c>
      <c r="X141" s="13">
        <v>1</v>
      </c>
      <c r="Y141" s="13">
        <v>315114.06</v>
      </c>
      <c r="Z141" s="13">
        <v>2923829.43</v>
      </c>
      <c r="AA141" s="13">
        <v>1</v>
      </c>
      <c r="AB141" s="13">
        <v>2923829.43</v>
      </c>
    </row>
    <row r="142" spans="1:255" x14ac:dyDescent="0.2">
      <c r="A142" s="13">
        <v>50</v>
      </c>
      <c r="B142" s="13">
        <v>0</v>
      </c>
      <c r="C142" s="13">
        <v>0</v>
      </c>
      <c r="D142" s="13">
        <v>1</v>
      </c>
      <c r="E142" s="13">
        <v>202</v>
      </c>
      <c r="F142" s="13">
        <f>ROUND(Source!P139,O142)</f>
        <v>300967.81</v>
      </c>
      <c r="G142" s="13" t="s">
        <v>283</v>
      </c>
      <c r="H142" s="13" t="s">
        <v>284</v>
      </c>
      <c r="I142" s="13"/>
      <c r="J142" s="13"/>
      <c r="K142" s="13">
        <v>202</v>
      </c>
      <c r="L142" s="13">
        <v>2</v>
      </c>
      <c r="M142" s="13">
        <v>3</v>
      </c>
      <c r="N142" s="13" t="s">
        <v>3</v>
      </c>
      <c r="O142" s="13">
        <v>2</v>
      </c>
      <c r="P142" s="13">
        <f>ROUND(Source!DH139,O142)</f>
        <v>2214408.86</v>
      </c>
      <c r="Q142" s="13"/>
      <c r="R142" s="13"/>
      <c r="S142" s="13"/>
      <c r="T142" s="13"/>
      <c r="U142" s="13"/>
      <c r="V142" s="13"/>
      <c r="W142" s="13">
        <v>300967.81</v>
      </c>
      <c r="X142" s="13">
        <v>1</v>
      </c>
      <c r="Y142" s="13">
        <v>300967.81</v>
      </c>
      <c r="Z142" s="13">
        <v>2214408.86</v>
      </c>
      <c r="AA142" s="13">
        <v>1</v>
      </c>
      <c r="AB142" s="13">
        <v>2214408.86</v>
      </c>
    </row>
    <row r="143" spans="1:255" x14ac:dyDescent="0.2">
      <c r="A143" s="13">
        <v>50</v>
      </c>
      <c r="B143" s="13">
        <v>0</v>
      </c>
      <c r="C143" s="13">
        <v>0</v>
      </c>
      <c r="D143" s="13">
        <v>1</v>
      </c>
      <c r="E143" s="13">
        <v>222</v>
      </c>
      <c r="F143" s="13">
        <f>ROUND(Source!AO139,O143)</f>
        <v>0</v>
      </c>
      <c r="G143" s="13" t="s">
        <v>285</v>
      </c>
      <c r="H143" s="13" t="s">
        <v>286</v>
      </c>
      <c r="I143" s="13"/>
      <c r="J143" s="13"/>
      <c r="K143" s="13">
        <v>222</v>
      </c>
      <c r="L143" s="13">
        <v>3</v>
      </c>
      <c r="M143" s="13">
        <v>3</v>
      </c>
      <c r="N143" s="13" t="s">
        <v>3</v>
      </c>
      <c r="O143" s="13">
        <v>2</v>
      </c>
      <c r="P143" s="13">
        <f>ROUND(Source!EG139,O143)</f>
        <v>0</v>
      </c>
      <c r="Q143" s="13"/>
      <c r="R143" s="13"/>
      <c r="S143" s="13"/>
      <c r="T143" s="13"/>
      <c r="U143" s="13"/>
      <c r="V143" s="13"/>
      <c r="W143" s="13">
        <v>0</v>
      </c>
      <c r="X143" s="13">
        <v>1</v>
      </c>
      <c r="Y143" s="13">
        <v>0</v>
      </c>
      <c r="Z143" s="13">
        <v>0</v>
      </c>
      <c r="AA143" s="13">
        <v>1</v>
      </c>
      <c r="AB143" s="13">
        <v>0</v>
      </c>
    </row>
    <row r="144" spans="1:255" x14ac:dyDescent="0.2">
      <c r="A144" s="13">
        <v>50</v>
      </c>
      <c r="B144" s="13">
        <v>0</v>
      </c>
      <c r="C144" s="13">
        <v>0</v>
      </c>
      <c r="D144" s="13">
        <v>1</v>
      </c>
      <c r="E144" s="13">
        <v>225</v>
      </c>
      <c r="F144" s="13">
        <f>ROUND(Source!AV139,O144)</f>
        <v>300967.81</v>
      </c>
      <c r="G144" s="13" t="s">
        <v>287</v>
      </c>
      <c r="H144" s="13" t="s">
        <v>288</v>
      </c>
      <c r="I144" s="13"/>
      <c r="J144" s="13"/>
      <c r="K144" s="13">
        <v>225</v>
      </c>
      <c r="L144" s="13">
        <v>4</v>
      </c>
      <c r="M144" s="13">
        <v>3</v>
      </c>
      <c r="N144" s="13" t="s">
        <v>3</v>
      </c>
      <c r="O144" s="13">
        <v>2</v>
      </c>
      <c r="P144" s="13">
        <f>ROUND(Source!EN139,O144)</f>
        <v>2214408.86</v>
      </c>
      <c r="Q144" s="13"/>
      <c r="R144" s="13"/>
      <c r="S144" s="13"/>
      <c r="T144" s="13"/>
      <c r="U144" s="13"/>
      <c r="V144" s="13"/>
      <c r="W144" s="13">
        <v>300967.81</v>
      </c>
      <c r="X144" s="13">
        <v>1</v>
      </c>
      <c r="Y144" s="13">
        <v>300967.81</v>
      </c>
      <c r="Z144" s="13">
        <v>2214408.86</v>
      </c>
      <c r="AA144" s="13">
        <v>1</v>
      </c>
      <c r="AB144" s="13">
        <v>2214408.86</v>
      </c>
    </row>
    <row r="145" spans="1:28" x14ac:dyDescent="0.2">
      <c r="A145" s="13">
        <v>50</v>
      </c>
      <c r="B145" s="13">
        <v>0</v>
      </c>
      <c r="C145" s="13">
        <v>0</v>
      </c>
      <c r="D145" s="13">
        <v>1</v>
      </c>
      <c r="E145" s="13">
        <v>226</v>
      </c>
      <c r="F145" s="13">
        <f>ROUND(Source!AW139,O145)</f>
        <v>64819.07</v>
      </c>
      <c r="G145" s="13" t="s">
        <v>289</v>
      </c>
      <c r="H145" s="13" t="s">
        <v>290</v>
      </c>
      <c r="I145" s="13"/>
      <c r="J145" s="13"/>
      <c r="K145" s="13">
        <v>226</v>
      </c>
      <c r="L145" s="13">
        <v>5</v>
      </c>
      <c r="M145" s="13">
        <v>3</v>
      </c>
      <c r="N145" s="13" t="s">
        <v>3</v>
      </c>
      <c r="O145" s="13">
        <v>2</v>
      </c>
      <c r="P145" s="13">
        <f>ROUND(Source!EO139,O145)</f>
        <v>336026.76</v>
      </c>
      <c r="Q145" s="13"/>
      <c r="R145" s="13"/>
      <c r="S145" s="13"/>
      <c r="T145" s="13"/>
      <c r="U145" s="13"/>
      <c r="V145" s="13"/>
      <c r="W145" s="13">
        <v>64819.07</v>
      </c>
      <c r="X145" s="13">
        <v>1</v>
      </c>
      <c r="Y145" s="13">
        <v>64819.07</v>
      </c>
      <c r="Z145" s="13">
        <v>336026.76</v>
      </c>
      <c r="AA145" s="13">
        <v>1</v>
      </c>
      <c r="AB145" s="13">
        <v>336026.76</v>
      </c>
    </row>
    <row r="146" spans="1:28" x14ac:dyDescent="0.2">
      <c r="A146" s="13">
        <v>50</v>
      </c>
      <c r="B146" s="13">
        <v>0</v>
      </c>
      <c r="C146" s="13">
        <v>0</v>
      </c>
      <c r="D146" s="13">
        <v>1</v>
      </c>
      <c r="E146" s="13">
        <v>227</v>
      </c>
      <c r="F146" s="13">
        <f>ROUND(Source!AX139,O146)</f>
        <v>0</v>
      </c>
      <c r="G146" s="13" t="s">
        <v>291</v>
      </c>
      <c r="H146" s="13" t="s">
        <v>292</v>
      </c>
      <c r="I146" s="13"/>
      <c r="J146" s="13"/>
      <c r="K146" s="13">
        <v>227</v>
      </c>
      <c r="L146" s="13">
        <v>6</v>
      </c>
      <c r="M146" s="13">
        <v>3</v>
      </c>
      <c r="N146" s="13" t="s">
        <v>3</v>
      </c>
      <c r="O146" s="13">
        <v>2</v>
      </c>
      <c r="P146" s="13">
        <f>ROUND(Source!EP139,O146)</f>
        <v>0</v>
      </c>
      <c r="Q146" s="13"/>
      <c r="R146" s="13"/>
      <c r="S146" s="13"/>
      <c r="T146" s="13"/>
      <c r="U146" s="13"/>
      <c r="V146" s="13"/>
      <c r="W146" s="13">
        <v>0</v>
      </c>
      <c r="X146" s="13">
        <v>1</v>
      </c>
      <c r="Y146" s="13">
        <v>0</v>
      </c>
      <c r="Z146" s="13">
        <v>0</v>
      </c>
      <c r="AA146" s="13">
        <v>1</v>
      </c>
      <c r="AB146" s="13">
        <v>0</v>
      </c>
    </row>
    <row r="147" spans="1:28" x14ac:dyDescent="0.2">
      <c r="A147" s="13">
        <v>50</v>
      </c>
      <c r="B147" s="13">
        <v>0</v>
      </c>
      <c r="C147" s="13">
        <v>0</v>
      </c>
      <c r="D147" s="13">
        <v>1</v>
      </c>
      <c r="E147" s="13">
        <v>228</v>
      </c>
      <c r="F147" s="13">
        <f>ROUND(Source!AY139,O147)</f>
        <v>64819.07</v>
      </c>
      <c r="G147" s="13" t="s">
        <v>293</v>
      </c>
      <c r="H147" s="13" t="s">
        <v>294</v>
      </c>
      <c r="I147" s="13"/>
      <c r="J147" s="13"/>
      <c r="K147" s="13">
        <v>228</v>
      </c>
      <c r="L147" s="13">
        <v>7</v>
      </c>
      <c r="M147" s="13">
        <v>3</v>
      </c>
      <c r="N147" s="13" t="s">
        <v>3</v>
      </c>
      <c r="O147" s="13">
        <v>2</v>
      </c>
      <c r="P147" s="13">
        <f>ROUND(Source!EQ139,O147)</f>
        <v>336026.76</v>
      </c>
      <c r="Q147" s="13"/>
      <c r="R147" s="13"/>
      <c r="S147" s="13"/>
      <c r="T147" s="13"/>
      <c r="U147" s="13"/>
      <c r="V147" s="13"/>
      <c r="W147" s="13">
        <v>64819.07</v>
      </c>
      <c r="X147" s="13">
        <v>1</v>
      </c>
      <c r="Y147" s="13">
        <v>64819.07</v>
      </c>
      <c r="Z147" s="13">
        <v>336026.76</v>
      </c>
      <c r="AA147" s="13">
        <v>1</v>
      </c>
      <c r="AB147" s="13">
        <v>336026.76</v>
      </c>
    </row>
    <row r="148" spans="1:28" x14ac:dyDescent="0.2">
      <c r="A148" s="13">
        <v>50</v>
      </c>
      <c r="B148" s="13">
        <v>0</v>
      </c>
      <c r="C148" s="13">
        <v>0</v>
      </c>
      <c r="D148" s="13">
        <v>1</v>
      </c>
      <c r="E148" s="13">
        <v>216</v>
      </c>
      <c r="F148" s="13">
        <f>ROUND(Source!AP139,O148)</f>
        <v>236148.74</v>
      </c>
      <c r="G148" s="13" t="s">
        <v>295</v>
      </c>
      <c r="H148" s="13" t="s">
        <v>296</v>
      </c>
      <c r="I148" s="13"/>
      <c r="J148" s="13"/>
      <c r="K148" s="13">
        <v>216</v>
      </c>
      <c r="L148" s="13">
        <v>8</v>
      </c>
      <c r="M148" s="13">
        <v>3</v>
      </c>
      <c r="N148" s="13" t="s">
        <v>3</v>
      </c>
      <c r="O148" s="13">
        <v>2</v>
      </c>
      <c r="P148" s="13">
        <f>ROUND(Source!EH139,O148)</f>
        <v>1878382.1</v>
      </c>
      <c r="Q148" s="13"/>
      <c r="R148" s="13"/>
      <c r="S148" s="13"/>
      <c r="T148" s="13"/>
      <c r="U148" s="13"/>
      <c r="V148" s="13"/>
      <c r="W148" s="13">
        <v>236148.74</v>
      </c>
      <c r="X148" s="13">
        <v>1</v>
      </c>
      <c r="Y148" s="13">
        <v>236148.74</v>
      </c>
      <c r="Z148" s="13">
        <v>1878382.1</v>
      </c>
      <c r="AA148" s="13">
        <v>1</v>
      </c>
      <c r="AB148" s="13">
        <v>1878382.1</v>
      </c>
    </row>
    <row r="149" spans="1:28" x14ac:dyDescent="0.2">
      <c r="A149" s="13">
        <v>50</v>
      </c>
      <c r="B149" s="13">
        <v>0</v>
      </c>
      <c r="C149" s="13">
        <v>0</v>
      </c>
      <c r="D149" s="13">
        <v>1</v>
      </c>
      <c r="E149" s="13">
        <v>223</v>
      </c>
      <c r="F149" s="13">
        <f>ROUND(Source!AQ139,O149)</f>
        <v>0</v>
      </c>
      <c r="G149" s="13" t="s">
        <v>297</v>
      </c>
      <c r="H149" s="13" t="s">
        <v>298</v>
      </c>
      <c r="I149" s="13"/>
      <c r="J149" s="13"/>
      <c r="K149" s="13">
        <v>223</v>
      </c>
      <c r="L149" s="13">
        <v>9</v>
      </c>
      <c r="M149" s="13">
        <v>3</v>
      </c>
      <c r="N149" s="13" t="s">
        <v>3</v>
      </c>
      <c r="O149" s="13">
        <v>2</v>
      </c>
      <c r="P149" s="13">
        <f>ROUND(Source!EI139,O149)</f>
        <v>0</v>
      </c>
      <c r="Q149" s="13"/>
      <c r="R149" s="13"/>
      <c r="S149" s="13"/>
      <c r="T149" s="13"/>
      <c r="U149" s="13"/>
      <c r="V149" s="13"/>
      <c r="W149" s="13">
        <v>0</v>
      </c>
      <c r="X149" s="13">
        <v>1</v>
      </c>
      <c r="Y149" s="13">
        <v>0</v>
      </c>
      <c r="Z149" s="13">
        <v>0</v>
      </c>
      <c r="AA149" s="13">
        <v>1</v>
      </c>
      <c r="AB149" s="13">
        <v>0</v>
      </c>
    </row>
    <row r="150" spans="1:28" x14ac:dyDescent="0.2">
      <c r="A150" s="13">
        <v>50</v>
      </c>
      <c r="B150" s="13">
        <v>0</v>
      </c>
      <c r="C150" s="13">
        <v>0</v>
      </c>
      <c r="D150" s="13">
        <v>1</v>
      </c>
      <c r="E150" s="13">
        <v>229</v>
      </c>
      <c r="F150" s="13">
        <f>ROUND(Source!AZ139,O150)</f>
        <v>236148.74</v>
      </c>
      <c r="G150" s="13" t="s">
        <v>299</v>
      </c>
      <c r="H150" s="13" t="s">
        <v>300</v>
      </c>
      <c r="I150" s="13"/>
      <c r="J150" s="13"/>
      <c r="K150" s="13">
        <v>229</v>
      </c>
      <c r="L150" s="13">
        <v>10</v>
      </c>
      <c r="M150" s="13">
        <v>3</v>
      </c>
      <c r="N150" s="13" t="s">
        <v>3</v>
      </c>
      <c r="O150" s="13">
        <v>2</v>
      </c>
      <c r="P150" s="13">
        <f>ROUND(Source!ER139,O150)</f>
        <v>1878382.1</v>
      </c>
      <c r="Q150" s="13"/>
      <c r="R150" s="13"/>
      <c r="S150" s="13"/>
      <c r="T150" s="13"/>
      <c r="U150" s="13"/>
      <c r="V150" s="13"/>
      <c r="W150" s="13">
        <v>236148.74</v>
      </c>
      <c r="X150" s="13">
        <v>1</v>
      </c>
      <c r="Y150" s="13">
        <v>236148.74</v>
      </c>
      <c r="Z150" s="13">
        <v>1878382.1</v>
      </c>
      <c r="AA150" s="13">
        <v>1</v>
      </c>
      <c r="AB150" s="13">
        <v>1878382.1</v>
      </c>
    </row>
    <row r="151" spans="1:28" x14ac:dyDescent="0.2">
      <c r="A151" s="13">
        <v>50</v>
      </c>
      <c r="B151" s="13">
        <v>0</v>
      </c>
      <c r="C151" s="13">
        <v>0</v>
      </c>
      <c r="D151" s="13">
        <v>1</v>
      </c>
      <c r="E151" s="13">
        <v>203</v>
      </c>
      <c r="F151" s="13">
        <f>ROUND(Source!Q139,O151)</f>
        <v>2307.81</v>
      </c>
      <c r="G151" s="13" t="s">
        <v>301</v>
      </c>
      <c r="H151" s="13" t="s">
        <v>302</v>
      </c>
      <c r="I151" s="13"/>
      <c r="J151" s="13"/>
      <c r="K151" s="13">
        <v>203</v>
      </c>
      <c r="L151" s="13">
        <v>11</v>
      </c>
      <c r="M151" s="13">
        <v>3</v>
      </c>
      <c r="N151" s="13" t="s">
        <v>3</v>
      </c>
      <c r="O151" s="13">
        <v>2</v>
      </c>
      <c r="P151" s="13">
        <f>ROUND(Source!DI139,O151)</f>
        <v>42324.49</v>
      </c>
      <c r="Q151" s="13"/>
      <c r="R151" s="13"/>
      <c r="S151" s="13"/>
      <c r="T151" s="13"/>
      <c r="U151" s="13"/>
      <c r="V151" s="13"/>
      <c r="W151" s="13">
        <v>2307.81</v>
      </c>
      <c r="X151" s="13">
        <v>1</v>
      </c>
      <c r="Y151" s="13">
        <v>2307.81</v>
      </c>
      <c r="Z151" s="13">
        <v>42324.49</v>
      </c>
      <c r="AA151" s="13">
        <v>1</v>
      </c>
      <c r="AB151" s="13">
        <v>42324.49</v>
      </c>
    </row>
    <row r="152" spans="1:28" x14ac:dyDescent="0.2">
      <c r="A152" s="13">
        <v>50</v>
      </c>
      <c r="B152" s="13">
        <v>0</v>
      </c>
      <c r="C152" s="13">
        <v>0</v>
      </c>
      <c r="D152" s="13">
        <v>1</v>
      </c>
      <c r="E152" s="13">
        <v>231</v>
      </c>
      <c r="F152" s="13">
        <f>ROUND(Source!BB139,O152)</f>
        <v>0</v>
      </c>
      <c r="G152" s="13" t="s">
        <v>303</v>
      </c>
      <c r="H152" s="13" t="s">
        <v>304</v>
      </c>
      <c r="I152" s="13"/>
      <c r="J152" s="13"/>
      <c r="K152" s="13">
        <v>231</v>
      </c>
      <c r="L152" s="13">
        <v>12</v>
      </c>
      <c r="M152" s="13">
        <v>3</v>
      </c>
      <c r="N152" s="13" t="s">
        <v>3</v>
      </c>
      <c r="O152" s="13">
        <v>2</v>
      </c>
      <c r="P152" s="13">
        <f>ROUND(Source!ET139,O152)</f>
        <v>0</v>
      </c>
      <c r="Q152" s="13"/>
      <c r="R152" s="13"/>
      <c r="S152" s="13"/>
      <c r="T152" s="13"/>
      <c r="U152" s="13"/>
      <c r="V152" s="13"/>
      <c r="W152" s="13">
        <v>0</v>
      </c>
      <c r="X152" s="13">
        <v>1</v>
      </c>
      <c r="Y152" s="13">
        <v>0</v>
      </c>
      <c r="Z152" s="13">
        <v>0</v>
      </c>
      <c r="AA152" s="13">
        <v>1</v>
      </c>
      <c r="AB152" s="13">
        <v>0</v>
      </c>
    </row>
    <row r="153" spans="1:28" x14ac:dyDescent="0.2">
      <c r="A153" s="13">
        <v>50</v>
      </c>
      <c r="B153" s="13">
        <v>0</v>
      </c>
      <c r="C153" s="13">
        <v>0</v>
      </c>
      <c r="D153" s="13">
        <v>1</v>
      </c>
      <c r="E153" s="13">
        <v>204</v>
      </c>
      <c r="F153" s="13">
        <f>ROUND(Source!R139,O153)</f>
        <v>330.58</v>
      </c>
      <c r="G153" s="13" t="s">
        <v>305</v>
      </c>
      <c r="H153" s="13" t="s">
        <v>306</v>
      </c>
      <c r="I153" s="13"/>
      <c r="J153" s="13"/>
      <c r="K153" s="13">
        <v>204</v>
      </c>
      <c r="L153" s="13">
        <v>13</v>
      </c>
      <c r="M153" s="13">
        <v>3</v>
      </c>
      <c r="N153" s="13" t="s">
        <v>3</v>
      </c>
      <c r="O153" s="13">
        <v>2</v>
      </c>
      <c r="P153" s="13">
        <f>ROUND(Source!DJ139,O153)</f>
        <v>18628.18</v>
      </c>
      <c r="Q153" s="13"/>
      <c r="R153" s="13"/>
      <c r="S153" s="13"/>
      <c r="T153" s="13"/>
      <c r="U153" s="13"/>
      <c r="V153" s="13"/>
      <c r="W153" s="13">
        <v>330.58</v>
      </c>
      <c r="X153" s="13">
        <v>1</v>
      </c>
      <c r="Y153" s="13">
        <v>330.58</v>
      </c>
      <c r="Z153" s="13">
        <v>18628.18</v>
      </c>
      <c r="AA153" s="13">
        <v>1</v>
      </c>
      <c r="AB153" s="13">
        <v>18628.18</v>
      </c>
    </row>
    <row r="154" spans="1:28" x14ac:dyDescent="0.2">
      <c r="A154" s="13">
        <v>50</v>
      </c>
      <c r="B154" s="13">
        <v>0</v>
      </c>
      <c r="C154" s="13">
        <v>0</v>
      </c>
      <c r="D154" s="13">
        <v>1</v>
      </c>
      <c r="E154" s="13">
        <v>205</v>
      </c>
      <c r="F154" s="13">
        <f>ROUND(Source!S139,O154)</f>
        <v>11838.44</v>
      </c>
      <c r="G154" s="13" t="s">
        <v>307</v>
      </c>
      <c r="H154" s="13" t="s">
        <v>308</v>
      </c>
      <c r="I154" s="13"/>
      <c r="J154" s="13"/>
      <c r="K154" s="13">
        <v>205</v>
      </c>
      <c r="L154" s="13">
        <v>14</v>
      </c>
      <c r="M154" s="13">
        <v>3</v>
      </c>
      <c r="N154" s="13" t="s">
        <v>3</v>
      </c>
      <c r="O154" s="13">
        <v>2</v>
      </c>
      <c r="P154" s="13">
        <f>ROUND(Source!DK139,O154)</f>
        <v>667096.07999999996</v>
      </c>
      <c r="Q154" s="13"/>
      <c r="R154" s="13"/>
      <c r="S154" s="13"/>
      <c r="T154" s="13"/>
      <c r="U154" s="13"/>
      <c r="V154" s="13"/>
      <c r="W154" s="13">
        <v>11838.44</v>
      </c>
      <c r="X154" s="13">
        <v>1</v>
      </c>
      <c r="Y154" s="13">
        <v>11838.44</v>
      </c>
      <c r="Z154" s="13">
        <v>667096.07999999996</v>
      </c>
      <c r="AA154" s="13">
        <v>1</v>
      </c>
      <c r="AB154" s="13">
        <v>667096.07999999996</v>
      </c>
    </row>
    <row r="155" spans="1:28" x14ac:dyDescent="0.2">
      <c r="A155" s="13">
        <v>50</v>
      </c>
      <c r="B155" s="13">
        <v>0</v>
      </c>
      <c r="C155" s="13">
        <v>0</v>
      </c>
      <c r="D155" s="13">
        <v>1</v>
      </c>
      <c r="E155" s="13">
        <v>232</v>
      </c>
      <c r="F155" s="13">
        <f>ROUND(Source!BC139,O155)</f>
        <v>0</v>
      </c>
      <c r="G155" s="13" t="s">
        <v>309</v>
      </c>
      <c r="H155" s="13" t="s">
        <v>310</v>
      </c>
      <c r="I155" s="13"/>
      <c r="J155" s="13"/>
      <c r="K155" s="13">
        <v>232</v>
      </c>
      <c r="L155" s="13">
        <v>15</v>
      </c>
      <c r="M155" s="13">
        <v>3</v>
      </c>
      <c r="N155" s="13" t="s">
        <v>3</v>
      </c>
      <c r="O155" s="13">
        <v>2</v>
      </c>
      <c r="P155" s="13">
        <f>ROUND(Source!EU139,O155)</f>
        <v>0</v>
      </c>
      <c r="Q155" s="13"/>
      <c r="R155" s="13"/>
      <c r="S155" s="13"/>
      <c r="T155" s="13"/>
      <c r="U155" s="13"/>
      <c r="V155" s="13"/>
      <c r="W155" s="13">
        <v>0</v>
      </c>
      <c r="X155" s="13">
        <v>1</v>
      </c>
      <c r="Y155" s="13">
        <v>0</v>
      </c>
      <c r="Z155" s="13">
        <v>0</v>
      </c>
      <c r="AA155" s="13">
        <v>1</v>
      </c>
      <c r="AB155" s="13">
        <v>0</v>
      </c>
    </row>
    <row r="156" spans="1:28" x14ac:dyDescent="0.2">
      <c r="A156" s="13">
        <v>50</v>
      </c>
      <c r="B156" s="13">
        <v>0</v>
      </c>
      <c r="C156" s="13">
        <v>0</v>
      </c>
      <c r="D156" s="13">
        <v>1</v>
      </c>
      <c r="E156" s="13">
        <v>214</v>
      </c>
      <c r="F156" s="13">
        <f>ROUND(Source!AS139,O156)</f>
        <v>3220.89</v>
      </c>
      <c r="G156" s="13" t="s">
        <v>311</v>
      </c>
      <c r="H156" s="13" t="s">
        <v>312</v>
      </c>
      <c r="I156" s="13"/>
      <c r="J156" s="13"/>
      <c r="K156" s="13">
        <v>214</v>
      </c>
      <c r="L156" s="13">
        <v>16</v>
      </c>
      <c r="M156" s="13">
        <v>3</v>
      </c>
      <c r="N156" s="13" t="s">
        <v>3</v>
      </c>
      <c r="O156" s="13">
        <v>2</v>
      </c>
      <c r="P156" s="13">
        <f>ROUND(Source!EK139,O156)</f>
        <v>110156.25</v>
      </c>
      <c r="Q156" s="13"/>
      <c r="R156" s="13"/>
      <c r="S156" s="13"/>
      <c r="T156" s="13"/>
      <c r="U156" s="13"/>
      <c r="V156" s="13"/>
      <c r="W156" s="13">
        <v>3220.89</v>
      </c>
      <c r="X156" s="13">
        <v>1</v>
      </c>
      <c r="Y156" s="13">
        <v>3220.89</v>
      </c>
      <c r="Z156" s="13">
        <v>110156.25</v>
      </c>
      <c r="AA156" s="13">
        <v>1</v>
      </c>
      <c r="AB156" s="13">
        <v>110156.25</v>
      </c>
    </row>
    <row r="157" spans="1:28" x14ac:dyDescent="0.2">
      <c r="A157" s="13">
        <v>50</v>
      </c>
      <c r="B157" s="13">
        <v>0</v>
      </c>
      <c r="C157" s="13">
        <v>0</v>
      </c>
      <c r="D157" s="13">
        <v>1</v>
      </c>
      <c r="E157" s="13">
        <v>215</v>
      </c>
      <c r="F157" s="13">
        <f>ROUND(Source!AT139,O157)</f>
        <v>92427.29</v>
      </c>
      <c r="G157" s="13" t="s">
        <v>313</v>
      </c>
      <c r="H157" s="13" t="s">
        <v>314</v>
      </c>
      <c r="I157" s="13"/>
      <c r="J157" s="13"/>
      <c r="K157" s="13">
        <v>215</v>
      </c>
      <c r="L157" s="13">
        <v>17</v>
      </c>
      <c r="M157" s="13">
        <v>3</v>
      </c>
      <c r="N157" s="13" t="s">
        <v>3</v>
      </c>
      <c r="O157" s="13">
        <v>2</v>
      </c>
      <c r="P157" s="13">
        <f>ROUND(Source!EL139,O157)</f>
        <v>1875369.58</v>
      </c>
      <c r="Q157" s="13"/>
      <c r="R157" s="13"/>
      <c r="S157" s="13"/>
      <c r="T157" s="13"/>
      <c r="U157" s="13"/>
      <c r="V157" s="13"/>
      <c r="W157" s="13">
        <v>92427.29</v>
      </c>
      <c r="X157" s="13">
        <v>1</v>
      </c>
      <c r="Y157" s="13">
        <v>92427.29</v>
      </c>
      <c r="Z157" s="13">
        <v>1875369.58</v>
      </c>
      <c r="AA157" s="13">
        <v>1</v>
      </c>
      <c r="AB157" s="13">
        <v>1875369.58</v>
      </c>
    </row>
    <row r="158" spans="1:28" x14ac:dyDescent="0.2">
      <c r="A158" s="13">
        <v>50</v>
      </c>
      <c r="B158" s="13">
        <v>0</v>
      </c>
      <c r="C158" s="13">
        <v>0</v>
      </c>
      <c r="D158" s="13">
        <v>1</v>
      </c>
      <c r="E158" s="13">
        <v>217</v>
      </c>
      <c r="F158" s="13">
        <f>ROUND(Source!AU139,O158)</f>
        <v>0</v>
      </c>
      <c r="G158" s="13" t="s">
        <v>315</v>
      </c>
      <c r="H158" s="13" t="s">
        <v>316</v>
      </c>
      <c r="I158" s="13"/>
      <c r="J158" s="13"/>
      <c r="K158" s="13">
        <v>217</v>
      </c>
      <c r="L158" s="13">
        <v>18</v>
      </c>
      <c r="M158" s="13">
        <v>3</v>
      </c>
      <c r="N158" s="13" t="s">
        <v>3</v>
      </c>
      <c r="O158" s="13">
        <v>2</v>
      </c>
      <c r="P158" s="13">
        <f>ROUND(Source!EM139,O158)</f>
        <v>0</v>
      </c>
      <c r="Q158" s="13"/>
      <c r="R158" s="13"/>
      <c r="S158" s="13"/>
      <c r="T158" s="13"/>
      <c r="U158" s="13"/>
      <c r="V158" s="13"/>
      <c r="W158" s="13">
        <v>0</v>
      </c>
      <c r="X158" s="13">
        <v>1</v>
      </c>
      <c r="Y158" s="13">
        <v>0</v>
      </c>
      <c r="Z158" s="13">
        <v>0</v>
      </c>
      <c r="AA158" s="13">
        <v>1</v>
      </c>
      <c r="AB158" s="13">
        <v>0</v>
      </c>
    </row>
    <row r="159" spans="1:28" x14ac:dyDescent="0.2">
      <c r="A159" s="13">
        <v>50</v>
      </c>
      <c r="B159" s="13">
        <v>0</v>
      </c>
      <c r="C159" s="13">
        <v>0</v>
      </c>
      <c r="D159" s="13">
        <v>1</v>
      </c>
      <c r="E159" s="13">
        <v>230</v>
      </c>
      <c r="F159" s="13">
        <f>ROUND(Source!BA139,O159)</f>
        <v>0</v>
      </c>
      <c r="G159" s="13" t="s">
        <v>317</v>
      </c>
      <c r="H159" s="13" t="s">
        <v>318</v>
      </c>
      <c r="I159" s="13"/>
      <c r="J159" s="13"/>
      <c r="K159" s="13">
        <v>230</v>
      </c>
      <c r="L159" s="13">
        <v>19</v>
      </c>
      <c r="M159" s="13">
        <v>3</v>
      </c>
      <c r="N159" s="13" t="s">
        <v>3</v>
      </c>
      <c r="O159" s="13">
        <v>2</v>
      </c>
      <c r="P159" s="13">
        <f>ROUND(Source!ES139,O159)</f>
        <v>0</v>
      </c>
      <c r="Q159" s="13"/>
      <c r="R159" s="13"/>
      <c r="S159" s="13"/>
      <c r="T159" s="13"/>
      <c r="U159" s="13"/>
      <c r="V159" s="13"/>
      <c r="W159" s="13">
        <v>0</v>
      </c>
      <c r="X159" s="13">
        <v>1</v>
      </c>
      <c r="Y159" s="13">
        <v>0</v>
      </c>
      <c r="Z159" s="13">
        <v>0</v>
      </c>
      <c r="AA159" s="13">
        <v>1</v>
      </c>
      <c r="AB159" s="13">
        <v>0</v>
      </c>
    </row>
    <row r="160" spans="1:28" x14ac:dyDescent="0.2">
      <c r="A160" s="13">
        <v>50</v>
      </c>
      <c r="B160" s="13">
        <v>0</v>
      </c>
      <c r="C160" s="13">
        <v>0</v>
      </c>
      <c r="D160" s="13">
        <v>1</v>
      </c>
      <c r="E160" s="13">
        <v>206</v>
      </c>
      <c r="F160" s="13">
        <f>ROUND(Source!T139,O160)</f>
        <v>0</v>
      </c>
      <c r="G160" s="13" t="s">
        <v>319</v>
      </c>
      <c r="H160" s="13" t="s">
        <v>320</v>
      </c>
      <c r="I160" s="13"/>
      <c r="J160" s="13"/>
      <c r="K160" s="13">
        <v>206</v>
      </c>
      <c r="L160" s="13">
        <v>20</v>
      </c>
      <c r="M160" s="13">
        <v>3</v>
      </c>
      <c r="N160" s="13" t="s">
        <v>3</v>
      </c>
      <c r="O160" s="13">
        <v>2</v>
      </c>
      <c r="P160" s="13">
        <f>ROUND(Source!DL139,O160)</f>
        <v>0</v>
      </c>
      <c r="Q160" s="13"/>
      <c r="R160" s="13"/>
      <c r="S160" s="13"/>
      <c r="T160" s="13"/>
      <c r="U160" s="13"/>
      <c r="V160" s="13"/>
      <c r="W160" s="13">
        <v>0</v>
      </c>
      <c r="X160" s="13">
        <v>1</v>
      </c>
      <c r="Y160" s="13">
        <v>0</v>
      </c>
      <c r="Z160" s="13">
        <v>0</v>
      </c>
      <c r="AA160" s="13">
        <v>1</v>
      </c>
      <c r="AB160" s="13">
        <v>0</v>
      </c>
    </row>
    <row r="161" spans="1:255" x14ac:dyDescent="0.2">
      <c r="A161" s="13">
        <v>50</v>
      </c>
      <c r="B161" s="13">
        <v>0</v>
      </c>
      <c r="C161" s="13">
        <v>0</v>
      </c>
      <c r="D161" s="13">
        <v>1</v>
      </c>
      <c r="E161" s="13">
        <v>207</v>
      </c>
      <c r="F161" s="13">
        <f>Source!U139</f>
        <v>925.57626372000004</v>
      </c>
      <c r="G161" s="13" t="s">
        <v>321</v>
      </c>
      <c r="H161" s="13" t="s">
        <v>322</v>
      </c>
      <c r="I161" s="13"/>
      <c r="J161" s="13"/>
      <c r="K161" s="13">
        <v>207</v>
      </c>
      <c r="L161" s="13">
        <v>21</v>
      </c>
      <c r="M161" s="13">
        <v>3</v>
      </c>
      <c r="N161" s="13" t="s">
        <v>3</v>
      </c>
      <c r="O161" s="13">
        <v>-1</v>
      </c>
      <c r="P161" s="13">
        <f>Source!DM139</f>
        <v>925.57626372000004</v>
      </c>
      <c r="Q161" s="13"/>
      <c r="R161" s="13"/>
      <c r="S161" s="13"/>
      <c r="T161" s="13"/>
      <c r="U161" s="13"/>
      <c r="V161" s="13"/>
      <c r="W161" s="13">
        <v>925.57626372000016</v>
      </c>
      <c r="X161" s="13">
        <v>1</v>
      </c>
      <c r="Y161" s="13">
        <v>925.57626372000016</v>
      </c>
      <c r="Z161" s="13">
        <v>925.57626372000016</v>
      </c>
      <c r="AA161" s="13">
        <v>1</v>
      </c>
      <c r="AB161" s="13">
        <v>925.57626372000016</v>
      </c>
    </row>
    <row r="162" spans="1:255" x14ac:dyDescent="0.2">
      <c r="A162" s="13">
        <v>50</v>
      </c>
      <c r="B162" s="13">
        <v>0</v>
      </c>
      <c r="C162" s="13">
        <v>0</v>
      </c>
      <c r="D162" s="13">
        <v>1</v>
      </c>
      <c r="E162" s="13">
        <v>208</v>
      </c>
      <c r="F162" s="13">
        <f>Source!V139</f>
        <v>0</v>
      </c>
      <c r="G162" s="13" t="s">
        <v>323</v>
      </c>
      <c r="H162" s="13" t="s">
        <v>324</v>
      </c>
      <c r="I162" s="13"/>
      <c r="J162" s="13"/>
      <c r="K162" s="13">
        <v>208</v>
      </c>
      <c r="L162" s="13">
        <v>22</v>
      </c>
      <c r="M162" s="13">
        <v>3</v>
      </c>
      <c r="N162" s="13" t="s">
        <v>3</v>
      </c>
      <c r="O162" s="13">
        <v>-1</v>
      </c>
      <c r="P162" s="13">
        <f>Source!DN139</f>
        <v>0</v>
      </c>
      <c r="Q162" s="13"/>
      <c r="R162" s="13"/>
      <c r="S162" s="13"/>
      <c r="T162" s="13"/>
      <c r="U162" s="13"/>
      <c r="V162" s="13"/>
      <c r="W162" s="13">
        <v>0</v>
      </c>
      <c r="X162" s="13">
        <v>1</v>
      </c>
      <c r="Y162" s="13">
        <v>0</v>
      </c>
      <c r="Z162" s="13">
        <v>0</v>
      </c>
      <c r="AA162" s="13">
        <v>1</v>
      </c>
      <c r="AB162" s="13">
        <v>0</v>
      </c>
    </row>
    <row r="163" spans="1:255" x14ac:dyDescent="0.2">
      <c r="A163" s="13">
        <v>50</v>
      </c>
      <c r="B163" s="13">
        <v>0</v>
      </c>
      <c r="C163" s="13">
        <v>0</v>
      </c>
      <c r="D163" s="13">
        <v>1</v>
      </c>
      <c r="E163" s="13">
        <v>209</v>
      </c>
      <c r="F163" s="13">
        <f>ROUND(Source!W139,O163)</f>
        <v>0</v>
      </c>
      <c r="G163" s="13" t="s">
        <v>325</v>
      </c>
      <c r="H163" s="13" t="s">
        <v>326</v>
      </c>
      <c r="I163" s="13"/>
      <c r="J163" s="13"/>
      <c r="K163" s="13">
        <v>209</v>
      </c>
      <c r="L163" s="13">
        <v>23</v>
      </c>
      <c r="M163" s="13">
        <v>3</v>
      </c>
      <c r="N163" s="13" t="s">
        <v>3</v>
      </c>
      <c r="O163" s="13">
        <v>2</v>
      </c>
      <c r="P163" s="13">
        <f>ROUND(Source!DO139,O163)</f>
        <v>0</v>
      </c>
      <c r="Q163" s="13"/>
      <c r="R163" s="13"/>
      <c r="S163" s="13"/>
      <c r="T163" s="13"/>
      <c r="U163" s="13"/>
      <c r="V163" s="13"/>
      <c r="W163" s="13">
        <v>0</v>
      </c>
      <c r="X163" s="13">
        <v>1</v>
      </c>
      <c r="Y163" s="13">
        <v>0</v>
      </c>
      <c r="Z163" s="13">
        <v>0</v>
      </c>
      <c r="AA163" s="13">
        <v>1</v>
      </c>
      <c r="AB163" s="13">
        <v>0</v>
      </c>
    </row>
    <row r="164" spans="1:255" x14ac:dyDescent="0.2">
      <c r="A164" s="13">
        <v>50</v>
      </c>
      <c r="B164" s="13">
        <v>0</v>
      </c>
      <c r="C164" s="13">
        <v>0</v>
      </c>
      <c r="D164" s="13">
        <v>1</v>
      </c>
      <c r="E164" s="13">
        <v>233</v>
      </c>
      <c r="F164" s="13">
        <f>ROUND(Source!BD139,O164)</f>
        <v>0</v>
      </c>
      <c r="G164" s="13" t="s">
        <v>327</v>
      </c>
      <c r="H164" s="13" t="s">
        <v>328</v>
      </c>
      <c r="I164" s="13"/>
      <c r="J164" s="13"/>
      <c r="K164" s="13">
        <v>233</v>
      </c>
      <c r="L164" s="13">
        <v>24</v>
      </c>
      <c r="M164" s="13">
        <v>3</v>
      </c>
      <c r="N164" s="13" t="s">
        <v>3</v>
      </c>
      <c r="O164" s="13">
        <v>2</v>
      </c>
      <c r="P164" s="13">
        <f>ROUND(Source!EV139,O164)</f>
        <v>0</v>
      </c>
      <c r="Q164" s="13"/>
      <c r="R164" s="13"/>
      <c r="S164" s="13"/>
      <c r="T164" s="13"/>
      <c r="U164" s="13"/>
      <c r="V164" s="13"/>
      <c r="W164" s="13">
        <v>0</v>
      </c>
      <c r="X164" s="13">
        <v>1</v>
      </c>
      <c r="Y164" s="13">
        <v>0</v>
      </c>
      <c r="Z164" s="13">
        <v>0</v>
      </c>
      <c r="AA164" s="13">
        <v>1</v>
      </c>
      <c r="AB164" s="13">
        <v>0</v>
      </c>
    </row>
    <row r="165" spans="1:255" x14ac:dyDescent="0.2">
      <c r="A165" s="13">
        <v>50</v>
      </c>
      <c r="B165" s="13">
        <v>0</v>
      </c>
      <c r="C165" s="13">
        <v>0</v>
      </c>
      <c r="D165" s="13">
        <v>1</v>
      </c>
      <c r="E165" s="13">
        <v>210</v>
      </c>
      <c r="F165" s="13">
        <f>ROUND(Source!X139,O165)</f>
        <v>10995.81</v>
      </c>
      <c r="G165" s="13" t="s">
        <v>329</v>
      </c>
      <c r="H165" s="13" t="s">
        <v>330</v>
      </c>
      <c r="I165" s="13"/>
      <c r="J165" s="13"/>
      <c r="K165" s="13">
        <v>210</v>
      </c>
      <c r="L165" s="13">
        <v>25</v>
      </c>
      <c r="M165" s="13">
        <v>3</v>
      </c>
      <c r="N165" s="13" t="s">
        <v>3</v>
      </c>
      <c r="O165" s="13">
        <v>2</v>
      </c>
      <c r="P165" s="13">
        <f>ROUND(Source!DP139,O165)</f>
        <v>619612.88</v>
      </c>
      <c r="Q165" s="13"/>
      <c r="R165" s="13"/>
      <c r="S165" s="13"/>
      <c r="T165" s="13"/>
      <c r="U165" s="13"/>
      <c r="V165" s="13"/>
      <c r="W165" s="13">
        <v>10995.81</v>
      </c>
      <c r="X165" s="13">
        <v>1</v>
      </c>
      <c r="Y165" s="13">
        <v>10995.81</v>
      </c>
      <c r="Z165" s="13">
        <v>619612.88</v>
      </c>
      <c r="AA165" s="13">
        <v>1</v>
      </c>
      <c r="AB165" s="13">
        <v>619612.88</v>
      </c>
    </row>
    <row r="166" spans="1:255" x14ac:dyDescent="0.2">
      <c r="A166" s="13">
        <v>50</v>
      </c>
      <c r="B166" s="13">
        <v>0</v>
      </c>
      <c r="C166" s="13">
        <v>0</v>
      </c>
      <c r="D166" s="13">
        <v>1</v>
      </c>
      <c r="E166" s="13">
        <v>211</v>
      </c>
      <c r="F166" s="13">
        <f>ROUND(Source!Y139,O166)</f>
        <v>5687.05</v>
      </c>
      <c r="G166" s="13" t="s">
        <v>331</v>
      </c>
      <c r="H166" s="13" t="s">
        <v>332</v>
      </c>
      <c r="I166" s="13"/>
      <c r="J166" s="13"/>
      <c r="K166" s="13">
        <v>211</v>
      </c>
      <c r="L166" s="13">
        <v>26</v>
      </c>
      <c r="M166" s="13">
        <v>3</v>
      </c>
      <c r="N166" s="13" t="s">
        <v>3</v>
      </c>
      <c r="O166" s="13">
        <v>2</v>
      </c>
      <c r="P166" s="13">
        <f>ROUND(Source!DQ139,O166)</f>
        <v>320465.62</v>
      </c>
      <c r="Q166" s="13"/>
      <c r="R166" s="13"/>
      <c r="S166" s="13"/>
      <c r="T166" s="13"/>
      <c r="U166" s="13"/>
      <c r="V166" s="13"/>
      <c r="W166" s="13">
        <v>5687.05</v>
      </c>
      <c r="X166" s="13">
        <v>1</v>
      </c>
      <c r="Y166" s="13">
        <v>5687.05</v>
      </c>
      <c r="Z166" s="13">
        <v>320465.62</v>
      </c>
      <c r="AA166" s="13">
        <v>1</v>
      </c>
      <c r="AB166" s="13">
        <v>320465.62</v>
      </c>
    </row>
    <row r="167" spans="1:255" x14ac:dyDescent="0.2">
      <c r="A167" s="13">
        <v>50</v>
      </c>
      <c r="B167" s="13">
        <v>0</v>
      </c>
      <c r="C167" s="13">
        <v>0</v>
      </c>
      <c r="D167" s="13">
        <v>1</v>
      </c>
      <c r="E167" s="13">
        <v>224</v>
      </c>
      <c r="F167" s="13">
        <f>ROUND(Source!AR139,O167)</f>
        <v>331796.92</v>
      </c>
      <c r="G167" s="13" t="s">
        <v>333</v>
      </c>
      <c r="H167" s="13" t="s">
        <v>334</v>
      </c>
      <c r="I167" s="13"/>
      <c r="J167" s="13"/>
      <c r="K167" s="13">
        <v>224</v>
      </c>
      <c r="L167" s="13">
        <v>27</v>
      </c>
      <c r="M167" s="13">
        <v>3</v>
      </c>
      <c r="N167" s="13" t="s">
        <v>3</v>
      </c>
      <c r="O167" s="13">
        <v>2</v>
      </c>
      <c r="P167" s="13">
        <f>ROUND(Source!EJ139,O167)</f>
        <v>3863907.93</v>
      </c>
      <c r="Q167" s="13"/>
      <c r="R167" s="13"/>
      <c r="S167" s="13"/>
      <c r="T167" s="13"/>
      <c r="U167" s="13"/>
      <c r="V167" s="13"/>
      <c r="W167" s="13">
        <v>331796.92</v>
      </c>
      <c r="X167" s="13">
        <v>1</v>
      </c>
      <c r="Y167" s="13">
        <v>331796.92</v>
      </c>
      <c r="Z167" s="13">
        <v>3863907.93</v>
      </c>
      <c r="AA167" s="13">
        <v>1</v>
      </c>
      <c r="AB167" s="13">
        <v>3863907.93</v>
      </c>
    </row>
    <row r="169" spans="1:255" x14ac:dyDescent="0.2">
      <c r="A169" s="10">
        <v>4</v>
      </c>
      <c r="B169" s="10">
        <v>1</v>
      </c>
      <c r="C169" s="10"/>
      <c r="D169" s="10">
        <f>ROW(A256)</f>
        <v>256</v>
      </c>
      <c r="E169" s="10"/>
      <c r="F169" s="10" t="s">
        <v>18</v>
      </c>
      <c r="G169" s="10" t="s">
        <v>335</v>
      </c>
      <c r="H169" s="10" t="s">
        <v>3</v>
      </c>
      <c r="I169" s="10">
        <v>0</v>
      </c>
      <c r="J169" s="10"/>
      <c r="K169" s="10">
        <v>0</v>
      </c>
      <c r="L169" s="10"/>
      <c r="M169" s="10" t="s">
        <v>3</v>
      </c>
      <c r="N169" s="10"/>
      <c r="O169" s="10"/>
      <c r="P169" s="10"/>
      <c r="Q169" s="10"/>
      <c r="R169" s="10"/>
      <c r="S169" s="10">
        <v>0</v>
      </c>
      <c r="T169" s="10">
        <v>0</v>
      </c>
      <c r="U169" s="10" t="s">
        <v>3</v>
      </c>
      <c r="V169" s="10">
        <v>2</v>
      </c>
      <c r="W169" s="10"/>
      <c r="X169" s="10"/>
      <c r="Y169" s="10"/>
      <c r="Z169" s="10"/>
      <c r="AA169" s="10"/>
      <c r="AB169" s="10" t="s">
        <v>3</v>
      </c>
      <c r="AC169" s="10" t="s">
        <v>3</v>
      </c>
      <c r="AD169" s="10" t="s">
        <v>3</v>
      </c>
      <c r="AE169" s="10" t="s">
        <v>3</v>
      </c>
      <c r="AF169" s="10" t="s">
        <v>3</v>
      </c>
      <c r="AG169" s="10" t="s">
        <v>3</v>
      </c>
      <c r="AH169" s="10"/>
      <c r="AI169" s="10"/>
      <c r="AJ169" s="10"/>
      <c r="AK169" s="10"/>
      <c r="AL169" s="10"/>
      <c r="AM169" s="10"/>
      <c r="AN169" s="10"/>
      <c r="AO169" s="10"/>
      <c r="AP169" s="10" t="s">
        <v>3</v>
      </c>
      <c r="AQ169" s="10" t="s">
        <v>3</v>
      </c>
      <c r="AR169" s="10" t="s">
        <v>3</v>
      </c>
      <c r="AS169" s="10"/>
      <c r="AT169" s="10"/>
      <c r="AU169" s="10"/>
      <c r="AV169" s="10"/>
      <c r="AW169" s="10"/>
      <c r="AX169" s="10"/>
      <c r="AY169" s="10"/>
      <c r="AZ169" s="10" t="s">
        <v>3</v>
      </c>
      <c r="BA169" s="10"/>
      <c r="BB169" s="10" t="s">
        <v>3</v>
      </c>
      <c r="BC169" s="10" t="s">
        <v>3</v>
      </c>
      <c r="BD169" s="10" t="s">
        <v>3</v>
      </c>
      <c r="BE169" s="10" t="s">
        <v>3</v>
      </c>
      <c r="BF169" s="10" t="s">
        <v>3</v>
      </c>
      <c r="BG169" s="10" t="s">
        <v>3</v>
      </c>
      <c r="BH169" s="10" t="s">
        <v>3</v>
      </c>
      <c r="BI169" s="10" t="s">
        <v>3</v>
      </c>
      <c r="BJ169" s="10" t="s">
        <v>3</v>
      </c>
      <c r="BK169" s="10" t="s">
        <v>3</v>
      </c>
      <c r="BL169" s="10" t="s">
        <v>3</v>
      </c>
      <c r="BM169" s="10" t="s">
        <v>3</v>
      </c>
      <c r="BN169" s="10" t="s">
        <v>3</v>
      </c>
      <c r="BO169" s="10" t="s">
        <v>3</v>
      </c>
      <c r="BP169" s="10" t="s">
        <v>3</v>
      </c>
      <c r="BQ169" s="10"/>
      <c r="BR169" s="10"/>
      <c r="BS169" s="10"/>
      <c r="BT169" s="10"/>
      <c r="BU169" s="10"/>
      <c r="BV169" s="10"/>
      <c r="BW169" s="10"/>
      <c r="BX169" s="10">
        <v>0</v>
      </c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>
        <v>0</v>
      </c>
    </row>
    <row r="171" spans="1:255" x14ac:dyDescent="0.2">
      <c r="A171" s="11">
        <v>52</v>
      </c>
      <c r="B171" s="11">
        <f t="shared" ref="B171:G171" si="177">B256</f>
        <v>1</v>
      </c>
      <c r="C171" s="11">
        <f t="shared" si="177"/>
        <v>4</v>
      </c>
      <c r="D171" s="11">
        <f t="shared" si="177"/>
        <v>169</v>
      </c>
      <c r="E171" s="11">
        <f t="shared" si="177"/>
        <v>0</v>
      </c>
      <c r="F171" s="11" t="str">
        <f t="shared" si="177"/>
        <v>Новый раздел</v>
      </c>
      <c r="G171" s="11" t="str">
        <f t="shared" si="177"/>
        <v>Автоматическая установка водяного пожаротушения.</v>
      </c>
      <c r="H171" s="11"/>
      <c r="I171" s="11"/>
      <c r="J171" s="11"/>
      <c r="K171" s="11"/>
      <c r="L171" s="11"/>
      <c r="M171" s="11"/>
      <c r="N171" s="11"/>
      <c r="O171" s="11">
        <f t="shared" ref="O171:AT171" si="178">O256</f>
        <v>455268.9</v>
      </c>
      <c r="P171" s="11">
        <f t="shared" si="178"/>
        <v>350134.9</v>
      </c>
      <c r="Q171" s="11">
        <f t="shared" si="178"/>
        <v>23138.28</v>
      </c>
      <c r="R171" s="11">
        <f t="shared" si="178"/>
        <v>3584.36</v>
      </c>
      <c r="S171" s="11">
        <f t="shared" si="178"/>
        <v>81995.72</v>
      </c>
      <c r="T171" s="11">
        <f t="shared" si="178"/>
        <v>0</v>
      </c>
      <c r="U171" s="11">
        <f t="shared" si="178"/>
        <v>6516.6522977999994</v>
      </c>
      <c r="V171" s="11">
        <f t="shared" si="178"/>
        <v>0</v>
      </c>
      <c r="W171" s="11">
        <f t="shared" si="178"/>
        <v>0</v>
      </c>
      <c r="X171" s="11">
        <f t="shared" si="178"/>
        <v>77675.92</v>
      </c>
      <c r="Y171" s="11">
        <f t="shared" si="178"/>
        <v>39815.99</v>
      </c>
      <c r="Z171" s="11">
        <f t="shared" si="178"/>
        <v>0</v>
      </c>
      <c r="AA171" s="11">
        <f t="shared" si="178"/>
        <v>0</v>
      </c>
      <c r="AB171" s="11">
        <f t="shared" si="178"/>
        <v>455268.9</v>
      </c>
      <c r="AC171" s="11">
        <f t="shared" si="178"/>
        <v>350134.9</v>
      </c>
      <c r="AD171" s="11">
        <f t="shared" si="178"/>
        <v>23138.28</v>
      </c>
      <c r="AE171" s="11">
        <f t="shared" si="178"/>
        <v>3584.36</v>
      </c>
      <c r="AF171" s="11">
        <f t="shared" si="178"/>
        <v>81995.72</v>
      </c>
      <c r="AG171" s="11">
        <f t="shared" si="178"/>
        <v>0</v>
      </c>
      <c r="AH171" s="11">
        <f t="shared" si="178"/>
        <v>6516.6522977999994</v>
      </c>
      <c r="AI171" s="11">
        <f t="shared" si="178"/>
        <v>0</v>
      </c>
      <c r="AJ171" s="11">
        <f t="shared" si="178"/>
        <v>0</v>
      </c>
      <c r="AK171" s="11">
        <f t="shared" si="178"/>
        <v>77675.92</v>
      </c>
      <c r="AL171" s="11">
        <f t="shared" si="178"/>
        <v>39815.99</v>
      </c>
      <c r="AM171" s="11">
        <f t="shared" si="178"/>
        <v>0</v>
      </c>
      <c r="AN171" s="11">
        <f t="shared" si="178"/>
        <v>0</v>
      </c>
      <c r="AO171" s="11">
        <f t="shared" si="178"/>
        <v>0</v>
      </c>
      <c r="AP171" s="11">
        <f t="shared" si="178"/>
        <v>1798.97</v>
      </c>
      <c r="AQ171" s="11">
        <f t="shared" si="178"/>
        <v>0</v>
      </c>
      <c r="AR171" s="11">
        <f t="shared" si="178"/>
        <v>572760.81000000006</v>
      </c>
      <c r="AS171" s="11">
        <f t="shared" si="178"/>
        <v>26803.06</v>
      </c>
      <c r="AT171" s="11">
        <f t="shared" si="178"/>
        <v>544158.78</v>
      </c>
      <c r="AU171" s="11">
        <f t="shared" ref="AU171:BZ171" si="179">AU256</f>
        <v>0</v>
      </c>
      <c r="AV171" s="11">
        <f t="shared" si="179"/>
        <v>350134.9</v>
      </c>
      <c r="AW171" s="11">
        <f t="shared" si="179"/>
        <v>348335.93</v>
      </c>
      <c r="AX171" s="11">
        <f t="shared" si="179"/>
        <v>0</v>
      </c>
      <c r="AY171" s="11">
        <f t="shared" si="179"/>
        <v>348335.93</v>
      </c>
      <c r="AZ171" s="11">
        <f t="shared" si="179"/>
        <v>1798.97</v>
      </c>
      <c r="BA171" s="11">
        <f t="shared" si="179"/>
        <v>0</v>
      </c>
      <c r="BB171" s="11">
        <f t="shared" si="179"/>
        <v>0</v>
      </c>
      <c r="BC171" s="11">
        <f t="shared" si="179"/>
        <v>0</v>
      </c>
      <c r="BD171" s="11">
        <f t="shared" si="179"/>
        <v>0</v>
      </c>
      <c r="BE171" s="11">
        <f t="shared" si="179"/>
        <v>0</v>
      </c>
      <c r="BF171" s="11">
        <f t="shared" si="179"/>
        <v>0</v>
      </c>
      <c r="BG171" s="11">
        <f t="shared" si="179"/>
        <v>0</v>
      </c>
      <c r="BH171" s="11">
        <f t="shared" si="179"/>
        <v>0</v>
      </c>
      <c r="BI171" s="11">
        <f t="shared" si="179"/>
        <v>0</v>
      </c>
      <c r="BJ171" s="11">
        <f t="shared" si="179"/>
        <v>0</v>
      </c>
      <c r="BK171" s="11">
        <f t="shared" si="179"/>
        <v>0</v>
      </c>
      <c r="BL171" s="11">
        <f t="shared" si="179"/>
        <v>0</v>
      </c>
      <c r="BM171" s="11">
        <f t="shared" si="179"/>
        <v>0</v>
      </c>
      <c r="BN171" s="11">
        <f t="shared" si="179"/>
        <v>0</v>
      </c>
      <c r="BO171" s="11">
        <f t="shared" si="179"/>
        <v>0</v>
      </c>
      <c r="BP171" s="11">
        <f t="shared" si="179"/>
        <v>0</v>
      </c>
      <c r="BQ171" s="11">
        <f t="shared" si="179"/>
        <v>0</v>
      </c>
      <c r="BR171" s="11">
        <f t="shared" si="179"/>
        <v>0</v>
      </c>
      <c r="BS171" s="11">
        <f t="shared" si="179"/>
        <v>0</v>
      </c>
      <c r="BT171" s="11">
        <f t="shared" si="179"/>
        <v>0</v>
      </c>
      <c r="BU171" s="11">
        <f t="shared" si="179"/>
        <v>0</v>
      </c>
      <c r="BV171" s="11">
        <f t="shared" si="179"/>
        <v>0</v>
      </c>
      <c r="BW171" s="11">
        <f t="shared" si="179"/>
        <v>0</v>
      </c>
      <c r="BX171" s="11">
        <f t="shared" si="179"/>
        <v>0</v>
      </c>
      <c r="BY171" s="11">
        <f t="shared" si="179"/>
        <v>1798.97</v>
      </c>
      <c r="BZ171" s="11">
        <f t="shared" si="179"/>
        <v>0</v>
      </c>
      <c r="CA171" s="11">
        <f t="shared" ref="CA171:DF171" si="180">CA256</f>
        <v>572760.81000000006</v>
      </c>
      <c r="CB171" s="11">
        <f t="shared" si="180"/>
        <v>26803.06</v>
      </c>
      <c r="CC171" s="11">
        <f t="shared" si="180"/>
        <v>544158.78</v>
      </c>
      <c r="CD171" s="11">
        <f t="shared" si="180"/>
        <v>0</v>
      </c>
      <c r="CE171" s="11">
        <f t="shared" si="180"/>
        <v>350134.9</v>
      </c>
      <c r="CF171" s="11">
        <f t="shared" si="180"/>
        <v>348335.93000000005</v>
      </c>
      <c r="CG171" s="11">
        <f t="shared" si="180"/>
        <v>0</v>
      </c>
      <c r="CH171" s="11">
        <f t="shared" si="180"/>
        <v>348335.93000000005</v>
      </c>
      <c r="CI171" s="11">
        <f t="shared" si="180"/>
        <v>1798.97</v>
      </c>
      <c r="CJ171" s="11">
        <f t="shared" si="180"/>
        <v>0</v>
      </c>
      <c r="CK171" s="11">
        <f t="shared" si="180"/>
        <v>0</v>
      </c>
      <c r="CL171" s="11">
        <f t="shared" si="180"/>
        <v>0</v>
      </c>
      <c r="CM171" s="11">
        <f t="shared" si="180"/>
        <v>0</v>
      </c>
      <c r="CN171" s="11">
        <f t="shared" si="180"/>
        <v>0</v>
      </c>
      <c r="CO171" s="11">
        <f t="shared" si="180"/>
        <v>0</v>
      </c>
      <c r="CP171" s="11">
        <f t="shared" si="180"/>
        <v>0</v>
      </c>
      <c r="CQ171" s="11">
        <f t="shared" si="180"/>
        <v>0</v>
      </c>
      <c r="CR171" s="11">
        <f t="shared" si="180"/>
        <v>0</v>
      </c>
      <c r="CS171" s="11">
        <f t="shared" si="180"/>
        <v>0</v>
      </c>
      <c r="CT171" s="11">
        <f t="shared" si="180"/>
        <v>0</v>
      </c>
      <c r="CU171" s="11">
        <f t="shared" si="180"/>
        <v>0</v>
      </c>
      <c r="CV171" s="11">
        <f t="shared" si="180"/>
        <v>0</v>
      </c>
      <c r="CW171" s="11">
        <f t="shared" si="180"/>
        <v>0</v>
      </c>
      <c r="CX171" s="11">
        <f t="shared" si="180"/>
        <v>0</v>
      </c>
      <c r="CY171" s="11">
        <f t="shared" si="180"/>
        <v>0</v>
      </c>
      <c r="CZ171" s="11">
        <f t="shared" si="180"/>
        <v>0</v>
      </c>
      <c r="DA171" s="11">
        <f t="shared" si="180"/>
        <v>0</v>
      </c>
      <c r="DB171" s="11">
        <f t="shared" si="180"/>
        <v>0</v>
      </c>
      <c r="DC171" s="11">
        <f t="shared" si="180"/>
        <v>0</v>
      </c>
      <c r="DD171" s="11">
        <f t="shared" si="180"/>
        <v>0</v>
      </c>
      <c r="DE171" s="11">
        <f t="shared" si="180"/>
        <v>0</v>
      </c>
      <c r="DF171" s="11">
        <f t="shared" si="180"/>
        <v>0</v>
      </c>
      <c r="DG171" s="12">
        <f t="shared" ref="DG171:EL171" si="181">DG256</f>
        <v>8852151.0500000007</v>
      </c>
      <c r="DH171" s="12">
        <f t="shared" si="181"/>
        <v>3792297.52</v>
      </c>
      <c r="DI171" s="12">
        <f t="shared" si="181"/>
        <v>439394.7</v>
      </c>
      <c r="DJ171" s="12">
        <f t="shared" si="181"/>
        <v>201978.7</v>
      </c>
      <c r="DK171" s="12">
        <f t="shared" si="181"/>
        <v>4620458.83</v>
      </c>
      <c r="DL171" s="12">
        <f t="shared" si="181"/>
        <v>0</v>
      </c>
      <c r="DM171" s="12">
        <f t="shared" si="181"/>
        <v>6516.6522977999994</v>
      </c>
      <c r="DN171" s="12">
        <f t="shared" si="181"/>
        <v>0</v>
      </c>
      <c r="DO171" s="12">
        <f t="shared" si="181"/>
        <v>0</v>
      </c>
      <c r="DP171" s="12">
        <f t="shared" si="181"/>
        <v>4377038.41</v>
      </c>
      <c r="DQ171" s="12">
        <f t="shared" si="181"/>
        <v>2243631.69</v>
      </c>
      <c r="DR171" s="12">
        <f t="shared" si="181"/>
        <v>0</v>
      </c>
      <c r="DS171" s="12">
        <f t="shared" si="181"/>
        <v>0</v>
      </c>
      <c r="DT171" s="12">
        <f t="shared" si="181"/>
        <v>8852151.0500000007</v>
      </c>
      <c r="DU171" s="12">
        <f t="shared" si="181"/>
        <v>3792297.52</v>
      </c>
      <c r="DV171" s="12">
        <f t="shared" si="181"/>
        <v>439394.7</v>
      </c>
      <c r="DW171" s="12">
        <f t="shared" si="181"/>
        <v>201978.7</v>
      </c>
      <c r="DX171" s="12">
        <f t="shared" si="181"/>
        <v>4620458.83</v>
      </c>
      <c r="DY171" s="12">
        <f t="shared" si="181"/>
        <v>0</v>
      </c>
      <c r="DZ171" s="12">
        <f t="shared" si="181"/>
        <v>6516.6522977999994</v>
      </c>
      <c r="EA171" s="12">
        <f t="shared" si="181"/>
        <v>0</v>
      </c>
      <c r="EB171" s="12">
        <f t="shared" si="181"/>
        <v>0</v>
      </c>
      <c r="EC171" s="12">
        <f t="shared" si="181"/>
        <v>4377038.41</v>
      </c>
      <c r="ED171" s="12">
        <f t="shared" si="181"/>
        <v>2243631.69</v>
      </c>
      <c r="EE171" s="12">
        <f t="shared" si="181"/>
        <v>0</v>
      </c>
      <c r="EF171" s="12">
        <f t="shared" si="181"/>
        <v>0</v>
      </c>
      <c r="EG171" s="12">
        <f t="shared" si="181"/>
        <v>0</v>
      </c>
      <c r="EH171" s="12">
        <f t="shared" si="181"/>
        <v>13618.2</v>
      </c>
      <c r="EI171" s="12">
        <f t="shared" si="181"/>
        <v>0</v>
      </c>
      <c r="EJ171" s="12">
        <f t="shared" si="181"/>
        <v>15472821.15</v>
      </c>
      <c r="EK171" s="12">
        <f t="shared" si="181"/>
        <v>883472.83</v>
      </c>
      <c r="EL171" s="12">
        <f t="shared" si="181"/>
        <v>14575730.119999999</v>
      </c>
      <c r="EM171" s="12">
        <f t="shared" ref="EM171:FR171" si="182">EM256</f>
        <v>0</v>
      </c>
      <c r="EN171" s="12">
        <f t="shared" si="182"/>
        <v>3792297.52</v>
      </c>
      <c r="EO171" s="12">
        <f t="shared" si="182"/>
        <v>3778679.32</v>
      </c>
      <c r="EP171" s="12">
        <f t="shared" si="182"/>
        <v>0</v>
      </c>
      <c r="EQ171" s="12">
        <f t="shared" si="182"/>
        <v>3778679.32</v>
      </c>
      <c r="ER171" s="12">
        <f t="shared" si="182"/>
        <v>13618.2</v>
      </c>
      <c r="ES171" s="12">
        <f t="shared" si="182"/>
        <v>0</v>
      </c>
      <c r="ET171" s="12">
        <f t="shared" si="182"/>
        <v>0</v>
      </c>
      <c r="EU171" s="12">
        <f t="shared" si="182"/>
        <v>0</v>
      </c>
      <c r="EV171" s="12">
        <f t="shared" si="182"/>
        <v>0</v>
      </c>
      <c r="EW171" s="12">
        <f t="shared" si="182"/>
        <v>0</v>
      </c>
      <c r="EX171" s="12">
        <f t="shared" si="182"/>
        <v>0</v>
      </c>
      <c r="EY171" s="12">
        <f t="shared" si="182"/>
        <v>0</v>
      </c>
      <c r="EZ171" s="12">
        <f t="shared" si="182"/>
        <v>0</v>
      </c>
      <c r="FA171" s="12">
        <f t="shared" si="182"/>
        <v>0</v>
      </c>
      <c r="FB171" s="12">
        <f t="shared" si="182"/>
        <v>0</v>
      </c>
      <c r="FC171" s="12">
        <f t="shared" si="182"/>
        <v>0</v>
      </c>
      <c r="FD171" s="12">
        <f t="shared" si="182"/>
        <v>0</v>
      </c>
      <c r="FE171" s="12">
        <f t="shared" si="182"/>
        <v>0</v>
      </c>
      <c r="FF171" s="12">
        <f t="shared" si="182"/>
        <v>0</v>
      </c>
      <c r="FG171" s="12">
        <f t="shared" si="182"/>
        <v>0</v>
      </c>
      <c r="FH171" s="12">
        <f t="shared" si="182"/>
        <v>0</v>
      </c>
      <c r="FI171" s="12">
        <f t="shared" si="182"/>
        <v>0</v>
      </c>
      <c r="FJ171" s="12">
        <f t="shared" si="182"/>
        <v>0</v>
      </c>
      <c r="FK171" s="12">
        <f t="shared" si="182"/>
        <v>0</v>
      </c>
      <c r="FL171" s="12">
        <f t="shared" si="182"/>
        <v>0</v>
      </c>
      <c r="FM171" s="12">
        <f t="shared" si="182"/>
        <v>0</v>
      </c>
      <c r="FN171" s="12">
        <f t="shared" si="182"/>
        <v>0</v>
      </c>
      <c r="FO171" s="12">
        <f t="shared" si="182"/>
        <v>0</v>
      </c>
      <c r="FP171" s="12">
        <f t="shared" si="182"/>
        <v>0</v>
      </c>
      <c r="FQ171" s="12">
        <f t="shared" si="182"/>
        <v>13618.2</v>
      </c>
      <c r="FR171" s="12">
        <f t="shared" si="182"/>
        <v>0</v>
      </c>
      <c r="FS171" s="12">
        <f t="shared" ref="FS171:GX171" si="183">FS256</f>
        <v>15472821.15</v>
      </c>
      <c r="FT171" s="12">
        <f t="shared" si="183"/>
        <v>883472.83</v>
      </c>
      <c r="FU171" s="12">
        <f t="shared" si="183"/>
        <v>14575730.119999999</v>
      </c>
      <c r="FV171" s="12">
        <f t="shared" si="183"/>
        <v>0</v>
      </c>
      <c r="FW171" s="12">
        <f t="shared" si="183"/>
        <v>3792297.52</v>
      </c>
      <c r="FX171" s="12">
        <f t="shared" si="183"/>
        <v>3778679.32</v>
      </c>
      <c r="FY171" s="12">
        <f t="shared" si="183"/>
        <v>0</v>
      </c>
      <c r="FZ171" s="12">
        <f t="shared" si="183"/>
        <v>3778679.32</v>
      </c>
      <c r="GA171" s="12">
        <f t="shared" si="183"/>
        <v>13618.2</v>
      </c>
      <c r="GB171" s="12">
        <f t="shared" si="183"/>
        <v>0</v>
      </c>
      <c r="GC171" s="12">
        <f t="shared" si="183"/>
        <v>0</v>
      </c>
      <c r="GD171" s="12">
        <f t="shared" si="183"/>
        <v>0</v>
      </c>
      <c r="GE171" s="12">
        <f t="shared" si="183"/>
        <v>0</v>
      </c>
      <c r="GF171" s="12">
        <f t="shared" si="183"/>
        <v>0</v>
      </c>
      <c r="GG171" s="12">
        <f t="shared" si="183"/>
        <v>0</v>
      </c>
      <c r="GH171" s="12">
        <f t="shared" si="183"/>
        <v>0</v>
      </c>
      <c r="GI171" s="12">
        <f t="shared" si="183"/>
        <v>0</v>
      </c>
      <c r="GJ171" s="12">
        <f t="shared" si="183"/>
        <v>0</v>
      </c>
      <c r="GK171" s="12">
        <f t="shared" si="183"/>
        <v>0</v>
      </c>
      <c r="GL171" s="12">
        <f t="shared" si="183"/>
        <v>0</v>
      </c>
      <c r="GM171" s="12">
        <f t="shared" si="183"/>
        <v>0</v>
      </c>
      <c r="GN171" s="12">
        <f t="shared" si="183"/>
        <v>0</v>
      </c>
      <c r="GO171" s="12">
        <f t="shared" si="183"/>
        <v>0</v>
      </c>
      <c r="GP171" s="12">
        <f t="shared" si="183"/>
        <v>0</v>
      </c>
      <c r="GQ171" s="12">
        <f t="shared" si="183"/>
        <v>0</v>
      </c>
      <c r="GR171" s="12">
        <f t="shared" si="183"/>
        <v>0</v>
      </c>
      <c r="GS171" s="12">
        <f t="shared" si="183"/>
        <v>0</v>
      </c>
      <c r="GT171" s="12">
        <f t="shared" si="183"/>
        <v>0</v>
      </c>
      <c r="GU171" s="12">
        <f t="shared" si="183"/>
        <v>0</v>
      </c>
      <c r="GV171" s="12">
        <f t="shared" si="183"/>
        <v>0</v>
      </c>
      <c r="GW171" s="12">
        <f t="shared" si="183"/>
        <v>0</v>
      </c>
      <c r="GX171" s="12">
        <f t="shared" si="183"/>
        <v>0</v>
      </c>
    </row>
    <row r="173" spans="1:255" x14ac:dyDescent="0.2">
      <c r="A173" s="2">
        <v>17</v>
      </c>
      <c r="B173" s="2">
        <v>1</v>
      </c>
      <c r="C173" s="2">
        <f>ROW(SmtRes!A390)</f>
        <v>390</v>
      </c>
      <c r="D173" s="2">
        <f>ROW(EtalonRes!A406)</f>
        <v>406</v>
      </c>
      <c r="E173" s="2" t="s">
        <v>336</v>
      </c>
      <c r="F173" s="2" t="s">
        <v>337</v>
      </c>
      <c r="G173" s="2" t="s">
        <v>338</v>
      </c>
      <c r="H173" s="2" t="s">
        <v>240</v>
      </c>
      <c r="I173" s="2">
        <f>ROUND((778)/100,9)</f>
        <v>7.78</v>
      </c>
      <c r="J173" s="2">
        <v>0</v>
      </c>
      <c r="K173" s="2">
        <f>ROUND((778)/100,9)</f>
        <v>7.78</v>
      </c>
      <c r="L173" s="2"/>
      <c r="M173" s="2"/>
      <c r="N173" s="2"/>
      <c r="O173" s="2">
        <f t="shared" ref="O173:O204" si="184">ROUND(CP173,2)</f>
        <v>28735.8</v>
      </c>
      <c r="P173" s="2">
        <f t="shared" ref="P173:P204" si="185">ROUND((ROUND((AC173*AW173*I173),2)*BC173),2)</f>
        <v>22347.88</v>
      </c>
      <c r="Q173" s="2">
        <f>(ROUND((ROUND((((ET173*1.2))*AV173*I173),2)*BB173),2)+ROUND((ROUND(((AE173-((EU173*1.2)))*AV173*I173),2)*BS173),2))</f>
        <v>100.91</v>
      </c>
      <c r="R173" s="2">
        <f>(ROUND((ROUND((((EU173*1.2))*AV173*I173),2)*BS173),2)+ROUND((ROUND(((AE173-((EU173*1.2)))*AV173*I173),2)*BS173),2))</f>
        <v>15.04</v>
      </c>
      <c r="S173" s="2">
        <f t="shared" ref="S173:S204" si="186">ROUND((ROUND((AF173*AV173*I173),2)*BA173),2)</f>
        <v>6287.01</v>
      </c>
      <c r="T173" s="2">
        <f t="shared" ref="T173:T204" si="187">ROUND(CU173*I173,2)</f>
        <v>0</v>
      </c>
      <c r="U173" s="2">
        <f t="shared" ref="U173:U204" si="188">CV173*I173</f>
        <v>548.97892631999991</v>
      </c>
      <c r="V173" s="2">
        <f t="shared" ref="V173:V204" si="189">CW173*I173</f>
        <v>0</v>
      </c>
      <c r="W173" s="2">
        <f t="shared" ref="W173:W204" si="190">ROUND(CX173*I173,2)</f>
        <v>0</v>
      </c>
      <c r="X173" s="2">
        <f>(ROUND((((S173+ROUND((ROUND((((EU173*1.2))*AV173*I173),2)*BS173),2))*AT173)/100),2)+ROUND(((ROUND((ROUND(((AE173-((EU173*1.2)))*AV173*I173),2)*BS173),2)*AT173)/100),2))</f>
        <v>5671.85</v>
      </c>
      <c r="Y173" s="2">
        <f>(ROUND((((S173+ROUND((ROUND((((EU173*1.2))*AV173*I173),2)*BS173),2))*AU173)/100),2)+ROUND(((ROUND((ROUND(((AE173-((EU173*1.2)))*AV173*I173),2)*BS173),2)*AU173)/100),2))</f>
        <v>2898.94</v>
      </c>
      <c r="Z173" s="2"/>
      <c r="AA173" s="2">
        <v>85739205</v>
      </c>
      <c r="AB173" s="2">
        <f t="shared" ref="AB173:AB204" si="191">ROUND((AC173+AD173+AF173),6)</f>
        <v>3563.752</v>
      </c>
      <c r="AC173" s="2">
        <f>ROUND(((ES173*1)),6)</f>
        <v>2794.24</v>
      </c>
      <c r="AD173" s="2">
        <f>ROUND(((((ET173*1.2))-((EU173*1.2)))+AE173),6)</f>
        <v>12.156000000000001</v>
      </c>
      <c r="AE173" s="2">
        <f>ROUND(((EU173*1.2)),6)</f>
        <v>1.8120000000000001</v>
      </c>
      <c r="AF173" s="2">
        <f>ROUND(((EV173*1.2)),6)</f>
        <v>757.35599999999999</v>
      </c>
      <c r="AG173" s="2">
        <f t="shared" ref="AG173:AG204" si="192">ROUND((AP173),6)</f>
        <v>0</v>
      </c>
      <c r="AH173" s="2">
        <f>((EW173*1.2))</f>
        <v>66.131999999999991</v>
      </c>
      <c r="AI173" s="2">
        <f>((EX173*1.2))</f>
        <v>0</v>
      </c>
      <c r="AJ173" s="2">
        <f t="shared" ref="AJ173:AJ204" si="193">(AS173)</f>
        <v>0</v>
      </c>
      <c r="AK173" s="2">
        <v>3435.5</v>
      </c>
      <c r="AL173" s="2">
        <v>2794.24</v>
      </c>
      <c r="AM173" s="2">
        <v>10.130000000000001</v>
      </c>
      <c r="AN173" s="2">
        <v>1.51</v>
      </c>
      <c r="AO173" s="2">
        <v>631.13</v>
      </c>
      <c r="AP173" s="2">
        <v>0</v>
      </c>
      <c r="AQ173" s="2">
        <v>55.11</v>
      </c>
      <c r="AR173" s="2">
        <v>0</v>
      </c>
      <c r="AS173" s="2">
        <v>0</v>
      </c>
      <c r="AT173" s="2">
        <v>90</v>
      </c>
      <c r="AU173" s="2">
        <v>46</v>
      </c>
      <c r="AV173" s="2">
        <v>1.0669999999999999</v>
      </c>
      <c r="AW173" s="2">
        <v>1.028</v>
      </c>
      <c r="AX173" s="2"/>
      <c r="AY173" s="2"/>
      <c r="AZ173" s="2">
        <v>1</v>
      </c>
      <c r="BA173" s="2">
        <v>1</v>
      </c>
      <c r="BB173" s="2">
        <v>1</v>
      </c>
      <c r="BC173" s="2">
        <v>1</v>
      </c>
      <c r="BD173" s="2" t="s">
        <v>3</v>
      </c>
      <c r="BE173" s="2" t="s">
        <v>3</v>
      </c>
      <c r="BF173" s="2" t="s">
        <v>3</v>
      </c>
      <c r="BG173" s="2" t="s">
        <v>3</v>
      </c>
      <c r="BH173" s="2">
        <v>0</v>
      </c>
      <c r="BI173" s="2">
        <v>2</v>
      </c>
      <c r="BJ173" s="2" t="s">
        <v>339</v>
      </c>
      <c r="BK173" s="2"/>
      <c r="BL173" s="2"/>
      <c r="BM173" s="2">
        <v>73</v>
      </c>
      <c r="BN173" s="2">
        <v>0</v>
      </c>
      <c r="BO173" s="2" t="s">
        <v>337</v>
      </c>
      <c r="BP173" s="2">
        <v>1</v>
      </c>
      <c r="BQ173" s="2">
        <v>40</v>
      </c>
      <c r="BR173" s="2">
        <v>0</v>
      </c>
      <c r="BS173" s="2">
        <v>1</v>
      </c>
      <c r="BT173" s="2">
        <v>1</v>
      </c>
      <c r="BU173" s="2">
        <v>1</v>
      </c>
      <c r="BV173" s="2">
        <v>1</v>
      </c>
      <c r="BW173" s="2">
        <v>1</v>
      </c>
      <c r="BX173" s="2">
        <v>1</v>
      </c>
      <c r="BY173" s="2" t="s">
        <v>3</v>
      </c>
      <c r="BZ173" s="2">
        <v>90</v>
      </c>
      <c r="CA173" s="2">
        <v>46</v>
      </c>
      <c r="CB173" s="2" t="s">
        <v>3</v>
      </c>
      <c r="CC173" s="2"/>
      <c r="CD173" s="2"/>
      <c r="CE173" s="2">
        <v>1566</v>
      </c>
      <c r="CF173" s="2">
        <v>0</v>
      </c>
      <c r="CG173" s="2">
        <v>0</v>
      </c>
      <c r="CH173" s="2"/>
      <c r="CI173" s="2"/>
      <c r="CJ173" s="2"/>
      <c r="CK173" s="2"/>
      <c r="CL173" s="2"/>
      <c r="CM173" s="2">
        <v>0</v>
      </c>
      <c r="CN173" s="2" t="s">
        <v>677</v>
      </c>
      <c r="CO173" s="2">
        <v>0</v>
      </c>
      <c r="CP173" s="2">
        <f t="shared" ref="CP173:CP204" si="194">(P173+Q173+S173)</f>
        <v>28735.800000000003</v>
      </c>
      <c r="CQ173" s="2">
        <f t="shared" ref="CQ173:CQ204" si="195">ROUND((ROUND((AC173*AW173*1),2)*BC173),2)</f>
        <v>2872.48</v>
      </c>
      <c r="CR173" s="2">
        <f>(ROUND((ROUND((((ET173*1.2))*AV173*1),2)*BB173),2)+ROUND((ROUND(((AE173-((EU173*1.2)))*AV173*1),2)*BS173),2))</f>
        <v>12.97</v>
      </c>
      <c r="CS173" s="2">
        <f>(ROUND((ROUND((((EU173*1.2))*AV173*1),2)*BS173),2)+ROUND((ROUND(((AE173-((EU173*1.2)))*AV173*1),2)*BS173),2))</f>
        <v>1.93</v>
      </c>
      <c r="CT173" s="2">
        <f t="shared" ref="CT173:CT204" si="196">ROUND((ROUND((AF173*AV173*1),2)*BA173),2)</f>
        <v>808.1</v>
      </c>
      <c r="CU173" s="2">
        <f t="shared" ref="CU173:CU204" si="197">AG173</f>
        <v>0</v>
      </c>
      <c r="CV173" s="2">
        <f t="shared" ref="CV173:CV204" si="198">(AH173*AV173)</f>
        <v>70.562843999999984</v>
      </c>
      <c r="CW173" s="2">
        <f t="shared" ref="CW173:CW204" si="199">AI173</f>
        <v>0</v>
      </c>
      <c r="CX173" s="2">
        <f t="shared" ref="CX173:CX204" si="200">AJ173</f>
        <v>0</v>
      </c>
      <c r="CY173" s="2">
        <f>(ROUND((((S173+ROUND((ROUND((((EU173*1.2))*AV173*1),2)*BS173),2))*AT173)/100),2)+ROUND(((ROUND((ROUND(((AE173-((EU173*1.2)))*AV173*1),2)*BS173),2)*AT173)/100),2))</f>
        <v>5660.05</v>
      </c>
      <c r="CZ173" s="2">
        <f>(ROUND((((S173+ROUND((ROUND((((EU173*1.2))*AV173*1),2)*BS173),2))*AU173)/100),2)+ROUND(((ROUND((ROUND(((AE173-((EU173*1.2)))*AV173*1),2)*BS173),2)*AU173)/100),2))</f>
        <v>2892.91</v>
      </c>
      <c r="DA173" s="2"/>
      <c r="DB173" s="2">
        <v>61</v>
      </c>
      <c r="DC173" s="2" t="s">
        <v>3</v>
      </c>
      <c r="DD173" s="2" t="s">
        <v>35</v>
      </c>
      <c r="DE173" s="2" t="s">
        <v>36</v>
      </c>
      <c r="DF173" s="2" t="s">
        <v>36</v>
      </c>
      <c r="DG173" s="2" t="s">
        <v>36</v>
      </c>
      <c r="DH173" s="2" t="s">
        <v>3</v>
      </c>
      <c r="DI173" s="2" t="s">
        <v>36</v>
      </c>
      <c r="DJ173" s="2" t="s">
        <v>36</v>
      </c>
      <c r="DK173" s="2" t="s">
        <v>3</v>
      </c>
      <c r="DL173" s="2" t="s">
        <v>3</v>
      </c>
      <c r="DM173" s="2" t="s">
        <v>3</v>
      </c>
      <c r="DN173" s="2">
        <v>0</v>
      </c>
      <c r="DO173" s="2">
        <v>0</v>
      </c>
      <c r="DP173" s="2">
        <v>1</v>
      </c>
      <c r="DQ173" s="2">
        <v>1</v>
      </c>
      <c r="DR173" s="2"/>
      <c r="DS173" s="2"/>
      <c r="DT173" s="2"/>
      <c r="DU173" s="2">
        <v>1010</v>
      </c>
      <c r="DV173" s="2" t="s">
        <v>240</v>
      </c>
      <c r="DW173" s="2" t="s">
        <v>240</v>
      </c>
      <c r="DX173" s="2">
        <v>100</v>
      </c>
      <c r="DY173" s="2"/>
      <c r="DZ173" s="2" t="s">
        <v>3</v>
      </c>
      <c r="EA173" s="2" t="s">
        <v>3</v>
      </c>
      <c r="EB173" s="2" t="s">
        <v>3</v>
      </c>
      <c r="EC173" s="2" t="s">
        <v>3</v>
      </c>
      <c r="ED173" s="2"/>
      <c r="EE173" s="2">
        <v>85133422</v>
      </c>
      <c r="EF173" s="2">
        <v>40</v>
      </c>
      <c r="EG173" s="2" t="s">
        <v>27</v>
      </c>
      <c r="EH173" s="2">
        <v>0</v>
      </c>
      <c r="EI173" s="2" t="s">
        <v>3</v>
      </c>
      <c r="EJ173" s="2">
        <v>2</v>
      </c>
      <c r="EK173" s="2">
        <v>73</v>
      </c>
      <c r="EL173" s="2" t="s">
        <v>62</v>
      </c>
      <c r="EM173" s="2" t="s">
        <v>63</v>
      </c>
      <c r="EN173" s="2"/>
      <c r="EO173" s="2" t="s">
        <v>37</v>
      </c>
      <c r="EP173" s="2"/>
      <c r="EQ173" s="2">
        <v>0</v>
      </c>
      <c r="ER173" s="2">
        <v>3435.5</v>
      </c>
      <c r="ES173" s="2">
        <v>2794.24</v>
      </c>
      <c r="ET173" s="2">
        <v>10.130000000000001</v>
      </c>
      <c r="EU173" s="2">
        <v>1.51</v>
      </c>
      <c r="EV173" s="2">
        <v>631.13</v>
      </c>
      <c r="EW173" s="2">
        <v>55.11</v>
      </c>
      <c r="EX173" s="2">
        <v>0</v>
      </c>
      <c r="EY173" s="2">
        <v>0</v>
      </c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>
        <v>0</v>
      </c>
      <c r="FR173" s="2">
        <v>0</v>
      </c>
      <c r="FS173" s="2">
        <v>2</v>
      </c>
      <c r="FT173" s="2"/>
      <c r="FU173" s="2"/>
      <c r="FV173" s="2"/>
      <c r="FW173" s="2"/>
      <c r="FX173" s="2">
        <v>90</v>
      </c>
      <c r="FY173" s="2">
        <v>46</v>
      </c>
      <c r="FZ173" s="2"/>
      <c r="GA173" s="2" t="s">
        <v>3</v>
      </c>
      <c r="GB173" s="2"/>
      <c r="GC173" s="2"/>
      <c r="GD173" s="2">
        <v>1</v>
      </c>
      <c r="GE173" s="2"/>
      <c r="GF173" s="2">
        <v>-1566683198</v>
      </c>
      <c r="GG173" s="2">
        <v>2</v>
      </c>
      <c r="GH173" s="2">
        <v>1</v>
      </c>
      <c r="GI173" s="2">
        <v>2</v>
      </c>
      <c r="GJ173" s="2">
        <v>0</v>
      </c>
      <c r="GK173" s="2">
        <v>0</v>
      </c>
      <c r="GL173" s="2">
        <f t="shared" ref="GL173:GL204" si="201">ROUND(IF(AND(BH173=3,BI173=3,FS173&lt;&gt;0),P173,0),2)</f>
        <v>0</v>
      </c>
      <c r="GM173" s="2">
        <f t="shared" ref="GM173:GM204" si="202">ROUND(O173+X173+Y173,2)+GX173</f>
        <v>37306.589999999997</v>
      </c>
      <c r="GN173" s="2">
        <f t="shared" ref="GN173:GN204" si="203">IF(OR(BI173=0,BI173=1),GM173-GX173,0)</f>
        <v>0</v>
      </c>
      <c r="GO173" s="2">
        <f t="shared" ref="GO173:GO204" si="204">IF(BI173=2,GM173-GX173,0)</f>
        <v>37306.589999999997</v>
      </c>
      <c r="GP173" s="2">
        <f t="shared" ref="GP173:GP204" si="205">IF(BI173=4,GM173-GX173,0)</f>
        <v>0</v>
      </c>
      <c r="GQ173" s="2"/>
      <c r="GR173" s="2">
        <v>0</v>
      </c>
      <c r="GS173" s="2">
        <v>3</v>
      </c>
      <c r="GT173" s="2">
        <v>0</v>
      </c>
      <c r="GU173" s="2" t="s">
        <v>3</v>
      </c>
      <c r="GV173" s="2">
        <f t="shared" ref="GV173:GV204" si="206">ROUND((GT173),6)</f>
        <v>0</v>
      </c>
      <c r="GW173" s="2">
        <v>1</v>
      </c>
      <c r="GX173" s="2">
        <f t="shared" ref="GX173:GX204" si="207">ROUND(HC173*I173,2)</f>
        <v>0</v>
      </c>
      <c r="GY173" s="2"/>
      <c r="GZ173" s="2"/>
      <c r="HA173" s="2">
        <v>0</v>
      </c>
      <c r="HB173" s="2">
        <v>0</v>
      </c>
      <c r="HC173" s="2">
        <f t="shared" ref="HC173:HC204" si="208">GV173*GW173</f>
        <v>0</v>
      </c>
      <c r="HD173" s="2"/>
      <c r="HE173" s="2" t="s">
        <v>3</v>
      </c>
      <c r="HF173" s="2" t="s">
        <v>3</v>
      </c>
      <c r="HG173" s="2"/>
      <c r="HH173" s="2"/>
      <c r="HI173" s="2"/>
      <c r="HJ173" s="2"/>
      <c r="HK173" s="2"/>
      <c r="HL173" s="2"/>
      <c r="HM173" s="2" t="s">
        <v>3</v>
      </c>
      <c r="HN173" s="2" t="s">
        <v>3</v>
      </c>
      <c r="HO173" s="2" t="s">
        <v>3</v>
      </c>
      <c r="HP173" s="2" t="s">
        <v>3</v>
      </c>
      <c r="HQ173" s="2" t="s">
        <v>3</v>
      </c>
      <c r="HR173" s="2"/>
      <c r="HS173" s="2">
        <v>0</v>
      </c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>
        <v>0</v>
      </c>
      <c r="IL173" s="2"/>
      <c r="IM173" s="2"/>
      <c r="IN173" s="2"/>
      <c r="IO173" s="2"/>
      <c r="IP173" s="2"/>
      <c r="IQ173" s="2"/>
      <c r="IR173" s="2"/>
      <c r="IS173" s="2"/>
      <c r="IT173" s="2"/>
      <c r="IU173" s="2"/>
    </row>
    <row r="174" spans="1:255" x14ac:dyDescent="0.2">
      <c r="A174" s="3">
        <v>17</v>
      </c>
      <c r="B174" s="3">
        <v>1</v>
      </c>
      <c r="C174" s="3">
        <f>ROW(SmtRes!A404)</f>
        <v>404</v>
      </c>
      <c r="D174" s="3">
        <f>ROW(EtalonRes!A420)</f>
        <v>420</v>
      </c>
      <c r="E174" s="3" t="s">
        <v>336</v>
      </c>
      <c r="F174" s="3" t="s">
        <v>337</v>
      </c>
      <c r="G174" s="3" t="s">
        <v>338</v>
      </c>
      <c r="H174" s="3" t="s">
        <v>240</v>
      </c>
      <c r="I174" s="3">
        <f>ROUND((778)/100,9)</f>
        <v>7.78</v>
      </c>
      <c r="J174" s="3">
        <v>0</v>
      </c>
      <c r="K174" s="3">
        <f>ROUND((778)/100,9)</f>
        <v>7.78</v>
      </c>
      <c r="O174" s="3">
        <f t="shared" si="184"/>
        <v>572534.39</v>
      </c>
      <c r="P174" s="3">
        <f t="shared" si="185"/>
        <v>216550.96</v>
      </c>
      <c r="Q174" s="3">
        <f>(ROUND((ROUND((((ET174*1.2))*AV174*I174),2)*BB174),2)+ROUND((ROUND(((AE174-((EU174*1.2)))*AV174*I174),2)*BS174),2))</f>
        <v>1710.42</v>
      </c>
      <c r="R174" s="3">
        <f>(ROUND((ROUND((((EU174*1.2))*AV174*I174),2)*BS174),2)+ROUND((ROUND(((AE174-((EU174*1.2)))*AV174*I174),2)*BS174),2))</f>
        <v>847.5</v>
      </c>
      <c r="S174" s="3">
        <f t="shared" si="186"/>
        <v>354273.01</v>
      </c>
      <c r="T174" s="3">
        <f t="shared" si="187"/>
        <v>0</v>
      </c>
      <c r="U174" s="3">
        <f t="shared" si="188"/>
        <v>548.97892631999991</v>
      </c>
      <c r="V174" s="3">
        <f t="shared" si="189"/>
        <v>0</v>
      </c>
      <c r="W174" s="3">
        <f t="shared" si="190"/>
        <v>0</v>
      </c>
      <c r="X174" s="3">
        <f>(ROUND((((S174+ROUND((ROUND((((EU174*1.2))*AV174*I174),2)*BS174),2))*AT174)/100),2)+ROUND(((ROUND((ROUND(((AE174-((EU174*1.2)))*AV174*I174),2)*BS174),2)*AT174)/100),2))</f>
        <v>319608.46000000002</v>
      </c>
      <c r="Y174" s="3">
        <f>(ROUND((((S174+ROUND((ROUND((((EU174*1.2))*AV174*I174),2)*BS174),2))*AU174)/100),2)+ROUND(((ROUND((ROUND(((AE174-((EU174*1.2)))*AV174*I174),2)*BS174),2)*AU174)/100),2))</f>
        <v>163355.43</v>
      </c>
      <c r="AA174" s="3">
        <v>85739207</v>
      </c>
      <c r="AB174" s="3">
        <f t="shared" si="191"/>
        <v>3563.752</v>
      </c>
      <c r="AC174" s="3">
        <f>ROUND(((ES174*1)),6)</f>
        <v>2794.24</v>
      </c>
      <c r="AD174" s="3">
        <f>ROUND(((((ET174*1.2))-((EU174*1.2)))+AE174),6)</f>
        <v>12.156000000000001</v>
      </c>
      <c r="AE174" s="3">
        <f>ROUND(((EU174*1.2)),6)</f>
        <v>1.8120000000000001</v>
      </c>
      <c r="AF174" s="3">
        <f>ROUND(((EV174*1.2)),6)</f>
        <v>757.35599999999999</v>
      </c>
      <c r="AG174" s="3">
        <f t="shared" si="192"/>
        <v>0</v>
      </c>
      <c r="AH174" s="3">
        <f>((EW174*1.2))</f>
        <v>66.131999999999991</v>
      </c>
      <c r="AI174" s="3">
        <f>((EX174*1.2))</f>
        <v>0</v>
      </c>
      <c r="AJ174" s="3">
        <f t="shared" si="193"/>
        <v>0</v>
      </c>
      <c r="AK174" s="3">
        <v>3435.5</v>
      </c>
      <c r="AL174" s="3">
        <v>2794.24</v>
      </c>
      <c r="AM174" s="3">
        <v>10.130000000000001</v>
      </c>
      <c r="AN174" s="3">
        <v>1.51</v>
      </c>
      <c r="AO174" s="3">
        <v>631.13</v>
      </c>
      <c r="AP174" s="3">
        <v>0</v>
      </c>
      <c r="AQ174" s="3">
        <v>55.11</v>
      </c>
      <c r="AR174" s="3">
        <v>0</v>
      </c>
      <c r="AS174" s="3">
        <v>0</v>
      </c>
      <c r="AT174" s="3">
        <v>90</v>
      </c>
      <c r="AU174" s="3">
        <v>46</v>
      </c>
      <c r="AV174" s="3">
        <v>1.0669999999999999</v>
      </c>
      <c r="AW174" s="3">
        <v>1.028</v>
      </c>
      <c r="AZ174" s="3">
        <v>1</v>
      </c>
      <c r="BA174" s="3">
        <v>56.35</v>
      </c>
      <c r="BB174" s="3">
        <v>16.95</v>
      </c>
      <c r="BC174" s="3">
        <v>9.69</v>
      </c>
      <c r="BD174" s="3" t="s">
        <v>3</v>
      </c>
      <c r="BE174" s="3" t="s">
        <v>3</v>
      </c>
      <c r="BF174" s="3" t="s">
        <v>3</v>
      </c>
      <c r="BG174" s="3" t="s">
        <v>3</v>
      </c>
      <c r="BH174" s="3">
        <v>0</v>
      </c>
      <c r="BI174" s="3">
        <v>2</v>
      </c>
      <c r="BJ174" s="3" t="s">
        <v>339</v>
      </c>
      <c r="BM174" s="3">
        <v>73</v>
      </c>
      <c r="BN174" s="3">
        <v>0</v>
      </c>
      <c r="BO174" s="3" t="s">
        <v>337</v>
      </c>
      <c r="BP174" s="3">
        <v>1</v>
      </c>
      <c r="BQ174" s="3">
        <v>40</v>
      </c>
      <c r="BR174" s="3">
        <v>0</v>
      </c>
      <c r="BS174" s="3">
        <v>56.35</v>
      </c>
      <c r="BT174" s="3">
        <v>1</v>
      </c>
      <c r="BU174" s="3">
        <v>1</v>
      </c>
      <c r="BV174" s="3">
        <v>1</v>
      </c>
      <c r="BW174" s="3">
        <v>1</v>
      </c>
      <c r="BX174" s="3">
        <v>1</v>
      </c>
      <c r="BY174" s="3" t="s">
        <v>3</v>
      </c>
      <c r="BZ174" s="3">
        <v>90</v>
      </c>
      <c r="CA174" s="3">
        <v>46</v>
      </c>
      <c r="CB174" s="3" t="s">
        <v>3</v>
      </c>
      <c r="CE174" s="3">
        <v>1566</v>
      </c>
      <c r="CF174" s="3">
        <v>0</v>
      </c>
      <c r="CG174" s="3">
        <v>0</v>
      </c>
      <c r="CM174" s="3">
        <v>0</v>
      </c>
      <c r="CN174" s="3" t="s">
        <v>677</v>
      </c>
      <c r="CO174" s="3">
        <v>0</v>
      </c>
      <c r="CP174" s="3">
        <f t="shared" si="194"/>
        <v>572534.39</v>
      </c>
      <c r="CQ174" s="3">
        <f t="shared" si="195"/>
        <v>27834.33</v>
      </c>
      <c r="CR174" s="3">
        <f>(ROUND((ROUND((((ET174*1.2))*AV174*1),2)*BB174),2)+ROUND((ROUND(((AE174-((EU174*1.2)))*AV174*1),2)*BS174),2))</f>
        <v>219.84</v>
      </c>
      <c r="CS174" s="3">
        <f>(ROUND((ROUND((((EU174*1.2))*AV174*1),2)*BS174),2)+ROUND((ROUND(((AE174-((EU174*1.2)))*AV174*1),2)*BS174),2))</f>
        <v>108.76</v>
      </c>
      <c r="CT174" s="3">
        <f t="shared" si="196"/>
        <v>45536.44</v>
      </c>
      <c r="CU174" s="3">
        <f t="shared" si="197"/>
        <v>0</v>
      </c>
      <c r="CV174" s="3">
        <f t="shared" si="198"/>
        <v>70.562843999999984</v>
      </c>
      <c r="CW174" s="3">
        <f t="shared" si="199"/>
        <v>0</v>
      </c>
      <c r="CX174" s="3">
        <f t="shared" si="200"/>
        <v>0</v>
      </c>
      <c r="CY174" s="3">
        <f>(ROUND((((S174+ROUND((ROUND((((EU174*1.2))*AV174*1),2)*BS174),2))*AT174)/100),2)+ROUND(((ROUND((ROUND(((AE174-((EU174*1.2)))*AV174*1),2)*BS174),2)*AT174)/100),2))</f>
        <v>318943.59000000003</v>
      </c>
      <c r="CZ174" s="3">
        <f>(ROUND((((S174+ROUND((ROUND((((EU174*1.2))*AV174*1),2)*BS174),2))*AU174)/100),2)+ROUND(((ROUND((ROUND(((AE174-((EU174*1.2)))*AV174*1),2)*BS174),2)*AU174)/100),2))</f>
        <v>163015.60999999999</v>
      </c>
      <c r="DB174" s="3">
        <v>62</v>
      </c>
      <c r="DC174" s="3" t="s">
        <v>3</v>
      </c>
      <c r="DD174" s="3" t="s">
        <v>35</v>
      </c>
      <c r="DE174" s="3" t="s">
        <v>36</v>
      </c>
      <c r="DF174" s="3" t="s">
        <v>36</v>
      </c>
      <c r="DG174" s="3" t="s">
        <v>36</v>
      </c>
      <c r="DH174" s="3" t="s">
        <v>3</v>
      </c>
      <c r="DI174" s="3" t="s">
        <v>36</v>
      </c>
      <c r="DJ174" s="3" t="s">
        <v>36</v>
      </c>
      <c r="DK174" s="3" t="s">
        <v>3</v>
      </c>
      <c r="DL174" s="3" t="s">
        <v>3</v>
      </c>
      <c r="DM174" s="3" t="s">
        <v>3</v>
      </c>
      <c r="DN174" s="3">
        <v>0</v>
      </c>
      <c r="DO174" s="3">
        <v>0</v>
      </c>
      <c r="DP174" s="3">
        <v>1</v>
      </c>
      <c r="DQ174" s="3">
        <v>1</v>
      </c>
      <c r="DU174" s="3">
        <v>1010</v>
      </c>
      <c r="DV174" s="3" t="s">
        <v>240</v>
      </c>
      <c r="DW174" s="3" t="s">
        <v>240</v>
      </c>
      <c r="DX174" s="3">
        <v>100</v>
      </c>
      <c r="DZ174" s="3" t="s">
        <v>3</v>
      </c>
      <c r="EA174" s="3" t="s">
        <v>3</v>
      </c>
      <c r="EB174" s="3" t="s">
        <v>3</v>
      </c>
      <c r="EC174" s="3" t="s">
        <v>3</v>
      </c>
      <c r="EE174" s="3">
        <v>85133422</v>
      </c>
      <c r="EF174" s="3">
        <v>40</v>
      </c>
      <c r="EG174" s="3" t="s">
        <v>27</v>
      </c>
      <c r="EH174" s="3">
        <v>0</v>
      </c>
      <c r="EI174" s="3" t="s">
        <v>3</v>
      </c>
      <c r="EJ174" s="3">
        <v>2</v>
      </c>
      <c r="EK174" s="3">
        <v>73</v>
      </c>
      <c r="EL174" s="3" t="s">
        <v>62</v>
      </c>
      <c r="EM174" s="3" t="s">
        <v>63</v>
      </c>
      <c r="EO174" s="3" t="s">
        <v>37</v>
      </c>
      <c r="EQ174" s="3">
        <v>0</v>
      </c>
      <c r="ER174" s="3">
        <v>3435.5</v>
      </c>
      <c r="ES174" s="3">
        <v>2794.24</v>
      </c>
      <c r="ET174" s="3">
        <v>10.130000000000001</v>
      </c>
      <c r="EU174" s="3">
        <v>1.51</v>
      </c>
      <c r="EV174" s="3">
        <v>631.13</v>
      </c>
      <c r="EW174" s="3">
        <v>55.11</v>
      </c>
      <c r="EX174" s="3">
        <v>0</v>
      </c>
      <c r="EY174" s="3">
        <v>0</v>
      </c>
      <c r="FQ174" s="3">
        <v>0</v>
      </c>
      <c r="FR174" s="3">
        <v>0</v>
      </c>
      <c r="FS174" s="3">
        <v>2</v>
      </c>
      <c r="FX174" s="3">
        <v>90</v>
      </c>
      <c r="FY174" s="3">
        <v>46</v>
      </c>
      <c r="GA174" s="3" t="s">
        <v>3</v>
      </c>
      <c r="GD174" s="3">
        <v>1</v>
      </c>
      <c r="GF174" s="3">
        <v>-1566683198</v>
      </c>
      <c r="GG174" s="3">
        <v>2</v>
      </c>
      <c r="GH174" s="3">
        <v>1</v>
      </c>
      <c r="GI174" s="3">
        <v>2</v>
      </c>
      <c r="GJ174" s="3">
        <v>0</v>
      </c>
      <c r="GK174" s="3">
        <v>0</v>
      </c>
      <c r="GL174" s="3">
        <f t="shared" si="201"/>
        <v>0</v>
      </c>
      <c r="GM174" s="3">
        <f t="shared" si="202"/>
        <v>1055498.28</v>
      </c>
      <c r="GN174" s="3">
        <f t="shared" si="203"/>
        <v>0</v>
      </c>
      <c r="GO174" s="3">
        <f t="shared" si="204"/>
        <v>1055498.28</v>
      </c>
      <c r="GP174" s="3">
        <f t="shared" si="205"/>
        <v>0</v>
      </c>
      <c r="GR174" s="3">
        <v>0</v>
      </c>
      <c r="GS174" s="3">
        <v>3</v>
      </c>
      <c r="GT174" s="3">
        <v>0</v>
      </c>
      <c r="GU174" s="3" t="s">
        <v>3</v>
      </c>
      <c r="GV174" s="3">
        <f t="shared" si="206"/>
        <v>0</v>
      </c>
      <c r="GW174" s="3">
        <v>1</v>
      </c>
      <c r="GX174" s="3">
        <f t="shared" si="207"/>
        <v>0</v>
      </c>
      <c r="HA174" s="3">
        <v>0</v>
      </c>
      <c r="HB174" s="3">
        <v>0</v>
      </c>
      <c r="HC174" s="3">
        <f t="shared" si="208"/>
        <v>0</v>
      </c>
      <c r="HE174" s="3" t="s">
        <v>3</v>
      </c>
      <c r="HF174" s="3" t="s">
        <v>3</v>
      </c>
      <c r="HM174" s="3" t="s">
        <v>3</v>
      </c>
      <c r="HN174" s="3" t="s">
        <v>3</v>
      </c>
      <c r="HO174" s="3" t="s">
        <v>3</v>
      </c>
      <c r="HP174" s="3" t="s">
        <v>3</v>
      </c>
      <c r="HQ174" s="3" t="s">
        <v>3</v>
      </c>
      <c r="HS174" s="3">
        <v>0</v>
      </c>
      <c r="IK174" s="3">
        <v>0</v>
      </c>
    </row>
    <row r="175" spans="1:255" x14ac:dyDescent="0.2">
      <c r="A175" s="2">
        <v>18</v>
      </c>
      <c r="B175" s="2">
        <v>1</v>
      </c>
      <c r="C175" s="2">
        <v>388</v>
      </c>
      <c r="D175" s="2"/>
      <c r="E175" s="2" t="s">
        <v>340</v>
      </c>
      <c r="F175" s="2" t="s">
        <v>341</v>
      </c>
      <c r="G175" s="2" t="s">
        <v>342</v>
      </c>
      <c r="H175" s="2" t="s">
        <v>179</v>
      </c>
      <c r="I175" s="2">
        <f>I173*J175</f>
        <v>603.10559999999998</v>
      </c>
      <c r="J175" s="2">
        <v>77.52</v>
      </c>
      <c r="K175" s="2">
        <v>77.52</v>
      </c>
      <c r="L175" s="2"/>
      <c r="M175" s="2"/>
      <c r="N175" s="2"/>
      <c r="O175" s="2">
        <f t="shared" si="184"/>
        <v>6513.54</v>
      </c>
      <c r="P175" s="2">
        <f t="shared" si="185"/>
        <v>6513.54</v>
      </c>
      <c r="Q175" s="2">
        <f t="shared" ref="Q175:Q182" si="209">(ROUND((ROUND(((ET175)*AV175*I175),2)*BB175),2)+ROUND((ROUND(((AE175-(EU175))*AV175*I175),2)*BS175),2))</f>
        <v>0</v>
      </c>
      <c r="R175" s="2">
        <f t="shared" ref="R175:R182" si="210">(ROUND((ROUND(((EU175)*AV175*I175),2)*BS175),2)+ROUND((ROUND(((AE175-(EU175))*AV175*I175),2)*BS175),2))</f>
        <v>0</v>
      </c>
      <c r="S175" s="2">
        <f t="shared" si="186"/>
        <v>0</v>
      </c>
      <c r="T175" s="2">
        <f t="shared" si="187"/>
        <v>0</v>
      </c>
      <c r="U175" s="2">
        <f t="shared" si="188"/>
        <v>0</v>
      </c>
      <c r="V175" s="2">
        <f t="shared" si="189"/>
        <v>0</v>
      </c>
      <c r="W175" s="2">
        <f t="shared" si="190"/>
        <v>0</v>
      </c>
      <c r="X175" s="2">
        <f t="shared" ref="X175:X182" si="211">(ROUND((((S175+ROUND((ROUND(((EU175)*AV175*I175),2)*BS175),2))*AT175)/100),2)+ROUND(((ROUND((ROUND(((AE175-(EU175))*AV175*I175),2)*BS175),2)*AT175)/100),2))</f>
        <v>0</v>
      </c>
      <c r="Y175" s="2">
        <f t="shared" ref="Y175:Y182" si="212">(ROUND((((S175+ROUND((ROUND(((EU175)*AV175*I175),2)*BS175),2))*AU175)/100),2)+ROUND(((ROUND((ROUND(((AE175-(EU175))*AV175*I175),2)*BS175),2)*AU175)/100),2))</f>
        <v>0</v>
      </c>
      <c r="Z175" s="2"/>
      <c r="AA175" s="2">
        <v>85739205</v>
      </c>
      <c r="AB175" s="2">
        <f t="shared" si="191"/>
        <v>10.8</v>
      </c>
      <c r="AC175" s="2">
        <f t="shared" ref="AC175:AC182" si="213">ROUND((ES175),6)</f>
        <v>10.8</v>
      </c>
      <c r="AD175" s="2">
        <f t="shared" ref="AD175:AD182" si="214">ROUND((((ET175)-(EU175))+AE175),6)</f>
        <v>0</v>
      </c>
      <c r="AE175" s="2">
        <f t="shared" ref="AE175:AF182" si="215">ROUND((EU175),6)</f>
        <v>0</v>
      </c>
      <c r="AF175" s="2">
        <f t="shared" si="215"/>
        <v>0</v>
      </c>
      <c r="AG175" s="2">
        <f t="shared" si="192"/>
        <v>0</v>
      </c>
      <c r="AH175" s="2">
        <f t="shared" ref="AH175:AI182" si="216">(EW175)</f>
        <v>0</v>
      </c>
      <c r="AI175" s="2">
        <f t="shared" si="216"/>
        <v>0</v>
      </c>
      <c r="AJ175" s="2">
        <f t="shared" si="193"/>
        <v>0</v>
      </c>
      <c r="AK175" s="2">
        <v>10.8</v>
      </c>
      <c r="AL175" s="2">
        <v>10.8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90</v>
      </c>
      <c r="AU175" s="2">
        <v>46</v>
      </c>
      <c r="AV175" s="2">
        <v>1</v>
      </c>
      <c r="AW175" s="2">
        <v>1</v>
      </c>
      <c r="AX175" s="2"/>
      <c r="AY175" s="2"/>
      <c r="AZ175" s="2">
        <v>1</v>
      </c>
      <c r="BA175" s="2">
        <v>1</v>
      </c>
      <c r="BB175" s="2">
        <v>1</v>
      </c>
      <c r="BC175" s="2">
        <v>1</v>
      </c>
      <c r="BD175" s="2" t="s">
        <v>3</v>
      </c>
      <c r="BE175" s="2" t="s">
        <v>3</v>
      </c>
      <c r="BF175" s="2" t="s">
        <v>3</v>
      </c>
      <c r="BG175" s="2" t="s">
        <v>3</v>
      </c>
      <c r="BH175" s="2">
        <v>3</v>
      </c>
      <c r="BI175" s="2">
        <v>2</v>
      </c>
      <c r="BJ175" s="2" t="s">
        <v>343</v>
      </c>
      <c r="BK175" s="2"/>
      <c r="BL175" s="2"/>
      <c r="BM175" s="2">
        <v>73</v>
      </c>
      <c r="BN175" s="2">
        <v>0</v>
      </c>
      <c r="BO175" s="2" t="s">
        <v>3</v>
      </c>
      <c r="BP175" s="2">
        <v>0</v>
      </c>
      <c r="BQ175" s="2">
        <v>40</v>
      </c>
      <c r="BR175" s="2">
        <v>0</v>
      </c>
      <c r="BS175" s="2">
        <v>1</v>
      </c>
      <c r="BT175" s="2">
        <v>1</v>
      </c>
      <c r="BU175" s="2">
        <v>1</v>
      </c>
      <c r="BV175" s="2">
        <v>1</v>
      </c>
      <c r="BW175" s="2">
        <v>1</v>
      </c>
      <c r="BX175" s="2">
        <v>1</v>
      </c>
      <c r="BY175" s="2" t="s">
        <v>3</v>
      </c>
      <c r="BZ175" s="2">
        <v>90</v>
      </c>
      <c r="CA175" s="2">
        <v>46</v>
      </c>
      <c r="CB175" s="2" t="s">
        <v>3</v>
      </c>
      <c r="CC175" s="2"/>
      <c r="CD175" s="2"/>
      <c r="CE175" s="2">
        <v>1566</v>
      </c>
      <c r="CF175" s="2">
        <v>0</v>
      </c>
      <c r="CG175" s="2">
        <v>0</v>
      </c>
      <c r="CH175" s="2"/>
      <c r="CI175" s="2"/>
      <c r="CJ175" s="2"/>
      <c r="CK175" s="2"/>
      <c r="CL175" s="2"/>
      <c r="CM175" s="2">
        <v>0</v>
      </c>
      <c r="CN175" s="2" t="s">
        <v>679</v>
      </c>
      <c r="CO175" s="2">
        <v>0</v>
      </c>
      <c r="CP175" s="2">
        <f t="shared" si="194"/>
        <v>6513.54</v>
      </c>
      <c r="CQ175" s="2">
        <f t="shared" si="195"/>
        <v>10.8</v>
      </c>
      <c r="CR175" s="2">
        <f t="shared" ref="CR175:CR182" si="217">(ROUND((ROUND(((ET175)*AV175*1),2)*BB175),2)+ROUND((ROUND(((AE175-(EU175))*AV175*1),2)*BS175),2))</f>
        <v>0</v>
      </c>
      <c r="CS175" s="2">
        <f t="shared" ref="CS175:CS182" si="218">(ROUND((ROUND(((EU175)*AV175*1),2)*BS175),2)+ROUND((ROUND(((AE175-(EU175))*AV175*1),2)*BS175),2))</f>
        <v>0</v>
      </c>
      <c r="CT175" s="2">
        <f t="shared" si="196"/>
        <v>0</v>
      </c>
      <c r="CU175" s="2">
        <f t="shared" si="197"/>
        <v>0</v>
      </c>
      <c r="CV175" s="2">
        <f t="shared" si="198"/>
        <v>0</v>
      </c>
      <c r="CW175" s="2">
        <f t="shared" si="199"/>
        <v>0</v>
      </c>
      <c r="CX175" s="2">
        <f t="shared" si="200"/>
        <v>0</v>
      </c>
      <c r="CY175" s="2">
        <f t="shared" ref="CY175:CY182" si="219">(ROUND((((S175+ROUND((ROUND(((EU175)*AV175*1),2)*BS175),2))*AT175)/100),2)+ROUND(((ROUND((ROUND(((AE175-(EU175))*AV175*1),2)*BS175),2)*AT175)/100),2))</f>
        <v>0</v>
      </c>
      <c r="CZ175" s="2">
        <f t="shared" ref="CZ175:CZ182" si="220">(ROUND((((S175+ROUND((ROUND(((EU175)*AV175*1),2)*BS175),2))*AU175)/100),2)+ROUND(((ROUND((ROUND(((AE175-(EU175))*AV175*1),2)*BS175),2)*AU175)/100),2))</f>
        <v>0</v>
      </c>
      <c r="DA175" s="2"/>
      <c r="DB175" s="2"/>
      <c r="DC175" s="2" t="s">
        <v>3</v>
      </c>
      <c r="DD175" s="2" t="s">
        <v>3</v>
      </c>
      <c r="DE175" s="2" t="s">
        <v>3</v>
      </c>
      <c r="DF175" s="2" t="s">
        <v>3</v>
      </c>
      <c r="DG175" s="2" t="s">
        <v>3</v>
      </c>
      <c r="DH175" s="2" t="s">
        <v>3</v>
      </c>
      <c r="DI175" s="2" t="s">
        <v>3</v>
      </c>
      <c r="DJ175" s="2" t="s">
        <v>3</v>
      </c>
      <c r="DK175" s="2" t="s">
        <v>3</v>
      </c>
      <c r="DL175" s="2" t="s">
        <v>3</v>
      </c>
      <c r="DM175" s="2" t="s">
        <v>3</v>
      </c>
      <c r="DN175" s="2">
        <v>0</v>
      </c>
      <c r="DO175" s="2">
        <v>0</v>
      </c>
      <c r="DP175" s="2">
        <v>1</v>
      </c>
      <c r="DQ175" s="2">
        <v>1</v>
      </c>
      <c r="DR175" s="2"/>
      <c r="DS175" s="2"/>
      <c r="DT175" s="2"/>
      <c r="DU175" s="2">
        <v>1003</v>
      </c>
      <c r="DV175" s="2" t="s">
        <v>179</v>
      </c>
      <c r="DW175" s="2" t="s">
        <v>179</v>
      </c>
      <c r="DX175" s="2">
        <v>1</v>
      </c>
      <c r="DY175" s="2"/>
      <c r="DZ175" s="2" t="s">
        <v>3</v>
      </c>
      <c r="EA175" s="2" t="s">
        <v>3</v>
      </c>
      <c r="EB175" s="2" t="s">
        <v>3</v>
      </c>
      <c r="EC175" s="2" t="s">
        <v>3</v>
      </c>
      <c r="ED175" s="2"/>
      <c r="EE175" s="2">
        <v>85133422</v>
      </c>
      <c r="EF175" s="2">
        <v>40</v>
      </c>
      <c r="EG175" s="2" t="s">
        <v>27</v>
      </c>
      <c r="EH175" s="2">
        <v>0</v>
      </c>
      <c r="EI175" s="2" t="s">
        <v>3</v>
      </c>
      <c r="EJ175" s="2">
        <v>2</v>
      </c>
      <c r="EK175" s="2">
        <v>73</v>
      </c>
      <c r="EL175" s="2" t="s">
        <v>62</v>
      </c>
      <c r="EM175" s="2" t="s">
        <v>63</v>
      </c>
      <c r="EN175" s="2"/>
      <c r="EO175" s="2" t="s">
        <v>37</v>
      </c>
      <c r="EP175" s="2"/>
      <c r="EQ175" s="2">
        <v>0</v>
      </c>
      <c r="ER175" s="2">
        <v>10.8</v>
      </c>
      <c r="ES175" s="2">
        <v>10.8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>
        <v>0</v>
      </c>
      <c r="FR175" s="2">
        <v>0</v>
      </c>
      <c r="FS175" s="2">
        <v>0</v>
      </c>
      <c r="FT175" s="2"/>
      <c r="FU175" s="2"/>
      <c r="FV175" s="2"/>
      <c r="FW175" s="2"/>
      <c r="FX175" s="2">
        <v>90</v>
      </c>
      <c r="FY175" s="2">
        <v>46</v>
      </c>
      <c r="FZ175" s="2"/>
      <c r="GA175" s="2" t="s">
        <v>3</v>
      </c>
      <c r="GB175" s="2"/>
      <c r="GC175" s="2"/>
      <c r="GD175" s="2">
        <v>1</v>
      </c>
      <c r="GE175" s="2"/>
      <c r="GF175" s="2">
        <v>-1565334788</v>
      </c>
      <c r="GG175" s="2">
        <v>2</v>
      </c>
      <c r="GH175" s="2">
        <v>1</v>
      </c>
      <c r="GI175" s="2">
        <v>-2</v>
      </c>
      <c r="GJ175" s="2">
        <v>0</v>
      </c>
      <c r="GK175" s="2">
        <v>0</v>
      </c>
      <c r="GL175" s="2">
        <f t="shared" si="201"/>
        <v>0</v>
      </c>
      <c r="GM175" s="2">
        <f t="shared" si="202"/>
        <v>6513.54</v>
      </c>
      <c r="GN175" s="2">
        <f t="shared" si="203"/>
        <v>0</v>
      </c>
      <c r="GO175" s="2">
        <f t="shared" si="204"/>
        <v>6513.54</v>
      </c>
      <c r="GP175" s="2">
        <f t="shared" si="205"/>
        <v>0</v>
      </c>
      <c r="GQ175" s="2"/>
      <c r="GR175" s="2">
        <v>0</v>
      </c>
      <c r="GS175" s="2">
        <v>3</v>
      </c>
      <c r="GT175" s="2">
        <v>0</v>
      </c>
      <c r="GU175" s="2" t="s">
        <v>3</v>
      </c>
      <c r="GV175" s="2">
        <f t="shared" si="206"/>
        <v>0</v>
      </c>
      <c r="GW175" s="2">
        <v>1</v>
      </c>
      <c r="GX175" s="2">
        <f t="shared" si="207"/>
        <v>0</v>
      </c>
      <c r="GY175" s="2"/>
      <c r="GZ175" s="2"/>
      <c r="HA175" s="2">
        <v>0</v>
      </c>
      <c r="HB175" s="2">
        <v>0</v>
      </c>
      <c r="HC175" s="2">
        <f t="shared" si="208"/>
        <v>0</v>
      </c>
      <c r="HD175" s="2"/>
      <c r="HE175" s="2" t="s">
        <v>3</v>
      </c>
      <c r="HF175" s="2" t="s">
        <v>3</v>
      </c>
      <c r="HG175" s="2"/>
      <c r="HH175" s="2"/>
      <c r="HI175" s="2"/>
      <c r="HJ175" s="2"/>
      <c r="HK175" s="2"/>
      <c r="HL175" s="2"/>
      <c r="HM175" s="2" t="s">
        <v>35</v>
      </c>
      <c r="HN175" s="2" t="s">
        <v>3</v>
      </c>
      <c r="HO175" s="2" t="s">
        <v>3</v>
      </c>
      <c r="HP175" s="2" t="s">
        <v>3</v>
      </c>
      <c r="HQ175" s="2" t="s">
        <v>3</v>
      </c>
      <c r="HR175" s="2"/>
      <c r="HS175" s="2">
        <v>0</v>
      </c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>
        <v>0</v>
      </c>
      <c r="IL175" s="2"/>
      <c r="IM175" s="2"/>
      <c r="IN175" s="2"/>
      <c r="IO175" s="2"/>
      <c r="IP175" s="2"/>
      <c r="IQ175" s="2"/>
      <c r="IR175" s="2"/>
      <c r="IS175" s="2"/>
      <c r="IT175" s="2"/>
      <c r="IU175" s="2"/>
    </row>
    <row r="176" spans="1:255" x14ac:dyDescent="0.2">
      <c r="A176" s="3">
        <v>18</v>
      </c>
      <c r="B176" s="3">
        <v>1</v>
      </c>
      <c r="C176" s="3">
        <v>402</v>
      </c>
      <c r="E176" s="3" t="s">
        <v>340</v>
      </c>
      <c r="F176" s="3" t="s">
        <v>341</v>
      </c>
      <c r="G176" s="3" t="s">
        <v>342</v>
      </c>
      <c r="H176" s="3" t="s">
        <v>179</v>
      </c>
      <c r="I176" s="3">
        <f>I174*J176</f>
        <v>603.10559999999998</v>
      </c>
      <c r="J176" s="3">
        <v>77.52</v>
      </c>
      <c r="K176" s="3">
        <v>77.52</v>
      </c>
      <c r="O176" s="3">
        <f t="shared" si="184"/>
        <v>63507.02</v>
      </c>
      <c r="P176" s="3">
        <f t="shared" si="185"/>
        <v>63507.02</v>
      </c>
      <c r="Q176" s="3">
        <f t="shared" si="209"/>
        <v>0</v>
      </c>
      <c r="R176" s="3">
        <f t="shared" si="210"/>
        <v>0</v>
      </c>
      <c r="S176" s="3">
        <f t="shared" si="186"/>
        <v>0</v>
      </c>
      <c r="T176" s="3">
        <f t="shared" si="187"/>
        <v>0</v>
      </c>
      <c r="U176" s="3">
        <f t="shared" si="188"/>
        <v>0</v>
      </c>
      <c r="V176" s="3">
        <f t="shared" si="189"/>
        <v>0</v>
      </c>
      <c r="W176" s="3">
        <f t="shared" si="190"/>
        <v>0</v>
      </c>
      <c r="X176" s="3">
        <f t="shared" si="211"/>
        <v>0</v>
      </c>
      <c r="Y176" s="3">
        <f t="shared" si="212"/>
        <v>0</v>
      </c>
      <c r="AA176" s="3">
        <v>85739207</v>
      </c>
      <c r="AB176" s="3">
        <f t="shared" si="191"/>
        <v>10.8</v>
      </c>
      <c r="AC176" s="3">
        <f t="shared" si="213"/>
        <v>10.8</v>
      </c>
      <c r="AD176" s="3">
        <f t="shared" si="214"/>
        <v>0</v>
      </c>
      <c r="AE176" s="3">
        <f t="shared" si="215"/>
        <v>0</v>
      </c>
      <c r="AF176" s="3">
        <f t="shared" si="215"/>
        <v>0</v>
      </c>
      <c r="AG176" s="3">
        <f t="shared" si="192"/>
        <v>0</v>
      </c>
      <c r="AH176" s="3">
        <f t="shared" si="216"/>
        <v>0</v>
      </c>
      <c r="AI176" s="3">
        <f t="shared" si="216"/>
        <v>0</v>
      </c>
      <c r="AJ176" s="3">
        <f t="shared" si="193"/>
        <v>0</v>
      </c>
      <c r="AK176" s="3">
        <v>10.8</v>
      </c>
      <c r="AL176" s="3">
        <v>10.8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90</v>
      </c>
      <c r="AU176" s="3">
        <v>46</v>
      </c>
      <c r="AV176" s="3">
        <v>1</v>
      </c>
      <c r="AW176" s="3">
        <v>1</v>
      </c>
      <c r="AZ176" s="3">
        <v>1</v>
      </c>
      <c r="BA176" s="3">
        <v>1</v>
      </c>
      <c r="BB176" s="3">
        <v>1</v>
      </c>
      <c r="BC176" s="3">
        <v>9.75</v>
      </c>
      <c r="BD176" s="3" t="s">
        <v>3</v>
      </c>
      <c r="BE176" s="3" t="s">
        <v>3</v>
      </c>
      <c r="BF176" s="3" t="s">
        <v>3</v>
      </c>
      <c r="BG176" s="3" t="s">
        <v>3</v>
      </c>
      <c r="BH176" s="3">
        <v>3</v>
      </c>
      <c r="BI176" s="3">
        <v>2</v>
      </c>
      <c r="BJ176" s="3" t="s">
        <v>343</v>
      </c>
      <c r="BM176" s="3">
        <v>73</v>
      </c>
      <c r="BN176" s="3">
        <v>0</v>
      </c>
      <c r="BO176" s="3" t="s">
        <v>341</v>
      </c>
      <c r="BP176" s="3">
        <v>1</v>
      </c>
      <c r="BQ176" s="3">
        <v>40</v>
      </c>
      <c r="BR176" s="3">
        <v>0</v>
      </c>
      <c r="BS176" s="3">
        <v>1</v>
      </c>
      <c r="BT176" s="3">
        <v>1</v>
      </c>
      <c r="BU176" s="3">
        <v>1</v>
      </c>
      <c r="BV176" s="3">
        <v>1</v>
      </c>
      <c r="BW176" s="3">
        <v>1</v>
      </c>
      <c r="BX176" s="3">
        <v>1</v>
      </c>
      <c r="BY176" s="3" t="s">
        <v>3</v>
      </c>
      <c r="BZ176" s="3">
        <v>90</v>
      </c>
      <c r="CA176" s="3">
        <v>46</v>
      </c>
      <c r="CB176" s="3" t="s">
        <v>3</v>
      </c>
      <c r="CE176" s="3">
        <v>1566</v>
      </c>
      <c r="CF176" s="3">
        <v>0</v>
      </c>
      <c r="CG176" s="3">
        <v>0</v>
      </c>
      <c r="CM176" s="3">
        <v>0</v>
      </c>
      <c r="CN176" s="3" t="s">
        <v>679</v>
      </c>
      <c r="CO176" s="3">
        <v>0</v>
      </c>
      <c r="CP176" s="3">
        <f t="shared" si="194"/>
        <v>63507.02</v>
      </c>
      <c r="CQ176" s="3">
        <f t="shared" si="195"/>
        <v>105.3</v>
      </c>
      <c r="CR176" s="3">
        <f t="shared" si="217"/>
        <v>0</v>
      </c>
      <c r="CS176" s="3">
        <f t="shared" si="218"/>
        <v>0</v>
      </c>
      <c r="CT176" s="3">
        <f t="shared" si="196"/>
        <v>0</v>
      </c>
      <c r="CU176" s="3">
        <f t="shared" si="197"/>
        <v>0</v>
      </c>
      <c r="CV176" s="3">
        <f t="shared" si="198"/>
        <v>0</v>
      </c>
      <c r="CW176" s="3">
        <f t="shared" si="199"/>
        <v>0</v>
      </c>
      <c r="CX176" s="3">
        <f t="shared" si="200"/>
        <v>0</v>
      </c>
      <c r="CY176" s="3">
        <f t="shared" si="219"/>
        <v>0</v>
      </c>
      <c r="CZ176" s="3">
        <f t="shared" si="220"/>
        <v>0</v>
      </c>
      <c r="DC176" s="3" t="s">
        <v>3</v>
      </c>
      <c r="DD176" s="3" t="s">
        <v>3</v>
      </c>
      <c r="DE176" s="3" t="s">
        <v>3</v>
      </c>
      <c r="DF176" s="3" t="s">
        <v>3</v>
      </c>
      <c r="DG176" s="3" t="s">
        <v>3</v>
      </c>
      <c r="DH176" s="3" t="s">
        <v>3</v>
      </c>
      <c r="DI176" s="3" t="s">
        <v>3</v>
      </c>
      <c r="DJ176" s="3" t="s">
        <v>3</v>
      </c>
      <c r="DK176" s="3" t="s">
        <v>3</v>
      </c>
      <c r="DL176" s="3" t="s">
        <v>3</v>
      </c>
      <c r="DM176" s="3" t="s">
        <v>3</v>
      </c>
      <c r="DN176" s="3">
        <v>0</v>
      </c>
      <c r="DO176" s="3">
        <v>0</v>
      </c>
      <c r="DP176" s="3">
        <v>1</v>
      </c>
      <c r="DQ176" s="3">
        <v>1</v>
      </c>
      <c r="DU176" s="3">
        <v>1003</v>
      </c>
      <c r="DV176" s="3" t="s">
        <v>179</v>
      </c>
      <c r="DW176" s="3" t="s">
        <v>179</v>
      </c>
      <c r="DX176" s="3">
        <v>1</v>
      </c>
      <c r="DZ176" s="3" t="s">
        <v>3</v>
      </c>
      <c r="EA176" s="3" t="s">
        <v>3</v>
      </c>
      <c r="EB176" s="3" t="s">
        <v>3</v>
      </c>
      <c r="EC176" s="3" t="s">
        <v>3</v>
      </c>
      <c r="EE176" s="3">
        <v>85133422</v>
      </c>
      <c r="EF176" s="3">
        <v>40</v>
      </c>
      <c r="EG176" s="3" t="s">
        <v>27</v>
      </c>
      <c r="EH176" s="3">
        <v>0</v>
      </c>
      <c r="EI176" s="3" t="s">
        <v>3</v>
      </c>
      <c r="EJ176" s="3">
        <v>2</v>
      </c>
      <c r="EK176" s="3">
        <v>73</v>
      </c>
      <c r="EL176" s="3" t="s">
        <v>62</v>
      </c>
      <c r="EM176" s="3" t="s">
        <v>63</v>
      </c>
      <c r="EO176" s="3" t="s">
        <v>37</v>
      </c>
      <c r="EQ176" s="3">
        <v>0</v>
      </c>
      <c r="ER176" s="3">
        <v>10.8</v>
      </c>
      <c r="ES176" s="3">
        <v>10.8</v>
      </c>
      <c r="ET176" s="3">
        <v>0</v>
      </c>
      <c r="EU176" s="3">
        <v>0</v>
      </c>
      <c r="EV176" s="3">
        <v>0</v>
      </c>
      <c r="EW176" s="3">
        <v>0</v>
      </c>
      <c r="EX176" s="3">
        <v>0</v>
      </c>
      <c r="FQ176" s="3">
        <v>0</v>
      </c>
      <c r="FR176" s="3">
        <v>0</v>
      </c>
      <c r="FS176" s="3">
        <v>0</v>
      </c>
      <c r="FX176" s="3">
        <v>90</v>
      </c>
      <c r="FY176" s="3">
        <v>46</v>
      </c>
      <c r="GA176" s="3" t="s">
        <v>3</v>
      </c>
      <c r="GD176" s="3">
        <v>1</v>
      </c>
      <c r="GF176" s="3">
        <v>-1565334788</v>
      </c>
      <c r="GG176" s="3">
        <v>2</v>
      </c>
      <c r="GH176" s="3">
        <v>1</v>
      </c>
      <c r="GI176" s="3">
        <v>2</v>
      </c>
      <c r="GJ176" s="3">
        <v>0</v>
      </c>
      <c r="GK176" s="3">
        <v>0</v>
      </c>
      <c r="GL176" s="3">
        <f t="shared" si="201"/>
        <v>0</v>
      </c>
      <c r="GM176" s="3">
        <f t="shared" si="202"/>
        <v>63507.02</v>
      </c>
      <c r="GN176" s="3">
        <f t="shared" si="203"/>
        <v>0</v>
      </c>
      <c r="GO176" s="3">
        <f t="shared" si="204"/>
        <v>63507.02</v>
      </c>
      <c r="GP176" s="3">
        <f t="shared" si="205"/>
        <v>0</v>
      </c>
      <c r="GR176" s="3">
        <v>0</v>
      </c>
      <c r="GS176" s="3">
        <v>3</v>
      </c>
      <c r="GT176" s="3">
        <v>0</v>
      </c>
      <c r="GU176" s="3" t="s">
        <v>3</v>
      </c>
      <c r="GV176" s="3">
        <f t="shared" si="206"/>
        <v>0</v>
      </c>
      <c r="GW176" s="3">
        <v>1</v>
      </c>
      <c r="GX176" s="3">
        <f t="shared" si="207"/>
        <v>0</v>
      </c>
      <c r="HA176" s="3">
        <v>0</v>
      </c>
      <c r="HB176" s="3">
        <v>0</v>
      </c>
      <c r="HC176" s="3">
        <f t="shared" si="208"/>
        <v>0</v>
      </c>
      <c r="HE176" s="3" t="s">
        <v>3</v>
      </c>
      <c r="HF176" s="3" t="s">
        <v>3</v>
      </c>
      <c r="HM176" s="3" t="s">
        <v>35</v>
      </c>
      <c r="HN176" s="3" t="s">
        <v>3</v>
      </c>
      <c r="HO176" s="3" t="s">
        <v>3</v>
      </c>
      <c r="HP176" s="3" t="s">
        <v>3</v>
      </c>
      <c r="HQ176" s="3" t="s">
        <v>3</v>
      </c>
      <c r="HS176" s="3">
        <v>0</v>
      </c>
      <c r="IK176" s="3">
        <v>0</v>
      </c>
    </row>
    <row r="177" spans="1:255" x14ac:dyDescent="0.2">
      <c r="A177" s="2">
        <v>18</v>
      </c>
      <c r="B177" s="2">
        <v>1</v>
      </c>
      <c r="C177" s="2">
        <v>386</v>
      </c>
      <c r="D177" s="2"/>
      <c r="E177" s="2" t="s">
        <v>344</v>
      </c>
      <c r="F177" s="2" t="s">
        <v>345</v>
      </c>
      <c r="G177" s="2" t="s">
        <v>346</v>
      </c>
      <c r="H177" s="2" t="s">
        <v>99</v>
      </c>
      <c r="I177" s="2">
        <f>I173*J177</f>
        <v>778</v>
      </c>
      <c r="J177" s="2">
        <v>100</v>
      </c>
      <c r="K177" s="2">
        <v>100</v>
      </c>
      <c r="L177" s="2"/>
      <c r="M177" s="2"/>
      <c r="N177" s="2"/>
      <c r="O177" s="2">
        <f t="shared" si="184"/>
        <v>15956.78</v>
      </c>
      <c r="P177" s="2">
        <f t="shared" si="185"/>
        <v>15956.78</v>
      </c>
      <c r="Q177" s="2">
        <f t="shared" si="209"/>
        <v>0</v>
      </c>
      <c r="R177" s="2">
        <f t="shared" si="210"/>
        <v>0</v>
      </c>
      <c r="S177" s="2">
        <f t="shared" si="186"/>
        <v>0</v>
      </c>
      <c r="T177" s="2">
        <f t="shared" si="187"/>
        <v>0</v>
      </c>
      <c r="U177" s="2">
        <f t="shared" si="188"/>
        <v>0</v>
      </c>
      <c r="V177" s="2">
        <f t="shared" si="189"/>
        <v>0</v>
      </c>
      <c r="W177" s="2">
        <f t="shared" si="190"/>
        <v>0</v>
      </c>
      <c r="X177" s="2">
        <f t="shared" si="211"/>
        <v>0</v>
      </c>
      <c r="Y177" s="2">
        <f t="shared" si="212"/>
        <v>0</v>
      </c>
      <c r="Z177" s="2"/>
      <c r="AA177" s="2">
        <v>85739205</v>
      </c>
      <c r="AB177" s="2">
        <f t="shared" si="191"/>
        <v>20.51</v>
      </c>
      <c r="AC177" s="2">
        <f t="shared" si="213"/>
        <v>20.51</v>
      </c>
      <c r="AD177" s="2">
        <f t="shared" si="214"/>
        <v>0</v>
      </c>
      <c r="AE177" s="2">
        <f t="shared" si="215"/>
        <v>0</v>
      </c>
      <c r="AF177" s="2">
        <f t="shared" si="215"/>
        <v>0</v>
      </c>
      <c r="AG177" s="2">
        <f t="shared" si="192"/>
        <v>0</v>
      </c>
      <c r="AH177" s="2">
        <f t="shared" si="216"/>
        <v>0</v>
      </c>
      <c r="AI177" s="2">
        <f t="shared" si="216"/>
        <v>0</v>
      </c>
      <c r="AJ177" s="2">
        <f t="shared" si="193"/>
        <v>0</v>
      </c>
      <c r="AK177" s="2">
        <v>20.51</v>
      </c>
      <c r="AL177" s="2">
        <v>20.51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90</v>
      </c>
      <c r="AU177" s="2">
        <v>46</v>
      </c>
      <c r="AV177" s="2">
        <v>1</v>
      </c>
      <c r="AW177" s="2">
        <v>1</v>
      </c>
      <c r="AX177" s="2"/>
      <c r="AY177" s="2"/>
      <c r="AZ177" s="2">
        <v>1</v>
      </c>
      <c r="BA177" s="2">
        <v>1</v>
      </c>
      <c r="BB177" s="2">
        <v>1</v>
      </c>
      <c r="BC177" s="2">
        <v>1</v>
      </c>
      <c r="BD177" s="2" t="s">
        <v>3</v>
      </c>
      <c r="BE177" s="2" t="s">
        <v>3</v>
      </c>
      <c r="BF177" s="2" t="s">
        <v>3</v>
      </c>
      <c r="BG177" s="2" t="s">
        <v>3</v>
      </c>
      <c r="BH177" s="2">
        <v>3</v>
      </c>
      <c r="BI177" s="2">
        <v>2</v>
      </c>
      <c r="BJ177" s="2" t="s">
        <v>347</v>
      </c>
      <c r="BK177" s="2"/>
      <c r="BL177" s="2"/>
      <c r="BM177" s="2">
        <v>73</v>
      </c>
      <c r="BN177" s="2">
        <v>0</v>
      </c>
      <c r="BO177" s="2" t="s">
        <v>3</v>
      </c>
      <c r="BP177" s="2">
        <v>0</v>
      </c>
      <c r="BQ177" s="2">
        <v>40</v>
      </c>
      <c r="BR177" s="2">
        <v>0</v>
      </c>
      <c r="BS177" s="2">
        <v>1</v>
      </c>
      <c r="BT177" s="2">
        <v>1</v>
      </c>
      <c r="BU177" s="2">
        <v>1</v>
      </c>
      <c r="BV177" s="2">
        <v>1</v>
      </c>
      <c r="BW177" s="2">
        <v>1</v>
      </c>
      <c r="BX177" s="2">
        <v>1</v>
      </c>
      <c r="BY177" s="2" t="s">
        <v>3</v>
      </c>
      <c r="BZ177" s="2">
        <v>90</v>
      </c>
      <c r="CA177" s="2">
        <v>46</v>
      </c>
      <c r="CB177" s="2" t="s">
        <v>3</v>
      </c>
      <c r="CC177" s="2"/>
      <c r="CD177" s="2"/>
      <c r="CE177" s="2">
        <v>1566</v>
      </c>
      <c r="CF177" s="2">
        <v>0</v>
      </c>
      <c r="CG177" s="2">
        <v>0</v>
      </c>
      <c r="CH177" s="2"/>
      <c r="CI177" s="2"/>
      <c r="CJ177" s="2"/>
      <c r="CK177" s="2"/>
      <c r="CL177" s="2"/>
      <c r="CM177" s="2">
        <v>0</v>
      </c>
      <c r="CN177" s="2" t="s">
        <v>679</v>
      </c>
      <c r="CO177" s="2">
        <v>0</v>
      </c>
      <c r="CP177" s="2">
        <f t="shared" si="194"/>
        <v>15956.78</v>
      </c>
      <c r="CQ177" s="2">
        <f t="shared" si="195"/>
        <v>20.51</v>
      </c>
      <c r="CR177" s="2">
        <f t="shared" si="217"/>
        <v>0</v>
      </c>
      <c r="CS177" s="2">
        <f t="shared" si="218"/>
        <v>0</v>
      </c>
      <c r="CT177" s="2">
        <f t="shared" si="196"/>
        <v>0</v>
      </c>
      <c r="CU177" s="2">
        <f t="shared" si="197"/>
        <v>0</v>
      </c>
      <c r="CV177" s="2">
        <f t="shared" si="198"/>
        <v>0</v>
      </c>
      <c r="CW177" s="2">
        <f t="shared" si="199"/>
        <v>0</v>
      </c>
      <c r="CX177" s="2">
        <f t="shared" si="200"/>
        <v>0</v>
      </c>
      <c r="CY177" s="2">
        <f t="shared" si="219"/>
        <v>0</v>
      </c>
      <c r="CZ177" s="2">
        <f t="shared" si="220"/>
        <v>0</v>
      </c>
      <c r="DA177" s="2"/>
      <c r="DB177" s="2"/>
      <c r="DC177" s="2" t="s">
        <v>3</v>
      </c>
      <c r="DD177" s="2" t="s">
        <v>3</v>
      </c>
      <c r="DE177" s="2" t="s">
        <v>3</v>
      </c>
      <c r="DF177" s="2" t="s">
        <v>3</v>
      </c>
      <c r="DG177" s="2" t="s">
        <v>3</v>
      </c>
      <c r="DH177" s="2" t="s">
        <v>3</v>
      </c>
      <c r="DI177" s="2" t="s">
        <v>3</v>
      </c>
      <c r="DJ177" s="2" t="s">
        <v>3</v>
      </c>
      <c r="DK177" s="2" t="s">
        <v>3</v>
      </c>
      <c r="DL177" s="2" t="s">
        <v>3</v>
      </c>
      <c r="DM177" s="2" t="s">
        <v>3</v>
      </c>
      <c r="DN177" s="2">
        <v>0</v>
      </c>
      <c r="DO177" s="2">
        <v>0</v>
      </c>
      <c r="DP177" s="2">
        <v>1</v>
      </c>
      <c r="DQ177" s="2">
        <v>1</v>
      </c>
      <c r="DR177" s="2"/>
      <c r="DS177" s="2"/>
      <c r="DT177" s="2"/>
      <c r="DU177" s="2">
        <v>1010</v>
      </c>
      <c r="DV177" s="2" t="s">
        <v>99</v>
      </c>
      <c r="DW177" s="2" t="s">
        <v>99</v>
      </c>
      <c r="DX177" s="2">
        <v>1</v>
      </c>
      <c r="DY177" s="2"/>
      <c r="DZ177" s="2" t="s">
        <v>3</v>
      </c>
      <c r="EA177" s="2" t="s">
        <v>3</v>
      </c>
      <c r="EB177" s="2" t="s">
        <v>3</v>
      </c>
      <c r="EC177" s="2" t="s">
        <v>3</v>
      </c>
      <c r="ED177" s="2"/>
      <c r="EE177" s="2">
        <v>85133422</v>
      </c>
      <c r="EF177" s="2">
        <v>40</v>
      </c>
      <c r="EG177" s="2" t="s">
        <v>27</v>
      </c>
      <c r="EH177" s="2">
        <v>0</v>
      </c>
      <c r="EI177" s="2" t="s">
        <v>3</v>
      </c>
      <c r="EJ177" s="2">
        <v>2</v>
      </c>
      <c r="EK177" s="2">
        <v>73</v>
      </c>
      <c r="EL177" s="2" t="s">
        <v>62</v>
      </c>
      <c r="EM177" s="2" t="s">
        <v>63</v>
      </c>
      <c r="EN177" s="2"/>
      <c r="EO177" s="2" t="s">
        <v>37</v>
      </c>
      <c r="EP177" s="2"/>
      <c r="EQ177" s="2">
        <v>0</v>
      </c>
      <c r="ER177" s="2">
        <v>20.51</v>
      </c>
      <c r="ES177" s="2">
        <v>20.51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>
        <v>0</v>
      </c>
      <c r="FR177" s="2">
        <v>0</v>
      </c>
      <c r="FS177" s="2">
        <v>0</v>
      </c>
      <c r="FT177" s="2"/>
      <c r="FU177" s="2"/>
      <c r="FV177" s="2"/>
      <c r="FW177" s="2"/>
      <c r="FX177" s="2">
        <v>90</v>
      </c>
      <c r="FY177" s="2">
        <v>46</v>
      </c>
      <c r="FZ177" s="2"/>
      <c r="GA177" s="2" t="s">
        <v>3</v>
      </c>
      <c r="GB177" s="2"/>
      <c r="GC177" s="2"/>
      <c r="GD177" s="2">
        <v>1</v>
      </c>
      <c r="GE177" s="2"/>
      <c r="GF177" s="2">
        <v>580796849</v>
      </c>
      <c r="GG177" s="2">
        <v>2</v>
      </c>
      <c r="GH177" s="2">
        <v>1</v>
      </c>
      <c r="GI177" s="2">
        <v>-2</v>
      </c>
      <c r="GJ177" s="2">
        <v>0</v>
      </c>
      <c r="GK177" s="2">
        <v>0</v>
      </c>
      <c r="GL177" s="2">
        <f t="shared" si="201"/>
        <v>0</v>
      </c>
      <c r="GM177" s="2">
        <f t="shared" si="202"/>
        <v>15956.78</v>
      </c>
      <c r="GN177" s="2">
        <f t="shared" si="203"/>
        <v>0</v>
      </c>
      <c r="GO177" s="2">
        <f t="shared" si="204"/>
        <v>15956.78</v>
      </c>
      <c r="GP177" s="2">
        <f t="shared" si="205"/>
        <v>0</v>
      </c>
      <c r="GQ177" s="2"/>
      <c r="GR177" s="2">
        <v>0</v>
      </c>
      <c r="GS177" s="2">
        <v>3</v>
      </c>
      <c r="GT177" s="2">
        <v>0</v>
      </c>
      <c r="GU177" s="2" t="s">
        <v>3</v>
      </c>
      <c r="GV177" s="2">
        <f t="shared" si="206"/>
        <v>0</v>
      </c>
      <c r="GW177" s="2">
        <v>1</v>
      </c>
      <c r="GX177" s="2">
        <f t="shared" si="207"/>
        <v>0</v>
      </c>
      <c r="GY177" s="2"/>
      <c r="GZ177" s="2"/>
      <c r="HA177" s="2">
        <v>0</v>
      </c>
      <c r="HB177" s="2">
        <v>0</v>
      </c>
      <c r="HC177" s="2">
        <f t="shared" si="208"/>
        <v>0</v>
      </c>
      <c r="HD177" s="2"/>
      <c r="HE177" s="2" t="s">
        <v>3</v>
      </c>
      <c r="HF177" s="2" t="s">
        <v>3</v>
      </c>
      <c r="HG177" s="2"/>
      <c r="HH177" s="2"/>
      <c r="HI177" s="2"/>
      <c r="HJ177" s="2"/>
      <c r="HK177" s="2"/>
      <c r="HL177" s="2"/>
      <c r="HM177" s="2" t="s">
        <v>35</v>
      </c>
      <c r="HN177" s="2" t="s">
        <v>3</v>
      </c>
      <c r="HO177" s="2" t="s">
        <v>3</v>
      </c>
      <c r="HP177" s="2" t="s">
        <v>3</v>
      </c>
      <c r="HQ177" s="2" t="s">
        <v>3</v>
      </c>
      <c r="HR177" s="2"/>
      <c r="HS177" s="2">
        <v>0</v>
      </c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>
        <v>0</v>
      </c>
      <c r="IL177" s="2"/>
      <c r="IM177" s="2"/>
      <c r="IN177" s="2"/>
      <c r="IO177" s="2"/>
      <c r="IP177" s="2"/>
      <c r="IQ177" s="2"/>
      <c r="IR177" s="2"/>
      <c r="IS177" s="2"/>
      <c r="IT177" s="2"/>
      <c r="IU177" s="2"/>
    </row>
    <row r="178" spans="1:255" x14ac:dyDescent="0.2">
      <c r="A178" s="3">
        <v>18</v>
      </c>
      <c r="B178" s="3">
        <v>1</v>
      </c>
      <c r="C178" s="3">
        <v>400</v>
      </c>
      <c r="E178" s="3" t="s">
        <v>344</v>
      </c>
      <c r="F178" s="3" t="s">
        <v>345</v>
      </c>
      <c r="G178" s="3" t="s">
        <v>346</v>
      </c>
      <c r="H178" s="3" t="s">
        <v>99</v>
      </c>
      <c r="I178" s="3">
        <f>I174*J178</f>
        <v>778</v>
      </c>
      <c r="J178" s="3">
        <v>100</v>
      </c>
      <c r="K178" s="3">
        <v>100</v>
      </c>
      <c r="O178" s="3">
        <f t="shared" si="184"/>
        <v>111857.03</v>
      </c>
      <c r="P178" s="3">
        <f t="shared" si="185"/>
        <v>111857.03</v>
      </c>
      <c r="Q178" s="3">
        <f t="shared" si="209"/>
        <v>0</v>
      </c>
      <c r="R178" s="3">
        <f t="shared" si="210"/>
        <v>0</v>
      </c>
      <c r="S178" s="3">
        <f t="shared" si="186"/>
        <v>0</v>
      </c>
      <c r="T178" s="3">
        <f t="shared" si="187"/>
        <v>0</v>
      </c>
      <c r="U178" s="3">
        <f t="shared" si="188"/>
        <v>0</v>
      </c>
      <c r="V178" s="3">
        <f t="shared" si="189"/>
        <v>0</v>
      </c>
      <c r="W178" s="3">
        <f t="shared" si="190"/>
        <v>0</v>
      </c>
      <c r="X178" s="3">
        <f t="shared" si="211"/>
        <v>0</v>
      </c>
      <c r="Y178" s="3">
        <f t="shared" si="212"/>
        <v>0</v>
      </c>
      <c r="AA178" s="3">
        <v>85739207</v>
      </c>
      <c r="AB178" s="3">
        <f t="shared" si="191"/>
        <v>20.51</v>
      </c>
      <c r="AC178" s="3">
        <f t="shared" si="213"/>
        <v>20.51</v>
      </c>
      <c r="AD178" s="3">
        <f t="shared" si="214"/>
        <v>0</v>
      </c>
      <c r="AE178" s="3">
        <f t="shared" si="215"/>
        <v>0</v>
      </c>
      <c r="AF178" s="3">
        <f t="shared" si="215"/>
        <v>0</v>
      </c>
      <c r="AG178" s="3">
        <f t="shared" si="192"/>
        <v>0</v>
      </c>
      <c r="AH178" s="3">
        <f t="shared" si="216"/>
        <v>0</v>
      </c>
      <c r="AI178" s="3">
        <f t="shared" si="216"/>
        <v>0</v>
      </c>
      <c r="AJ178" s="3">
        <f t="shared" si="193"/>
        <v>0</v>
      </c>
      <c r="AK178" s="3">
        <v>20.51</v>
      </c>
      <c r="AL178" s="3">
        <v>20.51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90</v>
      </c>
      <c r="AU178" s="3">
        <v>46</v>
      </c>
      <c r="AV178" s="3">
        <v>1</v>
      </c>
      <c r="AW178" s="3">
        <v>1</v>
      </c>
      <c r="AZ178" s="3">
        <v>1</v>
      </c>
      <c r="BA178" s="3">
        <v>1</v>
      </c>
      <c r="BB178" s="3">
        <v>1</v>
      </c>
      <c r="BC178" s="3">
        <v>7.01</v>
      </c>
      <c r="BD178" s="3" t="s">
        <v>3</v>
      </c>
      <c r="BE178" s="3" t="s">
        <v>3</v>
      </c>
      <c r="BF178" s="3" t="s">
        <v>3</v>
      </c>
      <c r="BG178" s="3" t="s">
        <v>3</v>
      </c>
      <c r="BH178" s="3">
        <v>3</v>
      </c>
      <c r="BI178" s="3">
        <v>2</v>
      </c>
      <c r="BJ178" s="3" t="s">
        <v>347</v>
      </c>
      <c r="BM178" s="3">
        <v>73</v>
      </c>
      <c r="BN178" s="3">
        <v>0</v>
      </c>
      <c r="BO178" s="3" t="s">
        <v>345</v>
      </c>
      <c r="BP178" s="3">
        <v>1</v>
      </c>
      <c r="BQ178" s="3">
        <v>40</v>
      </c>
      <c r="BR178" s="3">
        <v>0</v>
      </c>
      <c r="BS178" s="3">
        <v>1</v>
      </c>
      <c r="BT178" s="3">
        <v>1</v>
      </c>
      <c r="BU178" s="3">
        <v>1</v>
      </c>
      <c r="BV178" s="3">
        <v>1</v>
      </c>
      <c r="BW178" s="3">
        <v>1</v>
      </c>
      <c r="BX178" s="3">
        <v>1</v>
      </c>
      <c r="BY178" s="3" t="s">
        <v>3</v>
      </c>
      <c r="BZ178" s="3">
        <v>90</v>
      </c>
      <c r="CA178" s="3">
        <v>46</v>
      </c>
      <c r="CB178" s="3" t="s">
        <v>3</v>
      </c>
      <c r="CE178" s="3">
        <v>1566</v>
      </c>
      <c r="CF178" s="3">
        <v>0</v>
      </c>
      <c r="CG178" s="3">
        <v>0</v>
      </c>
      <c r="CM178" s="3">
        <v>0</v>
      </c>
      <c r="CN178" s="3" t="s">
        <v>679</v>
      </c>
      <c r="CO178" s="3">
        <v>0</v>
      </c>
      <c r="CP178" s="3">
        <f t="shared" si="194"/>
        <v>111857.03</v>
      </c>
      <c r="CQ178" s="3">
        <f t="shared" si="195"/>
        <v>143.78</v>
      </c>
      <c r="CR178" s="3">
        <f t="shared" si="217"/>
        <v>0</v>
      </c>
      <c r="CS178" s="3">
        <f t="shared" si="218"/>
        <v>0</v>
      </c>
      <c r="CT178" s="3">
        <f t="shared" si="196"/>
        <v>0</v>
      </c>
      <c r="CU178" s="3">
        <f t="shared" si="197"/>
        <v>0</v>
      </c>
      <c r="CV178" s="3">
        <f t="shared" si="198"/>
        <v>0</v>
      </c>
      <c r="CW178" s="3">
        <f t="shared" si="199"/>
        <v>0</v>
      </c>
      <c r="CX178" s="3">
        <f t="shared" si="200"/>
        <v>0</v>
      </c>
      <c r="CY178" s="3">
        <f t="shared" si="219"/>
        <v>0</v>
      </c>
      <c r="CZ178" s="3">
        <f t="shared" si="220"/>
        <v>0</v>
      </c>
      <c r="DC178" s="3" t="s">
        <v>3</v>
      </c>
      <c r="DD178" s="3" t="s">
        <v>3</v>
      </c>
      <c r="DE178" s="3" t="s">
        <v>3</v>
      </c>
      <c r="DF178" s="3" t="s">
        <v>3</v>
      </c>
      <c r="DG178" s="3" t="s">
        <v>3</v>
      </c>
      <c r="DH178" s="3" t="s">
        <v>3</v>
      </c>
      <c r="DI178" s="3" t="s">
        <v>3</v>
      </c>
      <c r="DJ178" s="3" t="s">
        <v>3</v>
      </c>
      <c r="DK178" s="3" t="s">
        <v>3</v>
      </c>
      <c r="DL178" s="3" t="s">
        <v>3</v>
      </c>
      <c r="DM178" s="3" t="s">
        <v>3</v>
      </c>
      <c r="DN178" s="3">
        <v>0</v>
      </c>
      <c r="DO178" s="3">
        <v>0</v>
      </c>
      <c r="DP178" s="3">
        <v>1</v>
      </c>
      <c r="DQ178" s="3">
        <v>1</v>
      </c>
      <c r="DU178" s="3">
        <v>1010</v>
      </c>
      <c r="DV178" s="3" t="s">
        <v>99</v>
      </c>
      <c r="DW178" s="3" t="s">
        <v>99</v>
      </c>
      <c r="DX178" s="3">
        <v>1</v>
      </c>
      <c r="DZ178" s="3" t="s">
        <v>3</v>
      </c>
      <c r="EA178" s="3" t="s">
        <v>3</v>
      </c>
      <c r="EB178" s="3" t="s">
        <v>3</v>
      </c>
      <c r="EC178" s="3" t="s">
        <v>3</v>
      </c>
      <c r="EE178" s="3">
        <v>85133422</v>
      </c>
      <c r="EF178" s="3">
        <v>40</v>
      </c>
      <c r="EG178" s="3" t="s">
        <v>27</v>
      </c>
      <c r="EH178" s="3">
        <v>0</v>
      </c>
      <c r="EI178" s="3" t="s">
        <v>3</v>
      </c>
      <c r="EJ178" s="3">
        <v>2</v>
      </c>
      <c r="EK178" s="3">
        <v>73</v>
      </c>
      <c r="EL178" s="3" t="s">
        <v>62</v>
      </c>
      <c r="EM178" s="3" t="s">
        <v>63</v>
      </c>
      <c r="EO178" s="3" t="s">
        <v>37</v>
      </c>
      <c r="EQ178" s="3">
        <v>0</v>
      </c>
      <c r="ER178" s="3">
        <v>20.51</v>
      </c>
      <c r="ES178" s="3">
        <v>20.51</v>
      </c>
      <c r="ET178" s="3">
        <v>0</v>
      </c>
      <c r="EU178" s="3">
        <v>0</v>
      </c>
      <c r="EV178" s="3">
        <v>0</v>
      </c>
      <c r="EW178" s="3">
        <v>0</v>
      </c>
      <c r="EX178" s="3">
        <v>0</v>
      </c>
      <c r="FQ178" s="3">
        <v>0</v>
      </c>
      <c r="FR178" s="3">
        <v>0</v>
      </c>
      <c r="FS178" s="3">
        <v>0</v>
      </c>
      <c r="FX178" s="3">
        <v>90</v>
      </c>
      <c r="FY178" s="3">
        <v>46</v>
      </c>
      <c r="GA178" s="3" t="s">
        <v>3</v>
      </c>
      <c r="GD178" s="3">
        <v>1</v>
      </c>
      <c r="GF178" s="3">
        <v>580796849</v>
      </c>
      <c r="GG178" s="3">
        <v>2</v>
      </c>
      <c r="GH178" s="3">
        <v>1</v>
      </c>
      <c r="GI178" s="3">
        <v>2</v>
      </c>
      <c r="GJ178" s="3">
        <v>0</v>
      </c>
      <c r="GK178" s="3">
        <v>0</v>
      </c>
      <c r="GL178" s="3">
        <f t="shared" si="201"/>
        <v>0</v>
      </c>
      <c r="GM178" s="3">
        <f t="shared" si="202"/>
        <v>111857.03</v>
      </c>
      <c r="GN178" s="3">
        <f t="shared" si="203"/>
        <v>0</v>
      </c>
      <c r="GO178" s="3">
        <f t="shared" si="204"/>
        <v>111857.03</v>
      </c>
      <c r="GP178" s="3">
        <f t="shared" si="205"/>
        <v>0</v>
      </c>
      <c r="GR178" s="3">
        <v>0</v>
      </c>
      <c r="GS178" s="3">
        <v>3</v>
      </c>
      <c r="GT178" s="3">
        <v>0</v>
      </c>
      <c r="GU178" s="3" t="s">
        <v>3</v>
      </c>
      <c r="GV178" s="3">
        <f t="shared" si="206"/>
        <v>0</v>
      </c>
      <c r="GW178" s="3">
        <v>1</v>
      </c>
      <c r="GX178" s="3">
        <f t="shared" si="207"/>
        <v>0</v>
      </c>
      <c r="HA178" s="3">
        <v>0</v>
      </c>
      <c r="HB178" s="3">
        <v>0</v>
      </c>
      <c r="HC178" s="3">
        <f t="shared" si="208"/>
        <v>0</v>
      </c>
      <c r="HE178" s="3" t="s">
        <v>3</v>
      </c>
      <c r="HF178" s="3" t="s">
        <v>3</v>
      </c>
      <c r="HM178" s="3" t="s">
        <v>35</v>
      </c>
      <c r="HN178" s="3" t="s">
        <v>3</v>
      </c>
      <c r="HO178" s="3" t="s">
        <v>3</v>
      </c>
      <c r="HP178" s="3" t="s">
        <v>3</v>
      </c>
      <c r="HQ178" s="3" t="s">
        <v>3</v>
      </c>
      <c r="HS178" s="3">
        <v>0</v>
      </c>
      <c r="IK178" s="3">
        <v>0</v>
      </c>
    </row>
    <row r="179" spans="1:255" x14ac:dyDescent="0.2">
      <c r="A179" s="2">
        <v>18</v>
      </c>
      <c r="B179" s="2">
        <v>1</v>
      </c>
      <c r="C179" s="2">
        <v>387</v>
      </c>
      <c r="D179" s="2"/>
      <c r="E179" s="2" t="s">
        <v>348</v>
      </c>
      <c r="F179" s="2" t="s">
        <v>349</v>
      </c>
      <c r="G179" s="2" t="s">
        <v>350</v>
      </c>
      <c r="H179" s="2" t="s">
        <v>99</v>
      </c>
      <c r="I179" s="2">
        <f>I173*J179</f>
        <v>778</v>
      </c>
      <c r="J179" s="2">
        <v>100</v>
      </c>
      <c r="K179" s="2">
        <v>100</v>
      </c>
      <c r="L179" s="2"/>
      <c r="M179" s="2"/>
      <c r="N179" s="2"/>
      <c r="O179" s="2">
        <f t="shared" si="184"/>
        <v>14735.32</v>
      </c>
      <c r="P179" s="2">
        <f t="shared" si="185"/>
        <v>14735.32</v>
      </c>
      <c r="Q179" s="2">
        <f t="shared" si="209"/>
        <v>0</v>
      </c>
      <c r="R179" s="2">
        <f t="shared" si="210"/>
        <v>0</v>
      </c>
      <c r="S179" s="2">
        <f t="shared" si="186"/>
        <v>0</v>
      </c>
      <c r="T179" s="2">
        <f t="shared" si="187"/>
        <v>0</v>
      </c>
      <c r="U179" s="2">
        <f t="shared" si="188"/>
        <v>0</v>
      </c>
      <c r="V179" s="2">
        <f t="shared" si="189"/>
        <v>0</v>
      </c>
      <c r="W179" s="2">
        <f t="shared" si="190"/>
        <v>0</v>
      </c>
      <c r="X179" s="2">
        <f t="shared" si="211"/>
        <v>0</v>
      </c>
      <c r="Y179" s="2">
        <f t="shared" si="212"/>
        <v>0</v>
      </c>
      <c r="Z179" s="2"/>
      <c r="AA179" s="2">
        <v>85739205</v>
      </c>
      <c r="AB179" s="2">
        <f t="shared" si="191"/>
        <v>18.940000000000001</v>
      </c>
      <c r="AC179" s="2">
        <f t="shared" si="213"/>
        <v>18.940000000000001</v>
      </c>
      <c r="AD179" s="2">
        <f t="shared" si="214"/>
        <v>0</v>
      </c>
      <c r="AE179" s="2">
        <f t="shared" si="215"/>
        <v>0</v>
      </c>
      <c r="AF179" s="2">
        <f t="shared" si="215"/>
        <v>0</v>
      </c>
      <c r="AG179" s="2">
        <f t="shared" si="192"/>
        <v>0</v>
      </c>
      <c r="AH179" s="2">
        <f t="shared" si="216"/>
        <v>0</v>
      </c>
      <c r="AI179" s="2">
        <f t="shared" si="216"/>
        <v>0</v>
      </c>
      <c r="AJ179" s="2">
        <f t="shared" si="193"/>
        <v>0</v>
      </c>
      <c r="AK179" s="2">
        <v>18.940000000000001</v>
      </c>
      <c r="AL179" s="2">
        <v>18.940000000000001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90</v>
      </c>
      <c r="AU179" s="2">
        <v>46</v>
      </c>
      <c r="AV179" s="2">
        <v>1</v>
      </c>
      <c r="AW179" s="2">
        <v>1</v>
      </c>
      <c r="AX179" s="2"/>
      <c r="AY179" s="2"/>
      <c r="AZ179" s="2">
        <v>1</v>
      </c>
      <c r="BA179" s="2">
        <v>1</v>
      </c>
      <c r="BB179" s="2">
        <v>1</v>
      </c>
      <c r="BC179" s="2">
        <v>1</v>
      </c>
      <c r="BD179" s="2" t="s">
        <v>3</v>
      </c>
      <c r="BE179" s="2" t="s">
        <v>3</v>
      </c>
      <c r="BF179" s="2" t="s">
        <v>3</v>
      </c>
      <c r="BG179" s="2" t="s">
        <v>3</v>
      </c>
      <c r="BH179" s="2">
        <v>3</v>
      </c>
      <c r="BI179" s="2">
        <v>2</v>
      </c>
      <c r="BJ179" s="2" t="s">
        <v>351</v>
      </c>
      <c r="BK179" s="2"/>
      <c r="BL179" s="2"/>
      <c r="BM179" s="2">
        <v>73</v>
      </c>
      <c r="BN179" s="2">
        <v>0</v>
      </c>
      <c r="BO179" s="2" t="s">
        <v>3</v>
      </c>
      <c r="BP179" s="2">
        <v>0</v>
      </c>
      <c r="BQ179" s="2">
        <v>40</v>
      </c>
      <c r="BR179" s="2">
        <v>0</v>
      </c>
      <c r="BS179" s="2">
        <v>1</v>
      </c>
      <c r="BT179" s="2">
        <v>1</v>
      </c>
      <c r="BU179" s="2">
        <v>1</v>
      </c>
      <c r="BV179" s="2">
        <v>1</v>
      </c>
      <c r="BW179" s="2">
        <v>1</v>
      </c>
      <c r="BX179" s="2">
        <v>1</v>
      </c>
      <c r="BY179" s="2" t="s">
        <v>3</v>
      </c>
      <c r="BZ179" s="2">
        <v>90</v>
      </c>
      <c r="CA179" s="2">
        <v>46</v>
      </c>
      <c r="CB179" s="2" t="s">
        <v>3</v>
      </c>
      <c r="CC179" s="2"/>
      <c r="CD179" s="2"/>
      <c r="CE179" s="2">
        <v>1566</v>
      </c>
      <c r="CF179" s="2">
        <v>0</v>
      </c>
      <c r="CG179" s="2">
        <v>0</v>
      </c>
      <c r="CH179" s="2"/>
      <c r="CI179" s="2"/>
      <c r="CJ179" s="2"/>
      <c r="CK179" s="2"/>
      <c r="CL179" s="2"/>
      <c r="CM179" s="2">
        <v>0</v>
      </c>
      <c r="CN179" s="2" t="s">
        <v>679</v>
      </c>
      <c r="CO179" s="2">
        <v>0</v>
      </c>
      <c r="CP179" s="2">
        <f t="shared" si="194"/>
        <v>14735.32</v>
      </c>
      <c r="CQ179" s="2">
        <f t="shared" si="195"/>
        <v>18.940000000000001</v>
      </c>
      <c r="CR179" s="2">
        <f t="shared" si="217"/>
        <v>0</v>
      </c>
      <c r="CS179" s="2">
        <f t="shared" si="218"/>
        <v>0</v>
      </c>
      <c r="CT179" s="2">
        <f t="shared" si="196"/>
        <v>0</v>
      </c>
      <c r="CU179" s="2">
        <f t="shared" si="197"/>
        <v>0</v>
      </c>
      <c r="CV179" s="2">
        <f t="shared" si="198"/>
        <v>0</v>
      </c>
      <c r="CW179" s="2">
        <f t="shared" si="199"/>
        <v>0</v>
      </c>
      <c r="CX179" s="2">
        <f t="shared" si="200"/>
        <v>0</v>
      </c>
      <c r="CY179" s="2">
        <f t="shared" si="219"/>
        <v>0</v>
      </c>
      <c r="CZ179" s="2">
        <f t="shared" si="220"/>
        <v>0</v>
      </c>
      <c r="DA179" s="2"/>
      <c r="DB179" s="2"/>
      <c r="DC179" s="2" t="s">
        <v>3</v>
      </c>
      <c r="DD179" s="2" t="s">
        <v>3</v>
      </c>
      <c r="DE179" s="2" t="s">
        <v>3</v>
      </c>
      <c r="DF179" s="2" t="s">
        <v>3</v>
      </c>
      <c r="DG179" s="2" t="s">
        <v>3</v>
      </c>
      <c r="DH179" s="2" t="s">
        <v>3</v>
      </c>
      <c r="DI179" s="2" t="s">
        <v>3</v>
      </c>
      <c r="DJ179" s="2" t="s">
        <v>3</v>
      </c>
      <c r="DK179" s="2" t="s">
        <v>3</v>
      </c>
      <c r="DL179" s="2" t="s">
        <v>3</v>
      </c>
      <c r="DM179" s="2" t="s">
        <v>3</v>
      </c>
      <c r="DN179" s="2">
        <v>0</v>
      </c>
      <c r="DO179" s="2">
        <v>0</v>
      </c>
      <c r="DP179" s="2">
        <v>1</v>
      </c>
      <c r="DQ179" s="2">
        <v>1</v>
      </c>
      <c r="DR179" s="2"/>
      <c r="DS179" s="2"/>
      <c r="DT179" s="2"/>
      <c r="DU179" s="2">
        <v>1010</v>
      </c>
      <c r="DV179" s="2" t="s">
        <v>99</v>
      </c>
      <c r="DW179" s="2" t="s">
        <v>99</v>
      </c>
      <c r="DX179" s="2">
        <v>1</v>
      </c>
      <c r="DY179" s="2"/>
      <c r="DZ179" s="2" t="s">
        <v>3</v>
      </c>
      <c r="EA179" s="2" t="s">
        <v>3</v>
      </c>
      <c r="EB179" s="2" t="s">
        <v>3</v>
      </c>
      <c r="EC179" s="2" t="s">
        <v>3</v>
      </c>
      <c r="ED179" s="2"/>
      <c r="EE179" s="2">
        <v>85133422</v>
      </c>
      <c r="EF179" s="2">
        <v>40</v>
      </c>
      <c r="EG179" s="2" t="s">
        <v>27</v>
      </c>
      <c r="EH179" s="2">
        <v>0</v>
      </c>
      <c r="EI179" s="2" t="s">
        <v>3</v>
      </c>
      <c r="EJ179" s="2">
        <v>2</v>
      </c>
      <c r="EK179" s="2">
        <v>73</v>
      </c>
      <c r="EL179" s="2" t="s">
        <v>62</v>
      </c>
      <c r="EM179" s="2" t="s">
        <v>63</v>
      </c>
      <c r="EN179" s="2"/>
      <c r="EO179" s="2" t="s">
        <v>37</v>
      </c>
      <c r="EP179" s="2"/>
      <c r="EQ179" s="2">
        <v>0</v>
      </c>
      <c r="ER179" s="2">
        <v>18.940000000000001</v>
      </c>
      <c r="ES179" s="2">
        <v>18.940000000000001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>
        <v>0</v>
      </c>
      <c r="FR179" s="2">
        <v>0</v>
      </c>
      <c r="FS179" s="2">
        <v>0</v>
      </c>
      <c r="FT179" s="2"/>
      <c r="FU179" s="2"/>
      <c r="FV179" s="2"/>
      <c r="FW179" s="2"/>
      <c r="FX179" s="2">
        <v>90</v>
      </c>
      <c r="FY179" s="2">
        <v>46</v>
      </c>
      <c r="FZ179" s="2"/>
      <c r="GA179" s="2" t="s">
        <v>3</v>
      </c>
      <c r="GB179" s="2"/>
      <c r="GC179" s="2"/>
      <c r="GD179" s="2">
        <v>1</v>
      </c>
      <c r="GE179" s="2"/>
      <c r="GF179" s="2">
        <v>-787797693</v>
      </c>
      <c r="GG179" s="2">
        <v>2</v>
      </c>
      <c r="GH179" s="2">
        <v>1</v>
      </c>
      <c r="GI179" s="2">
        <v>-2</v>
      </c>
      <c r="GJ179" s="2">
        <v>0</v>
      </c>
      <c r="GK179" s="2">
        <v>0</v>
      </c>
      <c r="GL179" s="2">
        <f t="shared" si="201"/>
        <v>0</v>
      </c>
      <c r="GM179" s="2">
        <f t="shared" si="202"/>
        <v>14735.32</v>
      </c>
      <c r="GN179" s="2">
        <f t="shared" si="203"/>
        <v>0</v>
      </c>
      <c r="GO179" s="2">
        <f t="shared" si="204"/>
        <v>14735.32</v>
      </c>
      <c r="GP179" s="2">
        <f t="shared" si="205"/>
        <v>0</v>
      </c>
      <c r="GQ179" s="2"/>
      <c r="GR179" s="2">
        <v>0</v>
      </c>
      <c r="GS179" s="2">
        <v>3</v>
      </c>
      <c r="GT179" s="2">
        <v>0</v>
      </c>
      <c r="GU179" s="2" t="s">
        <v>3</v>
      </c>
      <c r="GV179" s="2">
        <f t="shared" si="206"/>
        <v>0</v>
      </c>
      <c r="GW179" s="2">
        <v>1</v>
      </c>
      <c r="GX179" s="2">
        <f t="shared" si="207"/>
        <v>0</v>
      </c>
      <c r="GY179" s="2"/>
      <c r="GZ179" s="2"/>
      <c r="HA179" s="2">
        <v>0</v>
      </c>
      <c r="HB179" s="2">
        <v>0</v>
      </c>
      <c r="HC179" s="2">
        <f t="shared" si="208"/>
        <v>0</v>
      </c>
      <c r="HD179" s="2"/>
      <c r="HE179" s="2" t="s">
        <v>3</v>
      </c>
      <c r="HF179" s="2" t="s">
        <v>3</v>
      </c>
      <c r="HG179" s="2"/>
      <c r="HH179" s="2"/>
      <c r="HI179" s="2"/>
      <c r="HJ179" s="2"/>
      <c r="HK179" s="2"/>
      <c r="HL179" s="2"/>
      <c r="HM179" s="2" t="s">
        <v>35</v>
      </c>
      <c r="HN179" s="2" t="s">
        <v>3</v>
      </c>
      <c r="HO179" s="2" t="s">
        <v>3</v>
      </c>
      <c r="HP179" s="2" t="s">
        <v>3</v>
      </c>
      <c r="HQ179" s="2" t="s">
        <v>3</v>
      </c>
      <c r="HR179" s="2"/>
      <c r="HS179" s="2">
        <v>0</v>
      </c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>
        <v>0</v>
      </c>
      <c r="IL179" s="2"/>
      <c r="IM179" s="2"/>
      <c r="IN179" s="2"/>
      <c r="IO179" s="2"/>
      <c r="IP179" s="2"/>
      <c r="IQ179" s="2"/>
      <c r="IR179" s="2"/>
      <c r="IS179" s="2"/>
      <c r="IT179" s="2"/>
      <c r="IU179" s="2"/>
    </row>
    <row r="180" spans="1:255" x14ac:dyDescent="0.2">
      <c r="A180" s="3">
        <v>18</v>
      </c>
      <c r="B180" s="3">
        <v>1</v>
      </c>
      <c r="C180" s="3">
        <v>401</v>
      </c>
      <c r="E180" s="3" t="s">
        <v>348</v>
      </c>
      <c r="F180" s="3" t="s">
        <v>349</v>
      </c>
      <c r="G180" s="3" t="s">
        <v>350</v>
      </c>
      <c r="H180" s="3" t="s">
        <v>99</v>
      </c>
      <c r="I180" s="3">
        <f>I174*J180</f>
        <v>778</v>
      </c>
      <c r="J180" s="3">
        <v>100</v>
      </c>
      <c r="K180" s="3">
        <v>100</v>
      </c>
      <c r="O180" s="3">
        <f t="shared" si="184"/>
        <v>103294.59</v>
      </c>
      <c r="P180" s="3">
        <f t="shared" si="185"/>
        <v>103294.59</v>
      </c>
      <c r="Q180" s="3">
        <f t="shared" si="209"/>
        <v>0</v>
      </c>
      <c r="R180" s="3">
        <f t="shared" si="210"/>
        <v>0</v>
      </c>
      <c r="S180" s="3">
        <f t="shared" si="186"/>
        <v>0</v>
      </c>
      <c r="T180" s="3">
        <f t="shared" si="187"/>
        <v>0</v>
      </c>
      <c r="U180" s="3">
        <f t="shared" si="188"/>
        <v>0</v>
      </c>
      <c r="V180" s="3">
        <f t="shared" si="189"/>
        <v>0</v>
      </c>
      <c r="W180" s="3">
        <f t="shared" si="190"/>
        <v>0</v>
      </c>
      <c r="X180" s="3">
        <f t="shared" si="211"/>
        <v>0</v>
      </c>
      <c r="Y180" s="3">
        <f t="shared" si="212"/>
        <v>0</v>
      </c>
      <c r="AA180" s="3">
        <v>85739207</v>
      </c>
      <c r="AB180" s="3">
        <f t="shared" si="191"/>
        <v>18.940000000000001</v>
      </c>
      <c r="AC180" s="3">
        <f t="shared" si="213"/>
        <v>18.940000000000001</v>
      </c>
      <c r="AD180" s="3">
        <f t="shared" si="214"/>
        <v>0</v>
      </c>
      <c r="AE180" s="3">
        <f t="shared" si="215"/>
        <v>0</v>
      </c>
      <c r="AF180" s="3">
        <f t="shared" si="215"/>
        <v>0</v>
      </c>
      <c r="AG180" s="3">
        <f t="shared" si="192"/>
        <v>0</v>
      </c>
      <c r="AH180" s="3">
        <f t="shared" si="216"/>
        <v>0</v>
      </c>
      <c r="AI180" s="3">
        <f t="shared" si="216"/>
        <v>0</v>
      </c>
      <c r="AJ180" s="3">
        <f t="shared" si="193"/>
        <v>0</v>
      </c>
      <c r="AK180" s="3">
        <v>18.940000000000001</v>
      </c>
      <c r="AL180" s="3">
        <v>18.940000000000001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90</v>
      </c>
      <c r="AU180" s="3">
        <v>46</v>
      </c>
      <c r="AV180" s="3">
        <v>1</v>
      </c>
      <c r="AW180" s="3">
        <v>1</v>
      </c>
      <c r="AZ180" s="3">
        <v>1</v>
      </c>
      <c r="BA180" s="3">
        <v>1</v>
      </c>
      <c r="BB180" s="3">
        <v>1</v>
      </c>
      <c r="BC180" s="3">
        <v>7.01</v>
      </c>
      <c r="BD180" s="3" t="s">
        <v>3</v>
      </c>
      <c r="BE180" s="3" t="s">
        <v>3</v>
      </c>
      <c r="BF180" s="3" t="s">
        <v>3</v>
      </c>
      <c r="BG180" s="3" t="s">
        <v>3</v>
      </c>
      <c r="BH180" s="3">
        <v>3</v>
      </c>
      <c r="BI180" s="3">
        <v>2</v>
      </c>
      <c r="BJ180" s="3" t="s">
        <v>351</v>
      </c>
      <c r="BM180" s="3">
        <v>73</v>
      </c>
      <c r="BN180" s="3">
        <v>0</v>
      </c>
      <c r="BO180" s="3" t="s">
        <v>349</v>
      </c>
      <c r="BP180" s="3">
        <v>1</v>
      </c>
      <c r="BQ180" s="3">
        <v>40</v>
      </c>
      <c r="BR180" s="3">
        <v>0</v>
      </c>
      <c r="BS180" s="3">
        <v>1</v>
      </c>
      <c r="BT180" s="3">
        <v>1</v>
      </c>
      <c r="BU180" s="3">
        <v>1</v>
      </c>
      <c r="BV180" s="3">
        <v>1</v>
      </c>
      <c r="BW180" s="3">
        <v>1</v>
      </c>
      <c r="BX180" s="3">
        <v>1</v>
      </c>
      <c r="BY180" s="3" t="s">
        <v>3</v>
      </c>
      <c r="BZ180" s="3">
        <v>90</v>
      </c>
      <c r="CA180" s="3">
        <v>46</v>
      </c>
      <c r="CB180" s="3" t="s">
        <v>3</v>
      </c>
      <c r="CE180" s="3">
        <v>1566</v>
      </c>
      <c r="CF180" s="3">
        <v>0</v>
      </c>
      <c r="CG180" s="3">
        <v>0</v>
      </c>
      <c r="CM180" s="3">
        <v>0</v>
      </c>
      <c r="CN180" s="3" t="s">
        <v>679</v>
      </c>
      <c r="CO180" s="3">
        <v>0</v>
      </c>
      <c r="CP180" s="3">
        <f t="shared" si="194"/>
        <v>103294.59</v>
      </c>
      <c r="CQ180" s="3">
        <f t="shared" si="195"/>
        <v>132.77000000000001</v>
      </c>
      <c r="CR180" s="3">
        <f t="shared" si="217"/>
        <v>0</v>
      </c>
      <c r="CS180" s="3">
        <f t="shared" si="218"/>
        <v>0</v>
      </c>
      <c r="CT180" s="3">
        <f t="shared" si="196"/>
        <v>0</v>
      </c>
      <c r="CU180" s="3">
        <f t="shared" si="197"/>
        <v>0</v>
      </c>
      <c r="CV180" s="3">
        <f t="shared" si="198"/>
        <v>0</v>
      </c>
      <c r="CW180" s="3">
        <f t="shared" si="199"/>
        <v>0</v>
      </c>
      <c r="CX180" s="3">
        <f t="shared" si="200"/>
        <v>0</v>
      </c>
      <c r="CY180" s="3">
        <f t="shared" si="219"/>
        <v>0</v>
      </c>
      <c r="CZ180" s="3">
        <f t="shared" si="220"/>
        <v>0</v>
      </c>
      <c r="DC180" s="3" t="s">
        <v>3</v>
      </c>
      <c r="DD180" s="3" t="s">
        <v>3</v>
      </c>
      <c r="DE180" s="3" t="s">
        <v>3</v>
      </c>
      <c r="DF180" s="3" t="s">
        <v>3</v>
      </c>
      <c r="DG180" s="3" t="s">
        <v>3</v>
      </c>
      <c r="DH180" s="3" t="s">
        <v>3</v>
      </c>
      <c r="DI180" s="3" t="s">
        <v>3</v>
      </c>
      <c r="DJ180" s="3" t="s">
        <v>3</v>
      </c>
      <c r="DK180" s="3" t="s">
        <v>3</v>
      </c>
      <c r="DL180" s="3" t="s">
        <v>3</v>
      </c>
      <c r="DM180" s="3" t="s">
        <v>3</v>
      </c>
      <c r="DN180" s="3">
        <v>0</v>
      </c>
      <c r="DO180" s="3">
        <v>0</v>
      </c>
      <c r="DP180" s="3">
        <v>1</v>
      </c>
      <c r="DQ180" s="3">
        <v>1</v>
      </c>
      <c r="DU180" s="3">
        <v>1010</v>
      </c>
      <c r="DV180" s="3" t="s">
        <v>99</v>
      </c>
      <c r="DW180" s="3" t="s">
        <v>99</v>
      </c>
      <c r="DX180" s="3">
        <v>1</v>
      </c>
      <c r="DZ180" s="3" t="s">
        <v>3</v>
      </c>
      <c r="EA180" s="3" t="s">
        <v>3</v>
      </c>
      <c r="EB180" s="3" t="s">
        <v>3</v>
      </c>
      <c r="EC180" s="3" t="s">
        <v>3</v>
      </c>
      <c r="EE180" s="3">
        <v>85133422</v>
      </c>
      <c r="EF180" s="3">
        <v>40</v>
      </c>
      <c r="EG180" s="3" t="s">
        <v>27</v>
      </c>
      <c r="EH180" s="3">
        <v>0</v>
      </c>
      <c r="EI180" s="3" t="s">
        <v>3</v>
      </c>
      <c r="EJ180" s="3">
        <v>2</v>
      </c>
      <c r="EK180" s="3">
        <v>73</v>
      </c>
      <c r="EL180" s="3" t="s">
        <v>62</v>
      </c>
      <c r="EM180" s="3" t="s">
        <v>63</v>
      </c>
      <c r="EO180" s="3" t="s">
        <v>37</v>
      </c>
      <c r="EQ180" s="3">
        <v>0</v>
      </c>
      <c r="ER180" s="3">
        <v>18.940000000000001</v>
      </c>
      <c r="ES180" s="3">
        <v>18.940000000000001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FQ180" s="3">
        <v>0</v>
      </c>
      <c r="FR180" s="3">
        <v>0</v>
      </c>
      <c r="FS180" s="3">
        <v>0</v>
      </c>
      <c r="FX180" s="3">
        <v>90</v>
      </c>
      <c r="FY180" s="3">
        <v>46</v>
      </c>
      <c r="GA180" s="3" t="s">
        <v>3</v>
      </c>
      <c r="GD180" s="3">
        <v>1</v>
      </c>
      <c r="GF180" s="3">
        <v>-787797693</v>
      </c>
      <c r="GG180" s="3">
        <v>2</v>
      </c>
      <c r="GH180" s="3">
        <v>1</v>
      </c>
      <c r="GI180" s="3">
        <v>2</v>
      </c>
      <c r="GJ180" s="3">
        <v>0</v>
      </c>
      <c r="GK180" s="3">
        <v>0</v>
      </c>
      <c r="GL180" s="3">
        <f t="shared" si="201"/>
        <v>0</v>
      </c>
      <c r="GM180" s="3">
        <f t="shared" si="202"/>
        <v>103294.59</v>
      </c>
      <c r="GN180" s="3">
        <f t="shared" si="203"/>
        <v>0</v>
      </c>
      <c r="GO180" s="3">
        <f t="shared" si="204"/>
        <v>103294.59</v>
      </c>
      <c r="GP180" s="3">
        <f t="shared" si="205"/>
        <v>0</v>
      </c>
      <c r="GR180" s="3">
        <v>0</v>
      </c>
      <c r="GS180" s="3">
        <v>3</v>
      </c>
      <c r="GT180" s="3">
        <v>0</v>
      </c>
      <c r="GU180" s="3" t="s">
        <v>3</v>
      </c>
      <c r="GV180" s="3">
        <f t="shared" si="206"/>
        <v>0</v>
      </c>
      <c r="GW180" s="3">
        <v>1</v>
      </c>
      <c r="GX180" s="3">
        <f t="shared" si="207"/>
        <v>0</v>
      </c>
      <c r="HA180" s="3">
        <v>0</v>
      </c>
      <c r="HB180" s="3">
        <v>0</v>
      </c>
      <c r="HC180" s="3">
        <f t="shared" si="208"/>
        <v>0</v>
      </c>
      <c r="HE180" s="3" t="s">
        <v>3</v>
      </c>
      <c r="HF180" s="3" t="s">
        <v>3</v>
      </c>
      <c r="HM180" s="3" t="s">
        <v>35</v>
      </c>
      <c r="HN180" s="3" t="s">
        <v>3</v>
      </c>
      <c r="HO180" s="3" t="s">
        <v>3</v>
      </c>
      <c r="HP180" s="3" t="s">
        <v>3</v>
      </c>
      <c r="HQ180" s="3" t="s">
        <v>3</v>
      </c>
      <c r="HS180" s="3">
        <v>0</v>
      </c>
      <c r="IK180" s="3">
        <v>0</v>
      </c>
    </row>
    <row r="181" spans="1:255" x14ac:dyDescent="0.2">
      <c r="A181" s="2">
        <v>18</v>
      </c>
      <c r="B181" s="2">
        <v>1</v>
      </c>
      <c r="C181" s="2">
        <v>389</v>
      </c>
      <c r="D181" s="2"/>
      <c r="E181" s="2" t="s">
        <v>352</v>
      </c>
      <c r="F181" s="2" t="s">
        <v>353</v>
      </c>
      <c r="G181" s="2" t="s">
        <v>354</v>
      </c>
      <c r="H181" s="2" t="s">
        <v>99</v>
      </c>
      <c r="I181" s="2">
        <f>I173*J181</f>
        <v>778</v>
      </c>
      <c r="J181" s="2">
        <v>100</v>
      </c>
      <c r="K181" s="2">
        <v>100</v>
      </c>
      <c r="L181" s="2"/>
      <c r="M181" s="2"/>
      <c r="N181" s="2"/>
      <c r="O181" s="2">
        <f t="shared" si="184"/>
        <v>29727.38</v>
      </c>
      <c r="P181" s="2">
        <f t="shared" si="185"/>
        <v>29727.38</v>
      </c>
      <c r="Q181" s="2">
        <f t="shared" si="209"/>
        <v>0</v>
      </c>
      <c r="R181" s="2">
        <f t="shared" si="210"/>
        <v>0</v>
      </c>
      <c r="S181" s="2">
        <f t="shared" si="186"/>
        <v>0</v>
      </c>
      <c r="T181" s="2">
        <f t="shared" si="187"/>
        <v>0</v>
      </c>
      <c r="U181" s="2">
        <f t="shared" si="188"/>
        <v>0</v>
      </c>
      <c r="V181" s="2">
        <f t="shared" si="189"/>
        <v>0</v>
      </c>
      <c r="W181" s="2">
        <f t="shared" si="190"/>
        <v>0</v>
      </c>
      <c r="X181" s="2">
        <f t="shared" si="211"/>
        <v>0</v>
      </c>
      <c r="Y181" s="2">
        <f t="shared" si="212"/>
        <v>0</v>
      </c>
      <c r="Z181" s="2"/>
      <c r="AA181" s="2">
        <v>85739205</v>
      </c>
      <c r="AB181" s="2">
        <f t="shared" si="191"/>
        <v>38.21</v>
      </c>
      <c r="AC181" s="2">
        <f t="shared" si="213"/>
        <v>38.21</v>
      </c>
      <c r="AD181" s="2">
        <f t="shared" si="214"/>
        <v>0</v>
      </c>
      <c r="AE181" s="2">
        <f t="shared" si="215"/>
        <v>0</v>
      </c>
      <c r="AF181" s="2">
        <f t="shared" si="215"/>
        <v>0</v>
      </c>
      <c r="AG181" s="2">
        <f t="shared" si="192"/>
        <v>0</v>
      </c>
      <c r="AH181" s="2">
        <f t="shared" si="216"/>
        <v>0</v>
      </c>
      <c r="AI181" s="2">
        <f t="shared" si="216"/>
        <v>0</v>
      </c>
      <c r="AJ181" s="2">
        <f t="shared" si="193"/>
        <v>0</v>
      </c>
      <c r="AK181" s="2">
        <v>38.21</v>
      </c>
      <c r="AL181" s="2">
        <v>38.21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90</v>
      </c>
      <c r="AU181" s="2">
        <v>46</v>
      </c>
      <c r="AV181" s="2">
        <v>1</v>
      </c>
      <c r="AW181" s="2">
        <v>1</v>
      </c>
      <c r="AX181" s="2"/>
      <c r="AY181" s="2"/>
      <c r="AZ181" s="2">
        <v>1</v>
      </c>
      <c r="BA181" s="2">
        <v>1</v>
      </c>
      <c r="BB181" s="2">
        <v>1</v>
      </c>
      <c r="BC181" s="2">
        <v>1</v>
      </c>
      <c r="BD181" s="2" t="s">
        <v>3</v>
      </c>
      <c r="BE181" s="2" t="s">
        <v>3</v>
      </c>
      <c r="BF181" s="2" t="s">
        <v>3</v>
      </c>
      <c r="BG181" s="2" t="s">
        <v>3</v>
      </c>
      <c r="BH181" s="2">
        <v>3</v>
      </c>
      <c r="BI181" s="2">
        <v>2</v>
      </c>
      <c r="BJ181" s="2" t="s">
        <v>355</v>
      </c>
      <c r="BK181" s="2"/>
      <c r="BL181" s="2"/>
      <c r="BM181" s="2">
        <v>73</v>
      </c>
      <c r="BN181" s="2">
        <v>0</v>
      </c>
      <c r="BO181" s="2" t="s">
        <v>3</v>
      </c>
      <c r="BP181" s="2">
        <v>0</v>
      </c>
      <c r="BQ181" s="2">
        <v>40</v>
      </c>
      <c r="BR181" s="2">
        <v>0</v>
      </c>
      <c r="BS181" s="2">
        <v>1</v>
      </c>
      <c r="BT181" s="2">
        <v>1</v>
      </c>
      <c r="BU181" s="2">
        <v>1</v>
      </c>
      <c r="BV181" s="2">
        <v>1</v>
      </c>
      <c r="BW181" s="2">
        <v>1</v>
      </c>
      <c r="BX181" s="2">
        <v>1</v>
      </c>
      <c r="BY181" s="2" t="s">
        <v>3</v>
      </c>
      <c r="BZ181" s="2">
        <v>90</v>
      </c>
      <c r="CA181" s="2">
        <v>46</v>
      </c>
      <c r="CB181" s="2" t="s">
        <v>3</v>
      </c>
      <c r="CC181" s="2"/>
      <c r="CD181" s="2"/>
      <c r="CE181" s="2">
        <v>1566</v>
      </c>
      <c r="CF181" s="2">
        <v>0</v>
      </c>
      <c r="CG181" s="2">
        <v>0</v>
      </c>
      <c r="CH181" s="2"/>
      <c r="CI181" s="2"/>
      <c r="CJ181" s="2"/>
      <c r="CK181" s="2"/>
      <c r="CL181" s="2"/>
      <c r="CM181" s="2">
        <v>0</v>
      </c>
      <c r="CN181" s="2" t="s">
        <v>679</v>
      </c>
      <c r="CO181" s="2">
        <v>0</v>
      </c>
      <c r="CP181" s="2">
        <f t="shared" si="194"/>
        <v>29727.38</v>
      </c>
      <c r="CQ181" s="2">
        <f t="shared" si="195"/>
        <v>38.21</v>
      </c>
      <c r="CR181" s="2">
        <f t="shared" si="217"/>
        <v>0</v>
      </c>
      <c r="CS181" s="2">
        <f t="shared" si="218"/>
        <v>0</v>
      </c>
      <c r="CT181" s="2">
        <f t="shared" si="196"/>
        <v>0</v>
      </c>
      <c r="CU181" s="2">
        <f t="shared" si="197"/>
        <v>0</v>
      </c>
      <c r="CV181" s="2">
        <f t="shared" si="198"/>
        <v>0</v>
      </c>
      <c r="CW181" s="2">
        <f t="shared" si="199"/>
        <v>0</v>
      </c>
      <c r="CX181" s="2">
        <f t="shared" si="200"/>
        <v>0</v>
      </c>
      <c r="CY181" s="2">
        <f t="shared" si="219"/>
        <v>0</v>
      </c>
      <c r="CZ181" s="2">
        <f t="shared" si="220"/>
        <v>0</v>
      </c>
      <c r="DA181" s="2"/>
      <c r="DB181" s="2"/>
      <c r="DC181" s="2" t="s">
        <v>3</v>
      </c>
      <c r="DD181" s="2" t="s">
        <v>3</v>
      </c>
      <c r="DE181" s="2" t="s">
        <v>3</v>
      </c>
      <c r="DF181" s="2" t="s">
        <v>3</v>
      </c>
      <c r="DG181" s="2" t="s">
        <v>3</v>
      </c>
      <c r="DH181" s="2" t="s">
        <v>3</v>
      </c>
      <c r="DI181" s="2" t="s">
        <v>3</v>
      </c>
      <c r="DJ181" s="2" t="s">
        <v>3</v>
      </c>
      <c r="DK181" s="2" t="s">
        <v>3</v>
      </c>
      <c r="DL181" s="2" t="s">
        <v>3</v>
      </c>
      <c r="DM181" s="2" t="s">
        <v>3</v>
      </c>
      <c r="DN181" s="2">
        <v>0</v>
      </c>
      <c r="DO181" s="2">
        <v>0</v>
      </c>
      <c r="DP181" s="2">
        <v>1</v>
      </c>
      <c r="DQ181" s="2">
        <v>1</v>
      </c>
      <c r="DR181" s="2"/>
      <c r="DS181" s="2"/>
      <c r="DT181" s="2"/>
      <c r="DU181" s="2">
        <v>1010</v>
      </c>
      <c r="DV181" s="2" t="s">
        <v>99</v>
      </c>
      <c r="DW181" s="2" t="s">
        <v>99</v>
      </c>
      <c r="DX181" s="2">
        <v>1</v>
      </c>
      <c r="DY181" s="2"/>
      <c r="DZ181" s="2" t="s">
        <v>3</v>
      </c>
      <c r="EA181" s="2" t="s">
        <v>3</v>
      </c>
      <c r="EB181" s="2" t="s">
        <v>3</v>
      </c>
      <c r="EC181" s="2" t="s">
        <v>3</v>
      </c>
      <c r="ED181" s="2"/>
      <c r="EE181" s="2">
        <v>85133422</v>
      </c>
      <c r="EF181" s="2">
        <v>40</v>
      </c>
      <c r="EG181" s="2" t="s">
        <v>27</v>
      </c>
      <c r="EH181" s="2">
        <v>0</v>
      </c>
      <c r="EI181" s="2" t="s">
        <v>3</v>
      </c>
      <c r="EJ181" s="2">
        <v>2</v>
      </c>
      <c r="EK181" s="2">
        <v>73</v>
      </c>
      <c r="EL181" s="2" t="s">
        <v>62</v>
      </c>
      <c r="EM181" s="2" t="s">
        <v>63</v>
      </c>
      <c r="EN181" s="2"/>
      <c r="EO181" s="2" t="s">
        <v>37</v>
      </c>
      <c r="EP181" s="2"/>
      <c r="EQ181" s="2">
        <v>0</v>
      </c>
      <c r="ER181" s="2">
        <v>38.21</v>
      </c>
      <c r="ES181" s="2">
        <v>38.21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>
        <v>0</v>
      </c>
      <c r="FR181" s="2">
        <v>0</v>
      </c>
      <c r="FS181" s="2">
        <v>0</v>
      </c>
      <c r="FT181" s="2"/>
      <c r="FU181" s="2"/>
      <c r="FV181" s="2"/>
      <c r="FW181" s="2"/>
      <c r="FX181" s="2">
        <v>90</v>
      </c>
      <c r="FY181" s="2">
        <v>46</v>
      </c>
      <c r="FZ181" s="2"/>
      <c r="GA181" s="2" t="s">
        <v>3</v>
      </c>
      <c r="GB181" s="2"/>
      <c r="GC181" s="2"/>
      <c r="GD181" s="2">
        <v>1</v>
      </c>
      <c r="GE181" s="2"/>
      <c r="GF181" s="2">
        <v>-1169831446</v>
      </c>
      <c r="GG181" s="2">
        <v>2</v>
      </c>
      <c r="GH181" s="2">
        <v>1</v>
      </c>
      <c r="GI181" s="2">
        <v>-2</v>
      </c>
      <c r="GJ181" s="2">
        <v>0</v>
      </c>
      <c r="GK181" s="2">
        <v>0</v>
      </c>
      <c r="GL181" s="2">
        <f t="shared" si="201"/>
        <v>0</v>
      </c>
      <c r="GM181" s="2">
        <f t="shared" si="202"/>
        <v>29727.38</v>
      </c>
      <c r="GN181" s="2">
        <f t="shared" si="203"/>
        <v>0</v>
      </c>
      <c r="GO181" s="2">
        <f t="shared" si="204"/>
        <v>29727.38</v>
      </c>
      <c r="GP181" s="2">
        <f t="shared" si="205"/>
        <v>0</v>
      </c>
      <c r="GQ181" s="2"/>
      <c r="GR181" s="2">
        <v>0</v>
      </c>
      <c r="GS181" s="2">
        <v>3</v>
      </c>
      <c r="GT181" s="2">
        <v>0</v>
      </c>
      <c r="GU181" s="2" t="s">
        <v>3</v>
      </c>
      <c r="GV181" s="2">
        <f t="shared" si="206"/>
        <v>0</v>
      </c>
      <c r="GW181" s="2">
        <v>1</v>
      </c>
      <c r="GX181" s="2">
        <f t="shared" si="207"/>
        <v>0</v>
      </c>
      <c r="GY181" s="2"/>
      <c r="GZ181" s="2"/>
      <c r="HA181" s="2">
        <v>0</v>
      </c>
      <c r="HB181" s="2">
        <v>0</v>
      </c>
      <c r="HC181" s="2">
        <f t="shared" si="208"/>
        <v>0</v>
      </c>
      <c r="HD181" s="2"/>
      <c r="HE181" s="2" t="s">
        <v>3</v>
      </c>
      <c r="HF181" s="2" t="s">
        <v>3</v>
      </c>
      <c r="HG181" s="2"/>
      <c r="HH181" s="2"/>
      <c r="HI181" s="2"/>
      <c r="HJ181" s="2"/>
      <c r="HK181" s="2"/>
      <c r="HL181" s="2"/>
      <c r="HM181" s="2" t="s">
        <v>35</v>
      </c>
      <c r="HN181" s="2" t="s">
        <v>3</v>
      </c>
      <c r="HO181" s="2" t="s">
        <v>3</v>
      </c>
      <c r="HP181" s="2" t="s">
        <v>3</v>
      </c>
      <c r="HQ181" s="2" t="s">
        <v>3</v>
      </c>
      <c r="HR181" s="2"/>
      <c r="HS181" s="2">
        <v>0</v>
      </c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>
        <v>0</v>
      </c>
      <c r="IL181" s="2"/>
      <c r="IM181" s="2"/>
      <c r="IN181" s="2"/>
      <c r="IO181" s="2"/>
      <c r="IP181" s="2"/>
      <c r="IQ181" s="2"/>
      <c r="IR181" s="2"/>
      <c r="IS181" s="2"/>
      <c r="IT181" s="2"/>
      <c r="IU181" s="2"/>
    </row>
    <row r="182" spans="1:255" x14ac:dyDescent="0.2">
      <c r="A182" s="3">
        <v>18</v>
      </c>
      <c r="B182" s="3">
        <v>1</v>
      </c>
      <c r="C182" s="3">
        <v>403</v>
      </c>
      <c r="E182" s="3" t="s">
        <v>352</v>
      </c>
      <c r="F182" s="3" t="s">
        <v>353</v>
      </c>
      <c r="G182" s="3" t="s">
        <v>354</v>
      </c>
      <c r="H182" s="3" t="s">
        <v>99</v>
      </c>
      <c r="I182" s="3">
        <f>I174*J182</f>
        <v>778</v>
      </c>
      <c r="J182" s="3">
        <v>100</v>
      </c>
      <c r="K182" s="3">
        <v>100</v>
      </c>
      <c r="O182" s="3">
        <f t="shared" si="184"/>
        <v>731293.55</v>
      </c>
      <c r="P182" s="3">
        <f t="shared" si="185"/>
        <v>731293.55</v>
      </c>
      <c r="Q182" s="3">
        <f t="shared" si="209"/>
        <v>0</v>
      </c>
      <c r="R182" s="3">
        <f t="shared" si="210"/>
        <v>0</v>
      </c>
      <c r="S182" s="3">
        <f t="shared" si="186"/>
        <v>0</v>
      </c>
      <c r="T182" s="3">
        <f t="shared" si="187"/>
        <v>0</v>
      </c>
      <c r="U182" s="3">
        <f t="shared" si="188"/>
        <v>0</v>
      </c>
      <c r="V182" s="3">
        <f t="shared" si="189"/>
        <v>0</v>
      </c>
      <c r="W182" s="3">
        <f t="shared" si="190"/>
        <v>0</v>
      </c>
      <c r="X182" s="3">
        <f t="shared" si="211"/>
        <v>0</v>
      </c>
      <c r="Y182" s="3">
        <f t="shared" si="212"/>
        <v>0</v>
      </c>
      <c r="AA182" s="3">
        <v>85739207</v>
      </c>
      <c r="AB182" s="3">
        <f t="shared" si="191"/>
        <v>38.21</v>
      </c>
      <c r="AC182" s="3">
        <f t="shared" si="213"/>
        <v>38.21</v>
      </c>
      <c r="AD182" s="3">
        <f t="shared" si="214"/>
        <v>0</v>
      </c>
      <c r="AE182" s="3">
        <f t="shared" si="215"/>
        <v>0</v>
      </c>
      <c r="AF182" s="3">
        <f t="shared" si="215"/>
        <v>0</v>
      </c>
      <c r="AG182" s="3">
        <f t="shared" si="192"/>
        <v>0</v>
      </c>
      <c r="AH182" s="3">
        <f t="shared" si="216"/>
        <v>0</v>
      </c>
      <c r="AI182" s="3">
        <f t="shared" si="216"/>
        <v>0</v>
      </c>
      <c r="AJ182" s="3">
        <f t="shared" si="193"/>
        <v>0</v>
      </c>
      <c r="AK182" s="3">
        <v>38.21</v>
      </c>
      <c r="AL182" s="3">
        <v>38.21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90</v>
      </c>
      <c r="AU182" s="3">
        <v>46</v>
      </c>
      <c r="AV182" s="3">
        <v>1</v>
      </c>
      <c r="AW182" s="3">
        <v>1</v>
      </c>
      <c r="AZ182" s="3">
        <v>1</v>
      </c>
      <c r="BA182" s="3">
        <v>1</v>
      </c>
      <c r="BB182" s="3">
        <v>1</v>
      </c>
      <c r="BC182" s="3">
        <v>24.6</v>
      </c>
      <c r="BD182" s="3" t="s">
        <v>3</v>
      </c>
      <c r="BE182" s="3" t="s">
        <v>3</v>
      </c>
      <c r="BF182" s="3" t="s">
        <v>3</v>
      </c>
      <c r="BG182" s="3" t="s">
        <v>3</v>
      </c>
      <c r="BH182" s="3">
        <v>3</v>
      </c>
      <c r="BI182" s="3">
        <v>2</v>
      </c>
      <c r="BJ182" s="3" t="s">
        <v>355</v>
      </c>
      <c r="BM182" s="3">
        <v>73</v>
      </c>
      <c r="BN182" s="3">
        <v>0</v>
      </c>
      <c r="BO182" s="3" t="s">
        <v>353</v>
      </c>
      <c r="BP182" s="3">
        <v>1</v>
      </c>
      <c r="BQ182" s="3">
        <v>40</v>
      </c>
      <c r="BR182" s="3">
        <v>0</v>
      </c>
      <c r="BS182" s="3">
        <v>1</v>
      </c>
      <c r="BT182" s="3">
        <v>1</v>
      </c>
      <c r="BU182" s="3">
        <v>1</v>
      </c>
      <c r="BV182" s="3">
        <v>1</v>
      </c>
      <c r="BW182" s="3">
        <v>1</v>
      </c>
      <c r="BX182" s="3">
        <v>1</v>
      </c>
      <c r="BY182" s="3" t="s">
        <v>3</v>
      </c>
      <c r="BZ182" s="3">
        <v>90</v>
      </c>
      <c r="CA182" s="3">
        <v>46</v>
      </c>
      <c r="CB182" s="3" t="s">
        <v>3</v>
      </c>
      <c r="CE182" s="3">
        <v>1566</v>
      </c>
      <c r="CF182" s="3">
        <v>0</v>
      </c>
      <c r="CG182" s="3">
        <v>0</v>
      </c>
      <c r="CM182" s="3">
        <v>0</v>
      </c>
      <c r="CN182" s="3" t="s">
        <v>679</v>
      </c>
      <c r="CO182" s="3">
        <v>0</v>
      </c>
      <c r="CP182" s="3">
        <f t="shared" si="194"/>
        <v>731293.55</v>
      </c>
      <c r="CQ182" s="3">
        <f t="shared" si="195"/>
        <v>939.97</v>
      </c>
      <c r="CR182" s="3">
        <f t="shared" si="217"/>
        <v>0</v>
      </c>
      <c r="CS182" s="3">
        <f t="shared" si="218"/>
        <v>0</v>
      </c>
      <c r="CT182" s="3">
        <f t="shared" si="196"/>
        <v>0</v>
      </c>
      <c r="CU182" s="3">
        <f t="shared" si="197"/>
        <v>0</v>
      </c>
      <c r="CV182" s="3">
        <f t="shared" si="198"/>
        <v>0</v>
      </c>
      <c r="CW182" s="3">
        <f t="shared" si="199"/>
        <v>0</v>
      </c>
      <c r="CX182" s="3">
        <f t="shared" si="200"/>
        <v>0</v>
      </c>
      <c r="CY182" s="3">
        <f t="shared" si="219"/>
        <v>0</v>
      </c>
      <c r="CZ182" s="3">
        <f t="shared" si="220"/>
        <v>0</v>
      </c>
      <c r="DC182" s="3" t="s">
        <v>3</v>
      </c>
      <c r="DD182" s="3" t="s">
        <v>3</v>
      </c>
      <c r="DE182" s="3" t="s">
        <v>3</v>
      </c>
      <c r="DF182" s="3" t="s">
        <v>3</v>
      </c>
      <c r="DG182" s="3" t="s">
        <v>3</v>
      </c>
      <c r="DH182" s="3" t="s">
        <v>3</v>
      </c>
      <c r="DI182" s="3" t="s">
        <v>3</v>
      </c>
      <c r="DJ182" s="3" t="s">
        <v>3</v>
      </c>
      <c r="DK182" s="3" t="s">
        <v>3</v>
      </c>
      <c r="DL182" s="3" t="s">
        <v>3</v>
      </c>
      <c r="DM182" s="3" t="s">
        <v>3</v>
      </c>
      <c r="DN182" s="3">
        <v>0</v>
      </c>
      <c r="DO182" s="3">
        <v>0</v>
      </c>
      <c r="DP182" s="3">
        <v>1</v>
      </c>
      <c r="DQ182" s="3">
        <v>1</v>
      </c>
      <c r="DU182" s="3">
        <v>1010</v>
      </c>
      <c r="DV182" s="3" t="s">
        <v>99</v>
      </c>
      <c r="DW182" s="3" t="s">
        <v>99</v>
      </c>
      <c r="DX182" s="3">
        <v>1</v>
      </c>
      <c r="DZ182" s="3" t="s">
        <v>3</v>
      </c>
      <c r="EA182" s="3" t="s">
        <v>3</v>
      </c>
      <c r="EB182" s="3" t="s">
        <v>3</v>
      </c>
      <c r="EC182" s="3" t="s">
        <v>3</v>
      </c>
      <c r="EE182" s="3">
        <v>85133422</v>
      </c>
      <c r="EF182" s="3">
        <v>40</v>
      </c>
      <c r="EG182" s="3" t="s">
        <v>27</v>
      </c>
      <c r="EH182" s="3">
        <v>0</v>
      </c>
      <c r="EI182" s="3" t="s">
        <v>3</v>
      </c>
      <c r="EJ182" s="3">
        <v>2</v>
      </c>
      <c r="EK182" s="3">
        <v>73</v>
      </c>
      <c r="EL182" s="3" t="s">
        <v>62</v>
      </c>
      <c r="EM182" s="3" t="s">
        <v>63</v>
      </c>
      <c r="EO182" s="3" t="s">
        <v>37</v>
      </c>
      <c r="EQ182" s="3">
        <v>0</v>
      </c>
      <c r="ER182" s="3">
        <v>38.21</v>
      </c>
      <c r="ES182" s="3">
        <v>38.21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FQ182" s="3">
        <v>0</v>
      </c>
      <c r="FR182" s="3">
        <v>0</v>
      </c>
      <c r="FS182" s="3">
        <v>0</v>
      </c>
      <c r="FX182" s="3">
        <v>90</v>
      </c>
      <c r="FY182" s="3">
        <v>46</v>
      </c>
      <c r="GA182" s="3" t="s">
        <v>3</v>
      </c>
      <c r="GD182" s="3">
        <v>1</v>
      </c>
      <c r="GF182" s="3">
        <v>-1169831446</v>
      </c>
      <c r="GG182" s="3">
        <v>2</v>
      </c>
      <c r="GH182" s="3">
        <v>1</v>
      </c>
      <c r="GI182" s="3">
        <v>2</v>
      </c>
      <c r="GJ182" s="3">
        <v>0</v>
      </c>
      <c r="GK182" s="3">
        <v>0</v>
      </c>
      <c r="GL182" s="3">
        <f t="shared" si="201"/>
        <v>0</v>
      </c>
      <c r="GM182" s="3">
        <f t="shared" si="202"/>
        <v>731293.55</v>
      </c>
      <c r="GN182" s="3">
        <f t="shared" si="203"/>
        <v>0</v>
      </c>
      <c r="GO182" s="3">
        <f t="shared" si="204"/>
        <v>731293.55</v>
      </c>
      <c r="GP182" s="3">
        <f t="shared" si="205"/>
        <v>0</v>
      </c>
      <c r="GR182" s="3">
        <v>0</v>
      </c>
      <c r="GS182" s="3">
        <v>3</v>
      </c>
      <c r="GT182" s="3">
        <v>0</v>
      </c>
      <c r="GU182" s="3" t="s">
        <v>3</v>
      </c>
      <c r="GV182" s="3">
        <f t="shared" si="206"/>
        <v>0</v>
      </c>
      <c r="GW182" s="3">
        <v>1</v>
      </c>
      <c r="GX182" s="3">
        <f t="shared" si="207"/>
        <v>0</v>
      </c>
      <c r="HA182" s="3">
        <v>0</v>
      </c>
      <c r="HB182" s="3">
        <v>0</v>
      </c>
      <c r="HC182" s="3">
        <f t="shared" si="208"/>
        <v>0</v>
      </c>
      <c r="HE182" s="3" t="s">
        <v>3</v>
      </c>
      <c r="HF182" s="3" t="s">
        <v>3</v>
      </c>
      <c r="HM182" s="3" t="s">
        <v>35</v>
      </c>
      <c r="HN182" s="3" t="s">
        <v>3</v>
      </c>
      <c r="HO182" s="3" t="s">
        <v>3</v>
      </c>
      <c r="HP182" s="3" t="s">
        <v>3</v>
      </c>
      <c r="HQ182" s="3" t="s">
        <v>3</v>
      </c>
      <c r="HS182" s="3">
        <v>0</v>
      </c>
      <c r="IK182" s="3">
        <v>0</v>
      </c>
    </row>
    <row r="183" spans="1:255" x14ac:dyDescent="0.2">
      <c r="A183" s="2">
        <v>17</v>
      </c>
      <c r="B183" s="2">
        <v>1</v>
      </c>
      <c r="C183" s="2">
        <f>ROW(SmtRes!A411)</f>
        <v>411</v>
      </c>
      <c r="D183" s="2">
        <f>ROW(EtalonRes!A426)</f>
        <v>426</v>
      </c>
      <c r="E183" s="2" t="s">
        <v>356</v>
      </c>
      <c r="F183" s="2" t="s">
        <v>357</v>
      </c>
      <c r="G183" s="2" t="s">
        <v>358</v>
      </c>
      <c r="H183" s="2" t="s">
        <v>23</v>
      </c>
      <c r="I183" s="2">
        <v>12</v>
      </c>
      <c r="J183" s="2">
        <v>0</v>
      </c>
      <c r="K183" s="2">
        <v>12</v>
      </c>
      <c r="L183" s="2"/>
      <c r="M183" s="2"/>
      <c r="N183" s="2"/>
      <c r="O183" s="2">
        <f t="shared" si="184"/>
        <v>1447.87</v>
      </c>
      <c r="P183" s="2">
        <f t="shared" si="185"/>
        <v>44.29</v>
      </c>
      <c r="Q183" s="2">
        <f>(ROUND((ROUND((((ET183*1.2))*AV183*I183),2)*BB183),2)+ROUND((ROUND(((AE183-((EU183*1.2)))*AV183*I183),2)*BS183),2))</f>
        <v>65.61</v>
      </c>
      <c r="R183" s="2">
        <f>(ROUND((ROUND((((EU183*1.2))*AV183*I183),2)*BS183),2)+ROUND((ROUND(((AE183-((EU183*1.2)))*AV183*I183),2)*BS183),2))</f>
        <v>0</v>
      </c>
      <c r="S183" s="2">
        <f t="shared" si="186"/>
        <v>1337.97</v>
      </c>
      <c r="T183" s="2">
        <f t="shared" si="187"/>
        <v>0</v>
      </c>
      <c r="U183" s="2">
        <f t="shared" si="188"/>
        <v>106.01711999999999</v>
      </c>
      <c r="V183" s="2">
        <f t="shared" si="189"/>
        <v>0</v>
      </c>
      <c r="W183" s="2">
        <f t="shared" si="190"/>
        <v>0</v>
      </c>
      <c r="X183" s="2">
        <f>(ROUND((((S183+ROUND((ROUND((((EU183*1.2))*AV183*I183),2)*BS183),2))*AT183)/100),2)+ROUND(((ROUND((ROUND(((AE183-((EU183*1.2)))*AV183*I183),2)*BS183),2)*AT183)/100),2))</f>
        <v>1204.17</v>
      </c>
      <c r="Y183" s="2">
        <f>(ROUND((((S183+ROUND((ROUND((((EU183*1.2))*AV183*I183),2)*BS183),2))*AU183)/100),2)+ROUND(((ROUND((ROUND(((AE183-((EU183*1.2)))*AV183*I183),2)*BS183),2)*AU183)/100),2))</f>
        <v>615.47</v>
      </c>
      <c r="Z183" s="2"/>
      <c r="AA183" s="2">
        <v>85739205</v>
      </c>
      <c r="AB183" s="2">
        <f t="shared" si="191"/>
        <v>113.21</v>
      </c>
      <c r="AC183" s="2">
        <f>ROUND(((ES183*1)),6)</f>
        <v>3.59</v>
      </c>
      <c r="AD183" s="2">
        <f>ROUND(((((ET183*1.2))-((EU183*1.2)))+AE183),6)</f>
        <v>5.1239999999999997</v>
      </c>
      <c r="AE183" s="2">
        <f>ROUND(((EU183*1.2)),6)</f>
        <v>0</v>
      </c>
      <c r="AF183" s="2">
        <f>ROUND(((EV183*1.2)),6)</f>
        <v>104.496</v>
      </c>
      <c r="AG183" s="2">
        <f t="shared" si="192"/>
        <v>0</v>
      </c>
      <c r="AH183" s="2">
        <f>((EW183*1.2))</f>
        <v>8.2799999999999994</v>
      </c>
      <c r="AI183" s="2">
        <f>((EX183*1.2))</f>
        <v>0</v>
      </c>
      <c r="AJ183" s="2">
        <f t="shared" si="193"/>
        <v>0</v>
      </c>
      <c r="AK183" s="2">
        <v>94.94</v>
      </c>
      <c r="AL183" s="2">
        <v>3.59</v>
      </c>
      <c r="AM183" s="2">
        <v>4.2699999999999996</v>
      </c>
      <c r="AN183" s="2">
        <v>0</v>
      </c>
      <c r="AO183" s="2">
        <v>87.08</v>
      </c>
      <c r="AP183" s="2">
        <v>0</v>
      </c>
      <c r="AQ183" s="2">
        <v>6.9</v>
      </c>
      <c r="AR183" s="2">
        <v>0</v>
      </c>
      <c r="AS183" s="2">
        <v>0</v>
      </c>
      <c r="AT183" s="2">
        <v>90</v>
      </c>
      <c r="AU183" s="2">
        <v>46</v>
      </c>
      <c r="AV183" s="2">
        <v>1.0669999999999999</v>
      </c>
      <c r="AW183" s="2">
        <v>1.028</v>
      </c>
      <c r="AX183" s="2"/>
      <c r="AY183" s="2"/>
      <c r="AZ183" s="2">
        <v>1</v>
      </c>
      <c r="BA183" s="2">
        <v>1</v>
      </c>
      <c r="BB183" s="2">
        <v>1</v>
      </c>
      <c r="BC183" s="2">
        <v>1</v>
      </c>
      <c r="BD183" s="2" t="s">
        <v>3</v>
      </c>
      <c r="BE183" s="2" t="s">
        <v>3</v>
      </c>
      <c r="BF183" s="2" t="s">
        <v>3</v>
      </c>
      <c r="BG183" s="2" t="s">
        <v>3</v>
      </c>
      <c r="BH183" s="2">
        <v>0</v>
      </c>
      <c r="BI183" s="2">
        <v>2</v>
      </c>
      <c r="BJ183" s="2" t="s">
        <v>359</v>
      </c>
      <c r="BK183" s="2"/>
      <c r="BL183" s="2"/>
      <c r="BM183" s="2">
        <v>73</v>
      </c>
      <c r="BN183" s="2">
        <v>0</v>
      </c>
      <c r="BO183" s="2" t="s">
        <v>357</v>
      </c>
      <c r="BP183" s="2">
        <v>1</v>
      </c>
      <c r="BQ183" s="2">
        <v>40</v>
      </c>
      <c r="BR183" s="2">
        <v>0</v>
      </c>
      <c r="BS183" s="2">
        <v>1</v>
      </c>
      <c r="BT183" s="2">
        <v>1</v>
      </c>
      <c r="BU183" s="2">
        <v>1</v>
      </c>
      <c r="BV183" s="2">
        <v>1</v>
      </c>
      <c r="BW183" s="2">
        <v>1</v>
      </c>
      <c r="BX183" s="2">
        <v>1</v>
      </c>
      <c r="BY183" s="2" t="s">
        <v>3</v>
      </c>
      <c r="BZ183" s="2">
        <v>90</v>
      </c>
      <c r="CA183" s="2">
        <v>46</v>
      </c>
      <c r="CB183" s="2" t="s">
        <v>3</v>
      </c>
      <c r="CC183" s="2"/>
      <c r="CD183" s="2"/>
      <c r="CE183" s="2">
        <v>1566</v>
      </c>
      <c r="CF183" s="2">
        <v>0</v>
      </c>
      <c r="CG183" s="2">
        <v>0</v>
      </c>
      <c r="CH183" s="2"/>
      <c r="CI183" s="2"/>
      <c r="CJ183" s="2"/>
      <c r="CK183" s="2"/>
      <c r="CL183" s="2"/>
      <c r="CM183" s="2">
        <v>0</v>
      </c>
      <c r="CN183" s="2" t="s">
        <v>677</v>
      </c>
      <c r="CO183" s="2">
        <v>0</v>
      </c>
      <c r="CP183" s="2">
        <f t="shared" si="194"/>
        <v>1447.8700000000001</v>
      </c>
      <c r="CQ183" s="2">
        <f t="shared" si="195"/>
        <v>3.69</v>
      </c>
      <c r="CR183" s="2">
        <f>(ROUND((ROUND((((ET183*1.2))*AV183*1),2)*BB183),2)+ROUND((ROUND(((AE183-((EU183*1.2)))*AV183*1),2)*BS183),2))</f>
        <v>5.47</v>
      </c>
      <c r="CS183" s="2">
        <f>(ROUND((ROUND((((EU183*1.2))*AV183*1),2)*BS183),2)+ROUND((ROUND(((AE183-((EU183*1.2)))*AV183*1),2)*BS183),2))</f>
        <v>0</v>
      </c>
      <c r="CT183" s="2">
        <f t="shared" si="196"/>
        <v>111.5</v>
      </c>
      <c r="CU183" s="2">
        <f t="shared" si="197"/>
        <v>0</v>
      </c>
      <c r="CV183" s="2">
        <f t="shared" si="198"/>
        <v>8.8347599999999993</v>
      </c>
      <c r="CW183" s="2">
        <f t="shared" si="199"/>
        <v>0</v>
      </c>
      <c r="CX183" s="2">
        <f t="shared" si="200"/>
        <v>0</v>
      </c>
      <c r="CY183" s="2">
        <f>(ROUND((((S183+ROUND((ROUND((((EU183*1.2))*AV183*1),2)*BS183),2))*AT183)/100),2)+ROUND(((ROUND((ROUND(((AE183-((EU183*1.2)))*AV183*1),2)*BS183),2)*AT183)/100),2))</f>
        <v>1204.17</v>
      </c>
      <c r="CZ183" s="2">
        <f>(ROUND((((S183+ROUND((ROUND((((EU183*1.2))*AV183*1),2)*BS183),2))*AU183)/100),2)+ROUND(((ROUND((ROUND(((AE183-((EU183*1.2)))*AV183*1),2)*BS183),2)*AU183)/100),2))</f>
        <v>615.47</v>
      </c>
      <c r="DA183" s="2"/>
      <c r="DB183" s="2">
        <v>63</v>
      </c>
      <c r="DC183" s="2" t="s">
        <v>3</v>
      </c>
      <c r="DD183" s="2" t="s">
        <v>35</v>
      </c>
      <c r="DE183" s="2" t="s">
        <v>36</v>
      </c>
      <c r="DF183" s="2" t="s">
        <v>36</v>
      </c>
      <c r="DG183" s="2" t="s">
        <v>36</v>
      </c>
      <c r="DH183" s="2" t="s">
        <v>3</v>
      </c>
      <c r="DI183" s="2" t="s">
        <v>36</v>
      </c>
      <c r="DJ183" s="2" t="s">
        <v>36</v>
      </c>
      <c r="DK183" s="2" t="s">
        <v>3</v>
      </c>
      <c r="DL183" s="2" t="s">
        <v>3</v>
      </c>
      <c r="DM183" s="2" t="s">
        <v>3</v>
      </c>
      <c r="DN183" s="2">
        <v>0</v>
      </c>
      <c r="DO183" s="2">
        <v>0</v>
      </c>
      <c r="DP183" s="2">
        <v>1</v>
      </c>
      <c r="DQ183" s="2">
        <v>1</v>
      </c>
      <c r="DR183" s="2"/>
      <c r="DS183" s="2"/>
      <c r="DT183" s="2"/>
      <c r="DU183" s="2">
        <v>1013</v>
      </c>
      <c r="DV183" s="2" t="s">
        <v>23</v>
      </c>
      <c r="DW183" s="2" t="s">
        <v>23</v>
      </c>
      <c r="DX183" s="2">
        <v>1</v>
      </c>
      <c r="DY183" s="2"/>
      <c r="DZ183" s="2" t="s">
        <v>3</v>
      </c>
      <c r="EA183" s="2" t="s">
        <v>3</v>
      </c>
      <c r="EB183" s="2" t="s">
        <v>3</v>
      </c>
      <c r="EC183" s="2" t="s">
        <v>3</v>
      </c>
      <c r="ED183" s="2"/>
      <c r="EE183" s="2">
        <v>85133422</v>
      </c>
      <c r="EF183" s="2">
        <v>40</v>
      </c>
      <c r="EG183" s="2" t="s">
        <v>27</v>
      </c>
      <c r="EH183" s="2">
        <v>0</v>
      </c>
      <c r="EI183" s="2" t="s">
        <v>3</v>
      </c>
      <c r="EJ183" s="2">
        <v>2</v>
      </c>
      <c r="EK183" s="2">
        <v>73</v>
      </c>
      <c r="EL183" s="2" t="s">
        <v>62</v>
      </c>
      <c r="EM183" s="2" t="s">
        <v>63</v>
      </c>
      <c r="EN183" s="2"/>
      <c r="EO183" s="2" t="s">
        <v>37</v>
      </c>
      <c r="EP183" s="2"/>
      <c r="EQ183" s="2">
        <v>0</v>
      </c>
      <c r="ER183" s="2">
        <v>94.94</v>
      </c>
      <c r="ES183" s="2">
        <v>3.59</v>
      </c>
      <c r="ET183" s="2">
        <v>4.2699999999999996</v>
      </c>
      <c r="EU183" s="2">
        <v>0</v>
      </c>
      <c r="EV183" s="2">
        <v>87.08</v>
      </c>
      <c r="EW183" s="2">
        <v>6.9</v>
      </c>
      <c r="EX183" s="2">
        <v>0</v>
      </c>
      <c r="EY183" s="2">
        <v>0</v>
      </c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>
        <v>0</v>
      </c>
      <c r="FR183" s="2">
        <v>0</v>
      </c>
      <c r="FS183" s="2">
        <v>2</v>
      </c>
      <c r="FT183" s="2"/>
      <c r="FU183" s="2"/>
      <c r="FV183" s="2"/>
      <c r="FW183" s="2"/>
      <c r="FX183" s="2">
        <v>90</v>
      </c>
      <c r="FY183" s="2">
        <v>46</v>
      </c>
      <c r="FZ183" s="2"/>
      <c r="GA183" s="2" t="s">
        <v>3</v>
      </c>
      <c r="GB183" s="2"/>
      <c r="GC183" s="2"/>
      <c r="GD183" s="2">
        <v>1</v>
      </c>
      <c r="GE183" s="2"/>
      <c r="GF183" s="2">
        <v>815904868</v>
      </c>
      <c r="GG183" s="2">
        <v>2</v>
      </c>
      <c r="GH183" s="2">
        <v>1</v>
      </c>
      <c r="GI183" s="2">
        <v>2</v>
      </c>
      <c r="GJ183" s="2">
        <v>0</v>
      </c>
      <c r="GK183" s="2">
        <v>0</v>
      </c>
      <c r="GL183" s="2">
        <f t="shared" si="201"/>
        <v>0</v>
      </c>
      <c r="GM183" s="2">
        <f t="shared" si="202"/>
        <v>3267.51</v>
      </c>
      <c r="GN183" s="2">
        <f t="shared" si="203"/>
        <v>0</v>
      </c>
      <c r="GO183" s="2">
        <f t="shared" si="204"/>
        <v>3267.51</v>
      </c>
      <c r="GP183" s="2">
        <f t="shared" si="205"/>
        <v>0</v>
      </c>
      <c r="GQ183" s="2"/>
      <c r="GR183" s="2">
        <v>0</v>
      </c>
      <c r="GS183" s="2">
        <v>3</v>
      </c>
      <c r="GT183" s="2">
        <v>0</v>
      </c>
      <c r="GU183" s="2" t="s">
        <v>3</v>
      </c>
      <c r="GV183" s="2">
        <f t="shared" si="206"/>
        <v>0</v>
      </c>
      <c r="GW183" s="2">
        <v>1</v>
      </c>
      <c r="GX183" s="2">
        <f t="shared" si="207"/>
        <v>0</v>
      </c>
      <c r="GY183" s="2"/>
      <c r="GZ183" s="2"/>
      <c r="HA183" s="2">
        <v>0</v>
      </c>
      <c r="HB183" s="2">
        <v>0</v>
      </c>
      <c r="HC183" s="2">
        <f t="shared" si="208"/>
        <v>0</v>
      </c>
      <c r="HD183" s="2"/>
      <c r="HE183" s="2" t="s">
        <v>3</v>
      </c>
      <c r="HF183" s="2" t="s">
        <v>3</v>
      </c>
      <c r="HG183" s="2"/>
      <c r="HH183" s="2"/>
      <c r="HI183" s="2"/>
      <c r="HJ183" s="2"/>
      <c r="HK183" s="2"/>
      <c r="HL183" s="2"/>
      <c r="HM183" s="2" t="s">
        <v>3</v>
      </c>
      <c r="HN183" s="2" t="s">
        <v>3</v>
      </c>
      <c r="HO183" s="2" t="s">
        <v>3</v>
      </c>
      <c r="HP183" s="2" t="s">
        <v>3</v>
      </c>
      <c r="HQ183" s="2" t="s">
        <v>3</v>
      </c>
      <c r="HR183" s="2"/>
      <c r="HS183" s="2">
        <v>0</v>
      </c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>
        <v>0</v>
      </c>
      <c r="IL183" s="2"/>
      <c r="IM183" s="2"/>
      <c r="IN183" s="2"/>
      <c r="IO183" s="2"/>
      <c r="IP183" s="2"/>
      <c r="IQ183" s="2"/>
      <c r="IR183" s="2"/>
      <c r="IS183" s="2"/>
      <c r="IT183" s="2"/>
      <c r="IU183" s="2"/>
    </row>
    <row r="184" spans="1:255" x14ac:dyDescent="0.2">
      <c r="A184" s="3">
        <v>17</v>
      </c>
      <c r="B184" s="3">
        <v>1</v>
      </c>
      <c r="C184" s="3">
        <f>ROW(SmtRes!A418)</f>
        <v>418</v>
      </c>
      <c r="D184" s="3">
        <f>ROW(EtalonRes!A432)</f>
        <v>432</v>
      </c>
      <c r="E184" s="3" t="s">
        <v>356</v>
      </c>
      <c r="F184" s="3" t="s">
        <v>357</v>
      </c>
      <c r="G184" s="3" t="s">
        <v>358</v>
      </c>
      <c r="H184" s="3" t="s">
        <v>23</v>
      </c>
      <c r="I184" s="3">
        <v>12</v>
      </c>
      <c r="J184" s="3">
        <v>0</v>
      </c>
      <c r="K184" s="3">
        <v>12</v>
      </c>
      <c r="O184" s="3">
        <f t="shared" si="184"/>
        <v>76734.13</v>
      </c>
      <c r="P184" s="3">
        <f t="shared" si="185"/>
        <v>457.07</v>
      </c>
      <c r="Q184" s="3">
        <f>(ROUND((ROUND((((ET184*1.2))*AV184*I184),2)*BB184),2)+ROUND((ROUND(((AE184-((EU184*1.2)))*AV184*I184),2)*BS184),2))</f>
        <v>882.45</v>
      </c>
      <c r="R184" s="3">
        <f>(ROUND((ROUND((((EU184*1.2))*AV184*I184),2)*BS184),2)+ROUND((ROUND(((AE184-((EU184*1.2)))*AV184*I184),2)*BS184),2))</f>
        <v>0</v>
      </c>
      <c r="S184" s="3">
        <f t="shared" si="186"/>
        <v>75394.61</v>
      </c>
      <c r="T184" s="3">
        <f t="shared" si="187"/>
        <v>0</v>
      </c>
      <c r="U184" s="3">
        <f t="shared" si="188"/>
        <v>106.01711999999999</v>
      </c>
      <c r="V184" s="3">
        <f t="shared" si="189"/>
        <v>0</v>
      </c>
      <c r="W184" s="3">
        <f t="shared" si="190"/>
        <v>0</v>
      </c>
      <c r="X184" s="3">
        <f>(ROUND((((S184+ROUND((ROUND((((EU184*1.2))*AV184*I184),2)*BS184),2))*AT184)/100),2)+ROUND(((ROUND((ROUND(((AE184-((EU184*1.2)))*AV184*I184),2)*BS184),2)*AT184)/100),2))</f>
        <v>67855.149999999994</v>
      </c>
      <c r="Y184" s="3">
        <f>(ROUND((((S184+ROUND((ROUND((((EU184*1.2))*AV184*I184),2)*BS184),2))*AU184)/100),2)+ROUND(((ROUND((ROUND(((AE184-((EU184*1.2)))*AV184*I184),2)*BS184),2)*AU184)/100),2))</f>
        <v>34681.519999999997</v>
      </c>
      <c r="AA184" s="3">
        <v>85739207</v>
      </c>
      <c r="AB184" s="3">
        <f t="shared" si="191"/>
        <v>113.21</v>
      </c>
      <c r="AC184" s="3">
        <f>ROUND(((ES184*1)),6)</f>
        <v>3.59</v>
      </c>
      <c r="AD184" s="3">
        <f>ROUND(((((ET184*1.2))-((EU184*1.2)))+AE184),6)</f>
        <v>5.1239999999999997</v>
      </c>
      <c r="AE184" s="3">
        <f>ROUND(((EU184*1.2)),6)</f>
        <v>0</v>
      </c>
      <c r="AF184" s="3">
        <f>ROUND(((EV184*1.2)),6)</f>
        <v>104.496</v>
      </c>
      <c r="AG184" s="3">
        <f t="shared" si="192"/>
        <v>0</v>
      </c>
      <c r="AH184" s="3">
        <f>((EW184*1.2))</f>
        <v>8.2799999999999994</v>
      </c>
      <c r="AI184" s="3">
        <f>((EX184*1.2))</f>
        <v>0</v>
      </c>
      <c r="AJ184" s="3">
        <f t="shared" si="193"/>
        <v>0</v>
      </c>
      <c r="AK184" s="3">
        <v>94.94</v>
      </c>
      <c r="AL184" s="3">
        <v>3.59</v>
      </c>
      <c r="AM184" s="3">
        <v>4.2699999999999996</v>
      </c>
      <c r="AN184" s="3">
        <v>0</v>
      </c>
      <c r="AO184" s="3">
        <v>87.08</v>
      </c>
      <c r="AP184" s="3">
        <v>0</v>
      </c>
      <c r="AQ184" s="3">
        <v>6.9</v>
      </c>
      <c r="AR184" s="3">
        <v>0</v>
      </c>
      <c r="AS184" s="3">
        <v>0</v>
      </c>
      <c r="AT184" s="3">
        <v>90</v>
      </c>
      <c r="AU184" s="3">
        <v>46</v>
      </c>
      <c r="AV184" s="3">
        <v>1.0669999999999999</v>
      </c>
      <c r="AW184" s="3">
        <v>1.028</v>
      </c>
      <c r="AZ184" s="3">
        <v>1</v>
      </c>
      <c r="BA184" s="3">
        <v>56.35</v>
      </c>
      <c r="BB184" s="3">
        <v>13.45</v>
      </c>
      <c r="BC184" s="3">
        <v>10.32</v>
      </c>
      <c r="BD184" s="3" t="s">
        <v>3</v>
      </c>
      <c r="BE184" s="3" t="s">
        <v>3</v>
      </c>
      <c r="BF184" s="3" t="s">
        <v>3</v>
      </c>
      <c r="BG184" s="3" t="s">
        <v>3</v>
      </c>
      <c r="BH184" s="3">
        <v>0</v>
      </c>
      <c r="BI184" s="3">
        <v>2</v>
      </c>
      <c r="BJ184" s="3" t="s">
        <v>359</v>
      </c>
      <c r="BM184" s="3">
        <v>73</v>
      </c>
      <c r="BN184" s="3">
        <v>0</v>
      </c>
      <c r="BO184" s="3" t="s">
        <v>357</v>
      </c>
      <c r="BP184" s="3">
        <v>1</v>
      </c>
      <c r="BQ184" s="3">
        <v>40</v>
      </c>
      <c r="BR184" s="3">
        <v>0</v>
      </c>
      <c r="BS184" s="3">
        <v>56.35</v>
      </c>
      <c r="BT184" s="3">
        <v>1</v>
      </c>
      <c r="BU184" s="3">
        <v>1</v>
      </c>
      <c r="BV184" s="3">
        <v>1</v>
      </c>
      <c r="BW184" s="3">
        <v>1</v>
      </c>
      <c r="BX184" s="3">
        <v>1</v>
      </c>
      <c r="BY184" s="3" t="s">
        <v>3</v>
      </c>
      <c r="BZ184" s="3">
        <v>90</v>
      </c>
      <c r="CA184" s="3">
        <v>46</v>
      </c>
      <c r="CB184" s="3" t="s">
        <v>3</v>
      </c>
      <c r="CE184" s="3">
        <v>1566</v>
      </c>
      <c r="CF184" s="3">
        <v>0</v>
      </c>
      <c r="CG184" s="3">
        <v>0</v>
      </c>
      <c r="CM184" s="3">
        <v>0</v>
      </c>
      <c r="CN184" s="3" t="s">
        <v>677</v>
      </c>
      <c r="CO184" s="3">
        <v>0</v>
      </c>
      <c r="CP184" s="3">
        <f t="shared" si="194"/>
        <v>76734.13</v>
      </c>
      <c r="CQ184" s="3">
        <f t="shared" si="195"/>
        <v>38.08</v>
      </c>
      <c r="CR184" s="3">
        <f>(ROUND((ROUND((((ET184*1.2))*AV184*1),2)*BB184),2)+ROUND((ROUND(((AE184-((EU184*1.2)))*AV184*1),2)*BS184),2))</f>
        <v>73.569999999999993</v>
      </c>
      <c r="CS184" s="3">
        <f>(ROUND((ROUND((((EU184*1.2))*AV184*1),2)*BS184),2)+ROUND((ROUND(((AE184-((EU184*1.2)))*AV184*1),2)*BS184),2))</f>
        <v>0</v>
      </c>
      <c r="CT184" s="3">
        <f t="shared" si="196"/>
        <v>6283.03</v>
      </c>
      <c r="CU184" s="3">
        <f t="shared" si="197"/>
        <v>0</v>
      </c>
      <c r="CV184" s="3">
        <f t="shared" si="198"/>
        <v>8.8347599999999993</v>
      </c>
      <c r="CW184" s="3">
        <f t="shared" si="199"/>
        <v>0</v>
      </c>
      <c r="CX184" s="3">
        <f t="shared" si="200"/>
        <v>0</v>
      </c>
      <c r="CY184" s="3">
        <f>(ROUND((((S184+ROUND((ROUND((((EU184*1.2))*AV184*1),2)*BS184),2))*AT184)/100),2)+ROUND(((ROUND((ROUND(((AE184-((EU184*1.2)))*AV184*1),2)*BS184),2)*AT184)/100),2))</f>
        <v>67855.149999999994</v>
      </c>
      <c r="CZ184" s="3">
        <f>(ROUND((((S184+ROUND((ROUND((((EU184*1.2))*AV184*1),2)*BS184),2))*AU184)/100),2)+ROUND(((ROUND((ROUND(((AE184-((EU184*1.2)))*AV184*1),2)*BS184),2)*AU184)/100),2))</f>
        <v>34681.519999999997</v>
      </c>
      <c r="DB184" s="3">
        <v>64</v>
      </c>
      <c r="DC184" s="3" t="s">
        <v>3</v>
      </c>
      <c r="DD184" s="3" t="s">
        <v>35</v>
      </c>
      <c r="DE184" s="3" t="s">
        <v>36</v>
      </c>
      <c r="DF184" s="3" t="s">
        <v>36</v>
      </c>
      <c r="DG184" s="3" t="s">
        <v>36</v>
      </c>
      <c r="DH184" s="3" t="s">
        <v>3</v>
      </c>
      <c r="DI184" s="3" t="s">
        <v>36</v>
      </c>
      <c r="DJ184" s="3" t="s">
        <v>36</v>
      </c>
      <c r="DK184" s="3" t="s">
        <v>3</v>
      </c>
      <c r="DL184" s="3" t="s">
        <v>3</v>
      </c>
      <c r="DM184" s="3" t="s">
        <v>3</v>
      </c>
      <c r="DN184" s="3">
        <v>0</v>
      </c>
      <c r="DO184" s="3">
        <v>0</v>
      </c>
      <c r="DP184" s="3">
        <v>1</v>
      </c>
      <c r="DQ184" s="3">
        <v>1</v>
      </c>
      <c r="DU184" s="3">
        <v>1013</v>
      </c>
      <c r="DV184" s="3" t="s">
        <v>23</v>
      </c>
      <c r="DW184" s="3" t="s">
        <v>23</v>
      </c>
      <c r="DX184" s="3">
        <v>1</v>
      </c>
      <c r="DZ184" s="3" t="s">
        <v>3</v>
      </c>
      <c r="EA184" s="3" t="s">
        <v>3</v>
      </c>
      <c r="EB184" s="3" t="s">
        <v>3</v>
      </c>
      <c r="EC184" s="3" t="s">
        <v>3</v>
      </c>
      <c r="EE184" s="3">
        <v>85133422</v>
      </c>
      <c r="EF184" s="3">
        <v>40</v>
      </c>
      <c r="EG184" s="3" t="s">
        <v>27</v>
      </c>
      <c r="EH184" s="3">
        <v>0</v>
      </c>
      <c r="EI184" s="3" t="s">
        <v>3</v>
      </c>
      <c r="EJ184" s="3">
        <v>2</v>
      </c>
      <c r="EK184" s="3">
        <v>73</v>
      </c>
      <c r="EL184" s="3" t="s">
        <v>62</v>
      </c>
      <c r="EM184" s="3" t="s">
        <v>63</v>
      </c>
      <c r="EO184" s="3" t="s">
        <v>37</v>
      </c>
      <c r="EQ184" s="3">
        <v>0</v>
      </c>
      <c r="ER184" s="3">
        <v>94.94</v>
      </c>
      <c r="ES184" s="3">
        <v>3.59</v>
      </c>
      <c r="ET184" s="3">
        <v>4.2699999999999996</v>
      </c>
      <c r="EU184" s="3">
        <v>0</v>
      </c>
      <c r="EV184" s="3">
        <v>87.08</v>
      </c>
      <c r="EW184" s="3">
        <v>6.9</v>
      </c>
      <c r="EX184" s="3">
        <v>0</v>
      </c>
      <c r="EY184" s="3">
        <v>0</v>
      </c>
      <c r="FQ184" s="3">
        <v>0</v>
      </c>
      <c r="FR184" s="3">
        <v>0</v>
      </c>
      <c r="FS184" s="3">
        <v>2</v>
      </c>
      <c r="FX184" s="3">
        <v>90</v>
      </c>
      <c r="FY184" s="3">
        <v>46</v>
      </c>
      <c r="GA184" s="3" t="s">
        <v>3</v>
      </c>
      <c r="GD184" s="3">
        <v>1</v>
      </c>
      <c r="GF184" s="3">
        <v>815904868</v>
      </c>
      <c r="GG184" s="3">
        <v>2</v>
      </c>
      <c r="GH184" s="3">
        <v>1</v>
      </c>
      <c r="GI184" s="3">
        <v>2</v>
      </c>
      <c r="GJ184" s="3">
        <v>0</v>
      </c>
      <c r="GK184" s="3">
        <v>0</v>
      </c>
      <c r="GL184" s="3">
        <f t="shared" si="201"/>
        <v>0</v>
      </c>
      <c r="GM184" s="3">
        <f t="shared" si="202"/>
        <v>179270.8</v>
      </c>
      <c r="GN184" s="3">
        <f t="shared" si="203"/>
        <v>0</v>
      </c>
      <c r="GO184" s="3">
        <f t="shared" si="204"/>
        <v>179270.8</v>
      </c>
      <c r="GP184" s="3">
        <f t="shared" si="205"/>
        <v>0</v>
      </c>
      <c r="GR184" s="3">
        <v>0</v>
      </c>
      <c r="GS184" s="3">
        <v>3</v>
      </c>
      <c r="GT184" s="3">
        <v>0</v>
      </c>
      <c r="GU184" s="3" t="s">
        <v>3</v>
      </c>
      <c r="GV184" s="3">
        <f t="shared" si="206"/>
        <v>0</v>
      </c>
      <c r="GW184" s="3">
        <v>1</v>
      </c>
      <c r="GX184" s="3">
        <f t="shared" si="207"/>
        <v>0</v>
      </c>
      <c r="HA184" s="3">
        <v>0</v>
      </c>
      <c r="HB184" s="3">
        <v>0</v>
      </c>
      <c r="HC184" s="3">
        <f t="shared" si="208"/>
        <v>0</v>
      </c>
      <c r="HE184" s="3" t="s">
        <v>3</v>
      </c>
      <c r="HF184" s="3" t="s">
        <v>3</v>
      </c>
      <c r="HM184" s="3" t="s">
        <v>3</v>
      </c>
      <c r="HN184" s="3" t="s">
        <v>3</v>
      </c>
      <c r="HO184" s="3" t="s">
        <v>3</v>
      </c>
      <c r="HP184" s="3" t="s">
        <v>3</v>
      </c>
      <c r="HQ184" s="3" t="s">
        <v>3</v>
      </c>
      <c r="HS184" s="3">
        <v>0</v>
      </c>
      <c r="IK184" s="3">
        <v>0</v>
      </c>
    </row>
    <row r="185" spans="1:255" x14ac:dyDescent="0.2">
      <c r="A185" s="2">
        <v>18</v>
      </c>
      <c r="B185" s="2">
        <v>1</v>
      </c>
      <c r="C185" s="2">
        <v>410</v>
      </c>
      <c r="D185" s="2"/>
      <c r="E185" s="2" t="s">
        <v>360</v>
      </c>
      <c r="F185" s="2" t="s">
        <v>361</v>
      </c>
      <c r="G185" s="2" t="s">
        <v>362</v>
      </c>
      <c r="H185" s="2" t="s">
        <v>99</v>
      </c>
      <c r="I185" s="2">
        <f>I183*J185</f>
        <v>12</v>
      </c>
      <c r="J185" s="2">
        <v>1</v>
      </c>
      <c r="K185" s="2">
        <v>1</v>
      </c>
      <c r="L185" s="2"/>
      <c r="M185" s="2"/>
      <c r="N185" s="2"/>
      <c r="O185" s="2">
        <f t="shared" si="184"/>
        <v>3059.76</v>
      </c>
      <c r="P185" s="2">
        <f t="shared" si="185"/>
        <v>3059.76</v>
      </c>
      <c r="Q185" s="2">
        <f>(ROUND((ROUND(((ET185)*AV185*I185),2)*BB185),2)+ROUND((ROUND(((AE185-(EU185))*AV185*I185),2)*BS185),2))</f>
        <v>0</v>
      </c>
      <c r="R185" s="2">
        <f>(ROUND((ROUND(((EU185)*AV185*I185),2)*BS185),2)+ROUND((ROUND(((AE185-(EU185))*AV185*I185),2)*BS185),2))</f>
        <v>0</v>
      </c>
      <c r="S185" s="2">
        <f t="shared" si="186"/>
        <v>0</v>
      </c>
      <c r="T185" s="2">
        <f t="shared" si="187"/>
        <v>0</v>
      </c>
      <c r="U185" s="2">
        <f t="shared" si="188"/>
        <v>0</v>
      </c>
      <c r="V185" s="2">
        <f t="shared" si="189"/>
        <v>0</v>
      </c>
      <c r="W185" s="2">
        <f t="shared" si="190"/>
        <v>0</v>
      </c>
      <c r="X185" s="2">
        <f>(ROUND((((S185+ROUND((ROUND(((EU185)*AV185*I185),2)*BS185),2))*AT185)/100),2)+ROUND(((ROUND((ROUND(((AE185-(EU185))*AV185*I185),2)*BS185),2)*AT185)/100),2))</f>
        <v>0</v>
      </c>
      <c r="Y185" s="2">
        <f>(ROUND((((S185+ROUND((ROUND(((EU185)*AV185*I185),2)*BS185),2))*AU185)/100),2)+ROUND(((ROUND((ROUND(((AE185-(EU185))*AV185*I185),2)*BS185),2)*AU185)/100),2))</f>
        <v>0</v>
      </c>
      <c r="Z185" s="2"/>
      <c r="AA185" s="2">
        <v>85739205</v>
      </c>
      <c r="AB185" s="2">
        <f t="shared" si="191"/>
        <v>254.98</v>
      </c>
      <c r="AC185" s="2">
        <f>ROUND((ES185),6)</f>
        <v>254.98</v>
      </c>
      <c r="AD185" s="2">
        <f>ROUND((((ET185)-(EU185))+AE185),6)</f>
        <v>0</v>
      </c>
      <c r="AE185" s="2">
        <f t="shared" ref="AE185:AF188" si="221">ROUND((EU185),6)</f>
        <v>0</v>
      </c>
      <c r="AF185" s="2">
        <f t="shared" si="221"/>
        <v>0</v>
      </c>
      <c r="AG185" s="2">
        <f t="shared" si="192"/>
        <v>0</v>
      </c>
      <c r="AH185" s="2">
        <f t="shared" ref="AH185:AI188" si="222">(EW185)</f>
        <v>0</v>
      </c>
      <c r="AI185" s="2">
        <f t="shared" si="222"/>
        <v>0</v>
      </c>
      <c r="AJ185" s="2">
        <f t="shared" si="193"/>
        <v>0</v>
      </c>
      <c r="AK185" s="2">
        <v>254.98</v>
      </c>
      <c r="AL185" s="2">
        <v>254.98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90</v>
      </c>
      <c r="AU185" s="2">
        <v>46</v>
      </c>
      <c r="AV185" s="2">
        <v>1</v>
      </c>
      <c r="AW185" s="2">
        <v>1</v>
      </c>
      <c r="AX185" s="2"/>
      <c r="AY185" s="2"/>
      <c r="AZ185" s="2">
        <v>1</v>
      </c>
      <c r="BA185" s="2">
        <v>1</v>
      </c>
      <c r="BB185" s="2">
        <v>1</v>
      </c>
      <c r="BC185" s="2">
        <v>1</v>
      </c>
      <c r="BD185" s="2" t="s">
        <v>3</v>
      </c>
      <c r="BE185" s="2" t="s">
        <v>3</v>
      </c>
      <c r="BF185" s="2" t="s">
        <v>3</v>
      </c>
      <c r="BG185" s="2" t="s">
        <v>3</v>
      </c>
      <c r="BH185" s="2">
        <v>3</v>
      </c>
      <c r="BI185" s="2">
        <v>2</v>
      </c>
      <c r="BJ185" s="2" t="s">
        <v>363</v>
      </c>
      <c r="BK185" s="2"/>
      <c r="BL185" s="2"/>
      <c r="BM185" s="2">
        <v>73</v>
      </c>
      <c r="BN185" s="2">
        <v>0</v>
      </c>
      <c r="BO185" s="2" t="s">
        <v>3</v>
      </c>
      <c r="BP185" s="2">
        <v>0</v>
      </c>
      <c r="BQ185" s="2">
        <v>40</v>
      </c>
      <c r="BR185" s="2">
        <v>0</v>
      </c>
      <c r="BS185" s="2">
        <v>1</v>
      </c>
      <c r="BT185" s="2">
        <v>1</v>
      </c>
      <c r="BU185" s="2">
        <v>1</v>
      </c>
      <c r="BV185" s="2">
        <v>1</v>
      </c>
      <c r="BW185" s="2">
        <v>1</v>
      </c>
      <c r="BX185" s="2">
        <v>1</v>
      </c>
      <c r="BY185" s="2" t="s">
        <v>3</v>
      </c>
      <c r="BZ185" s="2">
        <v>90</v>
      </c>
      <c r="CA185" s="2">
        <v>46</v>
      </c>
      <c r="CB185" s="2" t="s">
        <v>3</v>
      </c>
      <c r="CC185" s="2"/>
      <c r="CD185" s="2"/>
      <c r="CE185" s="2">
        <v>1566</v>
      </c>
      <c r="CF185" s="2">
        <v>0</v>
      </c>
      <c r="CG185" s="2">
        <v>0</v>
      </c>
      <c r="CH185" s="2"/>
      <c r="CI185" s="2"/>
      <c r="CJ185" s="2"/>
      <c r="CK185" s="2"/>
      <c r="CL185" s="2"/>
      <c r="CM185" s="2">
        <v>0</v>
      </c>
      <c r="CN185" s="2" t="s">
        <v>679</v>
      </c>
      <c r="CO185" s="2">
        <v>0</v>
      </c>
      <c r="CP185" s="2">
        <f t="shared" si="194"/>
        <v>3059.76</v>
      </c>
      <c r="CQ185" s="2">
        <f t="shared" si="195"/>
        <v>254.98</v>
      </c>
      <c r="CR185" s="2">
        <f>(ROUND((ROUND(((ET185)*AV185*1),2)*BB185),2)+ROUND((ROUND(((AE185-(EU185))*AV185*1),2)*BS185),2))</f>
        <v>0</v>
      </c>
      <c r="CS185" s="2">
        <f>(ROUND((ROUND(((EU185)*AV185*1),2)*BS185),2)+ROUND((ROUND(((AE185-(EU185))*AV185*1),2)*BS185),2))</f>
        <v>0</v>
      </c>
      <c r="CT185" s="2">
        <f t="shared" si="196"/>
        <v>0</v>
      </c>
      <c r="CU185" s="2">
        <f t="shared" si="197"/>
        <v>0</v>
      </c>
      <c r="CV185" s="2">
        <f t="shared" si="198"/>
        <v>0</v>
      </c>
      <c r="CW185" s="2">
        <f t="shared" si="199"/>
        <v>0</v>
      </c>
      <c r="CX185" s="2">
        <f t="shared" si="200"/>
        <v>0</v>
      </c>
      <c r="CY185" s="2">
        <f>(ROUND((((S185+ROUND((ROUND(((EU185)*AV185*1),2)*BS185),2))*AT185)/100),2)+ROUND(((ROUND((ROUND(((AE185-(EU185))*AV185*1),2)*BS185),2)*AT185)/100),2))</f>
        <v>0</v>
      </c>
      <c r="CZ185" s="2">
        <f>(ROUND((((S185+ROUND((ROUND(((EU185)*AV185*1),2)*BS185),2))*AU185)/100),2)+ROUND(((ROUND((ROUND(((AE185-(EU185))*AV185*1),2)*BS185),2)*AU185)/100),2))</f>
        <v>0</v>
      </c>
      <c r="DA185" s="2"/>
      <c r="DB185" s="2"/>
      <c r="DC185" s="2" t="s">
        <v>3</v>
      </c>
      <c r="DD185" s="2" t="s">
        <v>3</v>
      </c>
      <c r="DE185" s="2" t="s">
        <v>3</v>
      </c>
      <c r="DF185" s="2" t="s">
        <v>3</v>
      </c>
      <c r="DG185" s="2" t="s">
        <v>3</v>
      </c>
      <c r="DH185" s="2" t="s">
        <v>3</v>
      </c>
      <c r="DI185" s="2" t="s">
        <v>3</v>
      </c>
      <c r="DJ185" s="2" t="s">
        <v>3</v>
      </c>
      <c r="DK185" s="2" t="s">
        <v>3</v>
      </c>
      <c r="DL185" s="2" t="s">
        <v>3</v>
      </c>
      <c r="DM185" s="2" t="s">
        <v>3</v>
      </c>
      <c r="DN185" s="2">
        <v>0</v>
      </c>
      <c r="DO185" s="2">
        <v>0</v>
      </c>
      <c r="DP185" s="2">
        <v>1</v>
      </c>
      <c r="DQ185" s="2">
        <v>1</v>
      </c>
      <c r="DR185" s="2"/>
      <c r="DS185" s="2"/>
      <c r="DT185" s="2"/>
      <c r="DU185" s="2">
        <v>1010</v>
      </c>
      <c r="DV185" s="2" t="s">
        <v>99</v>
      </c>
      <c r="DW185" s="2" t="s">
        <v>99</v>
      </c>
      <c r="DX185" s="2">
        <v>1</v>
      </c>
      <c r="DY185" s="2"/>
      <c r="DZ185" s="2" t="s">
        <v>3</v>
      </c>
      <c r="EA185" s="2" t="s">
        <v>3</v>
      </c>
      <c r="EB185" s="2" t="s">
        <v>3</v>
      </c>
      <c r="EC185" s="2" t="s">
        <v>3</v>
      </c>
      <c r="ED185" s="2"/>
      <c r="EE185" s="2">
        <v>85133422</v>
      </c>
      <c r="EF185" s="2">
        <v>40</v>
      </c>
      <c r="EG185" s="2" t="s">
        <v>27</v>
      </c>
      <c r="EH185" s="2">
        <v>0</v>
      </c>
      <c r="EI185" s="2" t="s">
        <v>3</v>
      </c>
      <c r="EJ185" s="2">
        <v>2</v>
      </c>
      <c r="EK185" s="2">
        <v>73</v>
      </c>
      <c r="EL185" s="2" t="s">
        <v>62</v>
      </c>
      <c r="EM185" s="2" t="s">
        <v>63</v>
      </c>
      <c r="EN185" s="2"/>
      <c r="EO185" s="2" t="s">
        <v>37</v>
      </c>
      <c r="EP185" s="2"/>
      <c r="EQ185" s="2">
        <v>0</v>
      </c>
      <c r="ER185" s="2">
        <v>254.98</v>
      </c>
      <c r="ES185" s="2">
        <v>254.98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>
        <v>0</v>
      </c>
      <c r="FR185" s="2">
        <v>0</v>
      </c>
      <c r="FS185" s="2">
        <v>0</v>
      </c>
      <c r="FT185" s="2"/>
      <c r="FU185" s="2"/>
      <c r="FV185" s="2"/>
      <c r="FW185" s="2"/>
      <c r="FX185" s="2">
        <v>90</v>
      </c>
      <c r="FY185" s="2">
        <v>46</v>
      </c>
      <c r="FZ185" s="2"/>
      <c r="GA185" s="2" t="s">
        <v>3</v>
      </c>
      <c r="GB185" s="2"/>
      <c r="GC185" s="2"/>
      <c r="GD185" s="2">
        <v>1</v>
      </c>
      <c r="GE185" s="2"/>
      <c r="GF185" s="2">
        <v>-230661020</v>
      </c>
      <c r="GG185" s="2">
        <v>2</v>
      </c>
      <c r="GH185" s="2">
        <v>1</v>
      </c>
      <c r="GI185" s="2">
        <v>-2</v>
      </c>
      <c r="GJ185" s="2">
        <v>0</v>
      </c>
      <c r="GK185" s="2">
        <v>0</v>
      </c>
      <c r="GL185" s="2">
        <f t="shared" si="201"/>
        <v>0</v>
      </c>
      <c r="GM185" s="2">
        <f t="shared" si="202"/>
        <v>3059.76</v>
      </c>
      <c r="GN185" s="2">
        <f t="shared" si="203"/>
        <v>0</v>
      </c>
      <c r="GO185" s="2">
        <f t="shared" si="204"/>
        <v>3059.76</v>
      </c>
      <c r="GP185" s="2">
        <f t="shared" si="205"/>
        <v>0</v>
      </c>
      <c r="GQ185" s="2"/>
      <c r="GR185" s="2">
        <v>0</v>
      </c>
      <c r="GS185" s="2">
        <v>3</v>
      </c>
      <c r="GT185" s="2">
        <v>0</v>
      </c>
      <c r="GU185" s="2" t="s">
        <v>3</v>
      </c>
      <c r="GV185" s="2">
        <f t="shared" si="206"/>
        <v>0</v>
      </c>
      <c r="GW185" s="2">
        <v>1</v>
      </c>
      <c r="GX185" s="2">
        <f t="shared" si="207"/>
        <v>0</v>
      </c>
      <c r="GY185" s="2"/>
      <c r="GZ185" s="2"/>
      <c r="HA185" s="2">
        <v>0</v>
      </c>
      <c r="HB185" s="2">
        <v>0</v>
      </c>
      <c r="HC185" s="2">
        <f t="shared" si="208"/>
        <v>0</v>
      </c>
      <c r="HD185" s="2"/>
      <c r="HE185" s="2" t="s">
        <v>3</v>
      </c>
      <c r="HF185" s="2" t="s">
        <v>3</v>
      </c>
      <c r="HG185" s="2"/>
      <c r="HH185" s="2"/>
      <c r="HI185" s="2"/>
      <c r="HJ185" s="2"/>
      <c r="HK185" s="2"/>
      <c r="HL185" s="2"/>
      <c r="HM185" s="2" t="s">
        <v>35</v>
      </c>
      <c r="HN185" s="2" t="s">
        <v>3</v>
      </c>
      <c r="HO185" s="2" t="s">
        <v>3</v>
      </c>
      <c r="HP185" s="2" t="s">
        <v>3</v>
      </c>
      <c r="HQ185" s="2" t="s">
        <v>3</v>
      </c>
      <c r="HR185" s="2"/>
      <c r="HS185" s="2">
        <v>0</v>
      </c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>
        <v>0</v>
      </c>
      <c r="IL185" s="2"/>
      <c r="IM185" s="2"/>
      <c r="IN185" s="2"/>
      <c r="IO185" s="2"/>
      <c r="IP185" s="2"/>
      <c r="IQ185" s="2"/>
      <c r="IR185" s="2"/>
      <c r="IS185" s="2"/>
      <c r="IT185" s="2"/>
      <c r="IU185" s="2"/>
    </row>
    <row r="186" spans="1:255" x14ac:dyDescent="0.2">
      <c r="A186" s="3">
        <v>18</v>
      </c>
      <c r="B186" s="3">
        <v>1</v>
      </c>
      <c r="C186" s="3">
        <v>417</v>
      </c>
      <c r="E186" s="3" t="s">
        <v>360</v>
      </c>
      <c r="F186" s="3" t="s">
        <v>361</v>
      </c>
      <c r="G186" s="3" t="s">
        <v>362</v>
      </c>
      <c r="H186" s="3" t="s">
        <v>99</v>
      </c>
      <c r="I186" s="3">
        <f>I184*J186</f>
        <v>12</v>
      </c>
      <c r="J186" s="3">
        <v>1</v>
      </c>
      <c r="K186" s="3">
        <v>1</v>
      </c>
      <c r="O186" s="3">
        <f t="shared" si="184"/>
        <v>61745.96</v>
      </c>
      <c r="P186" s="3">
        <f t="shared" si="185"/>
        <v>61745.96</v>
      </c>
      <c r="Q186" s="3">
        <f>(ROUND((ROUND(((ET186)*AV186*I186),2)*BB186),2)+ROUND((ROUND(((AE186-(EU186))*AV186*I186),2)*BS186),2))</f>
        <v>0</v>
      </c>
      <c r="R186" s="3">
        <f>(ROUND((ROUND(((EU186)*AV186*I186),2)*BS186),2)+ROUND((ROUND(((AE186-(EU186))*AV186*I186),2)*BS186),2))</f>
        <v>0</v>
      </c>
      <c r="S186" s="3">
        <f t="shared" si="186"/>
        <v>0</v>
      </c>
      <c r="T186" s="3">
        <f t="shared" si="187"/>
        <v>0</v>
      </c>
      <c r="U186" s="3">
        <f t="shared" si="188"/>
        <v>0</v>
      </c>
      <c r="V186" s="3">
        <f t="shared" si="189"/>
        <v>0</v>
      </c>
      <c r="W186" s="3">
        <f t="shared" si="190"/>
        <v>0</v>
      </c>
      <c r="X186" s="3">
        <f>(ROUND((((S186+ROUND((ROUND(((EU186)*AV186*I186),2)*BS186),2))*AT186)/100),2)+ROUND(((ROUND((ROUND(((AE186-(EU186))*AV186*I186),2)*BS186),2)*AT186)/100),2))</f>
        <v>0</v>
      </c>
      <c r="Y186" s="3">
        <f>(ROUND((((S186+ROUND((ROUND(((EU186)*AV186*I186),2)*BS186),2))*AU186)/100),2)+ROUND(((ROUND((ROUND(((AE186-(EU186))*AV186*I186),2)*BS186),2)*AU186)/100),2))</f>
        <v>0</v>
      </c>
      <c r="AA186" s="3">
        <v>85739207</v>
      </c>
      <c r="AB186" s="3">
        <f t="shared" si="191"/>
        <v>254.98</v>
      </c>
      <c r="AC186" s="3">
        <f>ROUND((ES186),6)</f>
        <v>254.98</v>
      </c>
      <c r="AD186" s="3">
        <f>ROUND((((ET186)-(EU186))+AE186),6)</f>
        <v>0</v>
      </c>
      <c r="AE186" s="3">
        <f t="shared" si="221"/>
        <v>0</v>
      </c>
      <c r="AF186" s="3">
        <f t="shared" si="221"/>
        <v>0</v>
      </c>
      <c r="AG186" s="3">
        <f t="shared" si="192"/>
        <v>0</v>
      </c>
      <c r="AH186" s="3">
        <f t="shared" si="222"/>
        <v>0</v>
      </c>
      <c r="AI186" s="3">
        <f t="shared" si="222"/>
        <v>0</v>
      </c>
      <c r="AJ186" s="3">
        <f t="shared" si="193"/>
        <v>0</v>
      </c>
      <c r="AK186" s="3">
        <v>254.98</v>
      </c>
      <c r="AL186" s="3">
        <v>254.98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90</v>
      </c>
      <c r="AU186" s="3">
        <v>46</v>
      </c>
      <c r="AV186" s="3">
        <v>1</v>
      </c>
      <c r="AW186" s="3">
        <v>1</v>
      </c>
      <c r="AZ186" s="3">
        <v>1</v>
      </c>
      <c r="BA186" s="3">
        <v>1</v>
      </c>
      <c r="BB186" s="3">
        <v>1</v>
      </c>
      <c r="BC186" s="3">
        <v>20.18</v>
      </c>
      <c r="BD186" s="3" t="s">
        <v>3</v>
      </c>
      <c r="BE186" s="3" t="s">
        <v>3</v>
      </c>
      <c r="BF186" s="3" t="s">
        <v>3</v>
      </c>
      <c r="BG186" s="3" t="s">
        <v>3</v>
      </c>
      <c r="BH186" s="3">
        <v>3</v>
      </c>
      <c r="BI186" s="3">
        <v>2</v>
      </c>
      <c r="BJ186" s="3" t="s">
        <v>363</v>
      </c>
      <c r="BM186" s="3">
        <v>73</v>
      </c>
      <c r="BN186" s="3">
        <v>0</v>
      </c>
      <c r="BO186" s="3" t="s">
        <v>361</v>
      </c>
      <c r="BP186" s="3">
        <v>1</v>
      </c>
      <c r="BQ186" s="3">
        <v>40</v>
      </c>
      <c r="BR186" s="3">
        <v>0</v>
      </c>
      <c r="BS186" s="3">
        <v>1</v>
      </c>
      <c r="BT186" s="3">
        <v>1</v>
      </c>
      <c r="BU186" s="3">
        <v>1</v>
      </c>
      <c r="BV186" s="3">
        <v>1</v>
      </c>
      <c r="BW186" s="3">
        <v>1</v>
      </c>
      <c r="BX186" s="3">
        <v>1</v>
      </c>
      <c r="BY186" s="3" t="s">
        <v>3</v>
      </c>
      <c r="BZ186" s="3">
        <v>90</v>
      </c>
      <c r="CA186" s="3">
        <v>46</v>
      </c>
      <c r="CB186" s="3" t="s">
        <v>3</v>
      </c>
      <c r="CE186" s="3">
        <v>1566</v>
      </c>
      <c r="CF186" s="3">
        <v>0</v>
      </c>
      <c r="CG186" s="3">
        <v>0</v>
      </c>
      <c r="CM186" s="3">
        <v>0</v>
      </c>
      <c r="CN186" s="3" t="s">
        <v>679</v>
      </c>
      <c r="CO186" s="3">
        <v>0</v>
      </c>
      <c r="CP186" s="3">
        <f t="shared" si="194"/>
        <v>61745.96</v>
      </c>
      <c r="CQ186" s="3">
        <f t="shared" si="195"/>
        <v>5145.5</v>
      </c>
      <c r="CR186" s="3">
        <f>(ROUND((ROUND(((ET186)*AV186*1),2)*BB186),2)+ROUND((ROUND(((AE186-(EU186))*AV186*1),2)*BS186),2))</f>
        <v>0</v>
      </c>
      <c r="CS186" s="3">
        <f>(ROUND((ROUND(((EU186)*AV186*1),2)*BS186),2)+ROUND((ROUND(((AE186-(EU186))*AV186*1),2)*BS186),2))</f>
        <v>0</v>
      </c>
      <c r="CT186" s="3">
        <f t="shared" si="196"/>
        <v>0</v>
      </c>
      <c r="CU186" s="3">
        <f t="shared" si="197"/>
        <v>0</v>
      </c>
      <c r="CV186" s="3">
        <f t="shared" si="198"/>
        <v>0</v>
      </c>
      <c r="CW186" s="3">
        <f t="shared" si="199"/>
        <v>0</v>
      </c>
      <c r="CX186" s="3">
        <f t="shared" si="200"/>
        <v>0</v>
      </c>
      <c r="CY186" s="3">
        <f>(ROUND((((S186+ROUND((ROUND(((EU186)*AV186*1),2)*BS186),2))*AT186)/100),2)+ROUND(((ROUND((ROUND(((AE186-(EU186))*AV186*1),2)*BS186),2)*AT186)/100),2))</f>
        <v>0</v>
      </c>
      <c r="CZ186" s="3">
        <f>(ROUND((((S186+ROUND((ROUND(((EU186)*AV186*1),2)*BS186),2))*AU186)/100),2)+ROUND(((ROUND((ROUND(((AE186-(EU186))*AV186*1),2)*BS186),2)*AU186)/100),2))</f>
        <v>0</v>
      </c>
      <c r="DC186" s="3" t="s">
        <v>3</v>
      </c>
      <c r="DD186" s="3" t="s">
        <v>3</v>
      </c>
      <c r="DE186" s="3" t="s">
        <v>3</v>
      </c>
      <c r="DF186" s="3" t="s">
        <v>3</v>
      </c>
      <c r="DG186" s="3" t="s">
        <v>3</v>
      </c>
      <c r="DH186" s="3" t="s">
        <v>3</v>
      </c>
      <c r="DI186" s="3" t="s">
        <v>3</v>
      </c>
      <c r="DJ186" s="3" t="s">
        <v>3</v>
      </c>
      <c r="DK186" s="3" t="s">
        <v>3</v>
      </c>
      <c r="DL186" s="3" t="s">
        <v>3</v>
      </c>
      <c r="DM186" s="3" t="s">
        <v>3</v>
      </c>
      <c r="DN186" s="3">
        <v>0</v>
      </c>
      <c r="DO186" s="3">
        <v>0</v>
      </c>
      <c r="DP186" s="3">
        <v>1</v>
      </c>
      <c r="DQ186" s="3">
        <v>1</v>
      </c>
      <c r="DU186" s="3">
        <v>1010</v>
      </c>
      <c r="DV186" s="3" t="s">
        <v>99</v>
      </c>
      <c r="DW186" s="3" t="s">
        <v>99</v>
      </c>
      <c r="DX186" s="3">
        <v>1</v>
      </c>
      <c r="DZ186" s="3" t="s">
        <v>3</v>
      </c>
      <c r="EA186" s="3" t="s">
        <v>3</v>
      </c>
      <c r="EB186" s="3" t="s">
        <v>3</v>
      </c>
      <c r="EC186" s="3" t="s">
        <v>3</v>
      </c>
      <c r="EE186" s="3">
        <v>85133422</v>
      </c>
      <c r="EF186" s="3">
        <v>40</v>
      </c>
      <c r="EG186" s="3" t="s">
        <v>27</v>
      </c>
      <c r="EH186" s="3">
        <v>0</v>
      </c>
      <c r="EI186" s="3" t="s">
        <v>3</v>
      </c>
      <c r="EJ186" s="3">
        <v>2</v>
      </c>
      <c r="EK186" s="3">
        <v>73</v>
      </c>
      <c r="EL186" s="3" t="s">
        <v>62</v>
      </c>
      <c r="EM186" s="3" t="s">
        <v>63</v>
      </c>
      <c r="EO186" s="3" t="s">
        <v>37</v>
      </c>
      <c r="EQ186" s="3">
        <v>0</v>
      </c>
      <c r="ER186" s="3">
        <v>254.98</v>
      </c>
      <c r="ES186" s="3">
        <v>254.98</v>
      </c>
      <c r="ET186" s="3">
        <v>0</v>
      </c>
      <c r="EU186" s="3">
        <v>0</v>
      </c>
      <c r="EV186" s="3">
        <v>0</v>
      </c>
      <c r="EW186" s="3">
        <v>0</v>
      </c>
      <c r="EX186" s="3">
        <v>0</v>
      </c>
      <c r="FQ186" s="3">
        <v>0</v>
      </c>
      <c r="FR186" s="3">
        <v>0</v>
      </c>
      <c r="FS186" s="3">
        <v>0</v>
      </c>
      <c r="FX186" s="3">
        <v>90</v>
      </c>
      <c r="FY186" s="3">
        <v>46</v>
      </c>
      <c r="GA186" s="3" t="s">
        <v>3</v>
      </c>
      <c r="GD186" s="3">
        <v>1</v>
      </c>
      <c r="GF186" s="3">
        <v>-230661020</v>
      </c>
      <c r="GG186" s="3">
        <v>2</v>
      </c>
      <c r="GH186" s="3">
        <v>1</v>
      </c>
      <c r="GI186" s="3">
        <v>2</v>
      </c>
      <c r="GJ186" s="3">
        <v>0</v>
      </c>
      <c r="GK186" s="3">
        <v>0</v>
      </c>
      <c r="GL186" s="3">
        <f t="shared" si="201"/>
        <v>0</v>
      </c>
      <c r="GM186" s="3">
        <f t="shared" si="202"/>
        <v>61745.96</v>
      </c>
      <c r="GN186" s="3">
        <f t="shared" si="203"/>
        <v>0</v>
      </c>
      <c r="GO186" s="3">
        <f t="shared" si="204"/>
        <v>61745.96</v>
      </c>
      <c r="GP186" s="3">
        <f t="shared" si="205"/>
        <v>0</v>
      </c>
      <c r="GR186" s="3">
        <v>0</v>
      </c>
      <c r="GS186" s="3">
        <v>3</v>
      </c>
      <c r="GT186" s="3">
        <v>0</v>
      </c>
      <c r="GU186" s="3" t="s">
        <v>3</v>
      </c>
      <c r="GV186" s="3">
        <f t="shared" si="206"/>
        <v>0</v>
      </c>
      <c r="GW186" s="3">
        <v>1</v>
      </c>
      <c r="GX186" s="3">
        <f t="shared" si="207"/>
        <v>0</v>
      </c>
      <c r="HA186" s="3">
        <v>0</v>
      </c>
      <c r="HB186" s="3">
        <v>0</v>
      </c>
      <c r="HC186" s="3">
        <f t="shared" si="208"/>
        <v>0</v>
      </c>
      <c r="HE186" s="3" t="s">
        <v>3</v>
      </c>
      <c r="HF186" s="3" t="s">
        <v>3</v>
      </c>
      <c r="HM186" s="3" t="s">
        <v>35</v>
      </c>
      <c r="HN186" s="3" t="s">
        <v>3</v>
      </c>
      <c r="HO186" s="3" t="s">
        <v>3</v>
      </c>
      <c r="HP186" s="3" t="s">
        <v>3</v>
      </c>
      <c r="HQ186" s="3" t="s">
        <v>3</v>
      </c>
      <c r="HS186" s="3">
        <v>0</v>
      </c>
      <c r="IK186" s="3">
        <v>0</v>
      </c>
    </row>
    <row r="187" spans="1:255" x14ac:dyDescent="0.2">
      <c r="A187" s="2">
        <v>18</v>
      </c>
      <c r="B187" s="2">
        <v>1</v>
      </c>
      <c r="C187" s="2">
        <v>411</v>
      </c>
      <c r="D187" s="2"/>
      <c r="E187" s="2" t="s">
        <v>364</v>
      </c>
      <c r="F187" s="2" t="s">
        <v>365</v>
      </c>
      <c r="G187" s="2" t="s">
        <v>366</v>
      </c>
      <c r="H187" s="2" t="s">
        <v>99</v>
      </c>
      <c r="I187" s="2">
        <f>I183*J187</f>
        <v>12</v>
      </c>
      <c r="J187" s="2">
        <v>1</v>
      </c>
      <c r="K187" s="2">
        <v>1</v>
      </c>
      <c r="L187" s="2"/>
      <c r="M187" s="2"/>
      <c r="N187" s="2"/>
      <c r="O187" s="2">
        <f t="shared" si="184"/>
        <v>298.08</v>
      </c>
      <c r="P187" s="2">
        <f t="shared" si="185"/>
        <v>298.08</v>
      </c>
      <c r="Q187" s="2">
        <f>(ROUND((ROUND(((ET187)*AV187*I187),2)*BB187),2)+ROUND((ROUND(((AE187-(EU187))*AV187*I187),2)*BS187),2))</f>
        <v>0</v>
      </c>
      <c r="R187" s="2">
        <f>(ROUND((ROUND(((EU187)*AV187*I187),2)*BS187),2)+ROUND((ROUND(((AE187-(EU187))*AV187*I187),2)*BS187),2))</f>
        <v>0</v>
      </c>
      <c r="S187" s="2">
        <f t="shared" si="186"/>
        <v>0</v>
      </c>
      <c r="T187" s="2">
        <f t="shared" si="187"/>
        <v>0</v>
      </c>
      <c r="U187" s="2">
        <f t="shared" si="188"/>
        <v>0</v>
      </c>
      <c r="V187" s="2">
        <f t="shared" si="189"/>
        <v>0</v>
      </c>
      <c r="W187" s="2">
        <f t="shared" si="190"/>
        <v>0</v>
      </c>
      <c r="X187" s="2">
        <f>(ROUND((((S187+ROUND((ROUND(((EU187)*AV187*I187),2)*BS187),2))*AT187)/100),2)+ROUND(((ROUND((ROUND(((AE187-(EU187))*AV187*I187),2)*BS187),2)*AT187)/100),2))</f>
        <v>0</v>
      </c>
      <c r="Y187" s="2">
        <f>(ROUND((((S187+ROUND((ROUND(((EU187)*AV187*I187),2)*BS187),2))*AU187)/100),2)+ROUND(((ROUND((ROUND(((AE187-(EU187))*AV187*I187),2)*BS187),2)*AU187)/100),2))</f>
        <v>0</v>
      </c>
      <c r="Z187" s="2"/>
      <c r="AA187" s="2">
        <v>85739205</v>
      </c>
      <c r="AB187" s="2">
        <f t="shared" si="191"/>
        <v>24.84</v>
      </c>
      <c r="AC187" s="2">
        <f>ROUND((ES187),6)</f>
        <v>24.84</v>
      </c>
      <c r="AD187" s="2">
        <f>ROUND((((ET187)-(EU187))+AE187),6)</f>
        <v>0</v>
      </c>
      <c r="AE187" s="2">
        <f t="shared" si="221"/>
        <v>0</v>
      </c>
      <c r="AF187" s="2">
        <f t="shared" si="221"/>
        <v>0</v>
      </c>
      <c r="AG187" s="2">
        <f t="shared" si="192"/>
        <v>0</v>
      </c>
      <c r="AH187" s="2">
        <f t="shared" si="222"/>
        <v>0</v>
      </c>
      <c r="AI187" s="2">
        <f t="shared" si="222"/>
        <v>0</v>
      </c>
      <c r="AJ187" s="2">
        <f t="shared" si="193"/>
        <v>0</v>
      </c>
      <c r="AK187" s="2">
        <v>24.84</v>
      </c>
      <c r="AL187" s="2">
        <v>24.84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90</v>
      </c>
      <c r="AU187" s="2">
        <v>46</v>
      </c>
      <c r="AV187" s="2">
        <v>1</v>
      </c>
      <c r="AW187" s="2">
        <v>1</v>
      </c>
      <c r="AX187" s="2"/>
      <c r="AY187" s="2"/>
      <c r="AZ187" s="2">
        <v>1</v>
      </c>
      <c r="BA187" s="2">
        <v>1</v>
      </c>
      <c r="BB187" s="2">
        <v>1</v>
      </c>
      <c r="BC187" s="2">
        <v>1</v>
      </c>
      <c r="BD187" s="2" t="s">
        <v>3</v>
      </c>
      <c r="BE187" s="2" t="s">
        <v>3</v>
      </c>
      <c r="BF187" s="2" t="s">
        <v>3</v>
      </c>
      <c r="BG187" s="2" t="s">
        <v>3</v>
      </c>
      <c r="BH187" s="2">
        <v>3</v>
      </c>
      <c r="BI187" s="2">
        <v>2</v>
      </c>
      <c r="BJ187" s="2" t="s">
        <v>367</v>
      </c>
      <c r="BK187" s="2"/>
      <c r="BL187" s="2"/>
      <c r="BM187" s="2">
        <v>73</v>
      </c>
      <c r="BN187" s="2">
        <v>0</v>
      </c>
      <c r="BO187" s="2" t="s">
        <v>3</v>
      </c>
      <c r="BP187" s="2">
        <v>0</v>
      </c>
      <c r="BQ187" s="2">
        <v>40</v>
      </c>
      <c r="BR187" s="2">
        <v>0</v>
      </c>
      <c r="BS187" s="2">
        <v>1</v>
      </c>
      <c r="BT187" s="2">
        <v>1</v>
      </c>
      <c r="BU187" s="2">
        <v>1</v>
      </c>
      <c r="BV187" s="2">
        <v>1</v>
      </c>
      <c r="BW187" s="2">
        <v>1</v>
      </c>
      <c r="BX187" s="2">
        <v>1</v>
      </c>
      <c r="BY187" s="2" t="s">
        <v>3</v>
      </c>
      <c r="BZ187" s="2">
        <v>90</v>
      </c>
      <c r="CA187" s="2">
        <v>46</v>
      </c>
      <c r="CB187" s="2" t="s">
        <v>3</v>
      </c>
      <c r="CC187" s="2"/>
      <c r="CD187" s="2"/>
      <c r="CE187" s="2">
        <v>1566</v>
      </c>
      <c r="CF187" s="2">
        <v>0</v>
      </c>
      <c r="CG187" s="2">
        <v>0</v>
      </c>
      <c r="CH187" s="2"/>
      <c r="CI187" s="2"/>
      <c r="CJ187" s="2"/>
      <c r="CK187" s="2"/>
      <c r="CL187" s="2"/>
      <c r="CM187" s="2">
        <v>0</v>
      </c>
      <c r="CN187" s="2" t="s">
        <v>679</v>
      </c>
      <c r="CO187" s="2">
        <v>0</v>
      </c>
      <c r="CP187" s="2">
        <f t="shared" si="194"/>
        <v>298.08</v>
      </c>
      <c r="CQ187" s="2">
        <f t="shared" si="195"/>
        <v>24.84</v>
      </c>
      <c r="CR187" s="2">
        <f>(ROUND((ROUND(((ET187)*AV187*1),2)*BB187),2)+ROUND((ROUND(((AE187-(EU187))*AV187*1),2)*BS187),2))</f>
        <v>0</v>
      </c>
      <c r="CS187" s="2">
        <f>(ROUND((ROUND(((EU187)*AV187*1),2)*BS187),2)+ROUND((ROUND(((AE187-(EU187))*AV187*1),2)*BS187),2))</f>
        <v>0</v>
      </c>
      <c r="CT187" s="2">
        <f t="shared" si="196"/>
        <v>0</v>
      </c>
      <c r="CU187" s="2">
        <f t="shared" si="197"/>
        <v>0</v>
      </c>
      <c r="CV187" s="2">
        <f t="shared" si="198"/>
        <v>0</v>
      </c>
      <c r="CW187" s="2">
        <f t="shared" si="199"/>
        <v>0</v>
      </c>
      <c r="CX187" s="2">
        <f t="shared" si="200"/>
        <v>0</v>
      </c>
      <c r="CY187" s="2">
        <f>(ROUND((((S187+ROUND((ROUND(((EU187)*AV187*1),2)*BS187),2))*AT187)/100),2)+ROUND(((ROUND((ROUND(((AE187-(EU187))*AV187*1),2)*BS187),2)*AT187)/100),2))</f>
        <v>0</v>
      </c>
      <c r="CZ187" s="2">
        <f>(ROUND((((S187+ROUND((ROUND(((EU187)*AV187*1),2)*BS187),2))*AU187)/100),2)+ROUND(((ROUND((ROUND(((AE187-(EU187))*AV187*1),2)*BS187),2)*AU187)/100),2))</f>
        <v>0</v>
      </c>
      <c r="DA187" s="2"/>
      <c r="DB187" s="2"/>
      <c r="DC187" s="2" t="s">
        <v>3</v>
      </c>
      <c r="DD187" s="2" t="s">
        <v>3</v>
      </c>
      <c r="DE187" s="2" t="s">
        <v>3</v>
      </c>
      <c r="DF187" s="2" t="s">
        <v>3</v>
      </c>
      <c r="DG187" s="2" t="s">
        <v>3</v>
      </c>
      <c r="DH187" s="2" t="s">
        <v>3</v>
      </c>
      <c r="DI187" s="2" t="s">
        <v>3</v>
      </c>
      <c r="DJ187" s="2" t="s">
        <v>3</v>
      </c>
      <c r="DK187" s="2" t="s">
        <v>3</v>
      </c>
      <c r="DL187" s="2" t="s">
        <v>3</v>
      </c>
      <c r="DM187" s="2" t="s">
        <v>3</v>
      </c>
      <c r="DN187" s="2">
        <v>0</v>
      </c>
      <c r="DO187" s="2">
        <v>0</v>
      </c>
      <c r="DP187" s="2">
        <v>1</v>
      </c>
      <c r="DQ187" s="2">
        <v>1</v>
      </c>
      <c r="DR187" s="2"/>
      <c r="DS187" s="2"/>
      <c r="DT187" s="2"/>
      <c r="DU187" s="2">
        <v>1010</v>
      </c>
      <c r="DV187" s="2" t="s">
        <v>99</v>
      </c>
      <c r="DW187" s="2" t="s">
        <v>99</v>
      </c>
      <c r="DX187" s="2">
        <v>1</v>
      </c>
      <c r="DY187" s="2"/>
      <c r="DZ187" s="2" t="s">
        <v>3</v>
      </c>
      <c r="EA187" s="2" t="s">
        <v>3</v>
      </c>
      <c r="EB187" s="2" t="s">
        <v>3</v>
      </c>
      <c r="EC187" s="2" t="s">
        <v>3</v>
      </c>
      <c r="ED187" s="2"/>
      <c r="EE187" s="2">
        <v>85133422</v>
      </c>
      <c r="EF187" s="2">
        <v>40</v>
      </c>
      <c r="EG187" s="2" t="s">
        <v>27</v>
      </c>
      <c r="EH187" s="2">
        <v>0</v>
      </c>
      <c r="EI187" s="2" t="s">
        <v>3</v>
      </c>
      <c r="EJ187" s="2">
        <v>2</v>
      </c>
      <c r="EK187" s="2">
        <v>73</v>
      </c>
      <c r="EL187" s="2" t="s">
        <v>62</v>
      </c>
      <c r="EM187" s="2" t="s">
        <v>63</v>
      </c>
      <c r="EN187" s="2"/>
      <c r="EO187" s="2" t="s">
        <v>37</v>
      </c>
      <c r="EP187" s="2"/>
      <c r="EQ187" s="2">
        <v>0</v>
      </c>
      <c r="ER187" s="2">
        <v>24.84</v>
      </c>
      <c r="ES187" s="2">
        <v>24.84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>
        <v>0</v>
      </c>
      <c r="FR187" s="2">
        <v>0</v>
      </c>
      <c r="FS187" s="2">
        <v>0</v>
      </c>
      <c r="FT187" s="2"/>
      <c r="FU187" s="2"/>
      <c r="FV187" s="2"/>
      <c r="FW187" s="2"/>
      <c r="FX187" s="2">
        <v>90</v>
      </c>
      <c r="FY187" s="2">
        <v>46</v>
      </c>
      <c r="FZ187" s="2"/>
      <c r="GA187" s="2" t="s">
        <v>3</v>
      </c>
      <c r="GB187" s="2"/>
      <c r="GC187" s="2"/>
      <c r="GD187" s="2">
        <v>1</v>
      </c>
      <c r="GE187" s="2"/>
      <c r="GF187" s="2">
        <v>769202615</v>
      </c>
      <c r="GG187" s="2">
        <v>2</v>
      </c>
      <c r="GH187" s="2">
        <v>1</v>
      </c>
      <c r="GI187" s="2">
        <v>-2</v>
      </c>
      <c r="GJ187" s="2">
        <v>0</v>
      </c>
      <c r="GK187" s="2">
        <v>0</v>
      </c>
      <c r="GL187" s="2">
        <f t="shared" si="201"/>
        <v>0</v>
      </c>
      <c r="GM187" s="2">
        <f t="shared" si="202"/>
        <v>298.08</v>
      </c>
      <c r="GN187" s="2">
        <f t="shared" si="203"/>
        <v>0</v>
      </c>
      <c r="GO187" s="2">
        <f t="shared" si="204"/>
        <v>298.08</v>
      </c>
      <c r="GP187" s="2">
        <f t="shared" si="205"/>
        <v>0</v>
      </c>
      <c r="GQ187" s="2"/>
      <c r="GR187" s="2">
        <v>0</v>
      </c>
      <c r="GS187" s="2">
        <v>3</v>
      </c>
      <c r="GT187" s="2">
        <v>0</v>
      </c>
      <c r="GU187" s="2" t="s">
        <v>3</v>
      </c>
      <c r="GV187" s="2">
        <f t="shared" si="206"/>
        <v>0</v>
      </c>
      <c r="GW187" s="2">
        <v>1</v>
      </c>
      <c r="GX187" s="2">
        <f t="shared" si="207"/>
        <v>0</v>
      </c>
      <c r="GY187" s="2"/>
      <c r="GZ187" s="2"/>
      <c r="HA187" s="2">
        <v>0</v>
      </c>
      <c r="HB187" s="2">
        <v>0</v>
      </c>
      <c r="HC187" s="2">
        <f t="shared" si="208"/>
        <v>0</v>
      </c>
      <c r="HD187" s="2"/>
      <c r="HE187" s="2" t="s">
        <v>3</v>
      </c>
      <c r="HF187" s="2" t="s">
        <v>3</v>
      </c>
      <c r="HG187" s="2"/>
      <c r="HH187" s="2"/>
      <c r="HI187" s="2"/>
      <c r="HJ187" s="2"/>
      <c r="HK187" s="2"/>
      <c r="HL187" s="2"/>
      <c r="HM187" s="2" t="s">
        <v>35</v>
      </c>
      <c r="HN187" s="2" t="s">
        <v>3</v>
      </c>
      <c r="HO187" s="2" t="s">
        <v>3</v>
      </c>
      <c r="HP187" s="2" t="s">
        <v>3</v>
      </c>
      <c r="HQ187" s="2" t="s">
        <v>3</v>
      </c>
      <c r="HR187" s="2"/>
      <c r="HS187" s="2">
        <v>0</v>
      </c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>
        <v>0</v>
      </c>
      <c r="IL187" s="2"/>
      <c r="IM187" s="2"/>
      <c r="IN187" s="2"/>
      <c r="IO187" s="2"/>
      <c r="IP187" s="2"/>
      <c r="IQ187" s="2"/>
      <c r="IR187" s="2"/>
      <c r="IS187" s="2"/>
      <c r="IT187" s="2"/>
      <c r="IU187" s="2"/>
    </row>
    <row r="188" spans="1:255" x14ac:dyDescent="0.2">
      <c r="A188" s="3">
        <v>18</v>
      </c>
      <c r="B188" s="3">
        <v>1</v>
      </c>
      <c r="C188" s="3">
        <v>418</v>
      </c>
      <c r="E188" s="3" t="s">
        <v>364</v>
      </c>
      <c r="F188" s="3" t="s">
        <v>365</v>
      </c>
      <c r="G188" s="3" t="s">
        <v>366</v>
      </c>
      <c r="H188" s="3" t="s">
        <v>99</v>
      </c>
      <c r="I188" s="3">
        <f>I184*J188</f>
        <v>12</v>
      </c>
      <c r="J188" s="3">
        <v>1</v>
      </c>
      <c r="K188" s="3">
        <v>1</v>
      </c>
      <c r="O188" s="3">
        <f t="shared" si="184"/>
        <v>935.97</v>
      </c>
      <c r="P188" s="3">
        <f t="shared" si="185"/>
        <v>935.97</v>
      </c>
      <c r="Q188" s="3">
        <f>(ROUND((ROUND(((ET188)*AV188*I188),2)*BB188),2)+ROUND((ROUND(((AE188-(EU188))*AV188*I188),2)*BS188),2))</f>
        <v>0</v>
      </c>
      <c r="R188" s="3">
        <f>(ROUND((ROUND(((EU188)*AV188*I188),2)*BS188),2)+ROUND((ROUND(((AE188-(EU188))*AV188*I188),2)*BS188),2))</f>
        <v>0</v>
      </c>
      <c r="S188" s="3">
        <f t="shared" si="186"/>
        <v>0</v>
      </c>
      <c r="T188" s="3">
        <f t="shared" si="187"/>
        <v>0</v>
      </c>
      <c r="U188" s="3">
        <f t="shared" si="188"/>
        <v>0</v>
      </c>
      <c r="V188" s="3">
        <f t="shared" si="189"/>
        <v>0</v>
      </c>
      <c r="W188" s="3">
        <f t="shared" si="190"/>
        <v>0</v>
      </c>
      <c r="X188" s="3">
        <f>(ROUND((((S188+ROUND((ROUND(((EU188)*AV188*I188),2)*BS188),2))*AT188)/100),2)+ROUND(((ROUND((ROUND(((AE188-(EU188))*AV188*I188),2)*BS188),2)*AT188)/100),2))</f>
        <v>0</v>
      </c>
      <c r="Y188" s="3">
        <f>(ROUND((((S188+ROUND((ROUND(((EU188)*AV188*I188),2)*BS188),2))*AU188)/100),2)+ROUND(((ROUND((ROUND(((AE188-(EU188))*AV188*I188),2)*BS188),2)*AU188)/100),2))</f>
        <v>0</v>
      </c>
      <c r="AA188" s="3">
        <v>85739207</v>
      </c>
      <c r="AB188" s="3">
        <f t="shared" si="191"/>
        <v>24.84</v>
      </c>
      <c r="AC188" s="3">
        <f>ROUND((ES188),6)</f>
        <v>24.84</v>
      </c>
      <c r="AD188" s="3">
        <f>ROUND((((ET188)-(EU188))+AE188),6)</f>
        <v>0</v>
      </c>
      <c r="AE188" s="3">
        <f t="shared" si="221"/>
        <v>0</v>
      </c>
      <c r="AF188" s="3">
        <f t="shared" si="221"/>
        <v>0</v>
      </c>
      <c r="AG188" s="3">
        <f t="shared" si="192"/>
        <v>0</v>
      </c>
      <c r="AH188" s="3">
        <f t="shared" si="222"/>
        <v>0</v>
      </c>
      <c r="AI188" s="3">
        <f t="shared" si="222"/>
        <v>0</v>
      </c>
      <c r="AJ188" s="3">
        <f t="shared" si="193"/>
        <v>0</v>
      </c>
      <c r="AK188" s="3">
        <v>24.84</v>
      </c>
      <c r="AL188" s="3">
        <v>24.84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90</v>
      </c>
      <c r="AU188" s="3">
        <v>46</v>
      </c>
      <c r="AV188" s="3">
        <v>1</v>
      </c>
      <c r="AW188" s="3">
        <v>1</v>
      </c>
      <c r="AZ188" s="3">
        <v>1</v>
      </c>
      <c r="BA188" s="3">
        <v>1</v>
      </c>
      <c r="BB188" s="3">
        <v>1</v>
      </c>
      <c r="BC188" s="3">
        <v>3.14</v>
      </c>
      <c r="BD188" s="3" t="s">
        <v>3</v>
      </c>
      <c r="BE188" s="3" t="s">
        <v>3</v>
      </c>
      <c r="BF188" s="3" t="s">
        <v>3</v>
      </c>
      <c r="BG188" s="3" t="s">
        <v>3</v>
      </c>
      <c r="BH188" s="3">
        <v>3</v>
      </c>
      <c r="BI188" s="3">
        <v>2</v>
      </c>
      <c r="BJ188" s="3" t="s">
        <v>367</v>
      </c>
      <c r="BM188" s="3">
        <v>73</v>
      </c>
      <c r="BN188" s="3">
        <v>0</v>
      </c>
      <c r="BO188" s="3" t="s">
        <v>365</v>
      </c>
      <c r="BP188" s="3">
        <v>1</v>
      </c>
      <c r="BQ188" s="3">
        <v>40</v>
      </c>
      <c r="BR188" s="3">
        <v>0</v>
      </c>
      <c r="BS188" s="3">
        <v>1</v>
      </c>
      <c r="BT188" s="3">
        <v>1</v>
      </c>
      <c r="BU188" s="3">
        <v>1</v>
      </c>
      <c r="BV188" s="3">
        <v>1</v>
      </c>
      <c r="BW188" s="3">
        <v>1</v>
      </c>
      <c r="BX188" s="3">
        <v>1</v>
      </c>
      <c r="BY188" s="3" t="s">
        <v>3</v>
      </c>
      <c r="BZ188" s="3">
        <v>90</v>
      </c>
      <c r="CA188" s="3">
        <v>46</v>
      </c>
      <c r="CB188" s="3" t="s">
        <v>3</v>
      </c>
      <c r="CE188" s="3">
        <v>1566</v>
      </c>
      <c r="CF188" s="3">
        <v>0</v>
      </c>
      <c r="CG188" s="3">
        <v>0</v>
      </c>
      <c r="CM188" s="3">
        <v>0</v>
      </c>
      <c r="CN188" s="3" t="s">
        <v>679</v>
      </c>
      <c r="CO188" s="3">
        <v>0</v>
      </c>
      <c r="CP188" s="3">
        <f t="shared" si="194"/>
        <v>935.97</v>
      </c>
      <c r="CQ188" s="3">
        <f t="shared" si="195"/>
        <v>78</v>
      </c>
      <c r="CR188" s="3">
        <f>(ROUND((ROUND(((ET188)*AV188*1),2)*BB188),2)+ROUND((ROUND(((AE188-(EU188))*AV188*1),2)*BS188),2))</f>
        <v>0</v>
      </c>
      <c r="CS188" s="3">
        <f>(ROUND((ROUND(((EU188)*AV188*1),2)*BS188),2)+ROUND((ROUND(((AE188-(EU188))*AV188*1),2)*BS188),2))</f>
        <v>0</v>
      </c>
      <c r="CT188" s="3">
        <f t="shared" si="196"/>
        <v>0</v>
      </c>
      <c r="CU188" s="3">
        <f t="shared" si="197"/>
        <v>0</v>
      </c>
      <c r="CV188" s="3">
        <f t="shared" si="198"/>
        <v>0</v>
      </c>
      <c r="CW188" s="3">
        <f t="shared" si="199"/>
        <v>0</v>
      </c>
      <c r="CX188" s="3">
        <f t="shared" si="200"/>
        <v>0</v>
      </c>
      <c r="CY188" s="3">
        <f>(ROUND((((S188+ROUND((ROUND(((EU188)*AV188*1),2)*BS188),2))*AT188)/100),2)+ROUND(((ROUND((ROUND(((AE188-(EU188))*AV188*1),2)*BS188),2)*AT188)/100),2))</f>
        <v>0</v>
      </c>
      <c r="CZ188" s="3">
        <f>(ROUND((((S188+ROUND((ROUND(((EU188)*AV188*1),2)*BS188),2))*AU188)/100),2)+ROUND(((ROUND((ROUND(((AE188-(EU188))*AV188*1),2)*BS188),2)*AU188)/100),2))</f>
        <v>0</v>
      </c>
      <c r="DC188" s="3" t="s">
        <v>3</v>
      </c>
      <c r="DD188" s="3" t="s">
        <v>3</v>
      </c>
      <c r="DE188" s="3" t="s">
        <v>3</v>
      </c>
      <c r="DF188" s="3" t="s">
        <v>3</v>
      </c>
      <c r="DG188" s="3" t="s">
        <v>3</v>
      </c>
      <c r="DH188" s="3" t="s">
        <v>3</v>
      </c>
      <c r="DI188" s="3" t="s">
        <v>3</v>
      </c>
      <c r="DJ188" s="3" t="s">
        <v>3</v>
      </c>
      <c r="DK188" s="3" t="s">
        <v>3</v>
      </c>
      <c r="DL188" s="3" t="s">
        <v>3</v>
      </c>
      <c r="DM188" s="3" t="s">
        <v>3</v>
      </c>
      <c r="DN188" s="3">
        <v>0</v>
      </c>
      <c r="DO188" s="3">
        <v>0</v>
      </c>
      <c r="DP188" s="3">
        <v>1</v>
      </c>
      <c r="DQ188" s="3">
        <v>1</v>
      </c>
      <c r="DU188" s="3">
        <v>1010</v>
      </c>
      <c r="DV188" s="3" t="s">
        <v>99</v>
      </c>
      <c r="DW188" s="3" t="s">
        <v>99</v>
      </c>
      <c r="DX188" s="3">
        <v>1</v>
      </c>
      <c r="DZ188" s="3" t="s">
        <v>3</v>
      </c>
      <c r="EA188" s="3" t="s">
        <v>3</v>
      </c>
      <c r="EB188" s="3" t="s">
        <v>3</v>
      </c>
      <c r="EC188" s="3" t="s">
        <v>3</v>
      </c>
      <c r="EE188" s="3">
        <v>85133422</v>
      </c>
      <c r="EF188" s="3">
        <v>40</v>
      </c>
      <c r="EG188" s="3" t="s">
        <v>27</v>
      </c>
      <c r="EH188" s="3">
        <v>0</v>
      </c>
      <c r="EI188" s="3" t="s">
        <v>3</v>
      </c>
      <c r="EJ188" s="3">
        <v>2</v>
      </c>
      <c r="EK188" s="3">
        <v>73</v>
      </c>
      <c r="EL188" s="3" t="s">
        <v>62</v>
      </c>
      <c r="EM188" s="3" t="s">
        <v>63</v>
      </c>
      <c r="EO188" s="3" t="s">
        <v>37</v>
      </c>
      <c r="EQ188" s="3">
        <v>0</v>
      </c>
      <c r="ER188" s="3">
        <v>24.84</v>
      </c>
      <c r="ES188" s="3">
        <v>24.84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FQ188" s="3">
        <v>0</v>
      </c>
      <c r="FR188" s="3">
        <v>0</v>
      </c>
      <c r="FS188" s="3">
        <v>0</v>
      </c>
      <c r="FX188" s="3">
        <v>90</v>
      </c>
      <c r="FY188" s="3">
        <v>46</v>
      </c>
      <c r="GA188" s="3" t="s">
        <v>3</v>
      </c>
      <c r="GD188" s="3">
        <v>1</v>
      </c>
      <c r="GF188" s="3">
        <v>769202615</v>
      </c>
      <c r="GG188" s="3">
        <v>2</v>
      </c>
      <c r="GH188" s="3">
        <v>1</v>
      </c>
      <c r="GI188" s="3">
        <v>2</v>
      </c>
      <c r="GJ188" s="3">
        <v>0</v>
      </c>
      <c r="GK188" s="3">
        <v>0</v>
      </c>
      <c r="GL188" s="3">
        <f t="shared" si="201"/>
        <v>0</v>
      </c>
      <c r="GM188" s="3">
        <f t="shared" si="202"/>
        <v>935.97</v>
      </c>
      <c r="GN188" s="3">
        <f t="shared" si="203"/>
        <v>0</v>
      </c>
      <c r="GO188" s="3">
        <f t="shared" si="204"/>
        <v>935.97</v>
      </c>
      <c r="GP188" s="3">
        <f t="shared" si="205"/>
        <v>0</v>
      </c>
      <c r="GR188" s="3">
        <v>0</v>
      </c>
      <c r="GS188" s="3">
        <v>3</v>
      </c>
      <c r="GT188" s="3">
        <v>0</v>
      </c>
      <c r="GU188" s="3" t="s">
        <v>3</v>
      </c>
      <c r="GV188" s="3">
        <f t="shared" si="206"/>
        <v>0</v>
      </c>
      <c r="GW188" s="3">
        <v>1</v>
      </c>
      <c r="GX188" s="3">
        <f t="shared" si="207"/>
        <v>0</v>
      </c>
      <c r="HA188" s="3">
        <v>0</v>
      </c>
      <c r="HB188" s="3">
        <v>0</v>
      </c>
      <c r="HC188" s="3">
        <f t="shared" si="208"/>
        <v>0</v>
      </c>
      <c r="HE188" s="3" t="s">
        <v>3</v>
      </c>
      <c r="HF188" s="3" t="s">
        <v>3</v>
      </c>
      <c r="HM188" s="3" t="s">
        <v>35</v>
      </c>
      <c r="HN188" s="3" t="s">
        <v>3</v>
      </c>
      <c r="HO188" s="3" t="s">
        <v>3</v>
      </c>
      <c r="HP188" s="3" t="s">
        <v>3</v>
      </c>
      <c r="HQ188" s="3" t="s">
        <v>3</v>
      </c>
      <c r="HS188" s="3">
        <v>0</v>
      </c>
      <c r="IK188" s="3">
        <v>0</v>
      </c>
    </row>
    <row r="189" spans="1:255" x14ac:dyDescent="0.2">
      <c r="A189" s="2">
        <v>17</v>
      </c>
      <c r="B189" s="2">
        <v>1</v>
      </c>
      <c r="C189" s="2">
        <f>ROW(SmtRes!A426)</f>
        <v>426</v>
      </c>
      <c r="D189" s="2">
        <f>ROW(EtalonRes!A440)</f>
        <v>440</v>
      </c>
      <c r="E189" s="2" t="s">
        <v>368</v>
      </c>
      <c r="F189" s="2" t="s">
        <v>369</v>
      </c>
      <c r="G189" s="2" t="s">
        <v>370</v>
      </c>
      <c r="H189" s="2" t="s">
        <v>240</v>
      </c>
      <c r="I189" s="2">
        <f>ROUND((12)/100,9)</f>
        <v>0.12</v>
      </c>
      <c r="J189" s="2">
        <v>0</v>
      </c>
      <c r="K189" s="2">
        <f>ROUND((12)/100,9)</f>
        <v>0.12</v>
      </c>
      <c r="L189" s="2"/>
      <c r="M189" s="2"/>
      <c r="N189" s="2"/>
      <c r="O189" s="2">
        <f t="shared" si="184"/>
        <v>595.13</v>
      </c>
      <c r="P189" s="2">
        <f t="shared" si="185"/>
        <v>427.1</v>
      </c>
      <c r="Q189" s="2">
        <f>(ROUND((ROUND((((ET189*1.2))*AV189*I189),2)*BB189),2)+ROUND((ROUND(((AE189-((EU189*1.2)))*AV189*I189),2)*BS189),2))</f>
        <v>51.69</v>
      </c>
      <c r="R189" s="2">
        <f>(ROUND((ROUND((((EU189*1.2))*AV189*I189),2)*BS189),2)+ROUND((ROUND(((AE189-((EU189*1.2)))*AV189*I189),2)*BS189),2))</f>
        <v>0.02</v>
      </c>
      <c r="S189" s="2">
        <f t="shared" si="186"/>
        <v>116.34</v>
      </c>
      <c r="T189" s="2">
        <f t="shared" si="187"/>
        <v>0</v>
      </c>
      <c r="U189" s="2">
        <f t="shared" si="188"/>
        <v>9.2188799999999986</v>
      </c>
      <c r="V189" s="2">
        <f t="shared" si="189"/>
        <v>0</v>
      </c>
      <c r="W189" s="2">
        <f t="shared" si="190"/>
        <v>0</v>
      </c>
      <c r="X189" s="2">
        <f>(ROUND((((S189+ROUND((ROUND((((EU189*1.2))*AV189*I189),2)*BS189),2))*AT189)/100),2)+ROUND(((ROUND((ROUND(((AE189-((EU189*1.2)))*AV189*I189),2)*BS189),2)*AT189)/100),2))</f>
        <v>104.72</v>
      </c>
      <c r="Y189" s="2">
        <f>(ROUND((((S189+ROUND((ROUND((((EU189*1.2))*AV189*I189),2)*BS189),2))*AU189)/100),2)+ROUND(((ROUND((ROUND(((AE189-((EU189*1.2)))*AV189*I189),2)*BS189),2)*AU189)/100),2))</f>
        <v>53.53</v>
      </c>
      <c r="Z189" s="2"/>
      <c r="AA189" s="2">
        <v>85739205</v>
      </c>
      <c r="AB189" s="2">
        <f t="shared" si="191"/>
        <v>4774.5439999999999</v>
      </c>
      <c r="AC189" s="2">
        <f>ROUND(((ES189*1)),6)</f>
        <v>3462.2</v>
      </c>
      <c r="AD189" s="2">
        <f>ROUND(((((ET189*1.2))-((EU189*1.2)))+AE189),6)</f>
        <v>403.70400000000001</v>
      </c>
      <c r="AE189" s="2">
        <f>ROUND(((EU189*1.2)),6)</f>
        <v>0.156</v>
      </c>
      <c r="AF189" s="2">
        <f>ROUND(((EV189*1.2)),6)</f>
        <v>908.64</v>
      </c>
      <c r="AG189" s="2">
        <f t="shared" si="192"/>
        <v>0</v>
      </c>
      <c r="AH189" s="2">
        <f>((EW189*1.2))</f>
        <v>72</v>
      </c>
      <c r="AI189" s="2">
        <f>((EX189*1.2))</f>
        <v>0</v>
      </c>
      <c r="AJ189" s="2">
        <f t="shared" si="193"/>
        <v>0</v>
      </c>
      <c r="AK189" s="2">
        <v>4555.82</v>
      </c>
      <c r="AL189" s="2">
        <v>3462.2</v>
      </c>
      <c r="AM189" s="2">
        <v>336.42</v>
      </c>
      <c r="AN189" s="2">
        <v>0.13</v>
      </c>
      <c r="AO189" s="2">
        <v>757.2</v>
      </c>
      <c r="AP189" s="2">
        <v>0</v>
      </c>
      <c r="AQ189" s="2">
        <v>60</v>
      </c>
      <c r="AR189" s="2">
        <v>0</v>
      </c>
      <c r="AS189" s="2">
        <v>0</v>
      </c>
      <c r="AT189" s="2">
        <v>90</v>
      </c>
      <c r="AU189" s="2">
        <v>46</v>
      </c>
      <c r="AV189" s="2">
        <v>1.0669999999999999</v>
      </c>
      <c r="AW189" s="2">
        <v>1.028</v>
      </c>
      <c r="AX189" s="2"/>
      <c r="AY189" s="2"/>
      <c r="AZ189" s="2">
        <v>1</v>
      </c>
      <c r="BA189" s="2">
        <v>1</v>
      </c>
      <c r="BB189" s="2">
        <v>1</v>
      </c>
      <c r="BC189" s="2">
        <v>1</v>
      </c>
      <c r="BD189" s="2" t="s">
        <v>3</v>
      </c>
      <c r="BE189" s="2" t="s">
        <v>3</v>
      </c>
      <c r="BF189" s="2" t="s">
        <v>3</v>
      </c>
      <c r="BG189" s="2" t="s">
        <v>3</v>
      </c>
      <c r="BH189" s="2">
        <v>0</v>
      </c>
      <c r="BI189" s="2">
        <v>2</v>
      </c>
      <c r="BJ189" s="2" t="s">
        <v>371</v>
      </c>
      <c r="BK189" s="2"/>
      <c r="BL189" s="2"/>
      <c r="BM189" s="2">
        <v>73</v>
      </c>
      <c r="BN189" s="2">
        <v>0</v>
      </c>
      <c r="BO189" s="2" t="s">
        <v>369</v>
      </c>
      <c r="BP189" s="2">
        <v>1</v>
      </c>
      <c r="BQ189" s="2">
        <v>40</v>
      </c>
      <c r="BR189" s="2">
        <v>0</v>
      </c>
      <c r="BS189" s="2">
        <v>1</v>
      </c>
      <c r="BT189" s="2">
        <v>1</v>
      </c>
      <c r="BU189" s="2">
        <v>1</v>
      </c>
      <c r="BV189" s="2">
        <v>1</v>
      </c>
      <c r="BW189" s="2">
        <v>1</v>
      </c>
      <c r="BX189" s="2">
        <v>1</v>
      </c>
      <c r="BY189" s="2" t="s">
        <v>3</v>
      </c>
      <c r="BZ189" s="2">
        <v>90</v>
      </c>
      <c r="CA189" s="2">
        <v>46</v>
      </c>
      <c r="CB189" s="2" t="s">
        <v>3</v>
      </c>
      <c r="CC189" s="2"/>
      <c r="CD189" s="2"/>
      <c r="CE189" s="2">
        <v>1566</v>
      </c>
      <c r="CF189" s="2">
        <v>0</v>
      </c>
      <c r="CG189" s="2">
        <v>0</v>
      </c>
      <c r="CH189" s="2"/>
      <c r="CI189" s="2"/>
      <c r="CJ189" s="2"/>
      <c r="CK189" s="2"/>
      <c r="CL189" s="2"/>
      <c r="CM189" s="2">
        <v>0</v>
      </c>
      <c r="CN189" s="2" t="s">
        <v>677</v>
      </c>
      <c r="CO189" s="2">
        <v>0</v>
      </c>
      <c r="CP189" s="2">
        <f t="shared" si="194"/>
        <v>595.13</v>
      </c>
      <c r="CQ189" s="2">
        <f t="shared" si="195"/>
        <v>3559.14</v>
      </c>
      <c r="CR189" s="2">
        <f>(ROUND((ROUND((((ET189*1.2))*AV189*1),2)*BB189),2)+ROUND((ROUND(((AE189-((EU189*1.2)))*AV189*1),2)*BS189),2))</f>
        <v>430.75</v>
      </c>
      <c r="CS189" s="2">
        <f>(ROUND((ROUND((((EU189*1.2))*AV189*1),2)*BS189),2)+ROUND((ROUND(((AE189-((EU189*1.2)))*AV189*1),2)*BS189),2))</f>
        <v>0.17</v>
      </c>
      <c r="CT189" s="2">
        <f t="shared" si="196"/>
        <v>969.52</v>
      </c>
      <c r="CU189" s="2">
        <f t="shared" si="197"/>
        <v>0</v>
      </c>
      <c r="CV189" s="2">
        <f t="shared" si="198"/>
        <v>76.823999999999998</v>
      </c>
      <c r="CW189" s="2">
        <f t="shared" si="199"/>
        <v>0</v>
      </c>
      <c r="CX189" s="2">
        <f t="shared" si="200"/>
        <v>0</v>
      </c>
      <c r="CY189" s="2">
        <f>(ROUND((((S189+ROUND((ROUND((((EU189*1.2))*AV189*1),2)*BS189),2))*AT189)/100),2)+ROUND(((ROUND((ROUND(((AE189-((EU189*1.2)))*AV189*1),2)*BS189),2)*AT189)/100),2))</f>
        <v>104.86</v>
      </c>
      <c r="CZ189" s="2">
        <f>(ROUND((((S189+ROUND((ROUND((((EU189*1.2))*AV189*1),2)*BS189),2))*AU189)/100),2)+ROUND(((ROUND((ROUND(((AE189-((EU189*1.2)))*AV189*1),2)*BS189),2)*AU189)/100),2))</f>
        <v>53.59</v>
      </c>
      <c r="DA189" s="2"/>
      <c r="DB189" s="2">
        <v>65</v>
      </c>
      <c r="DC189" s="2" t="s">
        <v>3</v>
      </c>
      <c r="DD189" s="2" t="s">
        <v>35</v>
      </c>
      <c r="DE189" s="2" t="s">
        <v>36</v>
      </c>
      <c r="DF189" s="2" t="s">
        <v>36</v>
      </c>
      <c r="DG189" s="2" t="s">
        <v>36</v>
      </c>
      <c r="DH189" s="2" t="s">
        <v>3</v>
      </c>
      <c r="DI189" s="2" t="s">
        <v>36</v>
      </c>
      <c r="DJ189" s="2" t="s">
        <v>36</v>
      </c>
      <c r="DK189" s="2" t="s">
        <v>3</v>
      </c>
      <c r="DL189" s="2" t="s">
        <v>3</v>
      </c>
      <c r="DM189" s="2" t="s">
        <v>3</v>
      </c>
      <c r="DN189" s="2">
        <v>0</v>
      </c>
      <c r="DO189" s="2">
        <v>0</v>
      </c>
      <c r="DP189" s="2">
        <v>1</v>
      </c>
      <c r="DQ189" s="2">
        <v>1</v>
      </c>
      <c r="DR189" s="2"/>
      <c r="DS189" s="2"/>
      <c r="DT189" s="2"/>
      <c r="DU189" s="2">
        <v>1010</v>
      </c>
      <c r="DV189" s="2" t="s">
        <v>240</v>
      </c>
      <c r="DW189" s="2" t="s">
        <v>240</v>
      </c>
      <c r="DX189" s="2">
        <v>100</v>
      </c>
      <c r="DY189" s="2"/>
      <c r="DZ189" s="2" t="s">
        <v>3</v>
      </c>
      <c r="EA189" s="2" t="s">
        <v>3</v>
      </c>
      <c r="EB189" s="2" t="s">
        <v>3</v>
      </c>
      <c r="EC189" s="2" t="s">
        <v>3</v>
      </c>
      <c r="ED189" s="2"/>
      <c r="EE189" s="2">
        <v>85133422</v>
      </c>
      <c r="EF189" s="2">
        <v>40</v>
      </c>
      <c r="EG189" s="2" t="s">
        <v>27</v>
      </c>
      <c r="EH189" s="2">
        <v>0</v>
      </c>
      <c r="EI189" s="2" t="s">
        <v>3</v>
      </c>
      <c r="EJ189" s="2">
        <v>2</v>
      </c>
      <c r="EK189" s="2">
        <v>73</v>
      </c>
      <c r="EL189" s="2" t="s">
        <v>62</v>
      </c>
      <c r="EM189" s="2" t="s">
        <v>63</v>
      </c>
      <c r="EN189" s="2"/>
      <c r="EO189" s="2" t="s">
        <v>37</v>
      </c>
      <c r="EP189" s="2"/>
      <c r="EQ189" s="2">
        <v>0</v>
      </c>
      <c r="ER189" s="2">
        <v>4555.82</v>
      </c>
      <c r="ES189" s="2">
        <v>3462.2</v>
      </c>
      <c r="ET189" s="2">
        <v>336.42</v>
      </c>
      <c r="EU189" s="2">
        <v>0.13</v>
      </c>
      <c r="EV189" s="2">
        <v>757.2</v>
      </c>
      <c r="EW189" s="2">
        <v>60</v>
      </c>
      <c r="EX189" s="2">
        <v>0</v>
      </c>
      <c r="EY189" s="2">
        <v>0</v>
      </c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>
        <v>0</v>
      </c>
      <c r="FR189" s="2">
        <v>0</v>
      </c>
      <c r="FS189" s="2">
        <v>2</v>
      </c>
      <c r="FT189" s="2"/>
      <c r="FU189" s="2"/>
      <c r="FV189" s="2"/>
      <c r="FW189" s="2"/>
      <c r="FX189" s="2">
        <v>90</v>
      </c>
      <c r="FY189" s="2">
        <v>46</v>
      </c>
      <c r="FZ189" s="2"/>
      <c r="GA189" s="2" t="s">
        <v>3</v>
      </c>
      <c r="GB189" s="2"/>
      <c r="GC189" s="2"/>
      <c r="GD189" s="2">
        <v>1</v>
      </c>
      <c r="GE189" s="2"/>
      <c r="GF189" s="2">
        <v>2142141271</v>
      </c>
      <c r="GG189" s="2">
        <v>2</v>
      </c>
      <c r="GH189" s="2">
        <v>1</v>
      </c>
      <c r="GI189" s="2">
        <v>2</v>
      </c>
      <c r="GJ189" s="2">
        <v>0</v>
      </c>
      <c r="GK189" s="2">
        <v>0</v>
      </c>
      <c r="GL189" s="2">
        <f t="shared" si="201"/>
        <v>0</v>
      </c>
      <c r="GM189" s="2">
        <f t="shared" si="202"/>
        <v>753.38</v>
      </c>
      <c r="GN189" s="2">
        <f t="shared" si="203"/>
        <v>0</v>
      </c>
      <c r="GO189" s="2">
        <f t="shared" si="204"/>
        <v>753.38</v>
      </c>
      <c r="GP189" s="2">
        <f t="shared" si="205"/>
        <v>0</v>
      </c>
      <c r="GQ189" s="2"/>
      <c r="GR189" s="2">
        <v>0</v>
      </c>
      <c r="GS189" s="2">
        <v>3</v>
      </c>
      <c r="GT189" s="2">
        <v>0</v>
      </c>
      <c r="GU189" s="2" t="s">
        <v>3</v>
      </c>
      <c r="GV189" s="2">
        <f t="shared" si="206"/>
        <v>0</v>
      </c>
      <c r="GW189" s="2">
        <v>1</v>
      </c>
      <c r="GX189" s="2">
        <f t="shared" si="207"/>
        <v>0</v>
      </c>
      <c r="GY189" s="2"/>
      <c r="GZ189" s="2"/>
      <c r="HA189" s="2">
        <v>0</v>
      </c>
      <c r="HB189" s="2">
        <v>0</v>
      </c>
      <c r="HC189" s="2">
        <f t="shared" si="208"/>
        <v>0</v>
      </c>
      <c r="HD189" s="2"/>
      <c r="HE189" s="2" t="s">
        <v>3</v>
      </c>
      <c r="HF189" s="2" t="s">
        <v>3</v>
      </c>
      <c r="HG189" s="2"/>
      <c r="HH189" s="2"/>
      <c r="HI189" s="2"/>
      <c r="HJ189" s="2"/>
      <c r="HK189" s="2"/>
      <c r="HL189" s="2"/>
      <c r="HM189" s="2" t="s">
        <v>3</v>
      </c>
      <c r="HN189" s="2" t="s">
        <v>3</v>
      </c>
      <c r="HO189" s="2" t="s">
        <v>3</v>
      </c>
      <c r="HP189" s="2" t="s">
        <v>3</v>
      </c>
      <c r="HQ189" s="2" t="s">
        <v>3</v>
      </c>
      <c r="HR189" s="2"/>
      <c r="HS189" s="2">
        <v>0</v>
      </c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>
        <v>0</v>
      </c>
      <c r="IL189" s="2"/>
      <c r="IM189" s="2"/>
      <c r="IN189" s="2"/>
      <c r="IO189" s="2"/>
      <c r="IP189" s="2"/>
      <c r="IQ189" s="2"/>
      <c r="IR189" s="2"/>
      <c r="IS189" s="2"/>
      <c r="IT189" s="2"/>
      <c r="IU189" s="2"/>
    </row>
    <row r="190" spans="1:255" x14ac:dyDescent="0.2">
      <c r="A190" s="3">
        <v>17</v>
      </c>
      <c r="B190" s="3">
        <v>1</v>
      </c>
      <c r="C190" s="3">
        <f>ROW(SmtRes!A434)</f>
        <v>434</v>
      </c>
      <c r="D190" s="3">
        <f>ROW(EtalonRes!A448)</f>
        <v>448</v>
      </c>
      <c r="E190" s="3" t="s">
        <v>368</v>
      </c>
      <c r="F190" s="3" t="s">
        <v>369</v>
      </c>
      <c r="G190" s="3" t="s">
        <v>370</v>
      </c>
      <c r="H190" s="3" t="s">
        <v>240</v>
      </c>
      <c r="I190" s="3">
        <f>ROUND((12)/100,9)</f>
        <v>0.12</v>
      </c>
      <c r="J190" s="3">
        <v>0</v>
      </c>
      <c r="K190" s="3">
        <f>ROUND((12)/100,9)</f>
        <v>0.12</v>
      </c>
      <c r="O190" s="3">
        <f t="shared" si="184"/>
        <v>10886.64</v>
      </c>
      <c r="P190" s="3">
        <f t="shared" si="185"/>
        <v>3634.62</v>
      </c>
      <c r="Q190" s="3">
        <f>(ROUND((ROUND((((ET190*1.2))*AV190*I190),2)*BB190),2)+ROUND((ROUND(((AE190-((EU190*1.2)))*AV190*I190),2)*BS190),2))</f>
        <v>696.26</v>
      </c>
      <c r="R190" s="3">
        <f>(ROUND((ROUND((((EU190*1.2))*AV190*I190),2)*BS190),2)+ROUND((ROUND(((AE190-((EU190*1.2)))*AV190*I190),2)*BS190),2))</f>
        <v>1.1299999999999999</v>
      </c>
      <c r="S190" s="3">
        <f t="shared" si="186"/>
        <v>6555.76</v>
      </c>
      <c r="T190" s="3">
        <f t="shared" si="187"/>
        <v>0</v>
      </c>
      <c r="U190" s="3">
        <f t="shared" si="188"/>
        <v>9.2188799999999986</v>
      </c>
      <c r="V190" s="3">
        <f t="shared" si="189"/>
        <v>0</v>
      </c>
      <c r="W190" s="3">
        <f t="shared" si="190"/>
        <v>0</v>
      </c>
      <c r="X190" s="3">
        <f>(ROUND((((S190+ROUND((ROUND((((EU190*1.2))*AV190*I190),2)*BS190),2))*AT190)/100),2)+ROUND(((ROUND((ROUND(((AE190-((EU190*1.2)))*AV190*I190),2)*BS190),2)*AT190)/100),2))</f>
        <v>5901.2</v>
      </c>
      <c r="Y190" s="3">
        <f>(ROUND((((S190+ROUND((ROUND((((EU190*1.2))*AV190*I190),2)*BS190),2))*AU190)/100),2)+ROUND(((ROUND((ROUND(((AE190-((EU190*1.2)))*AV190*I190),2)*BS190),2)*AU190)/100),2))</f>
        <v>3016.17</v>
      </c>
      <c r="AA190" s="3">
        <v>85739207</v>
      </c>
      <c r="AB190" s="3">
        <f t="shared" si="191"/>
        <v>4774.5439999999999</v>
      </c>
      <c r="AC190" s="3">
        <f>ROUND(((ES190*1)),6)</f>
        <v>3462.2</v>
      </c>
      <c r="AD190" s="3">
        <f>ROUND(((((ET190*1.2))-((EU190*1.2)))+AE190),6)</f>
        <v>403.70400000000001</v>
      </c>
      <c r="AE190" s="3">
        <f>ROUND(((EU190*1.2)),6)</f>
        <v>0.156</v>
      </c>
      <c r="AF190" s="3">
        <f>ROUND(((EV190*1.2)),6)</f>
        <v>908.64</v>
      </c>
      <c r="AG190" s="3">
        <f t="shared" si="192"/>
        <v>0</v>
      </c>
      <c r="AH190" s="3">
        <f>((EW190*1.2))</f>
        <v>72</v>
      </c>
      <c r="AI190" s="3">
        <f>((EX190*1.2))</f>
        <v>0</v>
      </c>
      <c r="AJ190" s="3">
        <f t="shared" si="193"/>
        <v>0</v>
      </c>
      <c r="AK190" s="3">
        <v>4555.82</v>
      </c>
      <c r="AL190" s="3">
        <v>3462.2</v>
      </c>
      <c r="AM190" s="3">
        <v>336.42</v>
      </c>
      <c r="AN190" s="3">
        <v>0.13</v>
      </c>
      <c r="AO190" s="3">
        <v>757.2</v>
      </c>
      <c r="AP190" s="3">
        <v>0</v>
      </c>
      <c r="AQ190" s="3">
        <v>60</v>
      </c>
      <c r="AR190" s="3">
        <v>0</v>
      </c>
      <c r="AS190" s="3">
        <v>0</v>
      </c>
      <c r="AT190" s="3">
        <v>90</v>
      </c>
      <c r="AU190" s="3">
        <v>46</v>
      </c>
      <c r="AV190" s="3">
        <v>1.0669999999999999</v>
      </c>
      <c r="AW190" s="3">
        <v>1.028</v>
      </c>
      <c r="AZ190" s="3">
        <v>1</v>
      </c>
      <c r="BA190" s="3">
        <v>56.35</v>
      </c>
      <c r="BB190" s="3">
        <v>13.47</v>
      </c>
      <c r="BC190" s="3">
        <v>8.51</v>
      </c>
      <c r="BD190" s="3" t="s">
        <v>3</v>
      </c>
      <c r="BE190" s="3" t="s">
        <v>3</v>
      </c>
      <c r="BF190" s="3" t="s">
        <v>3</v>
      </c>
      <c r="BG190" s="3" t="s">
        <v>3</v>
      </c>
      <c r="BH190" s="3">
        <v>0</v>
      </c>
      <c r="BI190" s="3">
        <v>2</v>
      </c>
      <c r="BJ190" s="3" t="s">
        <v>371</v>
      </c>
      <c r="BM190" s="3">
        <v>73</v>
      </c>
      <c r="BN190" s="3">
        <v>0</v>
      </c>
      <c r="BO190" s="3" t="s">
        <v>369</v>
      </c>
      <c r="BP190" s="3">
        <v>1</v>
      </c>
      <c r="BQ190" s="3">
        <v>40</v>
      </c>
      <c r="BR190" s="3">
        <v>0</v>
      </c>
      <c r="BS190" s="3">
        <v>56.35</v>
      </c>
      <c r="BT190" s="3">
        <v>1</v>
      </c>
      <c r="BU190" s="3">
        <v>1</v>
      </c>
      <c r="BV190" s="3">
        <v>1</v>
      </c>
      <c r="BW190" s="3">
        <v>1</v>
      </c>
      <c r="BX190" s="3">
        <v>1</v>
      </c>
      <c r="BY190" s="3" t="s">
        <v>3</v>
      </c>
      <c r="BZ190" s="3">
        <v>90</v>
      </c>
      <c r="CA190" s="3">
        <v>46</v>
      </c>
      <c r="CB190" s="3" t="s">
        <v>3</v>
      </c>
      <c r="CE190" s="3">
        <v>1566</v>
      </c>
      <c r="CF190" s="3">
        <v>0</v>
      </c>
      <c r="CG190" s="3">
        <v>0</v>
      </c>
      <c r="CM190" s="3">
        <v>0</v>
      </c>
      <c r="CN190" s="3" t="s">
        <v>677</v>
      </c>
      <c r="CO190" s="3">
        <v>0</v>
      </c>
      <c r="CP190" s="3">
        <f t="shared" si="194"/>
        <v>10886.64</v>
      </c>
      <c r="CQ190" s="3">
        <f t="shared" si="195"/>
        <v>30288.28</v>
      </c>
      <c r="CR190" s="3">
        <f>(ROUND((ROUND((((ET190*1.2))*AV190*1),2)*BB190),2)+ROUND((ROUND(((AE190-((EU190*1.2)))*AV190*1),2)*BS190),2))</f>
        <v>5802.2</v>
      </c>
      <c r="CS190" s="3">
        <f>(ROUND((ROUND((((EU190*1.2))*AV190*1),2)*BS190),2)+ROUND((ROUND(((AE190-((EU190*1.2)))*AV190*1),2)*BS190),2))</f>
        <v>9.58</v>
      </c>
      <c r="CT190" s="3">
        <f t="shared" si="196"/>
        <v>54632.45</v>
      </c>
      <c r="CU190" s="3">
        <f t="shared" si="197"/>
        <v>0</v>
      </c>
      <c r="CV190" s="3">
        <f t="shared" si="198"/>
        <v>76.823999999999998</v>
      </c>
      <c r="CW190" s="3">
        <f t="shared" si="199"/>
        <v>0</v>
      </c>
      <c r="CX190" s="3">
        <f t="shared" si="200"/>
        <v>0</v>
      </c>
      <c r="CY190" s="3">
        <f>(ROUND((((S190+ROUND((ROUND((((EU190*1.2))*AV190*1),2)*BS190),2))*AT190)/100),2)+ROUND(((ROUND((ROUND(((AE190-((EU190*1.2)))*AV190*1),2)*BS190),2)*AT190)/100),2))</f>
        <v>5908.81</v>
      </c>
      <c r="CZ190" s="3">
        <f>(ROUND((((S190+ROUND((ROUND((((EU190*1.2))*AV190*1),2)*BS190),2))*AU190)/100),2)+ROUND(((ROUND((ROUND(((AE190-((EU190*1.2)))*AV190*1),2)*BS190),2)*AU190)/100),2))</f>
        <v>3020.06</v>
      </c>
      <c r="DB190" s="3">
        <v>66</v>
      </c>
      <c r="DC190" s="3" t="s">
        <v>3</v>
      </c>
      <c r="DD190" s="3" t="s">
        <v>35</v>
      </c>
      <c r="DE190" s="3" t="s">
        <v>36</v>
      </c>
      <c r="DF190" s="3" t="s">
        <v>36</v>
      </c>
      <c r="DG190" s="3" t="s">
        <v>36</v>
      </c>
      <c r="DH190" s="3" t="s">
        <v>3</v>
      </c>
      <c r="DI190" s="3" t="s">
        <v>36</v>
      </c>
      <c r="DJ190" s="3" t="s">
        <v>36</v>
      </c>
      <c r="DK190" s="3" t="s">
        <v>3</v>
      </c>
      <c r="DL190" s="3" t="s">
        <v>3</v>
      </c>
      <c r="DM190" s="3" t="s">
        <v>3</v>
      </c>
      <c r="DN190" s="3">
        <v>0</v>
      </c>
      <c r="DO190" s="3">
        <v>0</v>
      </c>
      <c r="DP190" s="3">
        <v>1</v>
      </c>
      <c r="DQ190" s="3">
        <v>1</v>
      </c>
      <c r="DU190" s="3">
        <v>1010</v>
      </c>
      <c r="DV190" s="3" t="s">
        <v>240</v>
      </c>
      <c r="DW190" s="3" t="s">
        <v>240</v>
      </c>
      <c r="DX190" s="3">
        <v>100</v>
      </c>
      <c r="DZ190" s="3" t="s">
        <v>3</v>
      </c>
      <c r="EA190" s="3" t="s">
        <v>3</v>
      </c>
      <c r="EB190" s="3" t="s">
        <v>3</v>
      </c>
      <c r="EC190" s="3" t="s">
        <v>3</v>
      </c>
      <c r="EE190" s="3">
        <v>85133422</v>
      </c>
      <c r="EF190" s="3">
        <v>40</v>
      </c>
      <c r="EG190" s="3" t="s">
        <v>27</v>
      </c>
      <c r="EH190" s="3">
        <v>0</v>
      </c>
      <c r="EI190" s="3" t="s">
        <v>3</v>
      </c>
      <c r="EJ190" s="3">
        <v>2</v>
      </c>
      <c r="EK190" s="3">
        <v>73</v>
      </c>
      <c r="EL190" s="3" t="s">
        <v>62</v>
      </c>
      <c r="EM190" s="3" t="s">
        <v>63</v>
      </c>
      <c r="EO190" s="3" t="s">
        <v>37</v>
      </c>
      <c r="EQ190" s="3">
        <v>0</v>
      </c>
      <c r="ER190" s="3">
        <v>4555.82</v>
      </c>
      <c r="ES190" s="3">
        <v>3462.2</v>
      </c>
      <c r="ET190" s="3">
        <v>336.42</v>
      </c>
      <c r="EU190" s="3">
        <v>0.13</v>
      </c>
      <c r="EV190" s="3">
        <v>757.2</v>
      </c>
      <c r="EW190" s="3">
        <v>60</v>
      </c>
      <c r="EX190" s="3">
        <v>0</v>
      </c>
      <c r="EY190" s="3">
        <v>0</v>
      </c>
      <c r="FQ190" s="3">
        <v>0</v>
      </c>
      <c r="FR190" s="3">
        <v>0</v>
      </c>
      <c r="FS190" s="3">
        <v>2</v>
      </c>
      <c r="FX190" s="3">
        <v>90</v>
      </c>
      <c r="FY190" s="3">
        <v>46</v>
      </c>
      <c r="GA190" s="3" t="s">
        <v>3</v>
      </c>
      <c r="GD190" s="3">
        <v>1</v>
      </c>
      <c r="GF190" s="3">
        <v>2142141271</v>
      </c>
      <c r="GG190" s="3">
        <v>2</v>
      </c>
      <c r="GH190" s="3">
        <v>1</v>
      </c>
      <c r="GI190" s="3">
        <v>2</v>
      </c>
      <c r="GJ190" s="3">
        <v>0</v>
      </c>
      <c r="GK190" s="3">
        <v>0</v>
      </c>
      <c r="GL190" s="3">
        <f t="shared" si="201"/>
        <v>0</v>
      </c>
      <c r="GM190" s="3">
        <f t="shared" si="202"/>
        <v>19804.009999999998</v>
      </c>
      <c r="GN190" s="3">
        <f t="shared" si="203"/>
        <v>0</v>
      </c>
      <c r="GO190" s="3">
        <f t="shared" si="204"/>
        <v>19804.009999999998</v>
      </c>
      <c r="GP190" s="3">
        <f t="shared" si="205"/>
        <v>0</v>
      </c>
      <c r="GR190" s="3">
        <v>0</v>
      </c>
      <c r="GS190" s="3">
        <v>3</v>
      </c>
      <c r="GT190" s="3">
        <v>0</v>
      </c>
      <c r="GU190" s="3" t="s">
        <v>3</v>
      </c>
      <c r="GV190" s="3">
        <f t="shared" si="206"/>
        <v>0</v>
      </c>
      <c r="GW190" s="3">
        <v>1</v>
      </c>
      <c r="GX190" s="3">
        <f t="shared" si="207"/>
        <v>0</v>
      </c>
      <c r="HA190" s="3">
        <v>0</v>
      </c>
      <c r="HB190" s="3">
        <v>0</v>
      </c>
      <c r="HC190" s="3">
        <f t="shared" si="208"/>
        <v>0</v>
      </c>
      <c r="HE190" s="3" t="s">
        <v>3</v>
      </c>
      <c r="HF190" s="3" t="s">
        <v>3</v>
      </c>
      <c r="HM190" s="3" t="s">
        <v>3</v>
      </c>
      <c r="HN190" s="3" t="s">
        <v>3</v>
      </c>
      <c r="HO190" s="3" t="s">
        <v>3</v>
      </c>
      <c r="HP190" s="3" t="s">
        <v>3</v>
      </c>
      <c r="HQ190" s="3" t="s">
        <v>3</v>
      </c>
      <c r="HS190" s="3">
        <v>0</v>
      </c>
      <c r="IK190" s="3">
        <v>0</v>
      </c>
    </row>
    <row r="191" spans="1:255" x14ac:dyDescent="0.2">
      <c r="A191" s="2">
        <v>18</v>
      </c>
      <c r="B191" s="2">
        <v>1</v>
      </c>
      <c r="C191" s="2">
        <v>425</v>
      </c>
      <c r="D191" s="2"/>
      <c r="E191" s="2" t="s">
        <v>372</v>
      </c>
      <c r="F191" s="2" t="s">
        <v>373</v>
      </c>
      <c r="G191" s="2" t="s">
        <v>374</v>
      </c>
      <c r="H191" s="2" t="s">
        <v>375</v>
      </c>
      <c r="I191" s="2">
        <f>I189*J191</f>
        <v>6</v>
      </c>
      <c r="J191" s="2">
        <v>50</v>
      </c>
      <c r="K191" s="2">
        <v>50</v>
      </c>
      <c r="L191" s="2"/>
      <c r="M191" s="2"/>
      <c r="N191" s="2"/>
      <c r="O191" s="2">
        <f t="shared" si="184"/>
        <v>128.46</v>
      </c>
      <c r="P191" s="2">
        <f t="shared" si="185"/>
        <v>128.46</v>
      </c>
      <c r="Q191" s="2">
        <f>(ROUND((ROUND(((ET191)*AV191*I191),2)*BB191),2)+ROUND((ROUND(((AE191-(EU191))*AV191*I191),2)*BS191),2))</f>
        <v>0</v>
      </c>
      <c r="R191" s="2">
        <f>(ROUND((ROUND(((EU191)*AV191*I191),2)*BS191),2)+ROUND((ROUND(((AE191-(EU191))*AV191*I191),2)*BS191),2))</f>
        <v>0</v>
      </c>
      <c r="S191" s="2">
        <f t="shared" si="186"/>
        <v>0</v>
      </c>
      <c r="T191" s="2">
        <f t="shared" si="187"/>
        <v>0</v>
      </c>
      <c r="U191" s="2">
        <f t="shared" si="188"/>
        <v>0</v>
      </c>
      <c r="V191" s="2">
        <f t="shared" si="189"/>
        <v>0</v>
      </c>
      <c r="W191" s="2">
        <f t="shared" si="190"/>
        <v>0</v>
      </c>
      <c r="X191" s="2">
        <f>(ROUND((((S191+ROUND((ROUND(((EU191)*AV191*I191),2)*BS191),2))*AT191)/100),2)+ROUND(((ROUND((ROUND(((AE191-(EU191))*AV191*I191),2)*BS191),2)*AT191)/100),2))</f>
        <v>0</v>
      </c>
      <c r="Y191" s="2">
        <f>(ROUND((((S191+ROUND((ROUND(((EU191)*AV191*I191),2)*BS191),2))*AU191)/100),2)+ROUND(((ROUND((ROUND(((AE191-(EU191))*AV191*I191),2)*BS191),2)*AU191)/100),2))</f>
        <v>0</v>
      </c>
      <c r="Z191" s="2"/>
      <c r="AA191" s="2">
        <v>85739205</v>
      </c>
      <c r="AB191" s="2">
        <f t="shared" si="191"/>
        <v>21.41</v>
      </c>
      <c r="AC191" s="2">
        <f>ROUND((ES191),6)</f>
        <v>21.41</v>
      </c>
      <c r="AD191" s="2">
        <f>ROUND((((ET191)-(EU191))+AE191),6)</f>
        <v>0</v>
      </c>
      <c r="AE191" s="2">
        <f>ROUND((EU191),6)</f>
        <v>0</v>
      </c>
      <c r="AF191" s="2">
        <f>ROUND((EV191),6)</f>
        <v>0</v>
      </c>
      <c r="AG191" s="2">
        <f t="shared" si="192"/>
        <v>0</v>
      </c>
      <c r="AH191" s="2">
        <f>(EW191)</f>
        <v>0</v>
      </c>
      <c r="AI191" s="2">
        <f>(EX191)</f>
        <v>0</v>
      </c>
      <c r="AJ191" s="2">
        <f t="shared" si="193"/>
        <v>0</v>
      </c>
      <c r="AK191" s="2">
        <v>21.41</v>
      </c>
      <c r="AL191" s="2">
        <v>21.41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90</v>
      </c>
      <c r="AU191" s="2">
        <v>46</v>
      </c>
      <c r="AV191" s="2">
        <v>1</v>
      </c>
      <c r="AW191" s="2">
        <v>1</v>
      </c>
      <c r="AX191" s="2"/>
      <c r="AY191" s="2"/>
      <c r="AZ191" s="2">
        <v>1</v>
      </c>
      <c r="BA191" s="2">
        <v>1</v>
      </c>
      <c r="BB191" s="2">
        <v>1</v>
      </c>
      <c r="BC191" s="2">
        <v>1</v>
      </c>
      <c r="BD191" s="2" t="s">
        <v>3</v>
      </c>
      <c r="BE191" s="2" t="s">
        <v>3</v>
      </c>
      <c r="BF191" s="2" t="s">
        <v>3</v>
      </c>
      <c r="BG191" s="2" t="s">
        <v>3</v>
      </c>
      <c r="BH191" s="2">
        <v>3</v>
      </c>
      <c r="BI191" s="2">
        <v>2</v>
      </c>
      <c r="BJ191" s="2" t="s">
        <v>376</v>
      </c>
      <c r="BK191" s="2"/>
      <c r="BL191" s="2"/>
      <c r="BM191" s="2">
        <v>73</v>
      </c>
      <c r="BN191" s="2">
        <v>0</v>
      </c>
      <c r="BO191" s="2" t="s">
        <v>3</v>
      </c>
      <c r="BP191" s="2">
        <v>0</v>
      </c>
      <c r="BQ191" s="2">
        <v>40</v>
      </c>
      <c r="BR191" s="2">
        <v>0</v>
      </c>
      <c r="BS191" s="2">
        <v>1</v>
      </c>
      <c r="BT191" s="2">
        <v>1</v>
      </c>
      <c r="BU191" s="2">
        <v>1</v>
      </c>
      <c r="BV191" s="2">
        <v>1</v>
      </c>
      <c r="BW191" s="2">
        <v>1</v>
      </c>
      <c r="BX191" s="2">
        <v>1</v>
      </c>
      <c r="BY191" s="2" t="s">
        <v>3</v>
      </c>
      <c r="BZ191" s="2">
        <v>90</v>
      </c>
      <c r="CA191" s="2">
        <v>46</v>
      </c>
      <c r="CB191" s="2" t="s">
        <v>3</v>
      </c>
      <c r="CC191" s="2"/>
      <c r="CD191" s="2"/>
      <c r="CE191" s="2">
        <v>1566</v>
      </c>
      <c r="CF191" s="2">
        <v>0</v>
      </c>
      <c r="CG191" s="2">
        <v>0</v>
      </c>
      <c r="CH191" s="2"/>
      <c r="CI191" s="2"/>
      <c r="CJ191" s="2"/>
      <c r="CK191" s="2"/>
      <c r="CL191" s="2"/>
      <c r="CM191" s="2">
        <v>0</v>
      </c>
      <c r="CN191" s="2" t="s">
        <v>679</v>
      </c>
      <c r="CO191" s="2">
        <v>0</v>
      </c>
      <c r="CP191" s="2">
        <f t="shared" si="194"/>
        <v>128.46</v>
      </c>
      <c r="CQ191" s="2">
        <f t="shared" si="195"/>
        <v>21.41</v>
      </c>
      <c r="CR191" s="2">
        <f>(ROUND((ROUND(((ET191)*AV191*1),2)*BB191),2)+ROUND((ROUND(((AE191-(EU191))*AV191*1),2)*BS191),2))</f>
        <v>0</v>
      </c>
      <c r="CS191" s="2">
        <f>(ROUND((ROUND(((EU191)*AV191*1),2)*BS191),2)+ROUND((ROUND(((AE191-(EU191))*AV191*1),2)*BS191),2))</f>
        <v>0</v>
      </c>
      <c r="CT191" s="2">
        <f t="shared" si="196"/>
        <v>0</v>
      </c>
      <c r="CU191" s="2">
        <f t="shared" si="197"/>
        <v>0</v>
      </c>
      <c r="CV191" s="2">
        <f t="shared" si="198"/>
        <v>0</v>
      </c>
      <c r="CW191" s="2">
        <f t="shared" si="199"/>
        <v>0</v>
      </c>
      <c r="CX191" s="2">
        <f t="shared" si="200"/>
        <v>0</v>
      </c>
      <c r="CY191" s="2">
        <f>(ROUND((((S191+ROUND((ROUND(((EU191)*AV191*1),2)*BS191),2))*AT191)/100),2)+ROUND(((ROUND((ROUND(((AE191-(EU191))*AV191*1),2)*BS191),2)*AT191)/100),2))</f>
        <v>0</v>
      </c>
      <c r="CZ191" s="2">
        <f>(ROUND((((S191+ROUND((ROUND(((EU191)*AV191*1),2)*BS191),2))*AU191)/100),2)+ROUND(((ROUND((ROUND(((AE191-(EU191))*AV191*1),2)*BS191),2)*AU191)/100),2))</f>
        <v>0</v>
      </c>
      <c r="DA191" s="2"/>
      <c r="DB191" s="2"/>
      <c r="DC191" s="2" t="s">
        <v>3</v>
      </c>
      <c r="DD191" s="2" t="s">
        <v>3</v>
      </c>
      <c r="DE191" s="2" t="s">
        <v>3</v>
      </c>
      <c r="DF191" s="2" t="s">
        <v>3</v>
      </c>
      <c r="DG191" s="2" t="s">
        <v>3</v>
      </c>
      <c r="DH191" s="2" t="s">
        <v>3</v>
      </c>
      <c r="DI191" s="2" t="s">
        <v>3</v>
      </c>
      <c r="DJ191" s="2" t="s">
        <v>3</v>
      </c>
      <c r="DK191" s="2" t="s">
        <v>3</v>
      </c>
      <c r="DL191" s="2" t="s">
        <v>3</v>
      </c>
      <c r="DM191" s="2" t="s">
        <v>3</v>
      </c>
      <c r="DN191" s="2">
        <v>0</v>
      </c>
      <c r="DO191" s="2">
        <v>0</v>
      </c>
      <c r="DP191" s="2">
        <v>1</v>
      </c>
      <c r="DQ191" s="2">
        <v>1</v>
      </c>
      <c r="DR191" s="2"/>
      <c r="DS191" s="2"/>
      <c r="DT191" s="2"/>
      <c r="DU191" s="2">
        <v>1013</v>
      </c>
      <c r="DV191" s="2" t="s">
        <v>375</v>
      </c>
      <c r="DW191" s="2" t="s">
        <v>375</v>
      </c>
      <c r="DX191" s="2">
        <v>1</v>
      </c>
      <c r="DY191" s="2"/>
      <c r="DZ191" s="2" t="s">
        <v>3</v>
      </c>
      <c r="EA191" s="2" t="s">
        <v>3</v>
      </c>
      <c r="EB191" s="2" t="s">
        <v>3</v>
      </c>
      <c r="EC191" s="2" t="s">
        <v>3</v>
      </c>
      <c r="ED191" s="2"/>
      <c r="EE191" s="2">
        <v>85133422</v>
      </c>
      <c r="EF191" s="2">
        <v>40</v>
      </c>
      <c r="EG191" s="2" t="s">
        <v>27</v>
      </c>
      <c r="EH191" s="2">
        <v>0</v>
      </c>
      <c r="EI191" s="2" t="s">
        <v>3</v>
      </c>
      <c r="EJ191" s="2">
        <v>2</v>
      </c>
      <c r="EK191" s="2">
        <v>73</v>
      </c>
      <c r="EL191" s="2" t="s">
        <v>62</v>
      </c>
      <c r="EM191" s="2" t="s">
        <v>63</v>
      </c>
      <c r="EN191" s="2"/>
      <c r="EO191" s="2" t="s">
        <v>37</v>
      </c>
      <c r="EP191" s="2"/>
      <c r="EQ191" s="2">
        <v>0</v>
      </c>
      <c r="ER191" s="2">
        <v>21.41</v>
      </c>
      <c r="ES191" s="2">
        <v>21.41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>
        <v>0</v>
      </c>
      <c r="FR191" s="2">
        <v>0</v>
      </c>
      <c r="FS191" s="2">
        <v>0</v>
      </c>
      <c r="FT191" s="2"/>
      <c r="FU191" s="2"/>
      <c r="FV191" s="2"/>
      <c r="FW191" s="2"/>
      <c r="FX191" s="2">
        <v>90</v>
      </c>
      <c r="FY191" s="2">
        <v>46</v>
      </c>
      <c r="FZ191" s="2"/>
      <c r="GA191" s="2" t="s">
        <v>3</v>
      </c>
      <c r="GB191" s="2"/>
      <c r="GC191" s="2"/>
      <c r="GD191" s="2">
        <v>1</v>
      </c>
      <c r="GE191" s="2"/>
      <c r="GF191" s="2">
        <v>673296093</v>
      </c>
      <c r="GG191" s="2">
        <v>2</v>
      </c>
      <c r="GH191" s="2">
        <v>1</v>
      </c>
      <c r="GI191" s="2">
        <v>-2</v>
      </c>
      <c r="GJ191" s="2">
        <v>0</v>
      </c>
      <c r="GK191" s="2">
        <v>0</v>
      </c>
      <c r="GL191" s="2">
        <f t="shared" si="201"/>
        <v>0</v>
      </c>
      <c r="GM191" s="2">
        <f t="shared" si="202"/>
        <v>128.46</v>
      </c>
      <c r="GN191" s="2">
        <f t="shared" si="203"/>
        <v>0</v>
      </c>
      <c r="GO191" s="2">
        <f t="shared" si="204"/>
        <v>128.46</v>
      </c>
      <c r="GP191" s="2">
        <f t="shared" si="205"/>
        <v>0</v>
      </c>
      <c r="GQ191" s="2"/>
      <c r="GR191" s="2">
        <v>0</v>
      </c>
      <c r="GS191" s="2">
        <v>3</v>
      </c>
      <c r="GT191" s="2">
        <v>0</v>
      </c>
      <c r="GU191" s="2" t="s">
        <v>3</v>
      </c>
      <c r="GV191" s="2">
        <f t="shared" si="206"/>
        <v>0</v>
      </c>
      <c r="GW191" s="2">
        <v>1</v>
      </c>
      <c r="GX191" s="2">
        <f t="shared" si="207"/>
        <v>0</v>
      </c>
      <c r="GY191" s="2"/>
      <c r="GZ191" s="2"/>
      <c r="HA191" s="2">
        <v>0</v>
      </c>
      <c r="HB191" s="2">
        <v>0</v>
      </c>
      <c r="HC191" s="2">
        <f t="shared" si="208"/>
        <v>0</v>
      </c>
      <c r="HD191" s="2"/>
      <c r="HE191" s="2" t="s">
        <v>3</v>
      </c>
      <c r="HF191" s="2" t="s">
        <v>3</v>
      </c>
      <c r="HG191" s="2"/>
      <c r="HH191" s="2"/>
      <c r="HI191" s="2"/>
      <c r="HJ191" s="2"/>
      <c r="HK191" s="2"/>
      <c r="HL191" s="2"/>
      <c r="HM191" s="2" t="s">
        <v>35</v>
      </c>
      <c r="HN191" s="2" t="s">
        <v>3</v>
      </c>
      <c r="HO191" s="2" t="s">
        <v>3</v>
      </c>
      <c r="HP191" s="2" t="s">
        <v>3</v>
      </c>
      <c r="HQ191" s="2" t="s">
        <v>3</v>
      </c>
      <c r="HR191" s="2"/>
      <c r="HS191" s="2">
        <v>0</v>
      </c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>
        <v>0</v>
      </c>
      <c r="IL191" s="2"/>
      <c r="IM191" s="2"/>
      <c r="IN191" s="2"/>
      <c r="IO191" s="2"/>
      <c r="IP191" s="2"/>
      <c r="IQ191" s="2"/>
      <c r="IR191" s="2"/>
      <c r="IS191" s="2"/>
      <c r="IT191" s="2"/>
      <c r="IU191" s="2"/>
    </row>
    <row r="192" spans="1:255" x14ac:dyDescent="0.2">
      <c r="A192" s="3">
        <v>18</v>
      </c>
      <c r="B192" s="3">
        <v>1</v>
      </c>
      <c r="C192" s="3">
        <v>433</v>
      </c>
      <c r="E192" s="3" t="s">
        <v>372</v>
      </c>
      <c r="F192" s="3" t="s">
        <v>373</v>
      </c>
      <c r="G192" s="3" t="s">
        <v>374</v>
      </c>
      <c r="H192" s="3" t="s">
        <v>375</v>
      </c>
      <c r="I192" s="3">
        <f>I190*J192</f>
        <v>6</v>
      </c>
      <c r="J192" s="3">
        <v>50</v>
      </c>
      <c r="K192" s="3">
        <v>50</v>
      </c>
      <c r="O192" s="3">
        <f t="shared" si="184"/>
        <v>2693.81</v>
      </c>
      <c r="P192" s="3">
        <f t="shared" si="185"/>
        <v>2693.81</v>
      </c>
      <c r="Q192" s="3">
        <f>(ROUND((ROUND(((ET192)*AV192*I192),2)*BB192),2)+ROUND((ROUND(((AE192-(EU192))*AV192*I192),2)*BS192),2))</f>
        <v>0</v>
      </c>
      <c r="R192" s="3">
        <f>(ROUND((ROUND(((EU192)*AV192*I192),2)*BS192),2)+ROUND((ROUND(((AE192-(EU192))*AV192*I192),2)*BS192),2))</f>
        <v>0</v>
      </c>
      <c r="S192" s="3">
        <f t="shared" si="186"/>
        <v>0</v>
      </c>
      <c r="T192" s="3">
        <f t="shared" si="187"/>
        <v>0</v>
      </c>
      <c r="U192" s="3">
        <f t="shared" si="188"/>
        <v>0</v>
      </c>
      <c r="V192" s="3">
        <f t="shared" si="189"/>
        <v>0</v>
      </c>
      <c r="W192" s="3">
        <f t="shared" si="190"/>
        <v>0</v>
      </c>
      <c r="X192" s="3">
        <f>(ROUND((((S192+ROUND((ROUND(((EU192)*AV192*I192),2)*BS192),2))*AT192)/100),2)+ROUND(((ROUND((ROUND(((AE192-(EU192))*AV192*I192),2)*BS192),2)*AT192)/100),2))</f>
        <v>0</v>
      </c>
      <c r="Y192" s="3">
        <f>(ROUND((((S192+ROUND((ROUND(((EU192)*AV192*I192),2)*BS192),2))*AU192)/100),2)+ROUND(((ROUND((ROUND(((AE192-(EU192))*AV192*I192),2)*BS192),2)*AU192)/100),2))</f>
        <v>0</v>
      </c>
      <c r="AA192" s="3">
        <v>85739207</v>
      </c>
      <c r="AB192" s="3">
        <f t="shared" si="191"/>
        <v>21.41</v>
      </c>
      <c r="AC192" s="3">
        <f>ROUND((ES192),6)</f>
        <v>21.41</v>
      </c>
      <c r="AD192" s="3">
        <f>ROUND((((ET192)-(EU192))+AE192),6)</f>
        <v>0</v>
      </c>
      <c r="AE192" s="3">
        <f>ROUND((EU192),6)</f>
        <v>0</v>
      </c>
      <c r="AF192" s="3">
        <f>ROUND((EV192),6)</f>
        <v>0</v>
      </c>
      <c r="AG192" s="3">
        <f t="shared" si="192"/>
        <v>0</v>
      </c>
      <c r="AH192" s="3">
        <f>(EW192)</f>
        <v>0</v>
      </c>
      <c r="AI192" s="3">
        <f>(EX192)</f>
        <v>0</v>
      </c>
      <c r="AJ192" s="3">
        <f t="shared" si="193"/>
        <v>0</v>
      </c>
      <c r="AK192" s="3">
        <v>21.41</v>
      </c>
      <c r="AL192" s="3">
        <v>21.41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90</v>
      </c>
      <c r="AU192" s="3">
        <v>46</v>
      </c>
      <c r="AV192" s="3">
        <v>1</v>
      </c>
      <c r="AW192" s="3">
        <v>1</v>
      </c>
      <c r="AZ192" s="3">
        <v>1</v>
      </c>
      <c r="BA192" s="3">
        <v>1</v>
      </c>
      <c r="BB192" s="3">
        <v>1</v>
      </c>
      <c r="BC192" s="3">
        <v>20.97</v>
      </c>
      <c r="BD192" s="3" t="s">
        <v>3</v>
      </c>
      <c r="BE192" s="3" t="s">
        <v>3</v>
      </c>
      <c r="BF192" s="3" t="s">
        <v>3</v>
      </c>
      <c r="BG192" s="3" t="s">
        <v>3</v>
      </c>
      <c r="BH192" s="3">
        <v>3</v>
      </c>
      <c r="BI192" s="3">
        <v>2</v>
      </c>
      <c r="BJ192" s="3" t="s">
        <v>376</v>
      </c>
      <c r="BM192" s="3">
        <v>73</v>
      </c>
      <c r="BN192" s="3">
        <v>0</v>
      </c>
      <c r="BO192" s="3" t="s">
        <v>373</v>
      </c>
      <c r="BP192" s="3">
        <v>1</v>
      </c>
      <c r="BQ192" s="3">
        <v>40</v>
      </c>
      <c r="BR192" s="3">
        <v>0</v>
      </c>
      <c r="BS192" s="3">
        <v>1</v>
      </c>
      <c r="BT192" s="3">
        <v>1</v>
      </c>
      <c r="BU192" s="3">
        <v>1</v>
      </c>
      <c r="BV192" s="3">
        <v>1</v>
      </c>
      <c r="BW192" s="3">
        <v>1</v>
      </c>
      <c r="BX192" s="3">
        <v>1</v>
      </c>
      <c r="BY192" s="3" t="s">
        <v>3</v>
      </c>
      <c r="BZ192" s="3">
        <v>90</v>
      </c>
      <c r="CA192" s="3">
        <v>46</v>
      </c>
      <c r="CB192" s="3" t="s">
        <v>3</v>
      </c>
      <c r="CE192" s="3">
        <v>1566</v>
      </c>
      <c r="CF192" s="3">
        <v>0</v>
      </c>
      <c r="CG192" s="3">
        <v>0</v>
      </c>
      <c r="CM192" s="3">
        <v>0</v>
      </c>
      <c r="CN192" s="3" t="s">
        <v>679</v>
      </c>
      <c r="CO192" s="3">
        <v>0</v>
      </c>
      <c r="CP192" s="3">
        <f t="shared" si="194"/>
        <v>2693.81</v>
      </c>
      <c r="CQ192" s="3">
        <f t="shared" si="195"/>
        <v>448.97</v>
      </c>
      <c r="CR192" s="3">
        <f>(ROUND((ROUND(((ET192)*AV192*1),2)*BB192),2)+ROUND((ROUND(((AE192-(EU192))*AV192*1),2)*BS192),2))</f>
        <v>0</v>
      </c>
      <c r="CS192" s="3">
        <f>(ROUND((ROUND(((EU192)*AV192*1),2)*BS192),2)+ROUND((ROUND(((AE192-(EU192))*AV192*1),2)*BS192),2))</f>
        <v>0</v>
      </c>
      <c r="CT192" s="3">
        <f t="shared" si="196"/>
        <v>0</v>
      </c>
      <c r="CU192" s="3">
        <f t="shared" si="197"/>
        <v>0</v>
      </c>
      <c r="CV192" s="3">
        <f t="shared" si="198"/>
        <v>0</v>
      </c>
      <c r="CW192" s="3">
        <f t="shared" si="199"/>
        <v>0</v>
      </c>
      <c r="CX192" s="3">
        <f t="shared" si="200"/>
        <v>0</v>
      </c>
      <c r="CY192" s="3">
        <f>(ROUND((((S192+ROUND((ROUND(((EU192)*AV192*1),2)*BS192),2))*AT192)/100),2)+ROUND(((ROUND((ROUND(((AE192-(EU192))*AV192*1),2)*BS192),2)*AT192)/100),2))</f>
        <v>0</v>
      </c>
      <c r="CZ192" s="3">
        <f>(ROUND((((S192+ROUND((ROUND(((EU192)*AV192*1),2)*BS192),2))*AU192)/100),2)+ROUND(((ROUND((ROUND(((AE192-(EU192))*AV192*1),2)*BS192),2)*AU192)/100),2))</f>
        <v>0</v>
      </c>
      <c r="DC192" s="3" t="s">
        <v>3</v>
      </c>
      <c r="DD192" s="3" t="s">
        <v>3</v>
      </c>
      <c r="DE192" s="3" t="s">
        <v>3</v>
      </c>
      <c r="DF192" s="3" t="s">
        <v>3</v>
      </c>
      <c r="DG192" s="3" t="s">
        <v>3</v>
      </c>
      <c r="DH192" s="3" t="s">
        <v>3</v>
      </c>
      <c r="DI192" s="3" t="s">
        <v>3</v>
      </c>
      <c r="DJ192" s="3" t="s">
        <v>3</v>
      </c>
      <c r="DK192" s="3" t="s">
        <v>3</v>
      </c>
      <c r="DL192" s="3" t="s">
        <v>3</v>
      </c>
      <c r="DM192" s="3" t="s">
        <v>3</v>
      </c>
      <c r="DN192" s="3">
        <v>0</v>
      </c>
      <c r="DO192" s="3">
        <v>0</v>
      </c>
      <c r="DP192" s="3">
        <v>1</v>
      </c>
      <c r="DQ192" s="3">
        <v>1</v>
      </c>
      <c r="DU192" s="3">
        <v>1013</v>
      </c>
      <c r="DV192" s="3" t="s">
        <v>375</v>
      </c>
      <c r="DW192" s="3" t="s">
        <v>375</v>
      </c>
      <c r="DX192" s="3">
        <v>1</v>
      </c>
      <c r="DZ192" s="3" t="s">
        <v>3</v>
      </c>
      <c r="EA192" s="3" t="s">
        <v>3</v>
      </c>
      <c r="EB192" s="3" t="s">
        <v>3</v>
      </c>
      <c r="EC192" s="3" t="s">
        <v>3</v>
      </c>
      <c r="EE192" s="3">
        <v>85133422</v>
      </c>
      <c r="EF192" s="3">
        <v>40</v>
      </c>
      <c r="EG192" s="3" t="s">
        <v>27</v>
      </c>
      <c r="EH192" s="3">
        <v>0</v>
      </c>
      <c r="EI192" s="3" t="s">
        <v>3</v>
      </c>
      <c r="EJ192" s="3">
        <v>2</v>
      </c>
      <c r="EK192" s="3">
        <v>73</v>
      </c>
      <c r="EL192" s="3" t="s">
        <v>62</v>
      </c>
      <c r="EM192" s="3" t="s">
        <v>63</v>
      </c>
      <c r="EO192" s="3" t="s">
        <v>37</v>
      </c>
      <c r="EQ192" s="3">
        <v>0</v>
      </c>
      <c r="ER192" s="3">
        <v>21.41</v>
      </c>
      <c r="ES192" s="3">
        <v>21.41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FQ192" s="3">
        <v>0</v>
      </c>
      <c r="FR192" s="3">
        <v>0</v>
      </c>
      <c r="FS192" s="3">
        <v>0</v>
      </c>
      <c r="FX192" s="3">
        <v>90</v>
      </c>
      <c r="FY192" s="3">
        <v>46</v>
      </c>
      <c r="GA192" s="3" t="s">
        <v>3</v>
      </c>
      <c r="GD192" s="3">
        <v>1</v>
      </c>
      <c r="GF192" s="3">
        <v>673296093</v>
      </c>
      <c r="GG192" s="3">
        <v>2</v>
      </c>
      <c r="GH192" s="3">
        <v>1</v>
      </c>
      <c r="GI192" s="3">
        <v>2</v>
      </c>
      <c r="GJ192" s="3">
        <v>0</v>
      </c>
      <c r="GK192" s="3">
        <v>0</v>
      </c>
      <c r="GL192" s="3">
        <f t="shared" si="201"/>
        <v>0</v>
      </c>
      <c r="GM192" s="3">
        <f t="shared" si="202"/>
        <v>2693.81</v>
      </c>
      <c r="GN192" s="3">
        <f t="shared" si="203"/>
        <v>0</v>
      </c>
      <c r="GO192" s="3">
        <f t="shared" si="204"/>
        <v>2693.81</v>
      </c>
      <c r="GP192" s="3">
        <f t="shared" si="205"/>
        <v>0</v>
      </c>
      <c r="GR192" s="3">
        <v>0</v>
      </c>
      <c r="GS192" s="3">
        <v>3</v>
      </c>
      <c r="GT192" s="3">
        <v>0</v>
      </c>
      <c r="GU192" s="3" t="s">
        <v>3</v>
      </c>
      <c r="GV192" s="3">
        <f t="shared" si="206"/>
        <v>0</v>
      </c>
      <c r="GW192" s="3">
        <v>1</v>
      </c>
      <c r="GX192" s="3">
        <f t="shared" si="207"/>
        <v>0</v>
      </c>
      <c r="HA192" s="3">
        <v>0</v>
      </c>
      <c r="HB192" s="3">
        <v>0</v>
      </c>
      <c r="HC192" s="3">
        <f t="shared" si="208"/>
        <v>0</v>
      </c>
      <c r="HE192" s="3" t="s">
        <v>3</v>
      </c>
      <c r="HF192" s="3" t="s">
        <v>3</v>
      </c>
      <c r="HM192" s="3" t="s">
        <v>35</v>
      </c>
      <c r="HN192" s="3" t="s">
        <v>3</v>
      </c>
      <c r="HO192" s="3" t="s">
        <v>3</v>
      </c>
      <c r="HP192" s="3" t="s">
        <v>3</v>
      </c>
      <c r="HQ192" s="3" t="s">
        <v>3</v>
      </c>
      <c r="HS192" s="3">
        <v>0</v>
      </c>
      <c r="IK192" s="3">
        <v>0</v>
      </c>
    </row>
    <row r="193" spans="1:255" x14ac:dyDescent="0.2">
      <c r="A193" s="2">
        <v>17</v>
      </c>
      <c r="B193" s="2">
        <v>1</v>
      </c>
      <c r="C193" s="2">
        <f>ROW(SmtRes!A442)</f>
        <v>442</v>
      </c>
      <c r="D193" s="2">
        <f>ROW(EtalonRes!A457)</f>
        <v>457</v>
      </c>
      <c r="E193" s="2" t="s">
        <v>377</v>
      </c>
      <c r="F193" s="2" t="s">
        <v>378</v>
      </c>
      <c r="G193" s="2" t="s">
        <v>379</v>
      </c>
      <c r="H193" s="2" t="s">
        <v>23</v>
      </c>
      <c r="I193" s="2">
        <f>ROUND(12,9)</f>
        <v>12</v>
      </c>
      <c r="J193" s="2">
        <v>0</v>
      </c>
      <c r="K193" s="2">
        <f>ROUND(12,9)</f>
        <v>12</v>
      </c>
      <c r="L193" s="2"/>
      <c r="M193" s="2"/>
      <c r="N193" s="2"/>
      <c r="O193" s="2">
        <f t="shared" si="184"/>
        <v>554.24</v>
      </c>
      <c r="P193" s="2">
        <f t="shared" si="185"/>
        <v>43.32</v>
      </c>
      <c r="Q193" s="2">
        <f>(ROUND((ROUND(((((ET193*1.25)*1.2))*AV193*I193),2)*BB193),2)+ROUND((ROUND(((AE193-(((EU193*1.25)*1.2)))*AV193*I193),2)*BS193),2))</f>
        <v>164.6</v>
      </c>
      <c r="R193" s="2">
        <f>(ROUND((ROUND(((((EU193*1.25)*1.2))*AV193*I193),2)*BS193),2)+ROUND((ROUND(((AE193-(((EU193*1.25)*1.2)))*AV193*I193),2)*BS193),2))</f>
        <v>21.13</v>
      </c>
      <c r="S193" s="2">
        <f t="shared" si="186"/>
        <v>346.32</v>
      </c>
      <c r="T193" s="2">
        <f t="shared" si="187"/>
        <v>0</v>
      </c>
      <c r="U193" s="2">
        <f t="shared" si="188"/>
        <v>28.094536799999997</v>
      </c>
      <c r="V193" s="2">
        <f t="shared" si="189"/>
        <v>0</v>
      </c>
      <c r="W193" s="2">
        <f t="shared" si="190"/>
        <v>0</v>
      </c>
      <c r="X193" s="2">
        <f>(ROUND((((S193+ROUND((ROUND(((((EU193*1.25)*1.2))*AV193*I193),2)*BS193),2))*AT193)/100),2)+ROUND(((ROUND((ROUND(((AE193-(((EU193*1.25)*1.2)))*AV193*I193),2)*BS193),2)*AT193)/100),2))</f>
        <v>444.61</v>
      </c>
      <c r="Y193" s="2">
        <f>(ROUND((((S193+ROUND((ROUND(((((EU193*1.25)*1.2))*AV193*I193),2)*BS193),2))*AU193)/100),2)+ROUND(((ROUND((ROUND(((AE193-(((EU193*1.25)*1.2)))*AV193*I193),2)*BS193),2)*AU193)/100),2))</f>
        <v>264.56</v>
      </c>
      <c r="Z193" s="2"/>
      <c r="AA193" s="2">
        <v>85739205</v>
      </c>
      <c r="AB193" s="2">
        <f t="shared" si="191"/>
        <v>43.512999999999998</v>
      </c>
      <c r="AC193" s="2">
        <f>ROUND((((ES193*1)*1)),6)</f>
        <v>3.61</v>
      </c>
      <c r="AD193" s="2">
        <f>ROUND((((((ET193*1.25)*1.2))-(((EU193*1.25)*1.2)))+AE193),6)</f>
        <v>12.855</v>
      </c>
      <c r="AE193" s="2">
        <f>ROUND((((EU193*1.25)*1.2)),6)</f>
        <v>1.65</v>
      </c>
      <c r="AF193" s="2">
        <f>ROUND((((EV193*1.15)*1.2)),6)</f>
        <v>27.047999999999998</v>
      </c>
      <c r="AG193" s="2">
        <f t="shared" si="192"/>
        <v>0</v>
      </c>
      <c r="AH193" s="2">
        <f>(((EW193*1.15)*1.2))</f>
        <v>2.1941999999999999</v>
      </c>
      <c r="AI193" s="2">
        <f>(((EX193*1.25)*1.2))</f>
        <v>0</v>
      </c>
      <c r="AJ193" s="2">
        <f t="shared" si="193"/>
        <v>0</v>
      </c>
      <c r="AK193" s="2">
        <v>31.78</v>
      </c>
      <c r="AL193" s="2">
        <v>3.61</v>
      </c>
      <c r="AM193" s="2">
        <v>8.57</v>
      </c>
      <c r="AN193" s="2">
        <v>1.1000000000000001</v>
      </c>
      <c r="AO193" s="2">
        <v>19.600000000000001</v>
      </c>
      <c r="AP193" s="2">
        <v>0</v>
      </c>
      <c r="AQ193" s="2">
        <v>1.59</v>
      </c>
      <c r="AR193" s="2">
        <v>0</v>
      </c>
      <c r="AS193" s="2">
        <v>0</v>
      </c>
      <c r="AT193" s="2">
        <v>121</v>
      </c>
      <c r="AU193" s="2">
        <v>72</v>
      </c>
      <c r="AV193" s="2">
        <v>1.0669999999999999</v>
      </c>
      <c r="AW193" s="2">
        <v>1</v>
      </c>
      <c r="AX193" s="2"/>
      <c r="AY193" s="2"/>
      <c r="AZ193" s="2">
        <v>1</v>
      </c>
      <c r="BA193" s="2">
        <v>1</v>
      </c>
      <c r="BB193" s="2">
        <v>1</v>
      </c>
      <c r="BC193" s="2">
        <v>1</v>
      </c>
      <c r="BD193" s="2" t="s">
        <v>3</v>
      </c>
      <c r="BE193" s="2" t="s">
        <v>3</v>
      </c>
      <c r="BF193" s="2" t="s">
        <v>3</v>
      </c>
      <c r="BG193" s="2" t="s">
        <v>3</v>
      </c>
      <c r="BH193" s="2">
        <v>0</v>
      </c>
      <c r="BI193" s="2">
        <v>1</v>
      </c>
      <c r="BJ193" s="2" t="s">
        <v>380</v>
      </c>
      <c r="BK193" s="2"/>
      <c r="BL193" s="2"/>
      <c r="BM193" s="2">
        <v>23</v>
      </c>
      <c r="BN193" s="2">
        <v>0</v>
      </c>
      <c r="BO193" s="2" t="s">
        <v>378</v>
      </c>
      <c r="BP193" s="2">
        <v>1</v>
      </c>
      <c r="BQ193" s="2">
        <v>30</v>
      </c>
      <c r="BR193" s="2">
        <v>0</v>
      </c>
      <c r="BS193" s="2">
        <v>1</v>
      </c>
      <c r="BT193" s="2">
        <v>1</v>
      </c>
      <c r="BU193" s="2">
        <v>1</v>
      </c>
      <c r="BV193" s="2">
        <v>1</v>
      </c>
      <c r="BW193" s="2">
        <v>1</v>
      </c>
      <c r="BX193" s="2">
        <v>1</v>
      </c>
      <c r="BY193" s="2" t="s">
        <v>3</v>
      </c>
      <c r="BZ193" s="2">
        <v>121</v>
      </c>
      <c r="CA193" s="2">
        <v>72</v>
      </c>
      <c r="CB193" s="2" t="s">
        <v>3</v>
      </c>
      <c r="CC193" s="2"/>
      <c r="CD193" s="2"/>
      <c r="CE193" s="2">
        <v>1566</v>
      </c>
      <c r="CF193" s="2">
        <v>0</v>
      </c>
      <c r="CG193" s="2">
        <v>0</v>
      </c>
      <c r="CH193" s="2"/>
      <c r="CI193" s="2"/>
      <c r="CJ193" s="2"/>
      <c r="CK193" s="2"/>
      <c r="CL193" s="2"/>
      <c r="CM193" s="2">
        <v>0</v>
      </c>
      <c r="CN193" s="2" t="s">
        <v>678</v>
      </c>
      <c r="CO193" s="2">
        <v>0</v>
      </c>
      <c r="CP193" s="2">
        <f t="shared" si="194"/>
        <v>554.24</v>
      </c>
      <c r="CQ193" s="2">
        <f t="shared" si="195"/>
        <v>3.61</v>
      </c>
      <c r="CR193" s="2">
        <f>(ROUND((ROUND(((((ET193*1.25)*1.2))*AV193*1),2)*BB193),2)+ROUND((ROUND(((AE193-(((EU193*1.25)*1.2)))*AV193*1),2)*BS193),2))</f>
        <v>13.72</v>
      </c>
      <c r="CS193" s="2">
        <f>(ROUND((ROUND(((((EU193*1.25)*1.2))*AV193*1),2)*BS193),2)+ROUND((ROUND(((AE193-(((EU193*1.25)*1.2)))*AV193*1),2)*BS193),2))</f>
        <v>1.76</v>
      </c>
      <c r="CT193" s="2">
        <f t="shared" si="196"/>
        <v>28.86</v>
      </c>
      <c r="CU193" s="2">
        <f t="shared" si="197"/>
        <v>0</v>
      </c>
      <c r="CV193" s="2">
        <f t="shared" si="198"/>
        <v>2.3412113999999997</v>
      </c>
      <c r="CW193" s="2">
        <f t="shared" si="199"/>
        <v>0</v>
      </c>
      <c r="CX193" s="2">
        <f t="shared" si="200"/>
        <v>0</v>
      </c>
      <c r="CY193" s="2">
        <f>(ROUND((((S193+ROUND((ROUND(((((EU193*1.25)*1.2))*AV193*1),2)*BS193),2))*AT193)/100),2)+ROUND(((ROUND((ROUND(((AE193-(((EU193*1.25)*1.2)))*AV193*1),2)*BS193),2)*AT193)/100),2))</f>
        <v>421.18</v>
      </c>
      <c r="CZ193" s="2">
        <f>(ROUND((((S193+ROUND((ROUND(((((EU193*1.25)*1.2))*AV193*1),2)*BS193),2))*AU193)/100),2)+ROUND(((ROUND((ROUND(((AE193-(((EU193*1.25)*1.2)))*AV193*1),2)*BS193),2)*AU193)/100),2))</f>
        <v>250.62</v>
      </c>
      <c r="DA193" s="2"/>
      <c r="DB193" s="2">
        <v>67</v>
      </c>
      <c r="DC193" s="2" t="s">
        <v>3</v>
      </c>
      <c r="DD193" s="2" t="s">
        <v>77</v>
      </c>
      <c r="DE193" s="2" t="s">
        <v>78</v>
      </c>
      <c r="DF193" s="2" t="s">
        <v>78</v>
      </c>
      <c r="DG193" s="2" t="s">
        <v>79</v>
      </c>
      <c r="DH193" s="2" t="s">
        <v>3</v>
      </c>
      <c r="DI193" s="2" t="s">
        <v>79</v>
      </c>
      <c r="DJ193" s="2" t="s">
        <v>78</v>
      </c>
      <c r="DK193" s="2" t="s">
        <v>3</v>
      </c>
      <c r="DL193" s="2" t="s">
        <v>3</v>
      </c>
      <c r="DM193" s="2" t="s">
        <v>3</v>
      </c>
      <c r="DN193" s="2">
        <v>0</v>
      </c>
      <c r="DO193" s="2">
        <v>0</v>
      </c>
      <c r="DP193" s="2">
        <v>1</v>
      </c>
      <c r="DQ193" s="2">
        <v>1</v>
      </c>
      <c r="DR193" s="2"/>
      <c r="DS193" s="2"/>
      <c r="DT193" s="2"/>
      <c r="DU193" s="2">
        <v>1013</v>
      </c>
      <c r="DV193" s="2" t="s">
        <v>23</v>
      </c>
      <c r="DW193" s="2" t="s">
        <v>23</v>
      </c>
      <c r="DX193" s="2">
        <v>1</v>
      </c>
      <c r="DY193" s="2"/>
      <c r="DZ193" s="2" t="s">
        <v>3</v>
      </c>
      <c r="EA193" s="2" t="s">
        <v>3</v>
      </c>
      <c r="EB193" s="2" t="s">
        <v>3</v>
      </c>
      <c r="EC193" s="2" t="s">
        <v>3</v>
      </c>
      <c r="ED193" s="2"/>
      <c r="EE193" s="2">
        <v>85133369</v>
      </c>
      <c r="EF193" s="2">
        <v>30</v>
      </c>
      <c r="EG193" s="2" t="s">
        <v>49</v>
      </c>
      <c r="EH193" s="2">
        <v>0</v>
      </c>
      <c r="EI193" s="2" t="s">
        <v>3</v>
      </c>
      <c r="EJ193" s="2">
        <v>1</v>
      </c>
      <c r="EK193" s="2">
        <v>23</v>
      </c>
      <c r="EL193" s="2" t="s">
        <v>50</v>
      </c>
      <c r="EM193" s="2" t="s">
        <v>51</v>
      </c>
      <c r="EN193" s="2"/>
      <c r="EO193" s="2" t="s">
        <v>80</v>
      </c>
      <c r="EP193" s="2"/>
      <c r="EQ193" s="2">
        <v>0</v>
      </c>
      <c r="ER193" s="2">
        <v>31.78</v>
      </c>
      <c r="ES193" s="2">
        <v>3.61</v>
      </c>
      <c r="ET193" s="2">
        <v>8.57</v>
      </c>
      <c r="EU193" s="2">
        <v>1.1000000000000001</v>
      </c>
      <c r="EV193" s="2">
        <v>19.600000000000001</v>
      </c>
      <c r="EW193" s="2">
        <v>1.59</v>
      </c>
      <c r="EX193" s="2">
        <v>0</v>
      </c>
      <c r="EY193" s="2">
        <v>0</v>
      </c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>
        <v>0</v>
      </c>
      <c r="FR193" s="2">
        <v>0</v>
      </c>
      <c r="FS193" s="2">
        <v>0</v>
      </c>
      <c r="FT193" s="2"/>
      <c r="FU193" s="2"/>
      <c r="FV193" s="2"/>
      <c r="FW193" s="2"/>
      <c r="FX193" s="2">
        <v>121</v>
      </c>
      <c r="FY193" s="2">
        <v>72</v>
      </c>
      <c r="FZ193" s="2"/>
      <c r="GA193" s="2" t="s">
        <v>3</v>
      </c>
      <c r="GB193" s="2"/>
      <c r="GC193" s="2"/>
      <c r="GD193" s="2">
        <v>1</v>
      </c>
      <c r="GE193" s="2"/>
      <c r="GF193" s="2">
        <v>-1383052773</v>
      </c>
      <c r="GG193" s="2">
        <v>2</v>
      </c>
      <c r="GH193" s="2">
        <v>1</v>
      </c>
      <c r="GI193" s="2">
        <v>2</v>
      </c>
      <c r="GJ193" s="2">
        <v>0</v>
      </c>
      <c r="GK193" s="2">
        <v>0</v>
      </c>
      <c r="GL193" s="2">
        <f t="shared" si="201"/>
        <v>0</v>
      </c>
      <c r="GM193" s="2">
        <f t="shared" si="202"/>
        <v>1263.4100000000001</v>
      </c>
      <c r="GN193" s="2">
        <f t="shared" si="203"/>
        <v>1263.4100000000001</v>
      </c>
      <c r="GO193" s="2">
        <f t="shared" si="204"/>
        <v>0</v>
      </c>
      <c r="GP193" s="2">
        <f t="shared" si="205"/>
        <v>0</v>
      </c>
      <c r="GQ193" s="2"/>
      <c r="GR193" s="2">
        <v>0</v>
      </c>
      <c r="GS193" s="2">
        <v>3</v>
      </c>
      <c r="GT193" s="2">
        <v>0</v>
      </c>
      <c r="GU193" s="2" t="s">
        <v>3</v>
      </c>
      <c r="GV193" s="2">
        <f t="shared" si="206"/>
        <v>0</v>
      </c>
      <c r="GW193" s="2">
        <v>1</v>
      </c>
      <c r="GX193" s="2">
        <f t="shared" si="207"/>
        <v>0</v>
      </c>
      <c r="GY193" s="2"/>
      <c r="GZ193" s="2"/>
      <c r="HA193" s="2">
        <v>0</v>
      </c>
      <c r="HB193" s="2">
        <v>0</v>
      </c>
      <c r="HC193" s="2">
        <f t="shared" si="208"/>
        <v>0</v>
      </c>
      <c r="HD193" s="2"/>
      <c r="HE193" s="2" t="s">
        <v>3</v>
      </c>
      <c r="HF193" s="2" t="s">
        <v>3</v>
      </c>
      <c r="HG193" s="2"/>
      <c r="HH193" s="2"/>
      <c r="HI193" s="2"/>
      <c r="HJ193" s="2"/>
      <c r="HK193" s="2"/>
      <c r="HL193" s="2"/>
      <c r="HM193" s="2" t="s">
        <v>3</v>
      </c>
      <c r="HN193" s="2" t="s">
        <v>3</v>
      </c>
      <c r="HO193" s="2" t="s">
        <v>3</v>
      </c>
      <c r="HP193" s="2" t="s">
        <v>3</v>
      </c>
      <c r="HQ193" s="2" t="s">
        <v>3</v>
      </c>
      <c r="HR193" s="2"/>
      <c r="HS193" s="2">
        <v>0</v>
      </c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>
        <v>0</v>
      </c>
      <c r="IL193" s="2"/>
      <c r="IM193" s="2"/>
      <c r="IN193" s="2"/>
      <c r="IO193" s="2"/>
      <c r="IP193" s="2"/>
      <c r="IQ193" s="2"/>
      <c r="IR193" s="2"/>
      <c r="IS193" s="2"/>
      <c r="IT193" s="2"/>
      <c r="IU193" s="2"/>
    </row>
    <row r="194" spans="1:255" x14ac:dyDescent="0.2">
      <c r="A194" s="3">
        <v>17</v>
      </c>
      <c r="B194" s="3">
        <v>1</v>
      </c>
      <c r="C194" s="3">
        <f>ROW(SmtRes!A450)</f>
        <v>450</v>
      </c>
      <c r="D194" s="3">
        <f>ROW(EtalonRes!A466)</f>
        <v>466</v>
      </c>
      <c r="E194" s="3" t="s">
        <v>377</v>
      </c>
      <c r="F194" s="3" t="s">
        <v>378</v>
      </c>
      <c r="G194" s="3" t="s">
        <v>379</v>
      </c>
      <c r="H194" s="3" t="s">
        <v>23</v>
      </c>
      <c r="I194" s="3">
        <f>ROUND(12,9)</f>
        <v>12</v>
      </c>
      <c r="J194" s="3">
        <v>0</v>
      </c>
      <c r="K194" s="3">
        <f>ROUND(12,9)</f>
        <v>12</v>
      </c>
      <c r="O194" s="3">
        <f t="shared" si="184"/>
        <v>22425.9</v>
      </c>
      <c r="P194" s="3">
        <f t="shared" si="185"/>
        <v>283.75</v>
      </c>
      <c r="Q194" s="3">
        <f>(ROUND((ROUND(((((ET194*1.25)*1.2))*AV194*I194),2)*BB194),2)+ROUND((ROUND(((AE194-(((EU194*1.25)*1.2)))*AV194*I194),2)*BS194),2))</f>
        <v>2627.02</v>
      </c>
      <c r="R194" s="3">
        <f>(ROUND((ROUND(((((EU194*1.25)*1.2))*AV194*I194),2)*BS194),2)+ROUND((ROUND(((AE194-(((EU194*1.25)*1.2)))*AV194*I194),2)*BS194),2))</f>
        <v>1190.68</v>
      </c>
      <c r="S194" s="3">
        <f t="shared" si="186"/>
        <v>19515.13</v>
      </c>
      <c r="T194" s="3">
        <f t="shared" si="187"/>
        <v>0</v>
      </c>
      <c r="U194" s="3">
        <f t="shared" si="188"/>
        <v>28.094536799999997</v>
      </c>
      <c r="V194" s="3">
        <f t="shared" si="189"/>
        <v>0</v>
      </c>
      <c r="W194" s="3">
        <f t="shared" si="190"/>
        <v>0</v>
      </c>
      <c r="X194" s="3">
        <f>(ROUND((((S194+ROUND((ROUND(((((EU194*1.25)*1.2))*AV194*I194),2)*BS194),2))*AT194)/100),2)+ROUND(((ROUND((ROUND(((AE194-(((EU194*1.25)*1.2)))*AV194*I194),2)*BS194),2)*AT194)/100),2))</f>
        <v>25054.03</v>
      </c>
      <c r="Y194" s="3">
        <f>(ROUND((((S194+ROUND((ROUND(((((EU194*1.25)*1.2))*AV194*I194),2)*BS194),2))*AU194)/100),2)+ROUND(((ROUND((ROUND(((AE194-(((EU194*1.25)*1.2)))*AV194*I194),2)*BS194),2)*AU194)/100),2))</f>
        <v>14908.18</v>
      </c>
      <c r="AA194" s="3">
        <v>85739207</v>
      </c>
      <c r="AB194" s="3">
        <f t="shared" si="191"/>
        <v>43.512999999999998</v>
      </c>
      <c r="AC194" s="3">
        <f>ROUND((((ES194*1)*1)),6)</f>
        <v>3.61</v>
      </c>
      <c r="AD194" s="3">
        <f>ROUND((((((ET194*1.25)*1.2))-(((EU194*1.25)*1.2)))+AE194),6)</f>
        <v>12.855</v>
      </c>
      <c r="AE194" s="3">
        <f>ROUND((((EU194*1.25)*1.2)),6)</f>
        <v>1.65</v>
      </c>
      <c r="AF194" s="3">
        <f>ROUND((((EV194*1.15)*1.2)),6)</f>
        <v>27.047999999999998</v>
      </c>
      <c r="AG194" s="3">
        <f t="shared" si="192"/>
        <v>0</v>
      </c>
      <c r="AH194" s="3">
        <f>(((EW194*1.15)*1.2))</f>
        <v>2.1941999999999999</v>
      </c>
      <c r="AI194" s="3">
        <f>(((EX194*1.25)*1.2))</f>
        <v>0</v>
      </c>
      <c r="AJ194" s="3">
        <f t="shared" si="193"/>
        <v>0</v>
      </c>
      <c r="AK194" s="3">
        <v>31.78</v>
      </c>
      <c r="AL194" s="3">
        <v>3.61</v>
      </c>
      <c r="AM194" s="3">
        <v>8.57</v>
      </c>
      <c r="AN194" s="3">
        <v>1.1000000000000001</v>
      </c>
      <c r="AO194" s="3">
        <v>19.600000000000001</v>
      </c>
      <c r="AP194" s="3">
        <v>0</v>
      </c>
      <c r="AQ194" s="3">
        <v>1.59</v>
      </c>
      <c r="AR194" s="3">
        <v>0</v>
      </c>
      <c r="AS194" s="3">
        <v>0</v>
      </c>
      <c r="AT194" s="3">
        <v>121</v>
      </c>
      <c r="AU194" s="3">
        <v>72</v>
      </c>
      <c r="AV194" s="3">
        <v>1.0669999999999999</v>
      </c>
      <c r="AW194" s="3">
        <v>1</v>
      </c>
      <c r="AZ194" s="3">
        <v>1</v>
      </c>
      <c r="BA194" s="3">
        <v>56.35</v>
      </c>
      <c r="BB194" s="3">
        <v>15.96</v>
      </c>
      <c r="BC194" s="3">
        <v>6.55</v>
      </c>
      <c r="BD194" s="3" t="s">
        <v>3</v>
      </c>
      <c r="BE194" s="3" t="s">
        <v>3</v>
      </c>
      <c r="BF194" s="3" t="s">
        <v>3</v>
      </c>
      <c r="BG194" s="3" t="s">
        <v>3</v>
      </c>
      <c r="BH194" s="3">
        <v>0</v>
      </c>
      <c r="BI194" s="3">
        <v>1</v>
      </c>
      <c r="BJ194" s="3" t="s">
        <v>380</v>
      </c>
      <c r="BM194" s="3">
        <v>23</v>
      </c>
      <c r="BN194" s="3">
        <v>0</v>
      </c>
      <c r="BO194" s="3" t="s">
        <v>378</v>
      </c>
      <c r="BP194" s="3">
        <v>1</v>
      </c>
      <c r="BQ194" s="3">
        <v>30</v>
      </c>
      <c r="BR194" s="3">
        <v>0</v>
      </c>
      <c r="BS194" s="3">
        <v>56.35</v>
      </c>
      <c r="BT194" s="3">
        <v>1</v>
      </c>
      <c r="BU194" s="3">
        <v>1</v>
      </c>
      <c r="BV194" s="3">
        <v>1</v>
      </c>
      <c r="BW194" s="3">
        <v>1</v>
      </c>
      <c r="BX194" s="3">
        <v>1</v>
      </c>
      <c r="BY194" s="3" t="s">
        <v>3</v>
      </c>
      <c r="BZ194" s="3">
        <v>121</v>
      </c>
      <c r="CA194" s="3">
        <v>72</v>
      </c>
      <c r="CB194" s="3" t="s">
        <v>3</v>
      </c>
      <c r="CE194" s="3">
        <v>1566</v>
      </c>
      <c r="CF194" s="3">
        <v>0</v>
      </c>
      <c r="CG194" s="3">
        <v>0</v>
      </c>
      <c r="CM194" s="3">
        <v>0</v>
      </c>
      <c r="CN194" s="3" t="s">
        <v>678</v>
      </c>
      <c r="CO194" s="3">
        <v>0</v>
      </c>
      <c r="CP194" s="3">
        <f t="shared" si="194"/>
        <v>22425.9</v>
      </c>
      <c r="CQ194" s="3">
        <f t="shared" si="195"/>
        <v>23.65</v>
      </c>
      <c r="CR194" s="3">
        <f>(ROUND((ROUND(((((ET194*1.25)*1.2))*AV194*1),2)*BB194),2)+ROUND((ROUND(((AE194-(((EU194*1.25)*1.2)))*AV194*1),2)*BS194),2))</f>
        <v>218.97</v>
      </c>
      <c r="CS194" s="3">
        <f>(ROUND((ROUND(((((EU194*1.25)*1.2))*AV194*1),2)*BS194),2)+ROUND((ROUND(((AE194-(((EU194*1.25)*1.2)))*AV194*1),2)*BS194),2))</f>
        <v>99.18</v>
      </c>
      <c r="CT194" s="3">
        <f t="shared" si="196"/>
        <v>1626.26</v>
      </c>
      <c r="CU194" s="3">
        <f t="shared" si="197"/>
        <v>0</v>
      </c>
      <c r="CV194" s="3">
        <f t="shared" si="198"/>
        <v>2.3412113999999997</v>
      </c>
      <c r="CW194" s="3">
        <f t="shared" si="199"/>
        <v>0</v>
      </c>
      <c r="CX194" s="3">
        <f t="shared" si="200"/>
        <v>0</v>
      </c>
      <c r="CY194" s="3">
        <f>(ROUND((((S194+ROUND((ROUND(((((EU194*1.25)*1.2))*AV194*1),2)*BS194),2))*AT194)/100),2)+ROUND(((ROUND((ROUND(((AE194-(((EU194*1.25)*1.2)))*AV194*1),2)*BS194),2)*AT194)/100),2))</f>
        <v>23733.32</v>
      </c>
      <c r="CZ194" s="3">
        <f>(ROUND((((S194+ROUND((ROUND(((((EU194*1.25)*1.2))*AV194*1),2)*BS194),2))*AU194)/100),2)+ROUND(((ROUND((ROUND(((AE194-(((EU194*1.25)*1.2)))*AV194*1),2)*BS194),2)*AU194)/100),2))</f>
        <v>14122.3</v>
      </c>
      <c r="DB194" s="3">
        <v>69</v>
      </c>
      <c r="DC194" s="3" t="s">
        <v>3</v>
      </c>
      <c r="DD194" s="3" t="s">
        <v>77</v>
      </c>
      <c r="DE194" s="3" t="s">
        <v>78</v>
      </c>
      <c r="DF194" s="3" t="s">
        <v>78</v>
      </c>
      <c r="DG194" s="3" t="s">
        <v>79</v>
      </c>
      <c r="DH194" s="3" t="s">
        <v>3</v>
      </c>
      <c r="DI194" s="3" t="s">
        <v>79</v>
      </c>
      <c r="DJ194" s="3" t="s">
        <v>78</v>
      </c>
      <c r="DK194" s="3" t="s">
        <v>3</v>
      </c>
      <c r="DL194" s="3" t="s">
        <v>3</v>
      </c>
      <c r="DM194" s="3" t="s">
        <v>3</v>
      </c>
      <c r="DN194" s="3">
        <v>0</v>
      </c>
      <c r="DO194" s="3">
        <v>0</v>
      </c>
      <c r="DP194" s="3">
        <v>1</v>
      </c>
      <c r="DQ194" s="3">
        <v>1</v>
      </c>
      <c r="DU194" s="3">
        <v>1013</v>
      </c>
      <c r="DV194" s="3" t="s">
        <v>23</v>
      </c>
      <c r="DW194" s="3" t="s">
        <v>23</v>
      </c>
      <c r="DX194" s="3">
        <v>1</v>
      </c>
      <c r="DZ194" s="3" t="s">
        <v>3</v>
      </c>
      <c r="EA194" s="3" t="s">
        <v>3</v>
      </c>
      <c r="EB194" s="3" t="s">
        <v>3</v>
      </c>
      <c r="EC194" s="3" t="s">
        <v>3</v>
      </c>
      <c r="EE194" s="3">
        <v>85133369</v>
      </c>
      <c r="EF194" s="3">
        <v>30</v>
      </c>
      <c r="EG194" s="3" t="s">
        <v>49</v>
      </c>
      <c r="EH194" s="3">
        <v>0</v>
      </c>
      <c r="EI194" s="3" t="s">
        <v>3</v>
      </c>
      <c r="EJ194" s="3">
        <v>1</v>
      </c>
      <c r="EK194" s="3">
        <v>23</v>
      </c>
      <c r="EL194" s="3" t="s">
        <v>50</v>
      </c>
      <c r="EM194" s="3" t="s">
        <v>51</v>
      </c>
      <c r="EO194" s="3" t="s">
        <v>80</v>
      </c>
      <c r="EQ194" s="3">
        <v>0</v>
      </c>
      <c r="ER194" s="3">
        <v>31.78</v>
      </c>
      <c r="ES194" s="3">
        <v>3.61</v>
      </c>
      <c r="ET194" s="3">
        <v>8.57</v>
      </c>
      <c r="EU194" s="3">
        <v>1.1000000000000001</v>
      </c>
      <c r="EV194" s="3">
        <v>19.600000000000001</v>
      </c>
      <c r="EW194" s="3">
        <v>1.59</v>
      </c>
      <c r="EX194" s="3">
        <v>0</v>
      </c>
      <c r="EY194" s="3">
        <v>0</v>
      </c>
      <c r="FQ194" s="3">
        <v>0</v>
      </c>
      <c r="FR194" s="3">
        <v>0</v>
      </c>
      <c r="FS194" s="3">
        <v>0</v>
      </c>
      <c r="FX194" s="3">
        <v>121</v>
      </c>
      <c r="FY194" s="3">
        <v>72</v>
      </c>
      <c r="GA194" s="3" t="s">
        <v>3</v>
      </c>
      <c r="GD194" s="3">
        <v>1</v>
      </c>
      <c r="GF194" s="3">
        <v>-1383052773</v>
      </c>
      <c r="GG194" s="3">
        <v>2</v>
      </c>
      <c r="GH194" s="3">
        <v>1</v>
      </c>
      <c r="GI194" s="3">
        <v>2</v>
      </c>
      <c r="GJ194" s="3">
        <v>0</v>
      </c>
      <c r="GK194" s="3">
        <v>0</v>
      </c>
      <c r="GL194" s="3">
        <f t="shared" si="201"/>
        <v>0</v>
      </c>
      <c r="GM194" s="3">
        <f t="shared" si="202"/>
        <v>62388.11</v>
      </c>
      <c r="GN194" s="3">
        <f t="shared" si="203"/>
        <v>62388.11</v>
      </c>
      <c r="GO194" s="3">
        <f t="shared" si="204"/>
        <v>0</v>
      </c>
      <c r="GP194" s="3">
        <f t="shared" si="205"/>
        <v>0</v>
      </c>
      <c r="GR194" s="3">
        <v>0</v>
      </c>
      <c r="GS194" s="3">
        <v>3</v>
      </c>
      <c r="GT194" s="3">
        <v>0</v>
      </c>
      <c r="GU194" s="3" t="s">
        <v>3</v>
      </c>
      <c r="GV194" s="3">
        <f t="shared" si="206"/>
        <v>0</v>
      </c>
      <c r="GW194" s="3">
        <v>1</v>
      </c>
      <c r="GX194" s="3">
        <f t="shared" si="207"/>
        <v>0</v>
      </c>
      <c r="HA194" s="3">
        <v>0</v>
      </c>
      <c r="HB194" s="3">
        <v>0</v>
      </c>
      <c r="HC194" s="3">
        <f t="shared" si="208"/>
        <v>0</v>
      </c>
      <c r="HE194" s="3" t="s">
        <v>3</v>
      </c>
      <c r="HF194" s="3" t="s">
        <v>3</v>
      </c>
      <c r="HM194" s="3" t="s">
        <v>3</v>
      </c>
      <c r="HN194" s="3" t="s">
        <v>3</v>
      </c>
      <c r="HO194" s="3" t="s">
        <v>3</v>
      </c>
      <c r="HP194" s="3" t="s">
        <v>3</v>
      </c>
      <c r="HQ194" s="3" t="s">
        <v>3</v>
      </c>
      <c r="HS194" s="3">
        <v>0</v>
      </c>
      <c r="IK194" s="3">
        <v>0</v>
      </c>
    </row>
    <row r="195" spans="1:255" x14ac:dyDescent="0.2">
      <c r="A195" s="2">
        <v>18</v>
      </c>
      <c r="B195" s="2">
        <v>1</v>
      </c>
      <c r="C195" s="2">
        <v>441</v>
      </c>
      <c r="D195" s="2"/>
      <c r="E195" s="2" t="s">
        <v>381</v>
      </c>
      <c r="F195" s="2" t="s">
        <v>382</v>
      </c>
      <c r="G195" s="2" t="s">
        <v>383</v>
      </c>
      <c r="H195" s="2" t="s">
        <v>99</v>
      </c>
      <c r="I195" s="2">
        <f>I193*J195</f>
        <v>12</v>
      </c>
      <c r="J195" s="2">
        <v>1</v>
      </c>
      <c r="K195" s="2">
        <v>1</v>
      </c>
      <c r="L195" s="2"/>
      <c r="M195" s="2"/>
      <c r="N195" s="2"/>
      <c r="O195" s="2">
        <f t="shared" si="184"/>
        <v>1588.56</v>
      </c>
      <c r="P195" s="2">
        <f t="shared" si="185"/>
        <v>1588.56</v>
      </c>
      <c r="Q195" s="2">
        <f>(ROUND((ROUND(((ET195)*AV195*I195),2)*BB195),2)+ROUND((ROUND(((AE195-(EU195))*AV195*I195),2)*BS195),2))</f>
        <v>0</v>
      </c>
      <c r="R195" s="2">
        <f>(ROUND((ROUND(((EU195)*AV195*I195),2)*BS195),2)+ROUND((ROUND(((AE195-(EU195))*AV195*I195),2)*BS195),2))</f>
        <v>0</v>
      </c>
      <c r="S195" s="2">
        <f t="shared" si="186"/>
        <v>0</v>
      </c>
      <c r="T195" s="2">
        <f t="shared" si="187"/>
        <v>0</v>
      </c>
      <c r="U195" s="2">
        <f t="shared" si="188"/>
        <v>0</v>
      </c>
      <c r="V195" s="2">
        <f t="shared" si="189"/>
        <v>0</v>
      </c>
      <c r="W195" s="2">
        <f t="shared" si="190"/>
        <v>0</v>
      </c>
      <c r="X195" s="2">
        <f>(ROUND((((S195+ROUND((ROUND(((EU195)*AV195*I195),2)*BS195),2))*AT195)/100),2)+ROUND(((ROUND((ROUND(((AE195-(EU195))*AV195*I195),2)*BS195),2)*AT195)/100),2))</f>
        <v>0</v>
      </c>
      <c r="Y195" s="2">
        <f>(ROUND((((S195+ROUND((ROUND(((EU195)*AV195*I195),2)*BS195),2))*AU195)/100),2)+ROUND(((ROUND((ROUND(((AE195-(EU195))*AV195*I195),2)*BS195),2)*AU195)/100),2))</f>
        <v>0</v>
      </c>
      <c r="Z195" s="2"/>
      <c r="AA195" s="2">
        <v>85739205</v>
      </c>
      <c r="AB195" s="2">
        <f t="shared" si="191"/>
        <v>132.38</v>
      </c>
      <c r="AC195" s="2">
        <f>ROUND((ES195),6)</f>
        <v>132.38</v>
      </c>
      <c r="AD195" s="2">
        <f>ROUND((((ET195)-(EU195))+AE195),6)</f>
        <v>0</v>
      </c>
      <c r="AE195" s="2">
        <f>ROUND((EU195),6)</f>
        <v>0</v>
      </c>
      <c r="AF195" s="2">
        <f>ROUND((EV195),6)</f>
        <v>0</v>
      </c>
      <c r="AG195" s="2">
        <f t="shared" si="192"/>
        <v>0</v>
      </c>
      <c r="AH195" s="2">
        <f>(EW195)</f>
        <v>0</v>
      </c>
      <c r="AI195" s="2">
        <f>(EX195)</f>
        <v>0</v>
      </c>
      <c r="AJ195" s="2">
        <f t="shared" si="193"/>
        <v>0</v>
      </c>
      <c r="AK195" s="2">
        <v>132.38</v>
      </c>
      <c r="AL195" s="2">
        <v>132.38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121</v>
      </c>
      <c r="AU195" s="2">
        <v>72</v>
      </c>
      <c r="AV195" s="2">
        <v>1</v>
      </c>
      <c r="AW195" s="2">
        <v>1</v>
      </c>
      <c r="AX195" s="2"/>
      <c r="AY195" s="2"/>
      <c r="AZ195" s="2">
        <v>1</v>
      </c>
      <c r="BA195" s="2">
        <v>1</v>
      </c>
      <c r="BB195" s="2">
        <v>1</v>
      </c>
      <c r="BC195" s="2">
        <v>1</v>
      </c>
      <c r="BD195" s="2" t="s">
        <v>3</v>
      </c>
      <c r="BE195" s="2" t="s">
        <v>3</v>
      </c>
      <c r="BF195" s="2" t="s">
        <v>3</v>
      </c>
      <c r="BG195" s="2" t="s">
        <v>3</v>
      </c>
      <c r="BH195" s="2">
        <v>3</v>
      </c>
      <c r="BI195" s="2">
        <v>1</v>
      </c>
      <c r="BJ195" s="2" t="s">
        <v>384</v>
      </c>
      <c r="BK195" s="2"/>
      <c r="BL195" s="2"/>
      <c r="BM195" s="2">
        <v>23</v>
      </c>
      <c r="BN195" s="2">
        <v>0</v>
      </c>
      <c r="BO195" s="2" t="s">
        <v>3</v>
      </c>
      <c r="BP195" s="2">
        <v>0</v>
      </c>
      <c r="BQ195" s="2">
        <v>30</v>
      </c>
      <c r="BR195" s="2">
        <v>0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 t="s">
        <v>3</v>
      </c>
      <c r="BZ195" s="2">
        <v>121</v>
      </c>
      <c r="CA195" s="2">
        <v>72</v>
      </c>
      <c r="CB195" s="2" t="s">
        <v>3</v>
      </c>
      <c r="CC195" s="2"/>
      <c r="CD195" s="2"/>
      <c r="CE195" s="2">
        <v>1566</v>
      </c>
      <c r="CF195" s="2">
        <v>0</v>
      </c>
      <c r="CG195" s="2">
        <v>0</v>
      </c>
      <c r="CH195" s="2"/>
      <c r="CI195" s="2"/>
      <c r="CJ195" s="2"/>
      <c r="CK195" s="2"/>
      <c r="CL195" s="2"/>
      <c r="CM195" s="2">
        <v>0</v>
      </c>
      <c r="CN195" s="2" t="s">
        <v>680</v>
      </c>
      <c r="CO195" s="2">
        <v>0</v>
      </c>
      <c r="CP195" s="2">
        <f t="shared" si="194"/>
        <v>1588.56</v>
      </c>
      <c r="CQ195" s="2">
        <f t="shared" si="195"/>
        <v>132.38</v>
      </c>
      <c r="CR195" s="2">
        <f>(ROUND((ROUND(((ET195)*AV195*1),2)*BB195),2)+ROUND((ROUND(((AE195-(EU195))*AV195*1),2)*BS195),2))</f>
        <v>0</v>
      </c>
      <c r="CS195" s="2">
        <f>(ROUND((ROUND(((EU195)*AV195*1),2)*BS195),2)+ROUND((ROUND(((AE195-(EU195))*AV195*1),2)*BS195),2))</f>
        <v>0</v>
      </c>
      <c r="CT195" s="2">
        <f t="shared" si="196"/>
        <v>0</v>
      </c>
      <c r="CU195" s="2">
        <f t="shared" si="197"/>
        <v>0</v>
      </c>
      <c r="CV195" s="2">
        <f t="shared" si="198"/>
        <v>0</v>
      </c>
      <c r="CW195" s="2">
        <f t="shared" si="199"/>
        <v>0</v>
      </c>
      <c r="CX195" s="2">
        <f t="shared" si="200"/>
        <v>0</v>
      </c>
      <c r="CY195" s="2">
        <f>(ROUND((((S195+ROUND((ROUND(((EU195)*AV195*1),2)*BS195),2))*AT195)/100),2)+ROUND(((ROUND((ROUND(((AE195-(EU195))*AV195*1),2)*BS195),2)*AT195)/100),2))</f>
        <v>0</v>
      </c>
      <c r="CZ195" s="2">
        <f>(ROUND((((S195+ROUND((ROUND(((EU195)*AV195*1),2)*BS195),2))*AU195)/100),2)+ROUND(((ROUND((ROUND(((AE195-(EU195))*AV195*1),2)*BS195),2)*AU195)/100),2))</f>
        <v>0</v>
      </c>
      <c r="DA195" s="2"/>
      <c r="DB195" s="2"/>
      <c r="DC195" s="2" t="s">
        <v>3</v>
      </c>
      <c r="DD195" s="2" t="s">
        <v>3</v>
      </c>
      <c r="DE195" s="2" t="s">
        <v>3</v>
      </c>
      <c r="DF195" s="2" t="s">
        <v>3</v>
      </c>
      <c r="DG195" s="2" t="s">
        <v>3</v>
      </c>
      <c r="DH195" s="2" t="s">
        <v>3</v>
      </c>
      <c r="DI195" s="2" t="s">
        <v>3</v>
      </c>
      <c r="DJ195" s="2" t="s">
        <v>3</v>
      </c>
      <c r="DK195" s="2" t="s">
        <v>3</v>
      </c>
      <c r="DL195" s="2" t="s">
        <v>3</v>
      </c>
      <c r="DM195" s="2" t="s">
        <v>3</v>
      </c>
      <c r="DN195" s="2">
        <v>0</v>
      </c>
      <c r="DO195" s="2">
        <v>0</v>
      </c>
      <c r="DP195" s="2">
        <v>1</v>
      </c>
      <c r="DQ195" s="2">
        <v>1</v>
      </c>
      <c r="DR195" s="2"/>
      <c r="DS195" s="2"/>
      <c r="DT195" s="2"/>
      <c r="DU195" s="2">
        <v>1010</v>
      </c>
      <c r="DV195" s="2" t="s">
        <v>99</v>
      </c>
      <c r="DW195" s="2" t="s">
        <v>99</v>
      </c>
      <c r="DX195" s="2">
        <v>1</v>
      </c>
      <c r="DY195" s="2"/>
      <c r="DZ195" s="2" t="s">
        <v>3</v>
      </c>
      <c r="EA195" s="2" t="s">
        <v>3</v>
      </c>
      <c r="EB195" s="2" t="s">
        <v>3</v>
      </c>
      <c r="EC195" s="2" t="s">
        <v>3</v>
      </c>
      <c r="ED195" s="2"/>
      <c r="EE195" s="2">
        <v>85133369</v>
      </c>
      <c r="EF195" s="2">
        <v>30</v>
      </c>
      <c r="EG195" s="2" t="s">
        <v>49</v>
      </c>
      <c r="EH195" s="2">
        <v>0</v>
      </c>
      <c r="EI195" s="2" t="s">
        <v>3</v>
      </c>
      <c r="EJ195" s="2">
        <v>1</v>
      </c>
      <c r="EK195" s="2">
        <v>23</v>
      </c>
      <c r="EL195" s="2" t="s">
        <v>50</v>
      </c>
      <c r="EM195" s="2" t="s">
        <v>51</v>
      </c>
      <c r="EN195" s="2"/>
      <c r="EO195" s="2" t="s">
        <v>248</v>
      </c>
      <c r="EP195" s="2"/>
      <c r="EQ195" s="2">
        <v>0</v>
      </c>
      <c r="ER195" s="2">
        <v>132.38</v>
      </c>
      <c r="ES195" s="2">
        <v>132.38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>
        <v>0</v>
      </c>
      <c r="FR195" s="2">
        <v>0</v>
      </c>
      <c r="FS195" s="2">
        <v>0</v>
      </c>
      <c r="FT195" s="2"/>
      <c r="FU195" s="2"/>
      <c r="FV195" s="2"/>
      <c r="FW195" s="2"/>
      <c r="FX195" s="2">
        <v>121</v>
      </c>
      <c r="FY195" s="2">
        <v>72</v>
      </c>
      <c r="FZ195" s="2"/>
      <c r="GA195" s="2" t="s">
        <v>3</v>
      </c>
      <c r="GB195" s="2"/>
      <c r="GC195" s="2"/>
      <c r="GD195" s="2">
        <v>1</v>
      </c>
      <c r="GE195" s="2"/>
      <c r="GF195" s="2">
        <v>-1809205533</v>
      </c>
      <c r="GG195" s="2">
        <v>2</v>
      </c>
      <c r="GH195" s="2">
        <v>1</v>
      </c>
      <c r="GI195" s="2">
        <v>-2</v>
      </c>
      <c r="GJ195" s="2">
        <v>0</v>
      </c>
      <c r="GK195" s="2">
        <v>0</v>
      </c>
      <c r="GL195" s="2">
        <f t="shared" si="201"/>
        <v>0</v>
      </c>
      <c r="GM195" s="2">
        <f t="shared" si="202"/>
        <v>1588.56</v>
      </c>
      <c r="GN195" s="2">
        <f t="shared" si="203"/>
        <v>1588.56</v>
      </c>
      <c r="GO195" s="2">
        <f t="shared" si="204"/>
        <v>0</v>
      </c>
      <c r="GP195" s="2">
        <f t="shared" si="205"/>
        <v>0</v>
      </c>
      <c r="GQ195" s="2"/>
      <c r="GR195" s="2">
        <v>0</v>
      </c>
      <c r="GS195" s="2">
        <v>3</v>
      </c>
      <c r="GT195" s="2">
        <v>0</v>
      </c>
      <c r="GU195" s="2" t="s">
        <v>3</v>
      </c>
      <c r="GV195" s="2">
        <f t="shared" si="206"/>
        <v>0</v>
      </c>
      <c r="GW195" s="2">
        <v>1</v>
      </c>
      <c r="GX195" s="2">
        <f t="shared" si="207"/>
        <v>0</v>
      </c>
      <c r="GY195" s="2"/>
      <c r="GZ195" s="2"/>
      <c r="HA195" s="2">
        <v>0</v>
      </c>
      <c r="HB195" s="2">
        <v>0</v>
      </c>
      <c r="HC195" s="2">
        <f t="shared" si="208"/>
        <v>0</v>
      </c>
      <c r="HD195" s="2"/>
      <c r="HE195" s="2" t="s">
        <v>3</v>
      </c>
      <c r="HF195" s="2" t="s">
        <v>3</v>
      </c>
      <c r="HG195" s="2"/>
      <c r="HH195" s="2"/>
      <c r="HI195" s="2"/>
      <c r="HJ195" s="2"/>
      <c r="HK195" s="2"/>
      <c r="HL195" s="2"/>
      <c r="HM195" s="2" t="s">
        <v>77</v>
      </c>
      <c r="HN195" s="2" t="s">
        <v>3</v>
      </c>
      <c r="HO195" s="2" t="s">
        <v>3</v>
      </c>
      <c r="HP195" s="2" t="s">
        <v>3</v>
      </c>
      <c r="HQ195" s="2" t="s">
        <v>3</v>
      </c>
      <c r="HR195" s="2"/>
      <c r="HS195" s="2">
        <v>0</v>
      </c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>
        <v>0</v>
      </c>
      <c r="IL195" s="2"/>
      <c r="IM195" s="2"/>
      <c r="IN195" s="2"/>
      <c r="IO195" s="2"/>
      <c r="IP195" s="2"/>
      <c r="IQ195" s="2"/>
      <c r="IR195" s="2"/>
      <c r="IS195" s="2"/>
      <c r="IT195" s="2"/>
      <c r="IU195" s="2"/>
    </row>
    <row r="196" spans="1:255" x14ac:dyDescent="0.2">
      <c r="A196" s="3">
        <v>18</v>
      </c>
      <c r="B196" s="3">
        <v>1</v>
      </c>
      <c r="C196" s="3">
        <v>449</v>
      </c>
      <c r="E196" s="3" t="s">
        <v>381</v>
      </c>
      <c r="F196" s="3" t="s">
        <v>382</v>
      </c>
      <c r="G196" s="3" t="s">
        <v>383</v>
      </c>
      <c r="H196" s="3" t="s">
        <v>99</v>
      </c>
      <c r="I196" s="3">
        <f>I194*J196</f>
        <v>12</v>
      </c>
      <c r="J196" s="3">
        <v>1</v>
      </c>
      <c r="K196" s="3">
        <v>1</v>
      </c>
      <c r="O196" s="3">
        <f t="shared" si="184"/>
        <v>10039.700000000001</v>
      </c>
      <c r="P196" s="3">
        <f t="shared" si="185"/>
        <v>10039.700000000001</v>
      </c>
      <c r="Q196" s="3">
        <f>(ROUND((ROUND(((ET196)*AV196*I196),2)*BB196),2)+ROUND((ROUND(((AE196-(EU196))*AV196*I196),2)*BS196),2))</f>
        <v>0</v>
      </c>
      <c r="R196" s="3">
        <f>(ROUND((ROUND(((EU196)*AV196*I196),2)*BS196),2)+ROUND((ROUND(((AE196-(EU196))*AV196*I196),2)*BS196),2))</f>
        <v>0</v>
      </c>
      <c r="S196" s="3">
        <f t="shared" si="186"/>
        <v>0</v>
      </c>
      <c r="T196" s="3">
        <f t="shared" si="187"/>
        <v>0</v>
      </c>
      <c r="U196" s="3">
        <f t="shared" si="188"/>
        <v>0</v>
      </c>
      <c r="V196" s="3">
        <f t="shared" si="189"/>
        <v>0</v>
      </c>
      <c r="W196" s="3">
        <f t="shared" si="190"/>
        <v>0</v>
      </c>
      <c r="X196" s="3">
        <f>(ROUND((((S196+ROUND((ROUND(((EU196)*AV196*I196),2)*BS196),2))*AT196)/100),2)+ROUND(((ROUND((ROUND(((AE196-(EU196))*AV196*I196),2)*BS196),2)*AT196)/100),2))</f>
        <v>0</v>
      </c>
      <c r="Y196" s="3">
        <f>(ROUND((((S196+ROUND((ROUND(((EU196)*AV196*I196),2)*BS196),2))*AU196)/100),2)+ROUND(((ROUND((ROUND(((AE196-(EU196))*AV196*I196),2)*BS196),2)*AU196)/100),2))</f>
        <v>0</v>
      </c>
      <c r="AA196" s="3">
        <v>85739207</v>
      </c>
      <c r="AB196" s="3">
        <f t="shared" si="191"/>
        <v>132.38</v>
      </c>
      <c r="AC196" s="3">
        <f>ROUND((ES196),6)</f>
        <v>132.38</v>
      </c>
      <c r="AD196" s="3">
        <f>ROUND((((ET196)-(EU196))+AE196),6)</f>
        <v>0</v>
      </c>
      <c r="AE196" s="3">
        <f>ROUND((EU196),6)</f>
        <v>0</v>
      </c>
      <c r="AF196" s="3">
        <f>ROUND((EV196),6)</f>
        <v>0</v>
      </c>
      <c r="AG196" s="3">
        <f t="shared" si="192"/>
        <v>0</v>
      </c>
      <c r="AH196" s="3">
        <f>(EW196)</f>
        <v>0</v>
      </c>
      <c r="AI196" s="3">
        <f>(EX196)</f>
        <v>0</v>
      </c>
      <c r="AJ196" s="3">
        <f t="shared" si="193"/>
        <v>0</v>
      </c>
      <c r="AK196" s="3">
        <v>132.38</v>
      </c>
      <c r="AL196" s="3">
        <v>132.38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121</v>
      </c>
      <c r="AU196" s="3">
        <v>72</v>
      </c>
      <c r="AV196" s="3">
        <v>1</v>
      </c>
      <c r="AW196" s="3">
        <v>1</v>
      </c>
      <c r="AZ196" s="3">
        <v>1</v>
      </c>
      <c r="BA196" s="3">
        <v>1</v>
      </c>
      <c r="BB196" s="3">
        <v>1</v>
      </c>
      <c r="BC196" s="3">
        <v>6.32</v>
      </c>
      <c r="BD196" s="3" t="s">
        <v>3</v>
      </c>
      <c r="BE196" s="3" t="s">
        <v>3</v>
      </c>
      <c r="BF196" s="3" t="s">
        <v>3</v>
      </c>
      <c r="BG196" s="3" t="s">
        <v>3</v>
      </c>
      <c r="BH196" s="3">
        <v>3</v>
      </c>
      <c r="BI196" s="3">
        <v>1</v>
      </c>
      <c r="BJ196" s="3" t="s">
        <v>384</v>
      </c>
      <c r="BM196" s="3">
        <v>23</v>
      </c>
      <c r="BN196" s="3">
        <v>0</v>
      </c>
      <c r="BO196" s="3" t="s">
        <v>382</v>
      </c>
      <c r="BP196" s="3">
        <v>1</v>
      </c>
      <c r="BQ196" s="3">
        <v>30</v>
      </c>
      <c r="BR196" s="3">
        <v>0</v>
      </c>
      <c r="BS196" s="3">
        <v>1</v>
      </c>
      <c r="BT196" s="3">
        <v>1</v>
      </c>
      <c r="BU196" s="3">
        <v>1</v>
      </c>
      <c r="BV196" s="3">
        <v>1</v>
      </c>
      <c r="BW196" s="3">
        <v>1</v>
      </c>
      <c r="BX196" s="3">
        <v>1</v>
      </c>
      <c r="BY196" s="3" t="s">
        <v>3</v>
      </c>
      <c r="BZ196" s="3">
        <v>121</v>
      </c>
      <c r="CA196" s="3">
        <v>72</v>
      </c>
      <c r="CB196" s="3" t="s">
        <v>3</v>
      </c>
      <c r="CE196" s="3">
        <v>1566</v>
      </c>
      <c r="CF196" s="3">
        <v>0</v>
      </c>
      <c r="CG196" s="3">
        <v>0</v>
      </c>
      <c r="CM196" s="3">
        <v>0</v>
      </c>
      <c r="CN196" s="3" t="s">
        <v>680</v>
      </c>
      <c r="CO196" s="3">
        <v>0</v>
      </c>
      <c r="CP196" s="3">
        <f t="shared" si="194"/>
        <v>10039.700000000001</v>
      </c>
      <c r="CQ196" s="3">
        <f t="shared" si="195"/>
        <v>836.64</v>
      </c>
      <c r="CR196" s="3">
        <f>(ROUND((ROUND(((ET196)*AV196*1),2)*BB196),2)+ROUND((ROUND(((AE196-(EU196))*AV196*1),2)*BS196),2))</f>
        <v>0</v>
      </c>
      <c r="CS196" s="3">
        <f>(ROUND((ROUND(((EU196)*AV196*1),2)*BS196),2)+ROUND((ROUND(((AE196-(EU196))*AV196*1),2)*BS196),2))</f>
        <v>0</v>
      </c>
      <c r="CT196" s="3">
        <f t="shared" si="196"/>
        <v>0</v>
      </c>
      <c r="CU196" s="3">
        <f t="shared" si="197"/>
        <v>0</v>
      </c>
      <c r="CV196" s="3">
        <f t="shared" si="198"/>
        <v>0</v>
      </c>
      <c r="CW196" s="3">
        <f t="shared" si="199"/>
        <v>0</v>
      </c>
      <c r="CX196" s="3">
        <f t="shared" si="200"/>
        <v>0</v>
      </c>
      <c r="CY196" s="3">
        <f>(ROUND((((S196+ROUND((ROUND(((EU196)*AV196*1),2)*BS196),2))*AT196)/100),2)+ROUND(((ROUND((ROUND(((AE196-(EU196))*AV196*1),2)*BS196),2)*AT196)/100),2))</f>
        <v>0</v>
      </c>
      <c r="CZ196" s="3">
        <f>(ROUND((((S196+ROUND((ROUND(((EU196)*AV196*1),2)*BS196),2))*AU196)/100),2)+ROUND(((ROUND((ROUND(((AE196-(EU196))*AV196*1),2)*BS196),2)*AU196)/100),2))</f>
        <v>0</v>
      </c>
      <c r="DC196" s="3" t="s">
        <v>3</v>
      </c>
      <c r="DD196" s="3" t="s">
        <v>3</v>
      </c>
      <c r="DE196" s="3" t="s">
        <v>3</v>
      </c>
      <c r="DF196" s="3" t="s">
        <v>3</v>
      </c>
      <c r="DG196" s="3" t="s">
        <v>3</v>
      </c>
      <c r="DH196" s="3" t="s">
        <v>3</v>
      </c>
      <c r="DI196" s="3" t="s">
        <v>3</v>
      </c>
      <c r="DJ196" s="3" t="s">
        <v>3</v>
      </c>
      <c r="DK196" s="3" t="s">
        <v>3</v>
      </c>
      <c r="DL196" s="3" t="s">
        <v>3</v>
      </c>
      <c r="DM196" s="3" t="s">
        <v>3</v>
      </c>
      <c r="DN196" s="3">
        <v>0</v>
      </c>
      <c r="DO196" s="3">
        <v>0</v>
      </c>
      <c r="DP196" s="3">
        <v>1</v>
      </c>
      <c r="DQ196" s="3">
        <v>1</v>
      </c>
      <c r="DU196" s="3">
        <v>1010</v>
      </c>
      <c r="DV196" s="3" t="s">
        <v>99</v>
      </c>
      <c r="DW196" s="3" t="s">
        <v>99</v>
      </c>
      <c r="DX196" s="3">
        <v>1</v>
      </c>
      <c r="DZ196" s="3" t="s">
        <v>3</v>
      </c>
      <c r="EA196" s="3" t="s">
        <v>3</v>
      </c>
      <c r="EB196" s="3" t="s">
        <v>3</v>
      </c>
      <c r="EC196" s="3" t="s">
        <v>3</v>
      </c>
      <c r="EE196" s="3">
        <v>85133369</v>
      </c>
      <c r="EF196" s="3">
        <v>30</v>
      </c>
      <c r="EG196" s="3" t="s">
        <v>49</v>
      </c>
      <c r="EH196" s="3">
        <v>0</v>
      </c>
      <c r="EI196" s="3" t="s">
        <v>3</v>
      </c>
      <c r="EJ196" s="3">
        <v>1</v>
      </c>
      <c r="EK196" s="3">
        <v>23</v>
      </c>
      <c r="EL196" s="3" t="s">
        <v>50</v>
      </c>
      <c r="EM196" s="3" t="s">
        <v>51</v>
      </c>
      <c r="EO196" s="3" t="s">
        <v>248</v>
      </c>
      <c r="EQ196" s="3">
        <v>0</v>
      </c>
      <c r="ER196" s="3">
        <v>132.38</v>
      </c>
      <c r="ES196" s="3">
        <v>132.38</v>
      </c>
      <c r="ET196" s="3">
        <v>0</v>
      </c>
      <c r="EU196" s="3">
        <v>0</v>
      </c>
      <c r="EV196" s="3">
        <v>0</v>
      </c>
      <c r="EW196" s="3">
        <v>0</v>
      </c>
      <c r="EX196" s="3">
        <v>0</v>
      </c>
      <c r="FQ196" s="3">
        <v>0</v>
      </c>
      <c r="FR196" s="3">
        <v>0</v>
      </c>
      <c r="FS196" s="3">
        <v>0</v>
      </c>
      <c r="FX196" s="3">
        <v>121</v>
      </c>
      <c r="FY196" s="3">
        <v>72</v>
      </c>
      <c r="GA196" s="3" t="s">
        <v>3</v>
      </c>
      <c r="GD196" s="3">
        <v>1</v>
      </c>
      <c r="GF196" s="3">
        <v>-1809205533</v>
      </c>
      <c r="GG196" s="3">
        <v>2</v>
      </c>
      <c r="GH196" s="3">
        <v>1</v>
      </c>
      <c r="GI196" s="3">
        <v>2</v>
      </c>
      <c r="GJ196" s="3">
        <v>0</v>
      </c>
      <c r="GK196" s="3">
        <v>0</v>
      </c>
      <c r="GL196" s="3">
        <f t="shared" si="201"/>
        <v>0</v>
      </c>
      <c r="GM196" s="3">
        <f t="shared" si="202"/>
        <v>10039.700000000001</v>
      </c>
      <c r="GN196" s="3">
        <f t="shared" si="203"/>
        <v>10039.700000000001</v>
      </c>
      <c r="GO196" s="3">
        <f t="shared" si="204"/>
        <v>0</v>
      </c>
      <c r="GP196" s="3">
        <f t="shared" si="205"/>
        <v>0</v>
      </c>
      <c r="GR196" s="3">
        <v>0</v>
      </c>
      <c r="GS196" s="3">
        <v>3</v>
      </c>
      <c r="GT196" s="3">
        <v>0</v>
      </c>
      <c r="GU196" s="3" t="s">
        <v>3</v>
      </c>
      <c r="GV196" s="3">
        <f t="shared" si="206"/>
        <v>0</v>
      </c>
      <c r="GW196" s="3">
        <v>1</v>
      </c>
      <c r="GX196" s="3">
        <f t="shared" si="207"/>
        <v>0</v>
      </c>
      <c r="HA196" s="3">
        <v>0</v>
      </c>
      <c r="HB196" s="3">
        <v>0</v>
      </c>
      <c r="HC196" s="3">
        <f t="shared" si="208"/>
        <v>0</v>
      </c>
      <c r="HE196" s="3" t="s">
        <v>3</v>
      </c>
      <c r="HF196" s="3" t="s">
        <v>3</v>
      </c>
      <c r="HM196" s="3" t="s">
        <v>77</v>
      </c>
      <c r="HN196" s="3" t="s">
        <v>3</v>
      </c>
      <c r="HO196" s="3" t="s">
        <v>3</v>
      </c>
      <c r="HP196" s="3" t="s">
        <v>3</v>
      </c>
      <c r="HQ196" s="3" t="s">
        <v>3</v>
      </c>
      <c r="HS196" s="3">
        <v>0</v>
      </c>
      <c r="IK196" s="3">
        <v>0</v>
      </c>
    </row>
    <row r="197" spans="1:255" x14ac:dyDescent="0.2">
      <c r="A197" s="2">
        <v>17</v>
      </c>
      <c r="B197" s="2">
        <v>1</v>
      </c>
      <c r="C197" s="2">
        <f>ROW(SmtRes!A457)</f>
        <v>457</v>
      </c>
      <c r="D197" s="2">
        <f>ROW(EtalonRes!A474)</f>
        <v>474</v>
      </c>
      <c r="E197" s="2" t="s">
        <v>385</v>
      </c>
      <c r="F197" s="2" t="s">
        <v>386</v>
      </c>
      <c r="G197" s="2" t="s">
        <v>387</v>
      </c>
      <c r="H197" s="2" t="s">
        <v>23</v>
      </c>
      <c r="I197" s="2">
        <f>ROUND(12,9)</f>
        <v>12</v>
      </c>
      <c r="J197" s="2">
        <v>0</v>
      </c>
      <c r="K197" s="2">
        <f>ROUND(12,9)</f>
        <v>12</v>
      </c>
      <c r="L197" s="2"/>
      <c r="M197" s="2"/>
      <c r="N197" s="2"/>
      <c r="O197" s="2">
        <f t="shared" si="184"/>
        <v>629.84</v>
      </c>
      <c r="P197" s="2">
        <f t="shared" si="185"/>
        <v>257.04000000000002</v>
      </c>
      <c r="Q197" s="2">
        <f>(ROUND((ROUND(((((ET197*1.25)*1.2))*AV197*I197),2)*BB197),2)+ROUND((ROUND(((AE197-(((EU197*1.25)*1.2)))*AV197*I197),2)*BS197),2))</f>
        <v>63.76</v>
      </c>
      <c r="R197" s="2">
        <f>(ROUND((ROUND(((((EU197*1.25)*1.2))*AV197*I197),2)*BS197),2)+ROUND((ROUND(((AE197-(((EU197*1.25)*1.2)))*AV197*I197),2)*BS197),2))</f>
        <v>2.5</v>
      </c>
      <c r="S197" s="2">
        <f t="shared" si="186"/>
        <v>309.04000000000002</v>
      </c>
      <c r="T197" s="2">
        <f t="shared" si="187"/>
        <v>0</v>
      </c>
      <c r="U197" s="2">
        <f t="shared" si="188"/>
        <v>25.974194400000002</v>
      </c>
      <c r="V197" s="2">
        <f t="shared" si="189"/>
        <v>0</v>
      </c>
      <c r="W197" s="2">
        <f t="shared" si="190"/>
        <v>0</v>
      </c>
      <c r="X197" s="2">
        <f>(ROUND((((S197+ROUND((ROUND(((((EU197*1.25)*1.2))*AV197*I197),2)*BS197),2))*AT197)/100),2)+ROUND(((ROUND((ROUND(((AE197-(((EU197*1.25)*1.2)))*AV197*I197),2)*BS197),2)*AT197)/100),2))</f>
        <v>376.96</v>
      </c>
      <c r="Y197" s="2">
        <f>(ROUND((((S197+ROUND((ROUND(((((EU197*1.25)*1.2))*AV197*I197),2)*BS197),2))*AU197)/100),2)+ROUND(((ROUND((ROUND(((AE197-(((EU197*1.25)*1.2)))*AV197*I197),2)*BS197),2)*AU197)/100),2))</f>
        <v>224.31</v>
      </c>
      <c r="Z197" s="2"/>
      <c r="AA197" s="2">
        <v>85739205</v>
      </c>
      <c r="AB197" s="2">
        <f t="shared" si="191"/>
        <v>50.536200000000001</v>
      </c>
      <c r="AC197" s="2">
        <f>ROUND((((ES197*1)*1)),6)</f>
        <v>21.42</v>
      </c>
      <c r="AD197" s="2">
        <f>ROUND((((((ET197*1.25)*1.2))-(((EU197*1.25)*1.2)))+AE197),6)</f>
        <v>4.9800000000000004</v>
      </c>
      <c r="AE197" s="2">
        <f>ROUND((((EU197*1.25)*1.2)),6)</f>
        <v>0.19500000000000001</v>
      </c>
      <c r="AF197" s="2">
        <f>ROUND((((EV197*1.15)*1.2)),6)</f>
        <v>24.136199999999999</v>
      </c>
      <c r="AG197" s="2">
        <f t="shared" si="192"/>
        <v>0</v>
      </c>
      <c r="AH197" s="2">
        <f>(((EW197*1.15)*1.2))</f>
        <v>2.0286</v>
      </c>
      <c r="AI197" s="2">
        <f>(((EX197*1.25)*1.2))</f>
        <v>0</v>
      </c>
      <c r="AJ197" s="2">
        <f t="shared" si="193"/>
        <v>0</v>
      </c>
      <c r="AK197" s="2">
        <v>42.23</v>
      </c>
      <c r="AL197" s="2">
        <v>21.42</v>
      </c>
      <c r="AM197" s="2">
        <v>3.32</v>
      </c>
      <c r="AN197" s="2">
        <v>0.13</v>
      </c>
      <c r="AO197" s="2">
        <v>17.489999999999998</v>
      </c>
      <c r="AP197" s="2">
        <v>0</v>
      </c>
      <c r="AQ197" s="2">
        <v>1.47</v>
      </c>
      <c r="AR197" s="2">
        <v>0</v>
      </c>
      <c r="AS197" s="2">
        <v>0</v>
      </c>
      <c r="AT197" s="2">
        <v>121</v>
      </c>
      <c r="AU197" s="2">
        <v>72</v>
      </c>
      <c r="AV197" s="2">
        <v>1.0669999999999999</v>
      </c>
      <c r="AW197" s="2">
        <v>1</v>
      </c>
      <c r="AX197" s="2"/>
      <c r="AY197" s="2"/>
      <c r="AZ197" s="2">
        <v>1</v>
      </c>
      <c r="BA197" s="2">
        <v>1</v>
      </c>
      <c r="BB197" s="2">
        <v>1</v>
      </c>
      <c r="BC197" s="2">
        <v>1</v>
      </c>
      <c r="BD197" s="2" t="s">
        <v>3</v>
      </c>
      <c r="BE197" s="2" t="s">
        <v>3</v>
      </c>
      <c r="BF197" s="2" t="s">
        <v>3</v>
      </c>
      <c r="BG197" s="2" t="s">
        <v>3</v>
      </c>
      <c r="BH197" s="2">
        <v>0</v>
      </c>
      <c r="BI197" s="2">
        <v>1</v>
      </c>
      <c r="BJ197" s="2" t="s">
        <v>388</v>
      </c>
      <c r="BK197" s="2"/>
      <c r="BL197" s="2"/>
      <c r="BM197" s="2">
        <v>21</v>
      </c>
      <c r="BN197" s="2">
        <v>0</v>
      </c>
      <c r="BO197" s="2" t="s">
        <v>386</v>
      </c>
      <c r="BP197" s="2">
        <v>1</v>
      </c>
      <c r="BQ197" s="2">
        <v>30</v>
      </c>
      <c r="BR197" s="2">
        <v>0</v>
      </c>
      <c r="BS197" s="2">
        <v>1</v>
      </c>
      <c r="BT197" s="2">
        <v>1</v>
      </c>
      <c r="BU197" s="2">
        <v>1</v>
      </c>
      <c r="BV197" s="2">
        <v>1</v>
      </c>
      <c r="BW197" s="2">
        <v>1</v>
      </c>
      <c r="BX197" s="2">
        <v>1</v>
      </c>
      <c r="BY197" s="2" t="s">
        <v>3</v>
      </c>
      <c r="BZ197" s="2">
        <v>121</v>
      </c>
      <c r="CA197" s="2">
        <v>72</v>
      </c>
      <c r="CB197" s="2" t="s">
        <v>3</v>
      </c>
      <c r="CC197" s="2"/>
      <c r="CD197" s="2"/>
      <c r="CE197" s="2">
        <v>1566</v>
      </c>
      <c r="CF197" s="2">
        <v>0</v>
      </c>
      <c r="CG197" s="2">
        <v>0</v>
      </c>
      <c r="CH197" s="2"/>
      <c r="CI197" s="2"/>
      <c r="CJ197" s="2"/>
      <c r="CK197" s="2"/>
      <c r="CL197" s="2"/>
      <c r="CM197" s="2">
        <v>0</v>
      </c>
      <c r="CN197" s="2" t="s">
        <v>678</v>
      </c>
      <c r="CO197" s="2">
        <v>0</v>
      </c>
      <c r="CP197" s="2">
        <f t="shared" si="194"/>
        <v>629.84</v>
      </c>
      <c r="CQ197" s="2">
        <f t="shared" si="195"/>
        <v>21.42</v>
      </c>
      <c r="CR197" s="2">
        <f>(ROUND((ROUND(((((ET197*1.25)*1.2))*AV197*1),2)*BB197),2)+ROUND((ROUND(((AE197-(((EU197*1.25)*1.2)))*AV197*1),2)*BS197),2))</f>
        <v>5.31</v>
      </c>
      <c r="CS197" s="2">
        <f>(ROUND((ROUND(((((EU197*1.25)*1.2))*AV197*1),2)*BS197),2)+ROUND((ROUND(((AE197-(((EU197*1.25)*1.2)))*AV197*1),2)*BS197),2))</f>
        <v>0.21</v>
      </c>
      <c r="CT197" s="2">
        <f t="shared" si="196"/>
        <v>25.75</v>
      </c>
      <c r="CU197" s="2">
        <f t="shared" si="197"/>
        <v>0</v>
      </c>
      <c r="CV197" s="2">
        <f t="shared" si="198"/>
        <v>2.1645162</v>
      </c>
      <c r="CW197" s="2">
        <f t="shared" si="199"/>
        <v>0</v>
      </c>
      <c r="CX197" s="2">
        <f t="shared" si="200"/>
        <v>0</v>
      </c>
      <c r="CY197" s="2">
        <f>(ROUND((((S197+ROUND((ROUND(((((EU197*1.25)*1.2))*AV197*1),2)*BS197),2))*AT197)/100),2)+ROUND(((ROUND((ROUND(((AE197-(((EU197*1.25)*1.2)))*AV197*1),2)*BS197),2)*AT197)/100),2))</f>
        <v>374.19</v>
      </c>
      <c r="CZ197" s="2">
        <f>(ROUND((((S197+ROUND((ROUND(((((EU197*1.25)*1.2))*AV197*1),2)*BS197),2))*AU197)/100),2)+ROUND(((ROUND((ROUND(((AE197-(((EU197*1.25)*1.2)))*AV197*1),2)*BS197),2)*AU197)/100),2))</f>
        <v>222.66</v>
      </c>
      <c r="DA197" s="2"/>
      <c r="DB197" s="2">
        <v>71</v>
      </c>
      <c r="DC197" s="2" t="s">
        <v>3</v>
      </c>
      <c r="DD197" s="2" t="s">
        <v>77</v>
      </c>
      <c r="DE197" s="2" t="s">
        <v>78</v>
      </c>
      <c r="DF197" s="2" t="s">
        <v>78</v>
      </c>
      <c r="DG197" s="2" t="s">
        <v>79</v>
      </c>
      <c r="DH197" s="2" t="s">
        <v>3</v>
      </c>
      <c r="DI197" s="2" t="s">
        <v>79</v>
      </c>
      <c r="DJ197" s="2" t="s">
        <v>78</v>
      </c>
      <c r="DK197" s="2" t="s">
        <v>3</v>
      </c>
      <c r="DL197" s="2" t="s">
        <v>3</v>
      </c>
      <c r="DM197" s="2" t="s">
        <v>3</v>
      </c>
      <c r="DN197" s="2">
        <v>0</v>
      </c>
      <c r="DO197" s="2">
        <v>0</v>
      </c>
      <c r="DP197" s="2">
        <v>1</v>
      </c>
      <c r="DQ197" s="2">
        <v>1</v>
      </c>
      <c r="DR197" s="2"/>
      <c r="DS197" s="2"/>
      <c r="DT197" s="2"/>
      <c r="DU197" s="2">
        <v>1013</v>
      </c>
      <c r="DV197" s="2" t="s">
        <v>23</v>
      </c>
      <c r="DW197" s="2" t="s">
        <v>23</v>
      </c>
      <c r="DX197" s="2">
        <v>1</v>
      </c>
      <c r="DY197" s="2"/>
      <c r="DZ197" s="2" t="s">
        <v>3</v>
      </c>
      <c r="EA197" s="2" t="s">
        <v>3</v>
      </c>
      <c r="EB197" s="2" t="s">
        <v>3</v>
      </c>
      <c r="EC197" s="2" t="s">
        <v>3</v>
      </c>
      <c r="ED197" s="2"/>
      <c r="EE197" s="2">
        <v>85133367</v>
      </c>
      <c r="EF197" s="2">
        <v>30</v>
      </c>
      <c r="EG197" s="2" t="s">
        <v>49</v>
      </c>
      <c r="EH197" s="2">
        <v>0</v>
      </c>
      <c r="EI197" s="2" t="s">
        <v>3</v>
      </c>
      <c r="EJ197" s="2">
        <v>1</v>
      </c>
      <c r="EK197" s="2">
        <v>21</v>
      </c>
      <c r="EL197" s="2" t="s">
        <v>389</v>
      </c>
      <c r="EM197" s="2" t="s">
        <v>390</v>
      </c>
      <c r="EN197" s="2"/>
      <c r="EO197" s="2" t="s">
        <v>80</v>
      </c>
      <c r="EP197" s="2"/>
      <c r="EQ197" s="2">
        <v>0</v>
      </c>
      <c r="ER197" s="2">
        <v>42.23</v>
      </c>
      <c r="ES197" s="2">
        <v>21.42</v>
      </c>
      <c r="ET197" s="2">
        <v>3.32</v>
      </c>
      <c r="EU197" s="2">
        <v>0.13</v>
      </c>
      <c r="EV197" s="2">
        <v>17.489999999999998</v>
      </c>
      <c r="EW197" s="2">
        <v>1.47</v>
      </c>
      <c r="EX197" s="2">
        <v>0</v>
      </c>
      <c r="EY197" s="2">
        <v>0</v>
      </c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>
        <v>0</v>
      </c>
      <c r="FR197" s="2">
        <v>0</v>
      </c>
      <c r="FS197" s="2">
        <v>0</v>
      </c>
      <c r="FT197" s="2"/>
      <c r="FU197" s="2"/>
      <c r="FV197" s="2"/>
      <c r="FW197" s="2"/>
      <c r="FX197" s="2">
        <v>121</v>
      </c>
      <c r="FY197" s="2">
        <v>72</v>
      </c>
      <c r="FZ197" s="2"/>
      <c r="GA197" s="2" t="s">
        <v>3</v>
      </c>
      <c r="GB197" s="2"/>
      <c r="GC197" s="2"/>
      <c r="GD197" s="2">
        <v>1</v>
      </c>
      <c r="GE197" s="2"/>
      <c r="GF197" s="2">
        <v>458091645</v>
      </c>
      <c r="GG197" s="2">
        <v>2</v>
      </c>
      <c r="GH197" s="2">
        <v>1</v>
      </c>
      <c r="GI197" s="2">
        <v>2</v>
      </c>
      <c r="GJ197" s="2">
        <v>0</v>
      </c>
      <c r="GK197" s="2">
        <v>0</v>
      </c>
      <c r="GL197" s="2">
        <f t="shared" si="201"/>
        <v>0</v>
      </c>
      <c r="GM197" s="2">
        <f t="shared" si="202"/>
        <v>1231.1099999999999</v>
      </c>
      <c r="GN197" s="2">
        <f t="shared" si="203"/>
        <v>1231.1099999999999</v>
      </c>
      <c r="GO197" s="2">
        <f t="shared" si="204"/>
        <v>0</v>
      </c>
      <c r="GP197" s="2">
        <f t="shared" si="205"/>
        <v>0</v>
      </c>
      <c r="GQ197" s="2"/>
      <c r="GR197" s="2">
        <v>0</v>
      </c>
      <c r="GS197" s="2">
        <v>3</v>
      </c>
      <c r="GT197" s="2">
        <v>0</v>
      </c>
      <c r="GU197" s="2" t="s">
        <v>3</v>
      </c>
      <c r="GV197" s="2">
        <f t="shared" si="206"/>
        <v>0</v>
      </c>
      <c r="GW197" s="2">
        <v>1</v>
      </c>
      <c r="GX197" s="2">
        <f t="shared" si="207"/>
        <v>0</v>
      </c>
      <c r="GY197" s="2"/>
      <c r="GZ197" s="2"/>
      <c r="HA197" s="2">
        <v>0</v>
      </c>
      <c r="HB197" s="2">
        <v>0</v>
      </c>
      <c r="HC197" s="2">
        <f t="shared" si="208"/>
        <v>0</v>
      </c>
      <c r="HD197" s="2"/>
      <c r="HE197" s="2" t="s">
        <v>3</v>
      </c>
      <c r="HF197" s="2" t="s">
        <v>3</v>
      </c>
      <c r="HG197" s="2"/>
      <c r="HH197" s="2"/>
      <c r="HI197" s="2"/>
      <c r="HJ197" s="2"/>
      <c r="HK197" s="2"/>
      <c r="HL197" s="2"/>
      <c r="HM197" s="2" t="s">
        <v>3</v>
      </c>
      <c r="HN197" s="2" t="s">
        <v>3</v>
      </c>
      <c r="HO197" s="2" t="s">
        <v>3</v>
      </c>
      <c r="HP197" s="2" t="s">
        <v>3</v>
      </c>
      <c r="HQ197" s="2" t="s">
        <v>3</v>
      </c>
      <c r="HR197" s="2"/>
      <c r="HS197" s="2">
        <v>0</v>
      </c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>
        <v>0</v>
      </c>
      <c r="IL197" s="2"/>
      <c r="IM197" s="2"/>
      <c r="IN197" s="2"/>
      <c r="IO197" s="2"/>
      <c r="IP197" s="2"/>
      <c r="IQ197" s="2"/>
      <c r="IR197" s="2"/>
      <c r="IS197" s="2"/>
      <c r="IT197" s="2"/>
      <c r="IU197" s="2"/>
    </row>
    <row r="198" spans="1:255" x14ac:dyDescent="0.2">
      <c r="A198" s="3">
        <v>17</v>
      </c>
      <c r="B198" s="3">
        <v>1</v>
      </c>
      <c r="C198" s="3">
        <f>ROW(SmtRes!A464)</f>
        <v>464</v>
      </c>
      <c r="D198" s="3">
        <f>ROW(EtalonRes!A482)</f>
        <v>482</v>
      </c>
      <c r="E198" s="3" t="s">
        <v>385</v>
      </c>
      <c r="F198" s="3" t="s">
        <v>386</v>
      </c>
      <c r="G198" s="3" t="s">
        <v>387</v>
      </c>
      <c r="H198" s="3" t="s">
        <v>23</v>
      </c>
      <c r="I198" s="3">
        <f>ROUND(12,9)</f>
        <v>12</v>
      </c>
      <c r="J198" s="3">
        <v>0</v>
      </c>
      <c r="K198" s="3">
        <f>ROUND(12,9)</f>
        <v>12</v>
      </c>
      <c r="O198" s="3">
        <f t="shared" si="184"/>
        <v>20360.61</v>
      </c>
      <c r="P198" s="3">
        <f t="shared" si="185"/>
        <v>2030.62</v>
      </c>
      <c r="Q198" s="3">
        <f>(ROUND((ROUND(((((ET198*1.25)*1.2))*AV198*I198),2)*BB198),2)+ROUND((ROUND(((AE198-(((EU198*1.25)*1.2)))*AV198*I198),2)*BS198),2))</f>
        <v>915.59</v>
      </c>
      <c r="R198" s="3">
        <f>(ROUND((ROUND(((((EU198*1.25)*1.2))*AV198*I198),2)*BS198),2)+ROUND((ROUND(((AE198-(((EU198*1.25)*1.2)))*AV198*I198),2)*BS198),2))</f>
        <v>140.88</v>
      </c>
      <c r="S198" s="3">
        <f t="shared" si="186"/>
        <v>17414.400000000001</v>
      </c>
      <c r="T198" s="3">
        <f t="shared" si="187"/>
        <v>0</v>
      </c>
      <c r="U198" s="3">
        <f t="shared" si="188"/>
        <v>25.974194400000002</v>
      </c>
      <c r="V198" s="3">
        <f t="shared" si="189"/>
        <v>0</v>
      </c>
      <c r="W198" s="3">
        <f t="shared" si="190"/>
        <v>0</v>
      </c>
      <c r="X198" s="3">
        <f>(ROUND((((S198+ROUND((ROUND(((((EU198*1.25)*1.2))*AV198*I198),2)*BS198),2))*AT198)/100),2)+ROUND(((ROUND((ROUND(((AE198-(((EU198*1.25)*1.2)))*AV198*I198),2)*BS198),2)*AT198)/100),2))</f>
        <v>21241.89</v>
      </c>
      <c r="Y198" s="3">
        <f>(ROUND((((S198+ROUND((ROUND(((((EU198*1.25)*1.2))*AV198*I198),2)*BS198),2))*AU198)/100),2)+ROUND(((ROUND((ROUND(((AE198-(((EU198*1.25)*1.2)))*AV198*I198),2)*BS198),2)*AU198)/100),2))</f>
        <v>12639.8</v>
      </c>
      <c r="AA198" s="3">
        <v>85739207</v>
      </c>
      <c r="AB198" s="3">
        <f t="shared" si="191"/>
        <v>50.536200000000001</v>
      </c>
      <c r="AC198" s="3">
        <f>ROUND((((ES198*1)*1)),6)</f>
        <v>21.42</v>
      </c>
      <c r="AD198" s="3">
        <f>ROUND((((((ET198*1.25)*1.2))-(((EU198*1.25)*1.2)))+AE198),6)</f>
        <v>4.9800000000000004</v>
      </c>
      <c r="AE198" s="3">
        <f>ROUND((((EU198*1.25)*1.2)),6)</f>
        <v>0.19500000000000001</v>
      </c>
      <c r="AF198" s="3">
        <f>ROUND((((EV198*1.15)*1.2)),6)</f>
        <v>24.136199999999999</v>
      </c>
      <c r="AG198" s="3">
        <f t="shared" si="192"/>
        <v>0</v>
      </c>
      <c r="AH198" s="3">
        <f>(((EW198*1.15)*1.2))</f>
        <v>2.0286</v>
      </c>
      <c r="AI198" s="3">
        <f>(((EX198*1.25)*1.2))</f>
        <v>0</v>
      </c>
      <c r="AJ198" s="3">
        <f t="shared" si="193"/>
        <v>0</v>
      </c>
      <c r="AK198" s="3">
        <v>42.23</v>
      </c>
      <c r="AL198" s="3">
        <v>21.42</v>
      </c>
      <c r="AM198" s="3">
        <v>3.32</v>
      </c>
      <c r="AN198" s="3">
        <v>0.13</v>
      </c>
      <c r="AO198" s="3">
        <v>17.489999999999998</v>
      </c>
      <c r="AP198" s="3">
        <v>0</v>
      </c>
      <c r="AQ198" s="3">
        <v>1.47</v>
      </c>
      <c r="AR198" s="3">
        <v>0</v>
      </c>
      <c r="AS198" s="3">
        <v>0</v>
      </c>
      <c r="AT198" s="3">
        <v>121</v>
      </c>
      <c r="AU198" s="3">
        <v>72</v>
      </c>
      <c r="AV198" s="3">
        <v>1.0669999999999999</v>
      </c>
      <c r="AW198" s="3">
        <v>1</v>
      </c>
      <c r="AZ198" s="3">
        <v>1</v>
      </c>
      <c r="BA198" s="3">
        <v>56.35</v>
      </c>
      <c r="BB198" s="3">
        <v>14.36</v>
      </c>
      <c r="BC198" s="3">
        <v>7.9</v>
      </c>
      <c r="BD198" s="3" t="s">
        <v>3</v>
      </c>
      <c r="BE198" s="3" t="s">
        <v>3</v>
      </c>
      <c r="BF198" s="3" t="s">
        <v>3</v>
      </c>
      <c r="BG198" s="3" t="s">
        <v>3</v>
      </c>
      <c r="BH198" s="3">
        <v>0</v>
      </c>
      <c r="BI198" s="3">
        <v>1</v>
      </c>
      <c r="BJ198" s="3" t="s">
        <v>388</v>
      </c>
      <c r="BM198" s="3">
        <v>21</v>
      </c>
      <c r="BN198" s="3">
        <v>0</v>
      </c>
      <c r="BO198" s="3" t="s">
        <v>386</v>
      </c>
      <c r="BP198" s="3">
        <v>1</v>
      </c>
      <c r="BQ198" s="3">
        <v>30</v>
      </c>
      <c r="BR198" s="3">
        <v>0</v>
      </c>
      <c r="BS198" s="3">
        <v>56.35</v>
      </c>
      <c r="BT198" s="3">
        <v>1</v>
      </c>
      <c r="BU198" s="3">
        <v>1</v>
      </c>
      <c r="BV198" s="3">
        <v>1</v>
      </c>
      <c r="BW198" s="3">
        <v>1</v>
      </c>
      <c r="BX198" s="3">
        <v>1</v>
      </c>
      <c r="BY198" s="3" t="s">
        <v>3</v>
      </c>
      <c r="BZ198" s="3">
        <v>121</v>
      </c>
      <c r="CA198" s="3">
        <v>72</v>
      </c>
      <c r="CB198" s="3" t="s">
        <v>3</v>
      </c>
      <c r="CE198" s="3">
        <v>1566</v>
      </c>
      <c r="CF198" s="3">
        <v>0</v>
      </c>
      <c r="CG198" s="3">
        <v>0</v>
      </c>
      <c r="CM198" s="3">
        <v>0</v>
      </c>
      <c r="CN198" s="3" t="s">
        <v>678</v>
      </c>
      <c r="CO198" s="3">
        <v>0</v>
      </c>
      <c r="CP198" s="3">
        <f t="shared" si="194"/>
        <v>20360.61</v>
      </c>
      <c r="CQ198" s="3">
        <f t="shared" si="195"/>
        <v>169.22</v>
      </c>
      <c r="CR198" s="3">
        <f>(ROUND((ROUND(((((ET198*1.25)*1.2))*AV198*1),2)*BB198),2)+ROUND((ROUND(((AE198-(((EU198*1.25)*1.2)))*AV198*1),2)*BS198),2))</f>
        <v>76.25</v>
      </c>
      <c r="CS198" s="3">
        <f>(ROUND((ROUND(((((EU198*1.25)*1.2))*AV198*1),2)*BS198),2)+ROUND((ROUND(((AE198-(((EU198*1.25)*1.2)))*AV198*1),2)*BS198),2))</f>
        <v>11.83</v>
      </c>
      <c r="CT198" s="3">
        <f t="shared" si="196"/>
        <v>1451.01</v>
      </c>
      <c r="CU198" s="3">
        <f t="shared" si="197"/>
        <v>0</v>
      </c>
      <c r="CV198" s="3">
        <f t="shared" si="198"/>
        <v>2.1645162</v>
      </c>
      <c r="CW198" s="3">
        <f t="shared" si="199"/>
        <v>0</v>
      </c>
      <c r="CX198" s="3">
        <f t="shared" si="200"/>
        <v>0</v>
      </c>
      <c r="CY198" s="3">
        <f>(ROUND((((S198+ROUND((ROUND(((((EU198*1.25)*1.2))*AV198*1),2)*BS198),2))*AT198)/100),2)+ROUND(((ROUND((ROUND(((AE198-(((EU198*1.25)*1.2)))*AV198*1),2)*BS198),2)*AT198)/100),2))</f>
        <v>21085.74</v>
      </c>
      <c r="CZ198" s="3">
        <f>(ROUND((((S198+ROUND((ROUND(((((EU198*1.25)*1.2))*AV198*1),2)*BS198),2))*AU198)/100),2)+ROUND(((ROUND((ROUND(((AE198-(((EU198*1.25)*1.2)))*AV198*1),2)*BS198),2)*AU198)/100),2))</f>
        <v>12546.89</v>
      </c>
      <c r="DB198" s="3">
        <v>73</v>
      </c>
      <c r="DC198" s="3" t="s">
        <v>3</v>
      </c>
      <c r="DD198" s="3" t="s">
        <v>77</v>
      </c>
      <c r="DE198" s="3" t="s">
        <v>78</v>
      </c>
      <c r="DF198" s="3" t="s">
        <v>78</v>
      </c>
      <c r="DG198" s="3" t="s">
        <v>79</v>
      </c>
      <c r="DH198" s="3" t="s">
        <v>3</v>
      </c>
      <c r="DI198" s="3" t="s">
        <v>79</v>
      </c>
      <c r="DJ198" s="3" t="s">
        <v>78</v>
      </c>
      <c r="DK198" s="3" t="s">
        <v>3</v>
      </c>
      <c r="DL198" s="3" t="s">
        <v>3</v>
      </c>
      <c r="DM198" s="3" t="s">
        <v>3</v>
      </c>
      <c r="DN198" s="3">
        <v>0</v>
      </c>
      <c r="DO198" s="3">
        <v>0</v>
      </c>
      <c r="DP198" s="3">
        <v>1</v>
      </c>
      <c r="DQ198" s="3">
        <v>1</v>
      </c>
      <c r="DU198" s="3">
        <v>1013</v>
      </c>
      <c r="DV198" s="3" t="s">
        <v>23</v>
      </c>
      <c r="DW198" s="3" t="s">
        <v>23</v>
      </c>
      <c r="DX198" s="3">
        <v>1</v>
      </c>
      <c r="DZ198" s="3" t="s">
        <v>3</v>
      </c>
      <c r="EA198" s="3" t="s">
        <v>3</v>
      </c>
      <c r="EB198" s="3" t="s">
        <v>3</v>
      </c>
      <c r="EC198" s="3" t="s">
        <v>3</v>
      </c>
      <c r="EE198" s="3">
        <v>85133367</v>
      </c>
      <c r="EF198" s="3">
        <v>30</v>
      </c>
      <c r="EG198" s="3" t="s">
        <v>49</v>
      </c>
      <c r="EH198" s="3">
        <v>0</v>
      </c>
      <c r="EI198" s="3" t="s">
        <v>3</v>
      </c>
      <c r="EJ198" s="3">
        <v>1</v>
      </c>
      <c r="EK198" s="3">
        <v>21</v>
      </c>
      <c r="EL198" s="3" t="s">
        <v>389</v>
      </c>
      <c r="EM198" s="3" t="s">
        <v>390</v>
      </c>
      <c r="EO198" s="3" t="s">
        <v>80</v>
      </c>
      <c r="EQ198" s="3">
        <v>0</v>
      </c>
      <c r="ER198" s="3">
        <v>42.23</v>
      </c>
      <c r="ES198" s="3">
        <v>21.42</v>
      </c>
      <c r="ET198" s="3">
        <v>3.32</v>
      </c>
      <c r="EU198" s="3">
        <v>0.13</v>
      </c>
      <c r="EV198" s="3">
        <v>17.489999999999998</v>
      </c>
      <c r="EW198" s="3">
        <v>1.47</v>
      </c>
      <c r="EX198" s="3">
        <v>0</v>
      </c>
      <c r="EY198" s="3">
        <v>0</v>
      </c>
      <c r="FQ198" s="3">
        <v>0</v>
      </c>
      <c r="FR198" s="3">
        <v>0</v>
      </c>
      <c r="FS198" s="3">
        <v>0</v>
      </c>
      <c r="FX198" s="3">
        <v>121</v>
      </c>
      <c r="FY198" s="3">
        <v>72</v>
      </c>
      <c r="GA198" s="3" t="s">
        <v>3</v>
      </c>
      <c r="GD198" s="3">
        <v>1</v>
      </c>
      <c r="GF198" s="3">
        <v>458091645</v>
      </c>
      <c r="GG198" s="3">
        <v>2</v>
      </c>
      <c r="GH198" s="3">
        <v>1</v>
      </c>
      <c r="GI198" s="3">
        <v>2</v>
      </c>
      <c r="GJ198" s="3">
        <v>0</v>
      </c>
      <c r="GK198" s="3">
        <v>0</v>
      </c>
      <c r="GL198" s="3">
        <f t="shared" si="201"/>
        <v>0</v>
      </c>
      <c r="GM198" s="3">
        <f t="shared" si="202"/>
        <v>54242.3</v>
      </c>
      <c r="GN198" s="3">
        <f t="shared" si="203"/>
        <v>54242.3</v>
      </c>
      <c r="GO198" s="3">
        <f t="shared" si="204"/>
        <v>0</v>
      </c>
      <c r="GP198" s="3">
        <f t="shared" si="205"/>
        <v>0</v>
      </c>
      <c r="GR198" s="3">
        <v>0</v>
      </c>
      <c r="GS198" s="3">
        <v>3</v>
      </c>
      <c r="GT198" s="3">
        <v>0</v>
      </c>
      <c r="GU198" s="3" t="s">
        <v>3</v>
      </c>
      <c r="GV198" s="3">
        <f t="shared" si="206"/>
        <v>0</v>
      </c>
      <c r="GW198" s="3">
        <v>1</v>
      </c>
      <c r="GX198" s="3">
        <f t="shared" si="207"/>
        <v>0</v>
      </c>
      <c r="HA198" s="3">
        <v>0</v>
      </c>
      <c r="HB198" s="3">
        <v>0</v>
      </c>
      <c r="HC198" s="3">
        <f t="shared" si="208"/>
        <v>0</v>
      </c>
      <c r="HE198" s="3" t="s">
        <v>3</v>
      </c>
      <c r="HF198" s="3" t="s">
        <v>3</v>
      </c>
      <c r="HM198" s="3" t="s">
        <v>3</v>
      </c>
      <c r="HN198" s="3" t="s">
        <v>3</v>
      </c>
      <c r="HO198" s="3" t="s">
        <v>3</v>
      </c>
      <c r="HP198" s="3" t="s">
        <v>3</v>
      </c>
      <c r="HQ198" s="3" t="s">
        <v>3</v>
      </c>
      <c r="HS198" s="3">
        <v>0</v>
      </c>
      <c r="IK198" s="3">
        <v>0</v>
      </c>
    </row>
    <row r="199" spans="1:255" x14ac:dyDescent="0.2">
      <c r="A199" s="2">
        <v>18</v>
      </c>
      <c r="B199" s="2">
        <v>1</v>
      </c>
      <c r="C199" s="2">
        <v>456</v>
      </c>
      <c r="D199" s="2"/>
      <c r="E199" s="2" t="s">
        <v>391</v>
      </c>
      <c r="F199" s="2" t="s">
        <v>392</v>
      </c>
      <c r="G199" s="2" t="s">
        <v>393</v>
      </c>
      <c r="H199" s="2" t="s">
        <v>99</v>
      </c>
      <c r="I199" s="2">
        <f>I197*J199</f>
        <v>12</v>
      </c>
      <c r="J199" s="2">
        <v>1</v>
      </c>
      <c r="K199" s="2">
        <v>1</v>
      </c>
      <c r="L199" s="2"/>
      <c r="M199" s="2"/>
      <c r="N199" s="2"/>
      <c r="O199" s="2">
        <f t="shared" si="184"/>
        <v>650.88</v>
      </c>
      <c r="P199" s="2">
        <f t="shared" si="185"/>
        <v>650.88</v>
      </c>
      <c r="Q199" s="2">
        <f>(ROUND((ROUND(((ET199)*AV199*I199),2)*BB199),2)+ROUND((ROUND(((AE199-(EU199))*AV199*I199),2)*BS199),2))</f>
        <v>0</v>
      </c>
      <c r="R199" s="2">
        <f>(ROUND((ROUND(((EU199)*AV199*I199),2)*BS199),2)+ROUND((ROUND(((AE199-(EU199))*AV199*I199),2)*BS199),2))</f>
        <v>0</v>
      </c>
      <c r="S199" s="2">
        <f t="shared" si="186"/>
        <v>0</v>
      </c>
      <c r="T199" s="2">
        <f t="shared" si="187"/>
        <v>0</v>
      </c>
      <c r="U199" s="2">
        <f t="shared" si="188"/>
        <v>0</v>
      </c>
      <c r="V199" s="2">
        <f t="shared" si="189"/>
        <v>0</v>
      </c>
      <c r="W199" s="2">
        <f t="shared" si="190"/>
        <v>0</v>
      </c>
      <c r="X199" s="2">
        <f>(ROUND((((S199+ROUND((ROUND(((EU199)*AV199*I199),2)*BS199),2))*AT199)/100),2)+ROUND(((ROUND((ROUND(((AE199-(EU199))*AV199*I199),2)*BS199),2)*AT199)/100),2))</f>
        <v>0</v>
      </c>
      <c r="Y199" s="2">
        <f>(ROUND((((S199+ROUND((ROUND(((EU199)*AV199*I199),2)*BS199),2))*AU199)/100),2)+ROUND(((ROUND((ROUND(((AE199-(EU199))*AV199*I199),2)*BS199),2)*AU199)/100),2))</f>
        <v>0</v>
      </c>
      <c r="Z199" s="2"/>
      <c r="AA199" s="2">
        <v>85739205</v>
      </c>
      <c r="AB199" s="2">
        <f t="shared" si="191"/>
        <v>54.24</v>
      </c>
      <c r="AC199" s="2">
        <f>ROUND((ES199),6)</f>
        <v>54.24</v>
      </c>
      <c r="AD199" s="2">
        <f>ROUND((((ET199)-(EU199))+AE199),6)</f>
        <v>0</v>
      </c>
      <c r="AE199" s="2">
        <f>ROUND((EU199),6)</f>
        <v>0</v>
      </c>
      <c r="AF199" s="2">
        <f>ROUND((EV199),6)</f>
        <v>0</v>
      </c>
      <c r="AG199" s="2">
        <f t="shared" si="192"/>
        <v>0</v>
      </c>
      <c r="AH199" s="2">
        <f>(EW199)</f>
        <v>0</v>
      </c>
      <c r="AI199" s="2">
        <f>(EX199)</f>
        <v>0</v>
      </c>
      <c r="AJ199" s="2">
        <f t="shared" si="193"/>
        <v>0</v>
      </c>
      <c r="AK199" s="2">
        <v>54.24</v>
      </c>
      <c r="AL199" s="2">
        <v>54.24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121</v>
      </c>
      <c r="AU199" s="2">
        <v>72</v>
      </c>
      <c r="AV199" s="2">
        <v>1</v>
      </c>
      <c r="AW199" s="2">
        <v>1</v>
      </c>
      <c r="AX199" s="2"/>
      <c r="AY199" s="2"/>
      <c r="AZ199" s="2">
        <v>1</v>
      </c>
      <c r="BA199" s="2">
        <v>1</v>
      </c>
      <c r="BB199" s="2">
        <v>1</v>
      </c>
      <c r="BC199" s="2">
        <v>1</v>
      </c>
      <c r="BD199" s="2" t="s">
        <v>3</v>
      </c>
      <c r="BE199" s="2" t="s">
        <v>3</v>
      </c>
      <c r="BF199" s="2" t="s">
        <v>3</v>
      </c>
      <c r="BG199" s="2" t="s">
        <v>3</v>
      </c>
      <c r="BH199" s="2">
        <v>3</v>
      </c>
      <c r="BI199" s="2">
        <v>1</v>
      </c>
      <c r="BJ199" s="2" t="s">
        <v>394</v>
      </c>
      <c r="BK199" s="2"/>
      <c r="BL199" s="2"/>
      <c r="BM199" s="2">
        <v>21</v>
      </c>
      <c r="BN199" s="2">
        <v>0</v>
      </c>
      <c r="BO199" s="2" t="s">
        <v>3</v>
      </c>
      <c r="BP199" s="2">
        <v>0</v>
      </c>
      <c r="BQ199" s="2">
        <v>30</v>
      </c>
      <c r="BR199" s="2">
        <v>0</v>
      </c>
      <c r="BS199" s="2">
        <v>1</v>
      </c>
      <c r="BT199" s="2">
        <v>1</v>
      </c>
      <c r="BU199" s="2">
        <v>1</v>
      </c>
      <c r="BV199" s="2">
        <v>1</v>
      </c>
      <c r="BW199" s="2">
        <v>1</v>
      </c>
      <c r="BX199" s="2">
        <v>1</v>
      </c>
      <c r="BY199" s="2" t="s">
        <v>3</v>
      </c>
      <c r="BZ199" s="2">
        <v>121</v>
      </c>
      <c r="CA199" s="2">
        <v>72</v>
      </c>
      <c r="CB199" s="2" t="s">
        <v>3</v>
      </c>
      <c r="CC199" s="2"/>
      <c r="CD199" s="2"/>
      <c r="CE199" s="2">
        <v>1566</v>
      </c>
      <c r="CF199" s="2">
        <v>0</v>
      </c>
      <c r="CG199" s="2">
        <v>0</v>
      </c>
      <c r="CH199" s="2"/>
      <c r="CI199" s="2"/>
      <c r="CJ199" s="2"/>
      <c r="CK199" s="2"/>
      <c r="CL199" s="2"/>
      <c r="CM199" s="2">
        <v>0</v>
      </c>
      <c r="CN199" s="2" t="s">
        <v>680</v>
      </c>
      <c r="CO199" s="2">
        <v>0</v>
      </c>
      <c r="CP199" s="2">
        <f t="shared" si="194"/>
        <v>650.88</v>
      </c>
      <c r="CQ199" s="2">
        <f t="shared" si="195"/>
        <v>54.24</v>
      </c>
      <c r="CR199" s="2">
        <f>(ROUND((ROUND(((ET199)*AV199*1),2)*BB199),2)+ROUND((ROUND(((AE199-(EU199))*AV199*1),2)*BS199),2))</f>
        <v>0</v>
      </c>
      <c r="CS199" s="2">
        <f>(ROUND((ROUND(((EU199)*AV199*1),2)*BS199),2)+ROUND((ROUND(((AE199-(EU199))*AV199*1),2)*BS199),2))</f>
        <v>0</v>
      </c>
      <c r="CT199" s="2">
        <f t="shared" si="196"/>
        <v>0</v>
      </c>
      <c r="CU199" s="2">
        <f t="shared" si="197"/>
        <v>0</v>
      </c>
      <c r="CV199" s="2">
        <f t="shared" si="198"/>
        <v>0</v>
      </c>
      <c r="CW199" s="2">
        <f t="shared" si="199"/>
        <v>0</v>
      </c>
      <c r="CX199" s="2">
        <f t="shared" si="200"/>
        <v>0</v>
      </c>
      <c r="CY199" s="2">
        <f>(ROUND((((S199+ROUND((ROUND(((EU199)*AV199*1),2)*BS199),2))*AT199)/100),2)+ROUND(((ROUND((ROUND(((AE199-(EU199))*AV199*1),2)*BS199),2)*AT199)/100),2))</f>
        <v>0</v>
      </c>
      <c r="CZ199" s="2">
        <f>(ROUND((((S199+ROUND((ROUND(((EU199)*AV199*1),2)*BS199),2))*AU199)/100),2)+ROUND(((ROUND((ROUND(((AE199-(EU199))*AV199*1),2)*BS199),2)*AU199)/100),2))</f>
        <v>0</v>
      </c>
      <c r="DA199" s="2"/>
      <c r="DB199" s="2"/>
      <c r="DC199" s="2" t="s">
        <v>3</v>
      </c>
      <c r="DD199" s="2" t="s">
        <v>3</v>
      </c>
      <c r="DE199" s="2" t="s">
        <v>3</v>
      </c>
      <c r="DF199" s="2" t="s">
        <v>3</v>
      </c>
      <c r="DG199" s="2" t="s">
        <v>3</v>
      </c>
      <c r="DH199" s="2" t="s">
        <v>3</v>
      </c>
      <c r="DI199" s="2" t="s">
        <v>3</v>
      </c>
      <c r="DJ199" s="2" t="s">
        <v>3</v>
      </c>
      <c r="DK199" s="2" t="s">
        <v>3</v>
      </c>
      <c r="DL199" s="2" t="s">
        <v>3</v>
      </c>
      <c r="DM199" s="2" t="s">
        <v>3</v>
      </c>
      <c r="DN199" s="2">
        <v>0</v>
      </c>
      <c r="DO199" s="2">
        <v>0</v>
      </c>
      <c r="DP199" s="2">
        <v>1</v>
      </c>
      <c r="DQ199" s="2">
        <v>1</v>
      </c>
      <c r="DR199" s="2"/>
      <c r="DS199" s="2"/>
      <c r="DT199" s="2"/>
      <c r="DU199" s="2">
        <v>1010</v>
      </c>
      <c r="DV199" s="2" t="s">
        <v>99</v>
      </c>
      <c r="DW199" s="2" t="s">
        <v>99</v>
      </c>
      <c r="DX199" s="2">
        <v>1</v>
      </c>
      <c r="DY199" s="2"/>
      <c r="DZ199" s="2" t="s">
        <v>3</v>
      </c>
      <c r="EA199" s="2" t="s">
        <v>3</v>
      </c>
      <c r="EB199" s="2" t="s">
        <v>3</v>
      </c>
      <c r="EC199" s="2" t="s">
        <v>3</v>
      </c>
      <c r="ED199" s="2"/>
      <c r="EE199" s="2">
        <v>85133367</v>
      </c>
      <c r="EF199" s="2">
        <v>30</v>
      </c>
      <c r="EG199" s="2" t="s">
        <v>49</v>
      </c>
      <c r="EH199" s="2">
        <v>0</v>
      </c>
      <c r="EI199" s="2" t="s">
        <v>3</v>
      </c>
      <c r="EJ199" s="2">
        <v>1</v>
      </c>
      <c r="EK199" s="2">
        <v>21</v>
      </c>
      <c r="EL199" s="2" t="s">
        <v>389</v>
      </c>
      <c r="EM199" s="2" t="s">
        <v>390</v>
      </c>
      <c r="EN199" s="2"/>
      <c r="EO199" s="2" t="s">
        <v>248</v>
      </c>
      <c r="EP199" s="2"/>
      <c r="EQ199" s="2">
        <v>0</v>
      </c>
      <c r="ER199" s="2">
        <v>54.24</v>
      </c>
      <c r="ES199" s="2">
        <v>54.24</v>
      </c>
      <c r="ET199" s="2">
        <v>0</v>
      </c>
      <c r="EU199" s="2">
        <v>0</v>
      </c>
      <c r="EV199" s="2">
        <v>0</v>
      </c>
      <c r="EW199" s="2">
        <v>0</v>
      </c>
      <c r="EX199" s="2">
        <v>0</v>
      </c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>
        <v>0</v>
      </c>
      <c r="FR199" s="2">
        <v>0</v>
      </c>
      <c r="FS199" s="2">
        <v>0</v>
      </c>
      <c r="FT199" s="2"/>
      <c r="FU199" s="2"/>
      <c r="FV199" s="2"/>
      <c r="FW199" s="2"/>
      <c r="FX199" s="2">
        <v>121</v>
      </c>
      <c r="FY199" s="2">
        <v>72</v>
      </c>
      <c r="FZ199" s="2"/>
      <c r="GA199" s="2" t="s">
        <v>3</v>
      </c>
      <c r="GB199" s="2"/>
      <c r="GC199" s="2"/>
      <c r="GD199" s="2">
        <v>1</v>
      </c>
      <c r="GE199" s="2"/>
      <c r="GF199" s="2">
        <v>1616596241</v>
      </c>
      <c r="GG199" s="2">
        <v>2</v>
      </c>
      <c r="GH199" s="2">
        <v>1</v>
      </c>
      <c r="GI199" s="2">
        <v>-2</v>
      </c>
      <c r="GJ199" s="2">
        <v>0</v>
      </c>
      <c r="GK199" s="2">
        <v>0</v>
      </c>
      <c r="GL199" s="2">
        <f t="shared" si="201"/>
        <v>0</v>
      </c>
      <c r="GM199" s="2">
        <f t="shared" si="202"/>
        <v>650.88</v>
      </c>
      <c r="GN199" s="2">
        <f t="shared" si="203"/>
        <v>650.88</v>
      </c>
      <c r="GO199" s="2">
        <f t="shared" si="204"/>
        <v>0</v>
      </c>
      <c r="GP199" s="2">
        <f t="shared" si="205"/>
        <v>0</v>
      </c>
      <c r="GQ199" s="2"/>
      <c r="GR199" s="2">
        <v>0</v>
      </c>
      <c r="GS199" s="2">
        <v>3</v>
      </c>
      <c r="GT199" s="2">
        <v>0</v>
      </c>
      <c r="GU199" s="2" t="s">
        <v>3</v>
      </c>
      <c r="GV199" s="2">
        <f t="shared" si="206"/>
        <v>0</v>
      </c>
      <c r="GW199" s="2">
        <v>1</v>
      </c>
      <c r="GX199" s="2">
        <f t="shared" si="207"/>
        <v>0</v>
      </c>
      <c r="GY199" s="2"/>
      <c r="GZ199" s="2"/>
      <c r="HA199" s="2">
        <v>0</v>
      </c>
      <c r="HB199" s="2">
        <v>0</v>
      </c>
      <c r="HC199" s="2">
        <f t="shared" si="208"/>
        <v>0</v>
      </c>
      <c r="HD199" s="2"/>
      <c r="HE199" s="2" t="s">
        <v>3</v>
      </c>
      <c r="HF199" s="2" t="s">
        <v>3</v>
      </c>
      <c r="HG199" s="2"/>
      <c r="HH199" s="2"/>
      <c r="HI199" s="2"/>
      <c r="HJ199" s="2"/>
      <c r="HK199" s="2"/>
      <c r="HL199" s="2"/>
      <c r="HM199" s="2" t="s">
        <v>77</v>
      </c>
      <c r="HN199" s="2" t="s">
        <v>3</v>
      </c>
      <c r="HO199" s="2" t="s">
        <v>3</v>
      </c>
      <c r="HP199" s="2" t="s">
        <v>3</v>
      </c>
      <c r="HQ199" s="2" t="s">
        <v>3</v>
      </c>
      <c r="HR199" s="2"/>
      <c r="HS199" s="2">
        <v>0</v>
      </c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>
        <v>0</v>
      </c>
      <c r="IL199" s="2"/>
      <c r="IM199" s="2"/>
      <c r="IN199" s="2"/>
      <c r="IO199" s="2"/>
      <c r="IP199" s="2"/>
      <c r="IQ199" s="2"/>
      <c r="IR199" s="2"/>
      <c r="IS199" s="2"/>
      <c r="IT199" s="2"/>
      <c r="IU199" s="2"/>
    </row>
    <row r="200" spans="1:255" x14ac:dyDescent="0.2">
      <c r="A200" s="3">
        <v>18</v>
      </c>
      <c r="B200" s="3">
        <v>1</v>
      </c>
      <c r="C200" s="3">
        <v>463</v>
      </c>
      <c r="E200" s="3" t="s">
        <v>391</v>
      </c>
      <c r="F200" s="3" t="s">
        <v>392</v>
      </c>
      <c r="G200" s="3" t="s">
        <v>393</v>
      </c>
      <c r="H200" s="3" t="s">
        <v>99</v>
      </c>
      <c r="I200" s="3">
        <f>I198*J200</f>
        <v>12</v>
      </c>
      <c r="J200" s="3">
        <v>1</v>
      </c>
      <c r="K200" s="3">
        <v>1</v>
      </c>
      <c r="O200" s="3">
        <f t="shared" si="184"/>
        <v>2043.76</v>
      </c>
      <c r="P200" s="3">
        <f t="shared" si="185"/>
        <v>2043.76</v>
      </c>
      <c r="Q200" s="3">
        <f>(ROUND((ROUND(((ET200)*AV200*I200),2)*BB200),2)+ROUND((ROUND(((AE200-(EU200))*AV200*I200),2)*BS200),2))</f>
        <v>0</v>
      </c>
      <c r="R200" s="3">
        <f>(ROUND((ROUND(((EU200)*AV200*I200),2)*BS200),2)+ROUND((ROUND(((AE200-(EU200))*AV200*I200),2)*BS200),2))</f>
        <v>0</v>
      </c>
      <c r="S200" s="3">
        <f t="shared" si="186"/>
        <v>0</v>
      </c>
      <c r="T200" s="3">
        <f t="shared" si="187"/>
        <v>0</v>
      </c>
      <c r="U200" s="3">
        <f t="shared" si="188"/>
        <v>0</v>
      </c>
      <c r="V200" s="3">
        <f t="shared" si="189"/>
        <v>0</v>
      </c>
      <c r="W200" s="3">
        <f t="shared" si="190"/>
        <v>0</v>
      </c>
      <c r="X200" s="3">
        <f>(ROUND((((S200+ROUND((ROUND(((EU200)*AV200*I200),2)*BS200),2))*AT200)/100),2)+ROUND(((ROUND((ROUND(((AE200-(EU200))*AV200*I200),2)*BS200),2)*AT200)/100),2))</f>
        <v>0</v>
      </c>
      <c r="Y200" s="3">
        <f>(ROUND((((S200+ROUND((ROUND(((EU200)*AV200*I200),2)*BS200),2))*AU200)/100),2)+ROUND(((ROUND((ROUND(((AE200-(EU200))*AV200*I200),2)*BS200),2)*AU200)/100),2))</f>
        <v>0</v>
      </c>
      <c r="AA200" s="3">
        <v>85739207</v>
      </c>
      <c r="AB200" s="3">
        <f t="shared" si="191"/>
        <v>54.24</v>
      </c>
      <c r="AC200" s="3">
        <f>ROUND((ES200),6)</f>
        <v>54.24</v>
      </c>
      <c r="AD200" s="3">
        <f>ROUND((((ET200)-(EU200))+AE200),6)</f>
        <v>0</v>
      </c>
      <c r="AE200" s="3">
        <f>ROUND((EU200),6)</f>
        <v>0</v>
      </c>
      <c r="AF200" s="3">
        <f>ROUND((EV200),6)</f>
        <v>0</v>
      </c>
      <c r="AG200" s="3">
        <f t="shared" si="192"/>
        <v>0</v>
      </c>
      <c r="AH200" s="3">
        <f>(EW200)</f>
        <v>0</v>
      </c>
      <c r="AI200" s="3">
        <f>(EX200)</f>
        <v>0</v>
      </c>
      <c r="AJ200" s="3">
        <f t="shared" si="193"/>
        <v>0</v>
      </c>
      <c r="AK200" s="3">
        <v>54.24</v>
      </c>
      <c r="AL200" s="3">
        <v>54.24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121</v>
      </c>
      <c r="AU200" s="3">
        <v>72</v>
      </c>
      <c r="AV200" s="3">
        <v>1</v>
      </c>
      <c r="AW200" s="3">
        <v>1</v>
      </c>
      <c r="AZ200" s="3">
        <v>1</v>
      </c>
      <c r="BA200" s="3">
        <v>1</v>
      </c>
      <c r="BB200" s="3">
        <v>1</v>
      </c>
      <c r="BC200" s="3">
        <v>3.14</v>
      </c>
      <c r="BD200" s="3" t="s">
        <v>3</v>
      </c>
      <c r="BE200" s="3" t="s">
        <v>3</v>
      </c>
      <c r="BF200" s="3" t="s">
        <v>3</v>
      </c>
      <c r="BG200" s="3" t="s">
        <v>3</v>
      </c>
      <c r="BH200" s="3">
        <v>3</v>
      </c>
      <c r="BI200" s="3">
        <v>1</v>
      </c>
      <c r="BJ200" s="3" t="s">
        <v>394</v>
      </c>
      <c r="BM200" s="3">
        <v>21</v>
      </c>
      <c r="BN200" s="3">
        <v>0</v>
      </c>
      <c r="BO200" s="3" t="s">
        <v>392</v>
      </c>
      <c r="BP200" s="3">
        <v>1</v>
      </c>
      <c r="BQ200" s="3">
        <v>30</v>
      </c>
      <c r="BR200" s="3">
        <v>0</v>
      </c>
      <c r="BS200" s="3">
        <v>1</v>
      </c>
      <c r="BT200" s="3">
        <v>1</v>
      </c>
      <c r="BU200" s="3">
        <v>1</v>
      </c>
      <c r="BV200" s="3">
        <v>1</v>
      </c>
      <c r="BW200" s="3">
        <v>1</v>
      </c>
      <c r="BX200" s="3">
        <v>1</v>
      </c>
      <c r="BY200" s="3" t="s">
        <v>3</v>
      </c>
      <c r="BZ200" s="3">
        <v>121</v>
      </c>
      <c r="CA200" s="3">
        <v>72</v>
      </c>
      <c r="CB200" s="3" t="s">
        <v>3</v>
      </c>
      <c r="CE200" s="3">
        <v>1566</v>
      </c>
      <c r="CF200" s="3">
        <v>0</v>
      </c>
      <c r="CG200" s="3">
        <v>0</v>
      </c>
      <c r="CM200" s="3">
        <v>0</v>
      </c>
      <c r="CN200" s="3" t="s">
        <v>680</v>
      </c>
      <c r="CO200" s="3">
        <v>0</v>
      </c>
      <c r="CP200" s="3">
        <f t="shared" si="194"/>
        <v>2043.76</v>
      </c>
      <c r="CQ200" s="3">
        <f t="shared" si="195"/>
        <v>170.31</v>
      </c>
      <c r="CR200" s="3">
        <f>(ROUND((ROUND(((ET200)*AV200*1),2)*BB200),2)+ROUND((ROUND(((AE200-(EU200))*AV200*1),2)*BS200),2))</f>
        <v>0</v>
      </c>
      <c r="CS200" s="3">
        <f>(ROUND((ROUND(((EU200)*AV200*1),2)*BS200),2)+ROUND((ROUND(((AE200-(EU200))*AV200*1),2)*BS200),2))</f>
        <v>0</v>
      </c>
      <c r="CT200" s="3">
        <f t="shared" si="196"/>
        <v>0</v>
      </c>
      <c r="CU200" s="3">
        <f t="shared" si="197"/>
        <v>0</v>
      </c>
      <c r="CV200" s="3">
        <f t="shared" si="198"/>
        <v>0</v>
      </c>
      <c r="CW200" s="3">
        <f t="shared" si="199"/>
        <v>0</v>
      </c>
      <c r="CX200" s="3">
        <f t="shared" si="200"/>
        <v>0</v>
      </c>
      <c r="CY200" s="3">
        <f>(ROUND((((S200+ROUND((ROUND(((EU200)*AV200*1),2)*BS200),2))*AT200)/100),2)+ROUND(((ROUND((ROUND(((AE200-(EU200))*AV200*1),2)*BS200),2)*AT200)/100),2))</f>
        <v>0</v>
      </c>
      <c r="CZ200" s="3">
        <f>(ROUND((((S200+ROUND((ROUND(((EU200)*AV200*1),2)*BS200),2))*AU200)/100),2)+ROUND(((ROUND((ROUND(((AE200-(EU200))*AV200*1),2)*BS200),2)*AU200)/100),2))</f>
        <v>0</v>
      </c>
      <c r="DC200" s="3" t="s">
        <v>3</v>
      </c>
      <c r="DD200" s="3" t="s">
        <v>3</v>
      </c>
      <c r="DE200" s="3" t="s">
        <v>3</v>
      </c>
      <c r="DF200" s="3" t="s">
        <v>3</v>
      </c>
      <c r="DG200" s="3" t="s">
        <v>3</v>
      </c>
      <c r="DH200" s="3" t="s">
        <v>3</v>
      </c>
      <c r="DI200" s="3" t="s">
        <v>3</v>
      </c>
      <c r="DJ200" s="3" t="s">
        <v>3</v>
      </c>
      <c r="DK200" s="3" t="s">
        <v>3</v>
      </c>
      <c r="DL200" s="3" t="s">
        <v>3</v>
      </c>
      <c r="DM200" s="3" t="s">
        <v>3</v>
      </c>
      <c r="DN200" s="3">
        <v>0</v>
      </c>
      <c r="DO200" s="3">
        <v>0</v>
      </c>
      <c r="DP200" s="3">
        <v>1</v>
      </c>
      <c r="DQ200" s="3">
        <v>1</v>
      </c>
      <c r="DU200" s="3">
        <v>1010</v>
      </c>
      <c r="DV200" s="3" t="s">
        <v>99</v>
      </c>
      <c r="DW200" s="3" t="s">
        <v>99</v>
      </c>
      <c r="DX200" s="3">
        <v>1</v>
      </c>
      <c r="DZ200" s="3" t="s">
        <v>3</v>
      </c>
      <c r="EA200" s="3" t="s">
        <v>3</v>
      </c>
      <c r="EB200" s="3" t="s">
        <v>3</v>
      </c>
      <c r="EC200" s="3" t="s">
        <v>3</v>
      </c>
      <c r="EE200" s="3">
        <v>85133367</v>
      </c>
      <c r="EF200" s="3">
        <v>30</v>
      </c>
      <c r="EG200" s="3" t="s">
        <v>49</v>
      </c>
      <c r="EH200" s="3">
        <v>0</v>
      </c>
      <c r="EI200" s="3" t="s">
        <v>3</v>
      </c>
      <c r="EJ200" s="3">
        <v>1</v>
      </c>
      <c r="EK200" s="3">
        <v>21</v>
      </c>
      <c r="EL200" s="3" t="s">
        <v>389</v>
      </c>
      <c r="EM200" s="3" t="s">
        <v>390</v>
      </c>
      <c r="EO200" s="3" t="s">
        <v>248</v>
      </c>
      <c r="EQ200" s="3">
        <v>0</v>
      </c>
      <c r="ER200" s="3">
        <v>54.24</v>
      </c>
      <c r="ES200" s="3">
        <v>54.24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FQ200" s="3">
        <v>0</v>
      </c>
      <c r="FR200" s="3">
        <v>0</v>
      </c>
      <c r="FS200" s="3">
        <v>0</v>
      </c>
      <c r="FX200" s="3">
        <v>121</v>
      </c>
      <c r="FY200" s="3">
        <v>72</v>
      </c>
      <c r="GA200" s="3" t="s">
        <v>3</v>
      </c>
      <c r="GD200" s="3">
        <v>1</v>
      </c>
      <c r="GF200" s="3">
        <v>1616596241</v>
      </c>
      <c r="GG200" s="3">
        <v>2</v>
      </c>
      <c r="GH200" s="3">
        <v>1</v>
      </c>
      <c r="GI200" s="3">
        <v>2</v>
      </c>
      <c r="GJ200" s="3">
        <v>0</v>
      </c>
      <c r="GK200" s="3">
        <v>0</v>
      </c>
      <c r="GL200" s="3">
        <f t="shared" si="201"/>
        <v>0</v>
      </c>
      <c r="GM200" s="3">
        <f t="shared" si="202"/>
        <v>2043.76</v>
      </c>
      <c r="GN200" s="3">
        <f t="shared" si="203"/>
        <v>2043.76</v>
      </c>
      <c r="GO200" s="3">
        <f t="shared" si="204"/>
        <v>0</v>
      </c>
      <c r="GP200" s="3">
        <f t="shared" si="205"/>
        <v>0</v>
      </c>
      <c r="GR200" s="3">
        <v>0</v>
      </c>
      <c r="GS200" s="3">
        <v>3</v>
      </c>
      <c r="GT200" s="3">
        <v>0</v>
      </c>
      <c r="GU200" s="3" t="s">
        <v>3</v>
      </c>
      <c r="GV200" s="3">
        <f t="shared" si="206"/>
        <v>0</v>
      </c>
      <c r="GW200" s="3">
        <v>1</v>
      </c>
      <c r="GX200" s="3">
        <f t="shared" si="207"/>
        <v>0</v>
      </c>
      <c r="HA200" s="3">
        <v>0</v>
      </c>
      <c r="HB200" s="3">
        <v>0</v>
      </c>
      <c r="HC200" s="3">
        <f t="shared" si="208"/>
        <v>0</v>
      </c>
      <c r="HE200" s="3" t="s">
        <v>3</v>
      </c>
      <c r="HF200" s="3" t="s">
        <v>3</v>
      </c>
      <c r="HM200" s="3" t="s">
        <v>77</v>
      </c>
      <c r="HN200" s="3" t="s">
        <v>3</v>
      </c>
      <c r="HO200" s="3" t="s">
        <v>3</v>
      </c>
      <c r="HP200" s="3" t="s">
        <v>3</v>
      </c>
      <c r="HQ200" s="3" t="s">
        <v>3</v>
      </c>
      <c r="HS200" s="3">
        <v>0</v>
      </c>
      <c r="IK200" s="3">
        <v>0</v>
      </c>
    </row>
    <row r="201" spans="1:255" x14ac:dyDescent="0.2">
      <c r="A201" s="2">
        <v>17</v>
      </c>
      <c r="B201" s="2">
        <v>1</v>
      </c>
      <c r="C201" s="2">
        <f>ROW(SmtRes!A472)</f>
        <v>472</v>
      </c>
      <c r="D201" s="2">
        <f>ROW(EtalonRes!A490)</f>
        <v>490</v>
      </c>
      <c r="E201" s="2" t="s">
        <v>395</v>
      </c>
      <c r="F201" s="2" t="s">
        <v>369</v>
      </c>
      <c r="G201" s="2" t="s">
        <v>370</v>
      </c>
      <c r="H201" s="2" t="s">
        <v>240</v>
      </c>
      <c r="I201" s="2">
        <f>ROUND(778/100,9)</f>
        <v>7.78</v>
      </c>
      <c r="J201" s="2">
        <v>0</v>
      </c>
      <c r="K201" s="2">
        <f>ROUND(778/100,9)</f>
        <v>7.78</v>
      </c>
      <c r="L201" s="2"/>
      <c r="M201" s="2"/>
      <c r="N201" s="2"/>
      <c r="O201" s="2">
        <f t="shared" si="184"/>
        <v>38584.230000000003</v>
      </c>
      <c r="P201" s="2">
        <f t="shared" si="185"/>
        <v>27690.12</v>
      </c>
      <c r="Q201" s="2">
        <f>(ROUND((ROUND((((ET201*1.2))*AV201*I201),2)*BB201),2)+ROUND((ROUND(((AE201-((EU201*1.2)))*AV201*I201),2)*BS201),2))</f>
        <v>3351.25</v>
      </c>
      <c r="R201" s="2">
        <f>(ROUND((ROUND((((EU201*1.2))*AV201*I201),2)*BS201),2)+ROUND((ROUND(((AE201-((EU201*1.2)))*AV201*I201),2)*BS201),2))</f>
        <v>1.29</v>
      </c>
      <c r="S201" s="2">
        <f t="shared" si="186"/>
        <v>7542.86</v>
      </c>
      <c r="T201" s="2">
        <f t="shared" si="187"/>
        <v>0</v>
      </c>
      <c r="U201" s="2">
        <f t="shared" si="188"/>
        <v>597.69072000000006</v>
      </c>
      <c r="V201" s="2">
        <f t="shared" si="189"/>
        <v>0</v>
      </c>
      <c r="W201" s="2">
        <f t="shared" si="190"/>
        <v>0</v>
      </c>
      <c r="X201" s="2">
        <f>(ROUND((((S201+ROUND((ROUND((((EU201*1.2))*AV201*I201),2)*BS201),2))*AT201)/100),2)+ROUND(((ROUND((ROUND(((AE201-((EU201*1.2)))*AV201*I201),2)*BS201),2)*AT201)/100),2))</f>
        <v>6789.74</v>
      </c>
      <c r="Y201" s="2">
        <f>(ROUND((((S201+ROUND((ROUND((((EU201*1.2))*AV201*I201),2)*BS201),2))*AU201)/100),2)+ROUND(((ROUND((ROUND(((AE201-((EU201*1.2)))*AV201*I201),2)*BS201),2)*AU201)/100),2))</f>
        <v>3470.31</v>
      </c>
      <c r="Z201" s="2"/>
      <c r="AA201" s="2">
        <v>85739205</v>
      </c>
      <c r="AB201" s="2">
        <f t="shared" si="191"/>
        <v>4774.5439999999999</v>
      </c>
      <c r="AC201" s="2">
        <f>ROUND(((ES201*1)),6)</f>
        <v>3462.2</v>
      </c>
      <c r="AD201" s="2">
        <f>ROUND(((((ET201*1.2))-((EU201*1.2)))+AE201),6)</f>
        <v>403.70400000000001</v>
      </c>
      <c r="AE201" s="2">
        <f>ROUND(((EU201*1.2)),6)</f>
        <v>0.156</v>
      </c>
      <c r="AF201" s="2">
        <f>ROUND(((EV201*1.2)),6)</f>
        <v>908.64</v>
      </c>
      <c r="AG201" s="2">
        <f t="shared" si="192"/>
        <v>0</v>
      </c>
      <c r="AH201" s="2">
        <f>((EW201*1.2))</f>
        <v>72</v>
      </c>
      <c r="AI201" s="2">
        <f>((EX201*1.2))</f>
        <v>0</v>
      </c>
      <c r="AJ201" s="2">
        <f t="shared" si="193"/>
        <v>0</v>
      </c>
      <c r="AK201" s="2">
        <v>4555.82</v>
      </c>
      <c r="AL201" s="2">
        <v>3462.2</v>
      </c>
      <c r="AM201" s="2">
        <v>336.42</v>
      </c>
      <c r="AN201" s="2">
        <v>0.13</v>
      </c>
      <c r="AO201" s="2">
        <v>757.2</v>
      </c>
      <c r="AP201" s="2">
        <v>0</v>
      </c>
      <c r="AQ201" s="2">
        <v>60</v>
      </c>
      <c r="AR201" s="2">
        <v>0</v>
      </c>
      <c r="AS201" s="2">
        <v>0</v>
      </c>
      <c r="AT201" s="2">
        <v>90</v>
      </c>
      <c r="AU201" s="2">
        <v>46</v>
      </c>
      <c r="AV201" s="2">
        <v>1.0669999999999999</v>
      </c>
      <c r="AW201" s="2">
        <v>1.028</v>
      </c>
      <c r="AX201" s="2"/>
      <c r="AY201" s="2"/>
      <c r="AZ201" s="2">
        <v>1</v>
      </c>
      <c r="BA201" s="2">
        <v>1</v>
      </c>
      <c r="BB201" s="2">
        <v>1</v>
      </c>
      <c r="BC201" s="2">
        <v>1</v>
      </c>
      <c r="BD201" s="2" t="s">
        <v>3</v>
      </c>
      <c r="BE201" s="2" t="s">
        <v>3</v>
      </c>
      <c r="BF201" s="2" t="s">
        <v>3</v>
      </c>
      <c r="BG201" s="2" t="s">
        <v>3</v>
      </c>
      <c r="BH201" s="2">
        <v>0</v>
      </c>
      <c r="BI201" s="2">
        <v>2</v>
      </c>
      <c r="BJ201" s="2" t="s">
        <v>371</v>
      </c>
      <c r="BK201" s="2"/>
      <c r="BL201" s="2"/>
      <c r="BM201" s="2">
        <v>73</v>
      </c>
      <c r="BN201" s="2">
        <v>0</v>
      </c>
      <c r="BO201" s="2" t="s">
        <v>369</v>
      </c>
      <c r="BP201" s="2">
        <v>1</v>
      </c>
      <c r="BQ201" s="2">
        <v>40</v>
      </c>
      <c r="BR201" s="2">
        <v>0</v>
      </c>
      <c r="BS201" s="2">
        <v>1</v>
      </c>
      <c r="BT201" s="2">
        <v>1</v>
      </c>
      <c r="BU201" s="2">
        <v>1</v>
      </c>
      <c r="BV201" s="2">
        <v>1</v>
      </c>
      <c r="BW201" s="2">
        <v>1</v>
      </c>
      <c r="BX201" s="2">
        <v>1</v>
      </c>
      <c r="BY201" s="2" t="s">
        <v>3</v>
      </c>
      <c r="BZ201" s="2">
        <v>90</v>
      </c>
      <c r="CA201" s="2">
        <v>46</v>
      </c>
      <c r="CB201" s="2" t="s">
        <v>3</v>
      </c>
      <c r="CC201" s="2"/>
      <c r="CD201" s="2"/>
      <c r="CE201" s="2">
        <v>1566</v>
      </c>
      <c r="CF201" s="2">
        <v>0</v>
      </c>
      <c r="CG201" s="2">
        <v>0</v>
      </c>
      <c r="CH201" s="2"/>
      <c r="CI201" s="2"/>
      <c r="CJ201" s="2"/>
      <c r="CK201" s="2"/>
      <c r="CL201" s="2"/>
      <c r="CM201" s="2">
        <v>0</v>
      </c>
      <c r="CN201" s="2" t="s">
        <v>677</v>
      </c>
      <c r="CO201" s="2">
        <v>0</v>
      </c>
      <c r="CP201" s="2">
        <f t="shared" si="194"/>
        <v>38584.229999999996</v>
      </c>
      <c r="CQ201" s="2">
        <f t="shared" si="195"/>
        <v>3559.14</v>
      </c>
      <c r="CR201" s="2">
        <f>(ROUND((ROUND((((ET201*1.2))*AV201*1),2)*BB201),2)+ROUND((ROUND(((AE201-((EU201*1.2)))*AV201*1),2)*BS201),2))</f>
        <v>430.75</v>
      </c>
      <c r="CS201" s="2">
        <f>(ROUND((ROUND((((EU201*1.2))*AV201*1),2)*BS201),2)+ROUND((ROUND(((AE201-((EU201*1.2)))*AV201*1),2)*BS201),2))</f>
        <v>0.17</v>
      </c>
      <c r="CT201" s="2">
        <f t="shared" si="196"/>
        <v>969.52</v>
      </c>
      <c r="CU201" s="2">
        <f t="shared" si="197"/>
        <v>0</v>
      </c>
      <c r="CV201" s="2">
        <f t="shared" si="198"/>
        <v>76.823999999999998</v>
      </c>
      <c r="CW201" s="2">
        <f t="shared" si="199"/>
        <v>0</v>
      </c>
      <c r="CX201" s="2">
        <f t="shared" si="200"/>
        <v>0</v>
      </c>
      <c r="CY201" s="2">
        <f>(ROUND((((S201+ROUND((ROUND((((EU201*1.2))*AV201*1),2)*BS201),2))*AT201)/100),2)+ROUND(((ROUND((ROUND(((AE201-((EU201*1.2)))*AV201*1),2)*BS201),2)*AT201)/100),2))</f>
        <v>6788.73</v>
      </c>
      <c r="CZ201" s="2">
        <f>(ROUND((((S201+ROUND((ROUND((((EU201*1.2))*AV201*1),2)*BS201),2))*AU201)/100),2)+ROUND(((ROUND((ROUND(((AE201-((EU201*1.2)))*AV201*1),2)*BS201),2)*AU201)/100),2))</f>
        <v>3469.79</v>
      </c>
      <c r="DA201" s="2"/>
      <c r="DB201" s="2">
        <v>75</v>
      </c>
      <c r="DC201" s="2" t="s">
        <v>3</v>
      </c>
      <c r="DD201" s="2" t="s">
        <v>35</v>
      </c>
      <c r="DE201" s="2" t="s">
        <v>36</v>
      </c>
      <c r="DF201" s="2" t="s">
        <v>36</v>
      </c>
      <c r="DG201" s="2" t="s">
        <v>36</v>
      </c>
      <c r="DH201" s="2" t="s">
        <v>3</v>
      </c>
      <c r="DI201" s="2" t="s">
        <v>36</v>
      </c>
      <c r="DJ201" s="2" t="s">
        <v>36</v>
      </c>
      <c r="DK201" s="2" t="s">
        <v>3</v>
      </c>
      <c r="DL201" s="2" t="s">
        <v>3</v>
      </c>
      <c r="DM201" s="2" t="s">
        <v>3</v>
      </c>
      <c r="DN201" s="2">
        <v>0</v>
      </c>
      <c r="DO201" s="2">
        <v>0</v>
      </c>
      <c r="DP201" s="2">
        <v>1</v>
      </c>
      <c r="DQ201" s="2">
        <v>1</v>
      </c>
      <c r="DR201" s="2"/>
      <c r="DS201" s="2"/>
      <c r="DT201" s="2"/>
      <c r="DU201" s="2">
        <v>1010</v>
      </c>
      <c r="DV201" s="2" t="s">
        <v>240</v>
      </c>
      <c r="DW201" s="2" t="s">
        <v>240</v>
      </c>
      <c r="DX201" s="2">
        <v>100</v>
      </c>
      <c r="DY201" s="2"/>
      <c r="DZ201" s="2" t="s">
        <v>3</v>
      </c>
      <c r="EA201" s="2" t="s">
        <v>3</v>
      </c>
      <c r="EB201" s="2" t="s">
        <v>3</v>
      </c>
      <c r="EC201" s="2" t="s">
        <v>3</v>
      </c>
      <c r="ED201" s="2"/>
      <c r="EE201" s="2">
        <v>85133422</v>
      </c>
      <c r="EF201" s="2">
        <v>40</v>
      </c>
      <c r="EG201" s="2" t="s">
        <v>27</v>
      </c>
      <c r="EH201" s="2">
        <v>0</v>
      </c>
      <c r="EI201" s="2" t="s">
        <v>3</v>
      </c>
      <c r="EJ201" s="2">
        <v>2</v>
      </c>
      <c r="EK201" s="2">
        <v>73</v>
      </c>
      <c r="EL201" s="2" t="s">
        <v>62</v>
      </c>
      <c r="EM201" s="2" t="s">
        <v>63</v>
      </c>
      <c r="EN201" s="2"/>
      <c r="EO201" s="2" t="s">
        <v>37</v>
      </c>
      <c r="EP201" s="2"/>
      <c r="EQ201" s="2">
        <v>0</v>
      </c>
      <c r="ER201" s="2">
        <v>4555.82</v>
      </c>
      <c r="ES201" s="2">
        <v>3462.2</v>
      </c>
      <c r="ET201" s="2">
        <v>336.42</v>
      </c>
      <c r="EU201" s="2">
        <v>0.13</v>
      </c>
      <c r="EV201" s="2">
        <v>757.2</v>
      </c>
      <c r="EW201" s="2">
        <v>60</v>
      </c>
      <c r="EX201" s="2">
        <v>0</v>
      </c>
      <c r="EY201" s="2">
        <v>0</v>
      </c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>
        <v>0</v>
      </c>
      <c r="FR201" s="2">
        <v>0</v>
      </c>
      <c r="FS201" s="2">
        <v>2</v>
      </c>
      <c r="FT201" s="2"/>
      <c r="FU201" s="2"/>
      <c r="FV201" s="2"/>
      <c r="FW201" s="2"/>
      <c r="FX201" s="2">
        <v>90</v>
      </c>
      <c r="FY201" s="2">
        <v>46</v>
      </c>
      <c r="FZ201" s="2"/>
      <c r="GA201" s="2" t="s">
        <v>3</v>
      </c>
      <c r="GB201" s="2"/>
      <c r="GC201" s="2"/>
      <c r="GD201" s="2">
        <v>1</v>
      </c>
      <c r="GE201" s="2"/>
      <c r="GF201" s="2">
        <v>2142141271</v>
      </c>
      <c r="GG201" s="2">
        <v>2</v>
      </c>
      <c r="GH201" s="2">
        <v>1</v>
      </c>
      <c r="GI201" s="2">
        <v>2</v>
      </c>
      <c r="GJ201" s="2">
        <v>0</v>
      </c>
      <c r="GK201" s="2">
        <v>0</v>
      </c>
      <c r="GL201" s="2">
        <f t="shared" si="201"/>
        <v>0</v>
      </c>
      <c r="GM201" s="2">
        <f t="shared" si="202"/>
        <v>48844.28</v>
      </c>
      <c r="GN201" s="2">
        <f t="shared" si="203"/>
        <v>0</v>
      </c>
      <c r="GO201" s="2">
        <f t="shared" si="204"/>
        <v>48844.28</v>
      </c>
      <c r="GP201" s="2">
        <f t="shared" si="205"/>
        <v>0</v>
      </c>
      <c r="GQ201" s="2"/>
      <c r="GR201" s="2">
        <v>0</v>
      </c>
      <c r="GS201" s="2">
        <v>3</v>
      </c>
      <c r="GT201" s="2">
        <v>0</v>
      </c>
      <c r="GU201" s="2" t="s">
        <v>3</v>
      </c>
      <c r="GV201" s="2">
        <f t="shared" si="206"/>
        <v>0</v>
      </c>
      <c r="GW201" s="2">
        <v>1</v>
      </c>
      <c r="GX201" s="2">
        <f t="shared" si="207"/>
        <v>0</v>
      </c>
      <c r="GY201" s="2"/>
      <c r="GZ201" s="2"/>
      <c r="HA201" s="2">
        <v>0</v>
      </c>
      <c r="HB201" s="2">
        <v>0</v>
      </c>
      <c r="HC201" s="2">
        <f t="shared" si="208"/>
        <v>0</v>
      </c>
      <c r="HD201" s="2"/>
      <c r="HE201" s="2" t="s">
        <v>3</v>
      </c>
      <c r="HF201" s="2" t="s">
        <v>3</v>
      </c>
      <c r="HG201" s="2"/>
      <c r="HH201" s="2"/>
      <c r="HI201" s="2"/>
      <c r="HJ201" s="2"/>
      <c r="HK201" s="2"/>
      <c r="HL201" s="2"/>
      <c r="HM201" s="2" t="s">
        <v>3</v>
      </c>
      <c r="HN201" s="2" t="s">
        <v>3</v>
      </c>
      <c r="HO201" s="2" t="s">
        <v>3</v>
      </c>
      <c r="HP201" s="2" t="s">
        <v>3</v>
      </c>
      <c r="HQ201" s="2" t="s">
        <v>3</v>
      </c>
      <c r="HR201" s="2"/>
      <c r="HS201" s="2">
        <v>0</v>
      </c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>
        <v>0</v>
      </c>
      <c r="IL201" s="2"/>
      <c r="IM201" s="2"/>
      <c r="IN201" s="2"/>
      <c r="IO201" s="2"/>
      <c r="IP201" s="2"/>
      <c r="IQ201" s="2"/>
      <c r="IR201" s="2"/>
      <c r="IS201" s="2"/>
      <c r="IT201" s="2"/>
      <c r="IU201" s="2"/>
    </row>
    <row r="202" spans="1:255" x14ac:dyDescent="0.2">
      <c r="A202" s="3">
        <v>17</v>
      </c>
      <c r="B202" s="3">
        <v>1</v>
      </c>
      <c r="C202" s="3">
        <f>ROW(SmtRes!A480)</f>
        <v>480</v>
      </c>
      <c r="D202" s="3">
        <f>ROW(EtalonRes!A498)</f>
        <v>498</v>
      </c>
      <c r="E202" s="3" t="s">
        <v>395</v>
      </c>
      <c r="F202" s="3" t="s">
        <v>369</v>
      </c>
      <c r="G202" s="3" t="s">
        <v>370</v>
      </c>
      <c r="H202" s="3" t="s">
        <v>240</v>
      </c>
      <c r="I202" s="3">
        <f>ROUND(778/100,9)</f>
        <v>7.78</v>
      </c>
      <c r="J202" s="3">
        <v>0</v>
      </c>
      <c r="K202" s="3">
        <f>ROUND(778/100,9)</f>
        <v>7.78</v>
      </c>
      <c r="O202" s="3">
        <f t="shared" si="184"/>
        <v>705824.42</v>
      </c>
      <c r="P202" s="3">
        <f t="shared" si="185"/>
        <v>235642.92</v>
      </c>
      <c r="Q202" s="3">
        <f>(ROUND((ROUND((((ET202*1.2))*AV202*I202),2)*BB202),2)+ROUND((ROUND(((AE202-((EU202*1.2)))*AV202*I202),2)*BS202),2))</f>
        <v>45141.34</v>
      </c>
      <c r="R202" s="3">
        <f>(ROUND((ROUND((((EU202*1.2))*AV202*I202),2)*BS202),2)+ROUND((ROUND(((AE202-((EU202*1.2)))*AV202*I202),2)*BS202),2))</f>
        <v>72.69</v>
      </c>
      <c r="S202" s="3">
        <f t="shared" si="186"/>
        <v>425040.16</v>
      </c>
      <c r="T202" s="3">
        <f t="shared" si="187"/>
        <v>0</v>
      </c>
      <c r="U202" s="3">
        <f t="shared" si="188"/>
        <v>597.69072000000006</v>
      </c>
      <c r="V202" s="3">
        <f t="shared" si="189"/>
        <v>0</v>
      </c>
      <c r="W202" s="3">
        <f t="shared" si="190"/>
        <v>0</v>
      </c>
      <c r="X202" s="3">
        <f>(ROUND((((S202+ROUND((ROUND((((EU202*1.2))*AV202*I202),2)*BS202),2))*AT202)/100),2)+ROUND(((ROUND((ROUND(((AE202-((EU202*1.2)))*AV202*I202),2)*BS202),2)*AT202)/100),2))</f>
        <v>382601.57</v>
      </c>
      <c r="Y202" s="3">
        <f>(ROUND((((S202+ROUND((ROUND((((EU202*1.2))*AV202*I202),2)*BS202),2))*AU202)/100),2)+ROUND(((ROUND((ROUND(((AE202-((EU202*1.2)))*AV202*I202),2)*BS202),2)*AU202)/100),2))</f>
        <v>195551.91</v>
      </c>
      <c r="AA202" s="3">
        <v>85739207</v>
      </c>
      <c r="AB202" s="3">
        <f t="shared" si="191"/>
        <v>4774.5439999999999</v>
      </c>
      <c r="AC202" s="3">
        <f>ROUND(((ES202*1)),6)</f>
        <v>3462.2</v>
      </c>
      <c r="AD202" s="3">
        <f>ROUND(((((ET202*1.2))-((EU202*1.2)))+AE202),6)</f>
        <v>403.70400000000001</v>
      </c>
      <c r="AE202" s="3">
        <f>ROUND(((EU202*1.2)),6)</f>
        <v>0.156</v>
      </c>
      <c r="AF202" s="3">
        <f>ROUND(((EV202*1.2)),6)</f>
        <v>908.64</v>
      </c>
      <c r="AG202" s="3">
        <f t="shared" si="192"/>
        <v>0</v>
      </c>
      <c r="AH202" s="3">
        <f>((EW202*1.2))</f>
        <v>72</v>
      </c>
      <c r="AI202" s="3">
        <f>((EX202*1.2))</f>
        <v>0</v>
      </c>
      <c r="AJ202" s="3">
        <f t="shared" si="193"/>
        <v>0</v>
      </c>
      <c r="AK202" s="3">
        <v>4555.82</v>
      </c>
      <c r="AL202" s="3">
        <v>3462.2</v>
      </c>
      <c r="AM202" s="3">
        <v>336.42</v>
      </c>
      <c r="AN202" s="3">
        <v>0.13</v>
      </c>
      <c r="AO202" s="3">
        <v>757.2</v>
      </c>
      <c r="AP202" s="3">
        <v>0</v>
      </c>
      <c r="AQ202" s="3">
        <v>60</v>
      </c>
      <c r="AR202" s="3">
        <v>0</v>
      </c>
      <c r="AS202" s="3">
        <v>0</v>
      </c>
      <c r="AT202" s="3">
        <v>90</v>
      </c>
      <c r="AU202" s="3">
        <v>46</v>
      </c>
      <c r="AV202" s="3">
        <v>1.0669999999999999</v>
      </c>
      <c r="AW202" s="3">
        <v>1.028</v>
      </c>
      <c r="AZ202" s="3">
        <v>1</v>
      </c>
      <c r="BA202" s="3">
        <v>56.35</v>
      </c>
      <c r="BB202" s="3">
        <v>13.47</v>
      </c>
      <c r="BC202" s="3">
        <v>8.51</v>
      </c>
      <c r="BD202" s="3" t="s">
        <v>3</v>
      </c>
      <c r="BE202" s="3" t="s">
        <v>3</v>
      </c>
      <c r="BF202" s="3" t="s">
        <v>3</v>
      </c>
      <c r="BG202" s="3" t="s">
        <v>3</v>
      </c>
      <c r="BH202" s="3">
        <v>0</v>
      </c>
      <c r="BI202" s="3">
        <v>2</v>
      </c>
      <c r="BJ202" s="3" t="s">
        <v>371</v>
      </c>
      <c r="BM202" s="3">
        <v>73</v>
      </c>
      <c r="BN202" s="3">
        <v>0</v>
      </c>
      <c r="BO202" s="3" t="s">
        <v>369</v>
      </c>
      <c r="BP202" s="3">
        <v>1</v>
      </c>
      <c r="BQ202" s="3">
        <v>40</v>
      </c>
      <c r="BR202" s="3">
        <v>0</v>
      </c>
      <c r="BS202" s="3">
        <v>56.35</v>
      </c>
      <c r="BT202" s="3">
        <v>1</v>
      </c>
      <c r="BU202" s="3">
        <v>1</v>
      </c>
      <c r="BV202" s="3">
        <v>1</v>
      </c>
      <c r="BW202" s="3">
        <v>1</v>
      </c>
      <c r="BX202" s="3">
        <v>1</v>
      </c>
      <c r="BY202" s="3" t="s">
        <v>3</v>
      </c>
      <c r="BZ202" s="3">
        <v>90</v>
      </c>
      <c r="CA202" s="3">
        <v>46</v>
      </c>
      <c r="CB202" s="3" t="s">
        <v>3</v>
      </c>
      <c r="CE202" s="3">
        <v>1566</v>
      </c>
      <c r="CF202" s="3">
        <v>0</v>
      </c>
      <c r="CG202" s="3">
        <v>0</v>
      </c>
      <c r="CM202" s="3">
        <v>0</v>
      </c>
      <c r="CN202" s="3" t="s">
        <v>677</v>
      </c>
      <c r="CO202" s="3">
        <v>0</v>
      </c>
      <c r="CP202" s="3">
        <f t="shared" si="194"/>
        <v>705824.41999999993</v>
      </c>
      <c r="CQ202" s="3">
        <f t="shared" si="195"/>
        <v>30288.28</v>
      </c>
      <c r="CR202" s="3">
        <f>(ROUND((ROUND((((ET202*1.2))*AV202*1),2)*BB202),2)+ROUND((ROUND(((AE202-((EU202*1.2)))*AV202*1),2)*BS202),2))</f>
        <v>5802.2</v>
      </c>
      <c r="CS202" s="3">
        <f>(ROUND((ROUND((((EU202*1.2))*AV202*1),2)*BS202),2)+ROUND((ROUND(((AE202-((EU202*1.2)))*AV202*1),2)*BS202),2))</f>
        <v>9.58</v>
      </c>
      <c r="CT202" s="3">
        <f t="shared" si="196"/>
        <v>54632.45</v>
      </c>
      <c r="CU202" s="3">
        <f t="shared" si="197"/>
        <v>0</v>
      </c>
      <c r="CV202" s="3">
        <f t="shared" si="198"/>
        <v>76.823999999999998</v>
      </c>
      <c r="CW202" s="3">
        <f t="shared" si="199"/>
        <v>0</v>
      </c>
      <c r="CX202" s="3">
        <f t="shared" si="200"/>
        <v>0</v>
      </c>
      <c r="CY202" s="3">
        <f>(ROUND((((S202+ROUND((ROUND((((EU202*1.2))*AV202*1),2)*BS202),2))*AT202)/100),2)+ROUND(((ROUND((ROUND(((AE202-((EU202*1.2)))*AV202*1),2)*BS202),2)*AT202)/100),2))</f>
        <v>382544.77</v>
      </c>
      <c r="CZ202" s="3">
        <f>(ROUND((((S202+ROUND((ROUND((((EU202*1.2))*AV202*1),2)*BS202),2))*AU202)/100),2)+ROUND(((ROUND((ROUND(((AE202-((EU202*1.2)))*AV202*1),2)*BS202),2)*AU202)/100),2))</f>
        <v>195522.88</v>
      </c>
      <c r="DB202" s="3">
        <v>76</v>
      </c>
      <c r="DC202" s="3" t="s">
        <v>3</v>
      </c>
      <c r="DD202" s="3" t="s">
        <v>35</v>
      </c>
      <c r="DE202" s="3" t="s">
        <v>36</v>
      </c>
      <c r="DF202" s="3" t="s">
        <v>36</v>
      </c>
      <c r="DG202" s="3" t="s">
        <v>36</v>
      </c>
      <c r="DH202" s="3" t="s">
        <v>3</v>
      </c>
      <c r="DI202" s="3" t="s">
        <v>36</v>
      </c>
      <c r="DJ202" s="3" t="s">
        <v>36</v>
      </c>
      <c r="DK202" s="3" t="s">
        <v>3</v>
      </c>
      <c r="DL202" s="3" t="s">
        <v>3</v>
      </c>
      <c r="DM202" s="3" t="s">
        <v>3</v>
      </c>
      <c r="DN202" s="3">
        <v>0</v>
      </c>
      <c r="DO202" s="3">
        <v>0</v>
      </c>
      <c r="DP202" s="3">
        <v>1</v>
      </c>
      <c r="DQ202" s="3">
        <v>1</v>
      </c>
      <c r="DU202" s="3">
        <v>1010</v>
      </c>
      <c r="DV202" s="3" t="s">
        <v>240</v>
      </c>
      <c r="DW202" s="3" t="s">
        <v>240</v>
      </c>
      <c r="DX202" s="3">
        <v>100</v>
      </c>
      <c r="DZ202" s="3" t="s">
        <v>3</v>
      </c>
      <c r="EA202" s="3" t="s">
        <v>3</v>
      </c>
      <c r="EB202" s="3" t="s">
        <v>3</v>
      </c>
      <c r="EC202" s="3" t="s">
        <v>3</v>
      </c>
      <c r="EE202" s="3">
        <v>85133422</v>
      </c>
      <c r="EF202" s="3">
        <v>40</v>
      </c>
      <c r="EG202" s="3" t="s">
        <v>27</v>
      </c>
      <c r="EH202" s="3">
        <v>0</v>
      </c>
      <c r="EI202" s="3" t="s">
        <v>3</v>
      </c>
      <c r="EJ202" s="3">
        <v>2</v>
      </c>
      <c r="EK202" s="3">
        <v>73</v>
      </c>
      <c r="EL202" s="3" t="s">
        <v>62</v>
      </c>
      <c r="EM202" s="3" t="s">
        <v>63</v>
      </c>
      <c r="EO202" s="3" t="s">
        <v>37</v>
      </c>
      <c r="EQ202" s="3">
        <v>0</v>
      </c>
      <c r="ER202" s="3">
        <v>4555.82</v>
      </c>
      <c r="ES202" s="3">
        <v>3462.2</v>
      </c>
      <c r="ET202" s="3">
        <v>336.42</v>
      </c>
      <c r="EU202" s="3">
        <v>0.13</v>
      </c>
      <c r="EV202" s="3">
        <v>757.2</v>
      </c>
      <c r="EW202" s="3">
        <v>60</v>
      </c>
      <c r="EX202" s="3">
        <v>0</v>
      </c>
      <c r="EY202" s="3">
        <v>0</v>
      </c>
      <c r="FQ202" s="3">
        <v>0</v>
      </c>
      <c r="FR202" s="3">
        <v>0</v>
      </c>
      <c r="FS202" s="3">
        <v>2</v>
      </c>
      <c r="FX202" s="3">
        <v>90</v>
      </c>
      <c r="FY202" s="3">
        <v>46</v>
      </c>
      <c r="GA202" s="3" t="s">
        <v>3</v>
      </c>
      <c r="GD202" s="3">
        <v>1</v>
      </c>
      <c r="GF202" s="3">
        <v>2142141271</v>
      </c>
      <c r="GG202" s="3">
        <v>2</v>
      </c>
      <c r="GH202" s="3">
        <v>1</v>
      </c>
      <c r="GI202" s="3">
        <v>2</v>
      </c>
      <c r="GJ202" s="3">
        <v>0</v>
      </c>
      <c r="GK202" s="3">
        <v>0</v>
      </c>
      <c r="GL202" s="3">
        <f t="shared" si="201"/>
        <v>0</v>
      </c>
      <c r="GM202" s="3">
        <f t="shared" si="202"/>
        <v>1283977.8999999999</v>
      </c>
      <c r="GN202" s="3">
        <f t="shared" si="203"/>
        <v>0</v>
      </c>
      <c r="GO202" s="3">
        <f t="shared" si="204"/>
        <v>1283977.8999999999</v>
      </c>
      <c r="GP202" s="3">
        <f t="shared" si="205"/>
        <v>0</v>
      </c>
      <c r="GR202" s="3">
        <v>0</v>
      </c>
      <c r="GS202" s="3">
        <v>3</v>
      </c>
      <c r="GT202" s="3">
        <v>0</v>
      </c>
      <c r="GU202" s="3" t="s">
        <v>3</v>
      </c>
      <c r="GV202" s="3">
        <f t="shared" si="206"/>
        <v>0</v>
      </c>
      <c r="GW202" s="3">
        <v>1</v>
      </c>
      <c r="GX202" s="3">
        <f t="shared" si="207"/>
        <v>0</v>
      </c>
      <c r="HA202" s="3">
        <v>0</v>
      </c>
      <c r="HB202" s="3">
        <v>0</v>
      </c>
      <c r="HC202" s="3">
        <f t="shared" si="208"/>
        <v>0</v>
      </c>
      <c r="HE202" s="3" t="s">
        <v>3</v>
      </c>
      <c r="HF202" s="3" t="s">
        <v>3</v>
      </c>
      <c r="HM202" s="3" t="s">
        <v>3</v>
      </c>
      <c r="HN202" s="3" t="s">
        <v>3</v>
      </c>
      <c r="HO202" s="3" t="s">
        <v>3</v>
      </c>
      <c r="HP202" s="3" t="s">
        <v>3</v>
      </c>
      <c r="HQ202" s="3" t="s">
        <v>3</v>
      </c>
      <c r="HS202" s="3">
        <v>0</v>
      </c>
      <c r="IK202" s="3">
        <v>0</v>
      </c>
    </row>
    <row r="203" spans="1:255" x14ac:dyDescent="0.2">
      <c r="A203" s="2">
        <v>18</v>
      </c>
      <c r="B203" s="2">
        <v>1</v>
      </c>
      <c r="C203" s="2">
        <v>470</v>
      </c>
      <c r="D203" s="2"/>
      <c r="E203" s="2" t="s">
        <v>396</v>
      </c>
      <c r="F203" s="2" t="s">
        <v>397</v>
      </c>
      <c r="G203" s="2" t="s">
        <v>398</v>
      </c>
      <c r="H203" s="2" t="s">
        <v>99</v>
      </c>
      <c r="I203" s="2">
        <f>I201*J203</f>
        <v>778</v>
      </c>
      <c r="J203" s="2">
        <v>100</v>
      </c>
      <c r="K203" s="2">
        <v>100</v>
      </c>
      <c r="L203" s="2"/>
      <c r="M203" s="2"/>
      <c r="N203" s="2"/>
      <c r="O203" s="2">
        <f t="shared" si="184"/>
        <v>24615.919999999998</v>
      </c>
      <c r="P203" s="2">
        <f t="shared" si="185"/>
        <v>24615.919999999998</v>
      </c>
      <c r="Q203" s="2">
        <f>(ROUND((ROUND(((ET203)*AV203*I203),2)*BB203),2)+ROUND((ROUND(((AE203-(EU203))*AV203*I203),2)*BS203),2))</f>
        <v>0</v>
      </c>
      <c r="R203" s="2">
        <f>(ROUND((ROUND(((EU203)*AV203*I203),2)*BS203),2)+ROUND((ROUND(((AE203-(EU203))*AV203*I203),2)*BS203),2))</f>
        <v>0</v>
      </c>
      <c r="S203" s="2">
        <f t="shared" si="186"/>
        <v>0</v>
      </c>
      <c r="T203" s="2">
        <f t="shared" si="187"/>
        <v>0</v>
      </c>
      <c r="U203" s="2">
        <f t="shared" si="188"/>
        <v>0</v>
      </c>
      <c r="V203" s="2">
        <f t="shared" si="189"/>
        <v>0</v>
      </c>
      <c r="W203" s="2">
        <f t="shared" si="190"/>
        <v>0</v>
      </c>
      <c r="X203" s="2">
        <f>(ROUND((((S203+ROUND((ROUND(((EU203)*AV203*I203),2)*BS203),2))*AT203)/100),2)+ROUND(((ROUND((ROUND(((AE203-(EU203))*AV203*I203),2)*BS203),2)*AT203)/100),2))</f>
        <v>0</v>
      </c>
      <c r="Y203" s="2">
        <f>(ROUND((((S203+ROUND((ROUND(((EU203)*AV203*I203),2)*BS203),2))*AU203)/100),2)+ROUND(((ROUND((ROUND(((AE203-(EU203))*AV203*I203),2)*BS203),2)*AU203)/100),2))</f>
        <v>0</v>
      </c>
      <c r="Z203" s="2"/>
      <c r="AA203" s="2">
        <v>85739205</v>
      </c>
      <c r="AB203" s="2">
        <f t="shared" si="191"/>
        <v>31.64</v>
      </c>
      <c r="AC203" s="2">
        <f>ROUND((ES203),6)</f>
        <v>31.64</v>
      </c>
      <c r="AD203" s="2">
        <f>ROUND((((ET203)-(EU203))+AE203),6)</f>
        <v>0</v>
      </c>
      <c r="AE203" s="2">
        <f>ROUND((EU203),6)</f>
        <v>0</v>
      </c>
      <c r="AF203" s="2">
        <f>ROUND((EV203),6)</f>
        <v>0</v>
      </c>
      <c r="AG203" s="2">
        <f t="shared" si="192"/>
        <v>0</v>
      </c>
      <c r="AH203" s="2">
        <f>(EW203)</f>
        <v>0</v>
      </c>
      <c r="AI203" s="2">
        <f>(EX203)</f>
        <v>0</v>
      </c>
      <c r="AJ203" s="2">
        <f t="shared" si="193"/>
        <v>0</v>
      </c>
      <c r="AK203" s="2">
        <v>31.64</v>
      </c>
      <c r="AL203" s="2">
        <v>31.64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90</v>
      </c>
      <c r="AU203" s="2">
        <v>46</v>
      </c>
      <c r="AV203" s="2">
        <v>1</v>
      </c>
      <c r="AW203" s="2">
        <v>1</v>
      </c>
      <c r="AX203" s="2"/>
      <c r="AY203" s="2"/>
      <c r="AZ203" s="2">
        <v>1</v>
      </c>
      <c r="BA203" s="2">
        <v>1</v>
      </c>
      <c r="BB203" s="2">
        <v>1</v>
      </c>
      <c r="BC203" s="2">
        <v>1</v>
      </c>
      <c r="BD203" s="2" t="s">
        <v>3</v>
      </c>
      <c r="BE203" s="2" t="s">
        <v>3</v>
      </c>
      <c r="BF203" s="2" t="s">
        <v>3</v>
      </c>
      <c r="BG203" s="2" t="s">
        <v>3</v>
      </c>
      <c r="BH203" s="2">
        <v>3</v>
      </c>
      <c r="BI203" s="2">
        <v>2</v>
      </c>
      <c r="BJ203" s="2" t="s">
        <v>399</v>
      </c>
      <c r="BK203" s="2"/>
      <c r="BL203" s="2"/>
      <c r="BM203" s="2">
        <v>73</v>
      </c>
      <c r="BN203" s="2">
        <v>0</v>
      </c>
      <c r="BO203" s="2" t="s">
        <v>3</v>
      </c>
      <c r="BP203" s="2">
        <v>0</v>
      </c>
      <c r="BQ203" s="2">
        <v>40</v>
      </c>
      <c r="BR203" s="2">
        <v>0</v>
      </c>
      <c r="BS203" s="2">
        <v>1</v>
      </c>
      <c r="BT203" s="2">
        <v>1</v>
      </c>
      <c r="BU203" s="2">
        <v>1</v>
      </c>
      <c r="BV203" s="2">
        <v>1</v>
      </c>
      <c r="BW203" s="2">
        <v>1</v>
      </c>
      <c r="BX203" s="2">
        <v>1</v>
      </c>
      <c r="BY203" s="2" t="s">
        <v>3</v>
      </c>
      <c r="BZ203" s="2">
        <v>90</v>
      </c>
      <c r="CA203" s="2">
        <v>46</v>
      </c>
      <c r="CB203" s="2" t="s">
        <v>3</v>
      </c>
      <c r="CC203" s="2"/>
      <c r="CD203" s="2"/>
      <c r="CE203" s="2">
        <v>1566</v>
      </c>
      <c r="CF203" s="2">
        <v>0</v>
      </c>
      <c r="CG203" s="2">
        <v>0</v>
      </c>
      <c r="CH203" s="2"/>
      <c r="CI203" s="2"/>
      <c r="CJ203" s="2"/>
      <c r="CK203" s="2"/>
      <c r="CL203" s="2"/>
      <c r="CM203" s="2">
        <v>0</v>
      </c>
      <c r="CN203" s="2" t="s">
        <v>679</v>
      </c>
      <c r="CO203" s="2">
        <v>0</v>
      </c>
      <c r="CP203" s="2">
        <f t="shared" si="194"/>
        <v>24615.919999999998</v>
      </c>
      <c r="CQ203" s="2">
        <f t="shared" si="195"/>
        <v>31.64</v>
      </c>
      <c r="CR203" s="2">
        <f>(ROUND((ROUND(((ET203)*AV203*1),2)*BB203),2)+ROUND((ROUND(((AE203-(EU203))*AV203*1),2)*BS203),2))</f>
        <v>0</v>
      </c>
      <c r="CS203" s="2">
        <f>(ROUND((ROUND(((EU203)*AV203*1),2)*BS203),2)+ROUND((ROUND(((AE203-(EU203))*AV203*1),2)*BS203),2))</f>
        <v>0</v>
      </c>
      <c r="CT203" s="2">
        <f t="shared" si="196"/>
        <v>0</v>
      </c>
      <c r="CU203" s="2">
        <f t="shared" si="197"/>
        <v>0</v>
      </c>
      <c r="CV203" s="2">
        <f t="shared" si="198"/>
        <v>0</v>
      </c>
      <c r="CW203" s="2">
        <f t="shared" si="199"/>
        <v>0</v>
      </c>
      <c r="CX203" s="2">
        <f t="shared" si="200"/>
        <v>0</v>
      </c>
      <c r="CY203" s="2">
        <f>(ROUND((((S203+ROUND((ROUND(((EU203)*AV203*1),2)*BS203),2))*AT203)/100),2)+ROUND(((ROUND((ROUND(((AE203-(EU203))*AV203*1),2)*BS203),2)*AT203)/100),2))</f>
        <v>0</v>
      </c>
      <c r="CZ203" s="2">
        <f>(ROUND((((S203+ROUND((ROUND(((EU203)*AV203*1),2)*BS203),2))*AU203)/100),2)+ROUND(((ROUND((ROUND(((AE203-(EU203))*AV203*1),2)*BS203),2)*AU203)/100),2))</f>
        <v>0</v>
      </c>
      <c r="DA203" s="2"/>
      <c r="DB203" s="2"/>
      <c r="DC203" s="2" t="s">
        <v>3</v>
      </c>
      <c r="DD203" s="2" t="s">
        <v>3</v>
      </c>
      <c r="DE203" s="2" t="s">
        <v>3</v>
      </c>
      <c r="DF203" s="2" t="s">
        <v>3</v>
      </c>
      <c r="DG203" s="2" t="s">
        <v>3</v>
      </c>
      <c r="DH203" s="2" t="s">
        <v>3</v>
      </c>
      <c r="DI203" s="2" t="s">
        <v>3</v>
      </c>
      <c r="DJ203" s="2" t="s">
        <v>3</v>
      </c>
      <c r="DK203" s="2" t="s">
        <v>3</v>
      </c>
      <c r="DL203" s="2" t="s">
        <v>3</v>
      </c>
      <c r="DM203" s="2" t="s">
        <v>3</v>
      </c>
      <c r="DN203" s="2">
        <v>0</v>
      </c>
      <c r="DO203" s="2">
        <v>0</v>
      </c>
      <c r="DP203" s="2">
        <v>1</v>
      </c>
      <c r="DQ203" s="2">
        <v>1</v>
      </c>
      <c r="DR203" s="2"/>
      <c r="DS203" s="2"/>
      <c r="DT203" s="2"/>
      <c r="DU203" s="2">
        <v>1010</v>
      </c>
      <c r="DV203" s="2" t="s">
        <v>99</v>
      </c>
      <c r="DW203" s="2" t="s">
        <v>99</v>
      </c>
      <c r="DX203" s="2">
        <v>1</v>
      </c>
      <c r="DY203" s="2"/>
      <c r="DZ203" s="2" t="s">
        <v>3</v>
      </c>
      <c r="EA203" s="2" t="s">
        <v>3</v>
      </c>
      <c r="EB203" s="2" t="s">
        <v>3</v>
      </c>
      <c r="EC203" s="2" t="s">
        <v>3</v>
      </c>
      <c r="ED203" s="2"/>
      <c r="EE203" s="2">
        <v>85133422</v>
      </c>
      <c r="EF203" s="2">
        <v>40</v>
      </c>
      <c r="EG203" s="2" t="s">
        <v>27</v>
      </c>
      <c r="EH203" s="2">
        <v>0</v>
      </c>
      <c r="EI203" s="2" t="s">
        <v>3</v>
      </c>
      <c r="EJ203" s="2">
        <v>2</v>
      </c>
      <c r="EK203" s="2">
        <v>73</v>
      </c>
      <c r="EL203" s="2" t="s">
        <v>62</v>
      </c>
      <c r="EM203" s="2" t="s">
        <v>63</v>
      </c>
      <c r="EN203" s="2"/>
      <c r="EO203" s="2" t="s">
        <v>37</v>
      </c>
      <c r="EP203" s="2"/>
      <c r="EQ203" s="2">
        <v>0</v>
      </c>
      <c r="ER203" s="2">
        <v>31.64</v>
      </c>
      <c r="ES203" s="2">
        <v>31.64</v>
      </c>
      <c r="ET203" s="2">
        <v>0</v>
      </c>
      <c r="EU203" s="2">
        <v>0</v>
      </c>
      <c r="EV203" s="2">
        <v>0</v>
      </c>
      <c r="EW203" s="2">
        <v>0</v>
      </c>
      <c r="EX203" s="2">
        <v>0</v>
      </c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>
        <v>0</v>
      </c>
      <c r="FR203" s="2">
        <v>0</v>
      </c>
      <c r="FS203" s="2">
        <v>0</v>
      </c>
      <c r="FT203" s="2"/>
      <c r="FU203" s="2"/>
      <c r="FV203" s="2"/>
      <c r="FW203" s="2"/>
      <c r="FX203" s="2">
        <v>90</v>
      </c>
      <c r="FY203" s="2">
        <v>46</v>
      </c>
      <c r="FZ203" s="2"/>
      <c r="GA203" s="2" t="s">
        <v>3</v>
      </c>
      <c r="GB203" s="2"/>
      <c r="GC203" s="2"/>
      <c r="GD203" s="2">
        <v>1</v>
      </c>
      <c r="GE203" s="2"/>
      <c r="GF203" s="2">
        <v>-1614271934</v>
      </c>
      <c r="GG203" s="2">
        <v>2</v>
      </c>
      <c r="GH203" s="2">
        <v>1</v>
      </c>
      <c r="GI203" s="2">
        <v>-2</v>
      </c>
      <c r="GJ203" s="2">
        <v>0</v>
      </c>
      <c r="GK203" s="2">
        <v>0</v>
      </c>
      <c r="GL203" s="2">
        <f t="shared" si="201"/>
        <v>0</v>
      </c>
      <c r="GM203" s="2">
        <f t="shared" si="202"/>
        <v>24615.919999999998</v>
      </c>
      <c r="GN203" s="2">
        <f t="shared" si="203"/>
        <v>0</v>
      </c>
      <c r="GO203" s="2">
        <f t="shared" si="204"/>
        <v>24615.919999999998</v>
      </c>
      <c r="GP203" s="2">
        <f t="shared" si="205"/>
        <v>0</v>
      </c>
      <c r="GQ203" s="2"/>
      <c r="GR203" s="2">
        <v>0</v>
      </c>
      <c r="GS203" s="2">
        <v>3</v>
      </c>
      <c r="GT203" s="2">
        <v>0</v>
      </c>
      <c r="GU203" s="2" t="s">
        <v>3</v>
      </c>
      <c r="GV203" s="2">
        <f t="shared" si="206"/>
        <v>0</v>
      </c>
      <c r="GW203" s="2">
        <v>1</v>
      </c>
      <c r="GX203" s="2">
        <f t="shared" si="207"/>
        <v>0</v>
      </c>
      <c r="GY203" s="2"/>
      <c r="GZ203" s="2"/>
      <c r="HA203" s="2">
        <v>0</v>
      </c>
      <c r="HB203" s="2">
        <v>0</v>
      </c>
      <c r="HC203" s="2">
        <f t="shared" si="208"/>
        <v>0</v>
      </c>
      <c r="HD203" s="2"/>
      <c r="HE203" s="2" t="s">
        <v>3</v>
      </c>
      <c r="HF203" s="2" t="s">
        <v>3</v>
      </c>
      <c r="HG203" s="2"/>
      <c r="HH203" s="2"/>
      <c r="HI203" s="2"/>
      <c r="HJ203" s="2"/>
      <c r="HK203" s="2"/>
      <c r="HL203" s="2"/>
      <c r="HM203" s="2" t="s">
        <v>35</v>
      </c>
      <c r="HN203" s="2" t="s">
        <v>3</v>
      </c>
      <c r="HO203" s="2" t="s">
        <v>3</v>
      </c>
      <c r="HP203" s="2" t="s">
        <v>3</v>
      </c>
      <c r="HQ203" s="2" t="s">
        <v>3</v>
      </c>
      <c r="HR203" s="2"/>
      <c r="HS203" s="2">
        <v>0</v>
      </c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>
        <v>0</v>
      </c>
      <c r="IL203" s="2"/>
      <c r="IM203" s="2"/>
      <c r="IN203" s="2"/>
      <c r="IO203" s="2"/>
      <c r="IP203" s="2"/>
      <c r="IQ203" s="2"/>
      <c r="IR203" s="2"/>
      <c r="IS203" s="2"/>
      <c r="IT203" s="2"/>
      <c r="IU203" s="2"/>
    </row>
    <row r="204" spans="1:255" x14ac:dyDescent="0.2">
      <c r="A204" s="3">
        <v>18</v>
      </c>
      <c r="B204" s="3">
        <v>1</v>
      </c>
      <c r="C204" s="3">
        <v>478</v>
      </c>
      <c r="E204" s="3" t="s">
        <v>396</v>
      </c>
      <c r="F204" s="3" t="s">
        <v>397</v>
      </c>
      <c r="G204" s="3" t="s">
        <v>398</v>
      </c>
      <c r="H204" s="3" t="s">
        <v>99</v>
      </c>
      <c r="I204" s="3">
        <f>I202*J204</f>
        <v>778</v>
      </c>
      <c r="J204" s="3">
        <v>100</v>
      </c>
      <c r="K204" s="3">
        <v>100</v>
      </c>
      <c r="O204" s="3">
        <f t="shared" si="184"/>
        <v>158772.68</v>
      </c>
      <c r="P204" s="3">
        <f t="shared" si="185"/>
        <v>158772.68</v>
      </c>
      <c r="Q204" s="3">
        <f>(ROUND((ROUND(((ET204)*AV204*I204),2)*BB204),2)+ROUND((ROUND(((AE204-(EU204))*AV204*I204),2)*BS204),2))</f>
        <v>0</v>
      </c>
      <c r="R204" s="3">
        <f>(ROUND((ROUND(((EU204)*AV204*I204),2)*BS204),2)+ROUND((ROUND(((AE204-(EU204))*AV204*I204),2)*BS204),2))</f>
        <v>0</v>
      </c>
      <c r="S204" s="3">
        <f t="shared" si="186"/>
        <v>0</v>
      </c>
      <c r="T204" s="3">
        <f t="shared" si="187"/>
        <v>0</v>
      </c>
      <c r="U204" s="3">
        <f t="shared" si="188"/>
        <v>0</v>
      </c>
      <c r="V204" s="3">
        <f t="shared" si="189"/>
        <v>0</v>
      </c>
      <c r="W204" s="3">
        <f t="shared" si="190"/>
        <v>0</v>
      </c>
      <c r="X204" s="3">
        <f>(ROUND((((S204+ROUND((ROUND(((EU204)*AV204*I204),2)*BS204),2))*AT204)/100),2)+ROUND(((ROUND((ROUND(((AE204-(EU204))*AV204*I204),2)*BS204),2)*AT204)/100),2))</f>
        <v>0</v>
      </c>
      <c r="Y204" s="3">
        <f>(ROUND((((S204+ROUND((ROUND(((EU204)*AV204*I204),2)*BS204),2))*AU204)/100),2)+ROUND(((ROUND((ROUND(((AE204-(EU204))*AV204*I204),2)*BS204),2)*AU204)/100),2))</f>
        <v>0</v>
      </c>
      <c r="AA204" s="3">
        <v>85739207</v>
      </c>
      <c r="AB204" s="3">
        <f t="shared" si="191"/>
        <v>31.64</v>
      </c>
      <c r="AC204" s="3">
        <f>ROUND((ES204),6)</f>
        <v>31.64</v>
      </c>
      <c r="AD204" s="3">
        <f>ROUND((((ET204)-(EU204))+AE204),6)</f>
        <v>0</v>
      </c>
      <c r="AE204" s="3">
        <f>ROUND((EU204),6)</f>
        <v>0</v>
      </c>
      <c r="AF204" s="3">
        <f>ROUND((EV204),6)</f>
        <v>0</v>
      </c>
      <c r="AG204" s="3">
        <f t="shared" si="192"/>
        <v>0</v>
      </c>
      <c r="AH204" s="3">
        <f>(EW204)</f>
        <v>0</v>
      </c>
      <c r="AI204" s="3">
        <f>(EX204)</f>
        <v>0</v>
      </c>
      <c r="AJ204" s="3">
        <f t="shared" si="193"/>
        <v>0</v>
      </c>
      <c r="AK204" s="3">
        <v>31.64</v>
      </c>
      <c r="AL204" s="3">
        <v>31.64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90</v>
      </c>
      <c r="AU204" s="3">
        <v>46</v>
      </c>
      <c r="AV204" s="3">
        <v>1</v>
      </c>
      <c r="AW204" s="3">
        <v>1</v>
      </c>
      <c r="AZ204" s="3">
        <v>1</v>
      </c>
      <c r="BA204" s="3">
        <v>1</v>
      </c>
      <c r="BB204" s="3">
        <v>1</v>
      </c>
      <c r="BC204" s="3">
        <v>6.45</v>
      </c>
      <c r="BD204" s="3" t="s">
        <v>3</v>
      </c>
      <c r="BE204" s="3" t="s">
        <v>3</v>
      </c>
      <c r="BF204" s="3" t="s">
        <v>3</v>
      </c>
      <c r="BG204" s="3" t="s">
        <v>3</v>
      </c>
      <c r="BH204" s="3">
        <v>3</v>
      </c>
      <c r="BI204" s="3">
        <v>2</v>
      </c>
      <c r="BJ204" s="3" t="s">
        <v>399</v>
      </c>
      <c r="BM204" s="3">
        <v>73</v>
      </c>
      <c r="BN204" s="3">
        <v>0</v>
      </c>
      <c r="BO204" s="3" t="s">
        <v>397</v>
      </c>
      <c r="BP204" s="3">
        <v>1</v>
      </c>
      <c r="BQ204" s="3">
        <v>40</v>
      </c>
      <c r="BR204" s="3">
        <v>0</v>
      </c>
      <c r="BS204" s="3">
        <v>1</v>
      </c>
      <c r="BT204" s="3">
        <v>1</v>
      </c>
      <c r="BU204" s="3">
        <v>1</v>
      </c>
      <c r="BV204" s="3">
        <v>1</v>
      </c>
      <c r="BW204" s="3">
        <v>1</v>
      </c>
      <c r="BX204" s="3">
        <v>1</v>
      </c>
      <c r="BY204" s="3" t="s">
        <v>3</v>
      </c>
      <c r="BZ204" s="3">
        <v>90</v>
      </c>
      <c r="CA204" s="3">
        <v>46</v>
      </c>
      <c r="CB204" s="3" t="s">
        <v>3</v>
      </c>
      <c r="CE204" s="3">
        <v>1566</v>
      </c>
      <c r="CF204" s="3">
        <v>0</v>
      </c>
      <c r="CG204" s="3">
        <v>0</v>
      </c>
      <c r="CM204" s="3">
        <v>0</v>
      </c>
      <c r="CN204" s="3" t="s">
        <v>679</v>
      </c>
      <c r="CO204" s="3">
        <v>0</v>
      </c>
      <c r="CP204" s="3">
        <f t="shared" si="194"/>
        <v>158772.68</v>
      </c>
      <c r="CQ204" s="3">
        <f t="shared" si="195"/>
        <v>204.08</v>
      </c>
      <c r="CR204" s="3">
        <f>(ROUND((ROUND(((ET204)*AV204*1),2)*BB204),2)+ROUND((ROUND(((AE204-(EU204))*AV204*1),2)*BS204),2))</f>
        <v>0</v>
      </c>
      <c r="CS204" s="3">
        <f>(ROUND((ROUND(((EU204)*AV204*1),2)*BS204),2)+ROUND((ROUND(((AE204-(EU204))*AV204*1),2)*BS204),2))</f>
        <v>0</v>
      </c>
      <c r="CT204" s="3">
        <f t="shared" si="196"/>
        <v>0</v>
      </c>
      <c r="CU204" s="3">
        <f t="shared" si="197"/>
        <v>0</v>
      </c>
      <c r="CV204" s="3">
        <f t="shared" si="198"/>
        <v>0</v>
      </c>
      <c r="CW204" s="3">
        <f t="shared" si="199"/>
        <v>0</v>
      </c>
      <c r="CX204" s="3">
        <f t="shared" si="200"/>
        <v>0</v>
      </c>
      <c r="CY204" s="3">
        <f>(ROUND((((S204+ROUND((ROUND(((EU204)*AV204*1),2)*BS204),2))*AT204)/100),2)+ROUND(((ROUND((ROUND(((AE204-(EU204))*AV204*1),2)*BS204),2)*AT204)/100),2))</f>
        <v>0</v>
      </c>
      <c r="CZ204" s="3">
        <f>(ROUND((((S204+ROUND((ROUND(((EU204)*AV204*1),2)*BS204),2))*AU204)/100),2)+ROUND(((ROUND((ROUND(((AE204-(EU204))*AV204*1),2)*BS204),2)*AU204)/100),2))</f>
        <v>0</v>
      </c>
      <c r="DC204" s="3" t="s">
        <v>3</v>
      </c>
      <c r="DD204" s="3" t="s">
        <v>3</v>
      </c>
      <c r="DE204" s="3" t="s">
        <v>3</v>
      </c>
      <c r="DF204" s="3" t="s">
        <v>3</v>
      </c>
      <c r="DG204" s="3" t="s">
        <v>3</v>
      </c>
      <c r="DH204" s="3" t="s">
        <v>3</v>
      </c>
      <c r="DI204" s="3" t="s">
        <v>3</v>
      </c>
      <c r="DJ204" s="3" t="s">
        <v>3</v>
      </c>
      <c r="DK204" s="3" t="s">
        <v>3</v>
      </c>
      <c r="DL204" s="3" t="s">
        <v>3</v>
      </c>
      <c r="DM204" s="3" t="s">
        <v>3</v>
      </c>
      <c r="DN204" s="3">
        <v>0</v>
      </c>
      <c r="DO204" s="3">
        <v>0</v>
      </c>
      <c r="DP204" s="3">
        <v>1</v>
      </c>
      <c r="DQ204" s="3">
        <v>1</v>
      </c>
      <c r="DU204" s="3">
        <v>1010</v>
      </c>
      <c r="DV204" s="3" t="s">
        <v>99</v>
      </c>
      <c r="DW204" s="3" t="s">
        <v>99</v>
      </c>
      <c r="DX204" s="3">
        <v>1</v>
      </c>
      <c r="DZ204" s="3" t="s">
        <v>3</v>
      </c>
      <c r="EA204" s="3" t="s">
        <v>3</v>
      </c>
      <c r="EB204" s="3" t="s">
        <v>3</v>
      </c>
      <c r="EC204" s="3" t="s">
        <v>3</v>
      </c>
      <c r="EE204" s="3">
        <v>85133422</v>
      </c>
      <c r="EF204" s="3">
        <v>40</v>
      </c>
      <c r="EG204" s="3" t="s">
        <v>27</v>
      </c>
      <c r="EH204" s="3">
        <v>0</v>
      </c>
      <c r="EI204" s="3" t="s">
        <v>3</v>
      </c>
      <c r="EJ204" s="3">
        <v>2</v>
      </c>
      <c r="EK204" s="3">
        <v>73</v>
      </c>
      <c r="EL204" s="3" t="s">
        <v>62</v>
      </c>
      <c r="EM204" s="3" t="s">
        <v>63</v>
      </c>
      <c r="EO204" s="3" t="s">
        <v>37</v>
      </c>
      <c r="EQ204" s="3">
        <v>0</v>
      </c>
      <c r="ER204" s="3">
        <v>31.64</v>
      </c>
      <c r="ES204" s="3">
        <v>31.64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FQ204" s="3">
        <v>0</v>
      </c>
      <c r="FR204" s="3">
        <v>0</v>
      </c>
      <c r="FS204" s="3">
        <v>0</v>
      </c>
      <c r="FX204" s="3">
        <v>90</v>
      </c>
      <c r="FY204" s="3">
        <v>46</v>
      </c>
      <c r="GA204" s="3" t="s">
        <v>3</v>
      </c>
      <c r="GD204" s="3">
        <v>1</v>
      </c>
      <c r="GF204" s="3">
        <v>-1614271934</v>
      </c>
      <c r="GG204" s="3">
        <v>2</v>
      </c>
      <c r="GH204" s="3">
        <v>1</v>
      </c>
      <c r="GI204" s="3">
        <v>2</v>
      </c>
      <c r="GJ204" s="3">
        <v>0</v>
      </c>
      <c r="GK204" s="3">
        <v>0</v>
      </c>
      <c r="GL204" s="3">
        <f t="shared" si="201"/>
        <v>0</v>
      </c>
      <c r="GM204" s="3">
        <f t="shared" si="202"/>
        <v>158772.68</v>
      </c>
      <c r="GN204" s="3">
        <f t="shared" si="203"/>
        <v>0</v>
      </c>
      <c r="GO204" s="3">
        <f t="shared" si="204"/>
        <v>158772.68</v>
      </c>
      <c r="GP204" s="3">
        <f t="shared" si="205"/>
        <v>0</v>
      </c>
      <c r="GR204" s="3">
        <v>0</v>
      </c>
      <c r="GS204" s="3">
        <v>3</v>
      </c>
      <c r="GT204" s="3">
        <v>0</v>
      </c>
      <c r="GU204" s="3" t="s">
        <v>3</v>
      </c>
      <c r="GV204" s="3">
        <f t="shared" si="206"/>
        <v>0</v>
      </c>
      <c r="GW204" s="3">
        <v>1</v>
      </c>
      <c r="GX204" s="3">
        <f t="shared" si="207"/>
        <v>0</v>
      </c>
      <c r="HA204" s="3">
        <v>0</v>
      </c>
      <c r="HB204" s="3">
        <v>0</v>
      </c>
      <c r="HC204" s="3">
        <f t="shared" si="208"/>
        <v>0</v>
      </c>
      <c r="HE204" s="3" t="s">
        <v>3</v>
      </c>
      <c r="HF204" s="3" t="s">
        <v>3</v>
      </c>
      <c r="HM204" s="3" t="s">
        <v>35</v>
      </c>
      <c r="HN204" s="3" t="s">
        <v>3</v>
      </c>
      <c r="HO204" s="3" t="s">
        <v>3</v>
      </c>
      <c r="HP204" s="3" t="s">
        <v>3</v>
      </c>
      <c r="HQ204" s="3" t="s">
        <v>3</v>
      </c>
      <c r="HS204" s="3">
        <v>0</v>
      </c>
      <c r="IK204" s="3">
        <v>0</v>
      </c>
    </row>
    <row r="205" spans="1:255" x14ac:dyDescent="0.2">
      <c r="A205" s="2">
        <v>17</v>
      </c>
      <c r="B205" s="2">
        <v>1</v>
      </c>
      <c r="C205" s="2">
        <f>ROW(SmtRes!A489)</f>
        <v>489</v>
      </c>
      <c r="D205" s="2">
        <f>ROW(EtalonRes!A507)</f>
        <v>507</v>
      </c>
      <c r="E205" s="2" t="s">
        <v>400</v>
      </c>
      <c r="F205" s="2" t="s">
        <v>182</v>
      </c>
      <c r="G205" s="2" t="s">
        <v>183</v>
      </c>
      <c r="H205" s="2" t="s">
        <v>174</v>
      </c>
      <c r="I205" s="2">
        <f>ROUND((590)/100,9)</f>
        <v>5.9</v>
      </c>
      <c r="J205" s="2">
        <v>0</v>
      </c>
      <c r="K205" s="2">
        <f>ROUND((590)/100,9)</f>
        <v>5.9</v>
      </c>
      <c r="L205" s="2"/>
      <c r="M205" s="2"/>
      <c r="N205" s="2"/>
      <c r="O205" s="2">
        <f t="shared" ref="O205:O236" si="223">ROUND(CP205,2)</f>
        <v>22122.32</v>
      </c>
      <c r="P205" s="2">
        <f t="shared" ref="P205:P236" si="224">ROUND((ROUND((AC205*AW205*I205),2)*BC205),2)</f>
        <v>764.4</v>
      </c>
      <c r="Q205" s="2">
        <f>(ROUND((ROUND((((ET205*1.2))*AV205*I205),2)*BB205),2)+ROUND((ROUND(((AE205-((EU205*1.2)))*AV205*I205),2)*BS205),2))</f>
        <v>6199.49</v>
      </c>
      <c r="R205" s="2">
        <f>(ROUND((ROUND((((EU205*1.2))*AV205*I205),2)*BS205),2)+ROUND((ROUND(((AE205-((EU205*1.2)))*AV205*I205),2)*BS205),2))</f>
        <v>1054.44</v>
      </c>
      <c r="S205" s="2">
        <f t="shared" ref="S205:S236" si="225">ROUND((ROUND((AF205*AV205*I205),2)*BA205),2)</f>
        <v>15158.43</v>
      </c>
      <c r="T205" s="2">
        <f t="shared" ref="T205:T236" si="226">ROUND(CU205*I205,2)</f>
        <v>0</v>
      </c>
      <c r="U205" s="2">
        <f t="shared" ref="U205:U236" si="227">CV205*I205</f>
        <v>1201.1432399999999</v>
      </c>
      <c r="V205" s="2">
        <f t="shared" ref="V205:V236" si="228">CW205*I205</f>
        <v>0</v>
      </c>
      <c r="W205" s="2">
        <f t="shared" ref="W205:W236" si="229">ROUND(CX205*I205,2)</f>
        <v>0</v>
      </c>
      <c r="X205" s="2">
        <f>(ROUND((((S205+ROUND((ROUND((((EU205*1.2))*AV205*I205),2)*BS205),2))*AT205)/100),2)+ROUND(((ROUND((ROUND(((AE205-((EU205*1.2)))*AV205*I205),2)*BS205),2)*AT205)/100),2))</f>
        <v>14591.58</v>
      </c>
      <c r="Y205" s="2">
        <f>(ROUND((((S205+ROUND((ROUND((((EU205*1.2))*AV205*I205),2)*BS205),2))*AU205)/100),2)+ROUND(((ROUND((ROUND(((AE205-((EU205*1.2)))*AV205*I205),2)*BS205),2)*AU205)/100),2))</f>
        <v>7457.92</v>
      </c>
      <c r="Z205" s="2"/>
      <c r="AA205" s="2">
        <v>85739205</v>
      </c>
      <c r="AB205" s="2">
        <f t="shared" ref="AB205:AB236" si="230">ROUND((AC205+AD205+AF205),6)</f>
        <v>3518.7060000000001</v>
      </c>
      <c r="AC205" s="2">
        <f>ROUND(((ES205*1)),6)</f>
        <v>126.03</v>
      </c>
      <c r="AD205" s="2">
        <f>ROUND(((((ET205*1.2))-((EU205*1.2)))+AE205),6)</f>
        <v>984.78</v>
      </c>
      <c r="AE205" s="2">
        <f>ROUND(((EU205*1.2)),6)</f>
        <v>167.49600000000001</v>
      </c>
      <c r="AF205" s="2">
        <f>ROUND(((EV205*1.2)),6)</f>
        <v>2407.8960000000002</v>
      </c>
      <c r="AG205" s="2">
        <f t="shared" ref="AG205:AG236" si="231">ROUND((AP205),6)</f>
        <v>0</v>
      </c>
      <c r="AH205" s="2">
        <f>((EW205*1.2))</f>
        <v>190.79999999999998</v>
      </c>
      <c r="AI205" s="2">
        <f>((EX205*1.2))</f>
        <v>0</v>
      </c>
      <c r="AJ205" s="2">
        <f t="shared" ref="AJ205:AJ236" si="232">(AS205)</f>
        <v>0</v>
      </c>
      <c r="AK205" s="2">
        <v>2953.26</v>
      </c>
      <c r="AL205" s="2">
        <v>126.03</v>
      </c>
      <c r="AM205" s="2">
        <v>820.65</v>
      </c>
      <c r="AN205" s="2">
        <v>139.58000000000001</v>
      </c>
      <c r="AO205" s="2">
        <v>2006.58</v>
      </c>
      <c r="AP205" s="2">
        <v>0</v>
      </c>
      <c r="AQ205" s="2">
        <v>159</v>
      </c>
      <c r="AR205" s="2">
        <v>0</v>
      </c>
      <c r="AS205" s="2">
        <v>0</v>
      </c>
      <c r="AT205" s="2">
        <v>90</v>
      </c>
      <c r="AU205" s="2">
        <v>46</v>
      </c>
      <c r="AV205" s="2">
        <v>1.0669999999999999</v>
      </c>
      <c r="AW205" s="2">
        <v>1.028</v>
      </c>
      <c r="AX205" s="2"/>
      <c r="AY205" s="2"/>
      <c r="AZ205" s="2">
        <v>1</v>
      </c>
      <c r="BA205" s="2">
        <v>1</v>
      </c>
      <c r="BB205" s="2">
        <v>1</v>
      </c>
      <c r="BC205" s="2">
        <v>1</v>
      </c>
      <c r="BD205" s="2" t="s">
        <v>3</v>
      </c>
      <c r="BE205" s="2" t="s">
        <v>3</v>
      </c>
      <c r="BF205" s="2" t="s">
        <v>3</v>
      </c>
      <c r="BG205" s="2" t="s">
        <v>3</v>
      </c>
      <c r="BH205" s="2">
        <v>0</v>
      </c>
      <c r="BI205" s="2">
        <v>2</v>
      </c>
      <c r="BJ205" s="2" t="s">
        <v>184</v>
      </c>
      <c r="BK205" s="2"/>
      <c r="BL205" s="2"/>
      <c r="BM205" s="2">
        <v>73</v>
      </c>
      <c r="BN205" s="2">
        <v>0</v>
      </c>
      <c r="BO205" s="2" t="s">
        <v>182</v>
      </c>
      <c r="BP205" s="2">
        <v>1</v>
      </c>
      <c r="BQ205" s="2">
        <v>40</v>
      </c>
      <c r="BR205" s="2">
        <v>0</v>
      </c>
      <c r="BS205" s="2">
        <v>1</v>
      </c>
      <c r="BT205" s="2">
        <v>1</v>
      </c>
      <c r="BU205" s="2">
        <v>1</v>
      </c>
      <c r="BV205" s="2">
        <v>1</v>
      </c>
      <c r="BW205" s="2">
        <v>1</v>
      </c>
      <c r="BX205" s="2">
        <v>1</v>
      </c>
      <c r="BY205" s="2" t="s">
        <v>3</v>
      </c>
      <c r="BZ205" s="2">
        <v>90</v>
      </c>
      <c r="CA205" s="2">
        <v>46</v>
      </c>
      <c r="CB205" s="2" t="s">
        <v>3</v>
      </c>
      <c r="CC205" s="2"/>
      <c r="CD205" s="2"/>
      <c r="CE205" s="2">
        <v>1566</v>
      </c>
      <c r="CF205" s="2">
        <v>0</v>
      </c>
      <c r="CG205" s="2">
        <v>0</v>
      </c>
      <c r="CH205" s="2"/>
      <c r="CI205" s="2"/>
      <c r="CJ205" s="2"/>
      <c r="CK205" s="2"/>
      <c r="CL205" s="2"/>
      <c r="CM205" s="2">
        <v>0</v>
      </c>
      <c r="CN205" s="2" t="s">
        <v>677</v>
      </c>
      <c r="CO205" s="2">
        <v>0</v>
      </c>
      <c r="CP205" s="2">
        <f t="shared" ref="CP205:CP236" si="233">(P205+Q205+S205)</f>
        <v>22122.32</v>
      </c>
      <c r="CQ205" s="2">
        <f t="shared" ref="CQ205:CQ236" si="234">ROUND((ROUND((AC205*AW205*1),2)*BC205),2)</f>
        <v>129.56</v>
      </c>
      <c r="CR205" s="2">
        <f>(ROUND((ROUND((((ET205*1.2))*AV205*1),2)*BB205),2)+ROUND((ROUND(((AE205-((EU205*1.2)))*AV205*1),2)*BS205),2))</f>
        <v>1050.76</v>
      </c>
      <c r="CS205" s="2">
        <f>(ROUND((ROUND((((EU205*1.2))*AV205*1),2)*BS205),2)+ROUND((ROUND(((AE205-((EU205*1.2)))*AV205*1),2)*BS205),2))</f>
        <v>178.72</v>
      </c>
      <c r="CT205" s="2">
        <f t="shared" ref="CT205:CT236" si="235">ROUND((ROUND((AF205*AV205*1),2)*BA205),2)</f>
        <v>2569.23</v>
      </c>
      <c r="CU205" s="2">
        <f t="shared" ref="CU205:CU236" si="236">AG205</f>
        <v>0</v>
      </c>
      <c r="CV205" s="2">
        <f t="shared" ref="CV205:CV236" si="237">(AH205*AV205)</f>
        <v>203.58359999999996</v>
      </c>
      <c r="CW205" s="2">
        <f t="shared" ref="CW205:CW236" si="238">AI205</f>
        <v>0</v>
      </c>
      <c r="CX205" s="2">
        <f t="shared" ref="CX205:CX236" si="239">AJ205</f>
        <v>0</v>
      </c>
      <c r="CY205" s="2">
        <f>(ROUND((((S205+ROUND((ROUND((((EU205*1.2))*AV205*1),2)*BS205),2))*AT205)/100),2)+ROUND(((ROUND((ROUND(((AE205-((EU205*1.2)))*AV205*1),2)*BS205),2)*AT205)/100),2))</f>
        <v>13803.44</v>
      </c>
      <c r="CZ205" s="2">
        <f>(ROUND((((S205+ROUND((ROUND((((EU205*1.2))*AV205*1),2)*BS205),2))*AU205)/100),2)+ROUND(((ROUND((ROUND(((AE205-((EU205*1.2)))*AV205*1),2)*BS205),2)*AU205)/100),2))</f>
        <v>7055.09</v>
      </c>
      <c r="DA205" s="2"/>
      <c r="DB205" s="2">
        <v>77</v>
      </c>
      <c r="DC205" s="2" t="s">
        <v>3</v>
      </c>
      <c r="DD205" s="2" t="s">
        <v>35</v>
      </c>
      <c r="DE205" s="2" t="s">
        <v>36</v>
      </c>
      <c r="DF205" s="2" t="s">
        <v>36</v>
      </c>
      <c r="DG205" s="2" t="s">
        <v>36</v>
      </c>
      <c r="DH205" s="2" t="s">
        <v>3</v>
      </c>
      <c r="DI205" s="2" t="s">
        <v>36</v>
      </c>
      <c r="DJ205" s="2" t="s">
        <v>36</v>
      </c>
      <c r="DK205" s="2" t="s">
        <v>3</v>
      </c>
      <c r="DL205" s="2" t="s">
        <v>3</v>
      </c>
      <c r="DM205" s="2" t="s">
        <v>3</v>
      </c>
      <c r="DN205" s="2">
        <v>0</v>
      </c>
      <c r="DO205" s="2">
        <v>0</v>
      </c>
      <c r="DP205" s="2">
        <v>1</v>
      </c>
      <c r="DQ205" s="2">
        <v>1</v>
      </c>
      <c r="DR205" s="2"/>
      <c r="DS205" s="2"/>
      <c r="DT205" s="2"/>
      <c r="DU205" s="2">
        <v>1003</v>
      </c>
      <c r="DV205" s="2" t="s">
        <v>174</v>
      </c>
      <c r="DW205" s="2" t="s">
        <v>174</v>
      </c>
      <c r="DX205" s="2">
        <v>100</v>
      </c>
      <c r="DY205" s="2"/>
      <c r="DZ205" s="2" t="s">
        <v>3</v>
      </c>
      <c r="EA205" s="2" t="s">
        <v>3</v>
      </c>
      <c r="EB205" s="2" t="s">
        <v>3</v>
      </c>
      <c r="EC205" s="2" t="s">
        <v>3</v>
      </c>
      <c r="ED205" s="2"/>
      <c r="EE205" s="2">
        <v>85133422</v>
      </c>
      <c r="EF205" s="2">
        <v>40</v>
      </c>
      <c r="EG205" s="2" t="s">
        <v>27</v>
      </c>
      <c r="EH205" s="2">
        <v>0</v>
      </c>
      <c r="EI205" s="2" t="s">
        <v>3</v>
      </c>
      <c r="EJ205" s="2">
        <v>2</v>
      </c>
      <c r="EK205" s="2">
        <v>73</v>
      </c>
      <c r="EL205" s="2" t="s">
        <v>62</v>
      </c>
      <c r="EM205" s="2" t="s">
        <v>63</v>
      </c>
      <c r="EN205" s="2"/>
      <c r="EO205" s="2" t="s">
        <v>37</v>
      </c>
      <c r="EP205" s="2"/>
      <c r="EQ205" s="2">
        <v>0</v>
      </c>
      <c r="ER205" s="2">
        <v>2953.26</v>
      </c>
      <c r="ES205" s="2">
        <v>126.03</v>
      </c>
      <c r="ET205" s="2">
        <v>820.65</v>
      </c>
      <c r="EU205" s="2">
        <v>139.58000000000001</v>
      </c>
      <c r="EV205" s="2">
        <v>2006.58</v>
      </c>
      <c r="EW205" s="2">
        <v>159</v>
      </c>
      <c r="EX205" s="2">
        <v>0</v>
      </c>
      <c r="EY205" s="2">
        <v>0</v>
      </c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>
        <v>0</v>
      </c>
      <c r="FR205" s="2">
        <v>0</v>
      </c>
      <c r="FS205" s="2">
        <v>2</v>
      </c>
      <c r="FT205" s="2"/>
      <c r="FU205" s="2"/>
      <c r="FV205" s="2"/>
      <c r="FW205" s="2"/>
      <c r="FX205" s="2">
        <v>90</v>
      </c>
      <c r="FY205" s="2">
        <v>46</v>
      </c>
      <c r="FZ205" s="2"/>
      <c r="GA205" s="2" t="s">
        <v>3</v>
      </c>
      <c r="GB205" s="2"/>
      <c r="GC205" s="2"/>
      <c r="GD205" s="2">
        <v>1</v>
      </c>
      <c r="GE205" s="2"/>
      <c r="GF205" s="2">
        <v>84595590</v>
      </c>
      <c r="GG205" s="2">
        <v>2</v>
      </c>
      <c r="GH205" s="2">
        <v>1</v>
      </c>
      <c r="GI205" s="2">
        <v>2</v>
      </c>
      <c r="GJ205" s="2">
        <v>0</v>
      </c>
      <c r="GK205" s="2">
        <v>0</v>
      </c>
      <c r="GL205" s="2">
        <f t="shared" ref="GL205:GL236" si="240">ROUND(IF(AND(BH205=3,BI205=3,FS205&lt;&gt;0),P205,0),2)</f>
        <v>0</v>
      </c>
      <c r="GM205" s="2">
        <f t="shared" ref="GM205:GM236" si="241">ROUND(O205+X205+Y205,2)+GX205</f>
        <v>44171.82</v>
      </c>
      <c r="GN205" s="2">
        <f t="shared" ref="GN205:GN236" si="242">IF(OR(BI205=0,BI205=1),GM205-GX205,0)</f>
        <v>0</v>
      </c>
      <c r="GO205" s="2">
        <f t="shared" ref="GO205:GO236" si="243">IF(BI205=2,GM205-GX205,0)</f>
        <v>44171.82</v>
      </c>
      <c r="GP205" s="2">
        <f t="shared" ref="GP205:GP236" si="244">IF(BI205=4,GM205-GX205,0)</f>
        <v>0</v>
      </c>
      <c r="GQ205" s="2"/>
      <c r="GR205" s="2">
        <v>0</v>
      </c>
      <c r="GS205" s="2">
        <v>3</v>
      </c>
      <c r="GT205" s="2">
        <v>0</v>
      </c>
      <c r="GU205" s="2" t="s">
        <v>3</v>
      </c>
      <c r="GV205" s="2">
        <f t="shared" ref="GV205:GV236" si="245">ROUND((GT205),6)</f>
        <v>0</v>
      </c>
      <c r="GW205" s="2">
        <v>1</v>
      </c>
      <c r="GX205" s="2">
        <f t="shared" ref="GX205:GX236" si="246">ROUND(HC205*I205,2)</f>
        <v>0</v>
      </c>
      <c r="GY205" s="2"/>
      <c r="GZ205" s="2"/>
      <c r="HA205" s="2">
        <v>0</v>
      </c>
      <c r="HB205" s="2">
        <v>0</v>
      </c>
      <c r="HC205" s="2">
        <f t="shared" ref="HC205:HC236" si="247">GV205*GW205</f>
        <v>0</v>
      </c>
      <c r="HD205" s="2"/>
      <c r="HE205" s="2" t="s">
        <v>3</v>
      </c>
      <c r="HF205" s="2" t="s">
        <v>3</v>
      </c>
      <c r="HG205" s="2"/>
      <c r="HH205" s="2"/>
      <c r="HI205" s="2"/>
      <c r="HJ205" s="2"/>
      <c r="HK205" s="2"/>
      <c r="HL205" s="2"/>
      <c r="HM205" s="2" t="s">
        <v>3</v>
      </c>
      <c r="HN205" s="2" t="s">
        <v>3</v>
      </c>
      <c r="HO205" s="2" t="s">
        <v>3</v>
      </c>
      <c r="HP205" s="2" t="s">
        <v>3</v>
      </c>
      <c r="HQ205" s="2" t="s">
        <v>3</v>
      </c>
      <c r="HR205" s="2"/>
      <c r="HS205" s="2">
        <v>0</v>
      </c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>
        <v>0</v>
      </c>
      <c r="IL205" s="2"/>
      <c r="IM205" s="2"/>
      <c r="IN205" s="2"/>
      <c r="IO205" s="2"/>
      <c r="IP205" s="2"/>
      <c r="IQ205" s="2"/>
      <c r="IR205" s="2"/>
      <c r="IS205" s="2"/>
      <c r="IT205" s="2"/>
      <c r="IU205" s="2"/>
    </row>
    <row r="206" spans="1:255" x14ac:dyDescent="0.2">
      <c r="A206" s="3">
        <v>17</v>
      </c>
      <c r="B206" s="3">
        <v>1</v>
      </c>
      <c r="C206" s="3">
        <f>ROW(SmtRes!A498)</f>
        <v>498</v>
      </c>
      <c r="D206" s="3">
        <f>ROW(EtalonRes!A516)</f>
        <v>516</v>
      </c>
      <c r="E206" s="3" t="s">
        <v>400</v>
      </c>
      <c r="F206" s="3" t="s">
        <v>182</v>
      </c>
      <c r="G206" s="3" t="s">
        <v>183</v>
      </c>
      <c r="H206" s="3" t="s">
        <v>174</v>
      </c>
      <c r="I206" s="3">
        <f>ROUND((590)/100,9)</f>
        <v>5.9</v>
      </c>
      <c r="J206" s="3">
        <v>0</v>
      </c>
      <c r="K206" s="3">
        <f>ROUND((590)/100,9)</f>
        <v>5.9</v>
      </c>
      <c r="O206" s="3">
        <f t="shared" si="223"/>
        <v>982662.35</v>
      </c>
      <c r="P206" s="3">
        <f t="shared" si="224"/>
        <v>7842.74</v>
      </c>
      <c r="Q206" s="3">
        <f>(ROUND((ROUND((((ET206*1.2))*AV206*I206),2)*BB206),2)+ROUND((ROUND(((AE206-((EU206*1.2)))*AV206*I206),2)*BS206),2))</f>
        <v>120642.08</v>
      </c>
      <c r="R206" s="3">
        <f>(ROUND((ROUND((((EU206*1.2))*AV206*I206),2)*BS206),2)+ROUND((ROUND(((AE206-((EU206*1.2)))*AV206*I206),2)*BS206),2))</f>
        <v>59417.69</v>
      </c>
      <c r="S206" s="3">
        <f t="shared" si="225"/>
        <v>854177.53</v>
      </c>
      <c r="T206" s="3">
        <f t="shared" si="226"/>
        <v>0</v>
      </c>
      <c r="U206" s="3">
        <f t="shared" si="227"/>
        <v>1201.1432399999999</v>
      </c>
      <c r="V206" s="3">
        <f t="shared" si="228"/>
        <v>0</v>
      </c>
      <c r="W206" s="3">
        <f t="shared" si="229"/>
        <v>0</v>
      </c>
      <c r="X206" s="3">
        <f>(ROUND((((S206+ROUND((ROUND((((EU206*1.2))*AV206*I206),2)*BS206),2))*AT206)/100),2)+ROUND(((ROUND((ROUND(((AE206-((EU206*1.2)))*AV206*I206),2)*BS206),2)*AT206)/100),2))</f>
        <v>822235.7</v>
      </c>
      <c r="Y206" s="3">
        <f>(ROUND((((S206+ROUND((ROUND((((EU206*1.2))*AV206*I206),2)*BS206),2))*AU206)/100),2)+ROUND(((ROUND((ROUND(((AE206-((EU206*1.2)))*AV206*I206),2)*BS206),2)*AU206)/100),2))</f>
        <v>420253.8</v>
      </c>
      <c r="AA206" s="3">
        <v>85739207</v>
      </c>
      <c r="AB206" s="3">
        <f t="shared" si="230"/>
        <v>3518.7060000000001</v>
      </c>
      <c r="AC206" s="3">
        <f>ROUND(((ES206*1)),6)</f>
        <v>126.03</v>
      </c>
      <c r="AD206" s="3">
        <f>ROUND(((((ET206*1.2))-((EU206*1.2)))+AE206),6)</f>
        <v>984.78</v>
      </c>
      <c r="AE206" s="3">
        <f>ROUND(((EU206*1.2)),6)</f>
        <v>167.49600000000001</v>
      </c>
      <c r="AF206" s="3">
        <f>ROUND(((EV206*1.2)),6)</f>
        <v>2407.8960000000002</v>
      </c>
      <c r="AG206" s="3">
        <f t="shared" si="231"/>
        <v>0</v>
      </c>
      <c r="AH206" s="3">
        <f>((EW206*1.2))</f>
        <v>190.79999999999998</v>
      </c>
      <c r="AI206" s="3">
        <f>((EX206*1.2))</f>
        <v>0</v>
      </c>
      <c r="AJ206" s="3">
        <f t="shared" si="232"/>
        <v>0</v>
      </c>
      <c r="AK206" s="3">
        <v>2953.26</v>
      </c>
      <c r="AL206" s="3">
        <v>126.03</v>
      </c>
      <c r="AM206" s="3">
        <v>820.65</v>
      </c>
      <c r="AN206" s="3">
        <v>139.58000000000001</v>
      </c>
      <c r="AO206" s="3">
        <v>2006.58</v>
      </c>
      <c r="AP206" s="3">
        <v>0</v>
      </c>
      <c r="AQ206" s="3">
        <v>159</v>
      </c>
      <c r="AR206" s="3">
        <v>0</v>
      </c>
      <c r="AS206" s="3">
        <v>0</v>
      </c>
      <c r="AT206" s="3">
        <v>90</v>
      </c>
      <c r="AU206" s="3">
        <v>46</v>
      </c>
      <c r="AV206" s="3">
        <v>1.0669999999999999</v>
      </c>
      <c r="AW206" s="3">
        <v>1.028</v>
      </c>
      <c r="AZ206" s="3">
        <v>1</v>
      </c>
      <c r="BA206" s="3">
        <v>56.35</v>
      </c>
      <c r="BB206" s="3">
        <v>19.46</v>
      </c>
      <c r="BC206" s="3">
        <v>10.26</v>
      </c>
      <c r="BD206" s="3" t="s">
        <v>3</v>
      </c>
      <c r="BE206" s="3" t="s">
        <v>3</v>
      </c>
      <c r="BF206" s="3" t="s">
        <v>3</v>
      </c>
      <c r="BG206" s="3" t="s">
        <v>3</v>
      </c>
      <c r="BH206" s="3">
        <v>0</v>
      </c>
      <c r="BI206" s="3">
        <v>2</v>
      </c>
      <c r="BJ206" s="3" t="s">
        <v>184</v>
      </c>
      <c r="BM206" s="3">
        <v>73</v>
      </c>
      <c r="BN206" s="3">
        <v>0</v>
      </c>
      <c r="BO206" s="3" t="s">
        <v>182</v>
      </c>
      <c r="BP206" s="3">
        <v>1</v>
      </c>
      <c r="BQ206" s="3">
        <v>40</v>
      </c>
      <c r="BR206" s="3">
        <v>0</v>
      </c>
      <c r="BS206" s="3">
        <v>56.35</v>
      </c>
      <c r="BT206" s="3">
        <v>1</v>
      </c>
      <c r="BU206" s="3">
        <v>1</v>
      </c>
      <c r="BV206" s="3">
        <v>1</v>
      </c>
      <c r="BW206" s="3">
        <v>1</v>
      </c>
      <c r="BX206" s="3">
        <v>1</v>
      </c>
      <c r="BY206" s="3" t="s">
        <v>3</v>
      </c>
      <c r="BZ206" s="3">
        <v>90</v>
      </c>
      <c r="CA206" s="3">
        <v>46</v>
      </c>
      <c r="CB206" s="3" t="s">
        <v>3</v>
      </c>
      <c r="CE206" s="3">
        <v>1566</v>
      </c>
      <c r="CF206" s="3">
        <v>0</v>
      </c>
      <c r="CG206" s="3">
        <v>0</v>
      </c>
      <c r="CM206" s="3">
        <v>0</v>
      </c>
      <c r="CN206" s="3" t="s">
        <v>677</v>
      </c>
      <c r="CO206" s="3">
        <v>0</v>
      </c>
      <c r="CP206" s="3">
        <f t="shared" si="233"/>
        <v>982662.35000000009</v>
      </c>
      <c r="CQ206" s="3">
        <f t="shared" si="234"/>
        <v>1329.29</v>
      </c>
      <c r="CR206" s="3">
        <f>(ROUND((ROUND((((ET206*1.2))*AV206*1),2)*BB206),2)+ROUND((ROUND(((AE206-((EU206*1.2)))*AV206*1),2)*BS206),2))</f>
        <v>20447.79</v>
      </c>
      <c r="CS206" s="3">
        <f>(ROUND((ROUND((((EU206*1.2))*AV206*1),2)*BS206),2)+ROUND((ROUND(((AE206-((EU206*1.2)))*AV206*1),2)*BS206),2))</f>
        <v>10070.870000000001</v>
      </c>
      <c r="CT206" s="3">
        <f t="shared" si="235"/>
        <v>144776.10999999999</v>
      </c>
      <c r="CU206" s="3">
        <f t="shared" si="236"/>
        <v>0</v>
      </c>
      <c r="CV206" s="3">
        <f t="shared" si="237"/>
        <v>203.58359999999996</v>
      </c>
      <c r="CW206" s="3">
        <f t="shared" si="238"/>
        <v>0</v>
      </c>
      <c r="CX206" s="3">
        <f t="shared" si="239"/>
        <v>0</v>
      </c>
      <c r="CY206" s="3">
        <f>(ROUND((((S206+ROUND((ROUND((((EU206*1.2))*AV206*1),2)*BS206),2))*AT206)/100),2)+ROUND(((ROUND((ROUND(((AE206-((EU206*1.2)))*AV206*1),2)*BS206),2)*AT206)/100),2))</f>
        <v>777823.56</v>
      </c>
      <c r="CZ206" s="3">
        <f>(ROUND((((S206+ROUND((ROUND((((EU206*1.2))*AV206*1),2)*BS206),2))*AU206)/100),2)+ROUND(((ROUND((ROUND(((AE206-((EU206*1.2)))*AV206*1),2)*BS206),2)*AU206)/100),2))</f>
        <v>397554.26</v>
      </c>
      <c r="DB206" s="3">
        <v>78</v>
      </c>
      <c r="DC206" s="3" t="s">
        <v>3</v>
      </c>
      <c r="DD206" s="3" t="s">
        <v>35</v>
      </c>
      <c r="DE206" s="3" t="s">
        <v>36</v>
      </c>
      <c r="DF206" s="3" t="s">
        <v>36</v>
      </c>
      <c r="DG206" s="3" t="s">
        <v>36</v>
      </c>
      <c r="DH206" s="3" t="s">
        <v>3</v>
      </c>
      <c r="DI206" s="3" t="s">
        <v>36</v>
      </c>
      <c r="DJ206" s="3" t="s">
        <v>36</v>
      </c>
      <c r="DK206" s="3" t="s">
        <v>3</v>
      </c>
      <c r="DL206" s="3" t="s">
        <v>3</v>
      </c>
      <c r="DM206" s="3" t="s">
        <v>3</v>
      </c>
      <c r="DN206" s="3">
        <v>0</v>
      </c>
      <c r="DO206" s="3">
        <v>0</v>
      </c>
      <c r="DP206" s="3">
        <v>1</v>
      </c>
      <c r="DQ206" s="3">
        <v>1</v>
      </c>
      <c r="DU206" s="3">
        <v>1003</v>
      </c>
      <c r="DV206" s="3" t="s">
        <v>174</v>
      </c>
      <c r="DW206" s="3" t="s">
        <v>174</v>
      </c>
      <c r="DX206" s="3">
        <v>100</v>
      </c>
      <c r="DZ206" s="3" t="s">
        <v>3</v>
      </c>
      <c r="EA206" s="3" t="s">
        <v>3</v>
      </c>
      <c r="EB206" s="3" t="s">
        <v>3</v>
      </c>
      <c r="EC206" s="3" t="s">
        <v>3</v>
      </c>
      <c r="EE206" s="3">
        <v>85133422</v>
      </c>
      <c r="EF206" s="3">
        <v>40</v>
      </c>
      <c r="EG206" s="3" t="s">
        <v>27</v>
      </c>
      <c r="EH206" s="3">
        <v>0</v>
      </c>
      <c r="EI206" s="3" t="s">
        <v>3</v>
      </c>
      <c r="EJ206" s="3">
        <v>2</v>
      </c>
      <c r="EK206" s="3">
        <v>73</v>
      </c>
      <c r="EL206" s="3" t="s">
        <v>62</v>
      </c>
      <c r="EM206" s="3" t="s">
        <v>63</v>
      </c>
      <c r="EO206" s="3" t="s">
        <v>37</v>
      </c>
      <c r="EQ206" s="3">
        <v>0</v>
      </c>
      <c r="ER206" s="3">
        <v>2953.26</v>
      </c>
      <c r="ES206" s="3">
        <v>126.03</v>
      </c>
      <c r="ET206" s="3">
        <v>820.65</v>
      </c>
      <c r="EU206" s="3">
        <v>139.58000000000001</v>
      </c>
      <c r="EV206" s="3">
        <v>2006.58</v>
      </c>
      <c r="EW206" s="3">
        <v>159</v>
      </c>
      <c r="EX206" s="3">
        <v>0</v>
      </c>
      <c r="EY206" s="3">
        <v>0</v>
      </c>
      <c r="FQ206" s="3">
        <v>0</v>
      </c>
      <c r="FR206" s="3">
        <v>0</v>
      </c>
      <c r="FS206" s="3">
        <v>2</v>
      </c>
      <c r="FX206" s="3">
        <v>90</v>
      </c>
      <c r="FY206" s="3">
        <v>46</v>
      </c>
      <c r="GA206" s="3" t="s">
        <v>3</v>
      </c>
      <c r="GD206" s="3">
        <v>1</v>
      </c>
      <c r="GF206" s="3">
        <v>84595590</v>
      </c>
      <c r="GG206" s="3">
        <v>2</v>
      </c>
      <c r="GH206" s="3">
        <v>1</v>
      </c>
      <c r="GI206" s="3">
        <v>2</v>
      </c>
      <c r="GJ206" s="3">
        <v>0</v>
      </c>
      <c r="GK206" s="3">
        <v>0</v>
      </c>
      <c r="GL206" s="3">
        <f t="shared" si="240"/>
        <v>0</v>
      </c>
      <c r="GM206" s="3">
        <f t="shared" si="241"/>
        <v>2225151.85</v>
      </c>
      <c r="GN206" s="3">
        <f t="shared" si="242"/>
        <v>0</v>
      </c>
      <c r="GO206" s="3">
        <f t="shared" si="243"/>
        <v>2225151.85</v>
      </c>
      <c r="GP206" s="3">
        <f t="shared" si="244"/>
        <v>0</v>
      </c>
      <c r="GR206" s="3">
        <v>0</v>
      </c>
      <c r="GS206" s="3">
        <v>3</v>
      </c>
      <c r="GT206" s="3">
        <v>0</v>
      </c>
      <c r="GU206" s="3" t="s">
        <v>3</v>
      </c>
      <c r="GV206" s="3">
        <f t="shared" si="245"/>
        <v>0</v>
      </c>
      <c r="GW206" s="3">
        <v>1</v>
      </c>
      <c r="GX206" s="3">
        <f t="shared" si="246"/>
        <v>0</v>
      </c>
      <c r="HA206" s="3">
        <v>0</v>
      </c>
      <c r="HB206" s="3">
        <v>0</v>
      </c>
      <c r="HC206" s="3">
        <f t="shared" si="247"/>
        <v>0</v>
      </c>
      <c r="HE206" s="3" t="s">
        <v>3</v>
      </c>
      <c r="HF206" s="3" t="s">
        <v>3</v>
      </c>
      <c r="HM206" s="3" t="s">
        <v>3</v>
      </c>
      <c r="HN206" s="3" t="s">
        <v>3</v>
      </c>
      <c r="HO206" s="3" t="s">
        <v>3</v>
      </c>
      <c r="HP206" s="3" t="s">
        <v>3</v>
      </c>
      <c r="HQ206" s="3" t="s">
        <v>3</v>
      </c>
      <c r="HS206" s="3">
        <v>0</v>
      </c>
      <c r="IK206" s="3">
        <v>0</v>
      </c>
    </row>
    <row r="207" spans="1:255" x14ac:dyDescent="0.2">
      <c r="A207" s="2">
        <v>18</v>
      </c>
      <c r="B207" s="2">
        <v>1</v>
      </c>
      <c r="C207" s="2">
        <v>489</v>
      </c>
      <c r="D207" s="2"/>
      <c r="E207" s="2" t="s">
        <v>401</v>
      </c>
      <c r="F207" s="2" t="s">
        <v>186</v>
      </c>
      <c r="G207" s="2" t="s">
        <v>187</v>
      </c>
      <c r="H207" s="2" t="s">
        <v>179</v>
      </c>
      <c r="I207" s="2">
        <f>I205*J207</f>
        <v>592.95000000000005</v>
      </c>
      <c r="J207" s="2">
        <v>100.5</v>
      </c>
      <c r="K207" s="2">
        <v>100.5</v>
      </c>
      <c r="L207" s="2"/>
      <c r="M207" s="2"/>
      <c r="N207" s="2"/>
      <c r="O207" s="2">
        <f t="shared" si="223"/>
        <v>47785.84</v>
      </c>
      <c r="P207" s="2">
        <f t="shared" si="224"/>
        <v>47785.84</v>
      </c>
      <c r="Q207" s="2">
        <f>(ROUND((ROUND(((ET207)*AV207*I207),2)*BB207),2)+ROUND((ROUND(((AE207-(EU207))*AV207*I207),2)*BS207),2))</f>
        <v>0</v>
      </c>
      <c r="R207" s="2">
        <f>(ROUND((ROUND(((EU207)*AV207*I207),2)*BS207),2)+ROUND((ROUND(((AE207-(EU207))*AV207*I207),2)*BS207),2))</f>
        <v>0</v>
      </c>
      <c r="S207" s="2">
        <f t="shared" si="225"/>
        <v>0</v>
      </c>
      <c r="T207" s="2">
        <f t="shared" si="226"/>
        <v>0</v>
      </c>
      <c r="U207" s="2">
        <f t="shared" si="227"/>
        <v>0</v>
      </c>
      <c r="V207" s="2">
        <f t="shared" si="228"/>
        <v>0</v>
      </c>
      <c r="W207" s="2">
        <f t="shared" si="229"/>
        <v>0</v>
      </c>
      <c r="X207" s="2">
        <f>(ROUND((((S207+ROUND((ROUND(((EU207)*AV207*I207),2)*BS207),2))*AT207)/100),2)+ROUND(((ROUND((ROUND(((AE207-(EU207))*AV207*I207),2)*BS207),2)*AT207)/100),2))</f>
        <v>0</v>
      </c>
      <c r="Y207" s="2">
        <f>(ROUND((((S207+ROUND((ROUND(((EU207)*AV207*I207),2)*BS207),2))*AU207)/100),2)+ROUND(((ROUND((ROUND(((AE207-(EU207))*AV207*I207),2)*BS207),2)*AU207)/100),2))</f>
        <v>0</v>
      </c>
      <c r="Z207" s="2"/>
      <c r="AA207" s="2">
        <v>85739205</v>
      </c>
      <c r="AB207" s="2">
        <f t="shared" si="230"/>
        <v>80.59</v>
      </c>
      <c r="AC207" s="2">
        <f>ROUND((ES207),6)</f>
        <v>80.59</v>
      </c>
      <c r="AD207" s="2">
        <f>ROUND((((ET207)-(EU207))+AE207),6)</f>
        <v>0</v>
      </c>
      <c r="AE207" s="2">
        <f>ROUND((EU207),6)</f>
        <v>0</v>
      </c>
      <c r="AF207" s="2">
        <f>ROUND((EV207),6)</f>
        <v>0</v>
      </c>
      <c r="AG207" s="2">
        <f t="shared" si="231"/>
        <v>0</v>
      </c>
      <c r="AH207" s="2">
        <f>(EW207)</f>
        <v>0</v>
      </c>
      <c r="AI207" s="2">
        <f>(EX207)</f>
        <v>0</v>
      </c>
      <c r="AJ207" s="2">
        <f t="shared" si="232"/>
        <v>0</v>
      </c>
      <c r="AK207" s="2">
        <v>80.59</v>
      </c>
      <c r="AL207" s="2">
        <v>80.59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90</v>
      </c>
      <c r="AU207" s="2">
        <v>46</v>
      </c>
      <c r="AV207" s="2">
        <v>1</v>
      </c>
      <c r="AW207" s="2">
        <v>1</v>
      </c>
      <c r="AX207" s="2"/>
      <c r="AY207" s="2"/>
      <c r="AZ207" s="2">
        <v>1</v>
      </c>
      <c r="BA207" s="2">
        <v>1</v>
      </c>
      <c r="BB207" s="2">
        <v>1</v>
      </c>
      <c r="BC207" s="2">
        <v>1</v>
      </c>
      <c r="BD207" s="2" t="s">
        <v>3</v>
      </c>
      <c r="BE207" s="2" t="s">
        <v>3</v>
      </c>
      <c r="BF207" s="2" t="s">
        <v>3</v>
      </c>
      <c r="BG207" s="2" t="s">
        <v>3</v>
      </c>
      <c r="BH207" s="2">
        <v>3</v>
      </c>
      <c r="BI207" s="2">
        <v>2</v>
      </c>
      <c r="BJ207" s="2" t="s">
        <v>188</v>
      </c>
      <c r="BK207" s="2"/>
      <c r="BL207" s="2"/>
      <c r="BM207" s="2">
        <v>73</v>
      </c>
      <c r="BN207" s="2">
        <v>0</v>
      </c>
      <c r="BO207" s="2" t="s">
        <v>3</v>
      </c>
      <c r="BP207" s="2">
        <v>0</v>
      </c>
      <c r="BQ207" s="2">
        <v>40</v>
      </c>
      <c r="BR207" s="2">
        <v>0</v>
      </c>
      <c r="BS207" s="2">
        <v>1</v>
      </c>
      <c r="BT207" s="2">
        <v>1</v>
      </c>
      <c r="BU207" s="2">
        <v>1</v>
      </c>
      <c r="BV207" s="2">
        <v>1</v>
      </c>
      <c r="BW207" s="2">
        <v>1</v>
      </c>
      <c r="BX207" s="2">
        <v>1</v>
      </c>
      <c r="BY207" s="2" t="s">
        <v>3</v>
      </c>
      <c r="BZ207" s="2">
        <v>90</v>
      </c>
      <c r="CA207" s="2">
        <v>46</v>
      </c>
      <c r="CB207" s="2" t="s">
        <v>3</v>
      </c>
      <c r="CC207" s="2"/>
      <c r="CD207" s="2"/>
      <c r="CE207" s="2">
        <v>1566</v>
      </c>
      <c r="CF207" s="2">
        <v>0</v>
      </c>
      <c r="CG207" s="2">
        <v>0</v>
      </c>
      <c r="CH207" s="2"/>
      <c r="CI207" s="2"/>
      <c r="CJ207" s="2"/>
      <c r="CK207" s="2"/>
      <c r="CL207" s="2"/>
      <c r="CM207" s="2">
        <v>0</v>
      </c>
      <c r="CN207" s="2" t="s">
        <v>679</v>
      </c>
      <c r="CO207" s="2">
        <v>0</v>
      </c>
      <c r="CP207" s="2">
        <f t="shared" si="233"/>
        <v>47785.84</v>
      </c>
      <c r="CQ207" s="2">
        <f t="shared" si="234"/>
        <v>80.59</v>
      </c>
      <c r="CR207" s="2">
        <f>(ROUND((ROUND(((ET207)*AV207*1),2)*BB207),2)+ROUND((ROUND(((AE207-(EU207))*AV207*1),2)*BS207),2))</f>
        <v>0</v>
      </c>
      <c r="CS207" s="2">
        <f>(ROUND((ROUND(((EU207)*AV207*1),2)*BS207),2)+ROUND((ROUND(((AE207-(EU207))*AV207*1),2)*BS207),2))</f>
        <v>0</v>
      </c>
      <c r="CT207" s="2">
        <f t="shared" si="235"/>
        <v>0</v>
      </c>
      <c r="CU207" s="2">
        <f t="shared" si="236"/>
        <v>0</v>
      </c>
      <c r="CV207" s="2">
        <f t="shared" si="237"/>
        <v>0</v>
      </c>
      <c r="CW207" s="2">
        <f t="shared" si="238"/>
        <v>0</v>
      </c>
      <c r="CX207" s="2">
        <f t="shared" si="239"/>
        <v>0</v>
      </c>
      <c r="CY207" s="2">
        <f>(ROUND((((S207+ROUND((ROUND(((EU207)*AV207*1),2)*BS207),2))*AT207)/100),2)+ROUND(((ROUND((ROUND(((AE207-(EU207))*AV207*1),2)*BS207),2)*AT207)/100),2))</f>
        <v>0</v>
      </c>
      <c r="CZ207" s="2">
        <f>(ROUND((((S207+ROUND((ROUND(((EU207)*AV207*1),2)*BS207),2))*AU207)/100),2)+ROUND(((ROUND((ROUND(((AE207-(EU207))*AV207*1),2)*BS207),2)*AU207)/100),2))</f>
        <v>0</v>
      </c>
      <c r="DA207" s="2"/>
      <c r="DB207" s="2"/>
      <c r="DC207" s="2" t="s">
        <v>3</v>
      </c>
      <c r="DD207" s="2" t="s">
        <v>3</v>
      </c>
      <c r="DE207" s="2" t="s">
        <v>3</v>
      </c>
      <c r="DF207" s="2" t="s">
        <v>3</v>
      </c>
      <c r="DG207" s="2" t="s">
        <v>3</v>
      </c>
      <c r="DH207" s="2" t="s">
        <v>3</v>
      </c>
      <c r="DI207" s="2" t="s">
        <v>3</v>
      </c>
      <c r="DJ207" s="2" t="s">
        <v>3</v>
      </c>
      <c r="DK207" s="2" t="s">
        <v>3</v>
      </c>
      <c r="DL207" s="2" t="s">
        <v>3</v>
      </c>
      <c r="DM207" s="2" t="s">
        <v>3</v>
      </c>
      <c r="DN207" s="2">
        <v>0</v>
      </c>
      <c r="DO207" s="2">
        <v>0</v>
      </c>
      <c r="DP207" s="2">
        <v>1</v>
      </c>
      <c r="DQ207" s="2">
        <v>1</v>
      </c>
      <c r="DR207" s="2"/>
      <c r="DS207" s="2"/>
      <c r="DT207" s="2"/>
      <c r="DU207" s="2">
        <v>1003</v>
      </c>
      <c r="DV207" s="2" t="s">
        <v>179</v>
      </c>
      <c r="DW207" s="2" t="s">
        <v>179</v>
      </c>
      <c r="DX207" s="2">
        <v>1</v>
      </c>
      <c r="DY207" s="2"/>
      <c r="DZ207" s="2" t="s">
        <v>3</v>
      </c>
      <c r="EA207" s="2" t="s">
        <v>3</v>
      </c>
      <c r="EB207" s="2" t="s">
        <v>3</v>
      </c>
      <c r="EC207" s="2" t="s">
        <v>3</v>
      </c>
      <c r="ED207" s="2"/>
      <c r="EE207" s="2">
        <v>85133422</v>
      </c>
      <c r="EF207" s="2">
        <v>40</v>
      </c>
      <c r="EG207" s="2" t="s">
        <v>27</v>
      </c>
      <c r="EH207" s="2">
        <v>0</v>
      </c>
      <c r="EI207" s="2" t="s">
        <v>3</v>
      </c>
      <c r="EJ207" s="2">
        <v>2</v>
      </c>
      <c r="EK207" s="2">
        <v>73</v>
      </c>
      <c r="EL207" s="2" t="s">
        <v>62</v>
      </c>
      <c r="EM207" s="2" t="s">
        <v>63</v>
      </c>
      <c r="EN207" s="2"/>
      <c r="EO207" s="2" t="s">
        <v>37</v>
      </c>
      <c r="EP207" s="2"/>
      <c r="EQ207" s="2">
        <v>0</v>
      </c>
      <c r="ER207" s="2">
        <v>80.59</v>
      </c>
      <c r="ES207" s="2">
        <v>80.59</v>
      </c>
      <c r="ET207" s="2">
        <v>0</v>
      </c>
      <c r="EU207" s="2">
        <v>0</v>
      </c>
      <c r="EV207" s="2">
        <v>0</v>
      </c>
      <c r="EW207" s="2">
        <v>0</v>
      </c>
      <c r="EX207" s="2">
        <v>0</v>
      </c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>
        <v>0</v>
      </c>
      <c r="FR207" s="2">
        <v>0</v>
      </c>
      <c r="FS207" s="2">
        <v>0</v>
      </c>
      <c r="FT207" s="2"/>
      <c r="FU207" s="2"/>
      <c r="FV207" s="2"/>
      <c r="FW207" s="2"/>
      <c r="FX207" s="2">
        <v>90</v>
      </c>
      <c r="FY207" s="2">
        <v>46</v>
      </c>
      <c r="FZ207" s="2"/>
      <c r="GA207" s="2" t="s">
        <v>3</v>
      </c>
      <c r="GB207" s="2"/>
      <c r="GC207" s="2"/>
      <c r="GD207" s="2">
        <v>1</v>
      </c>
      <c r="GE207" s="2"/>
      <c r="GF207" s="2">
        <v>-648477377</v>
      </c>
      <c r="GG207" s="2">
        <v>2</v>
      </c>
      <c r="GH207" s="2">
        <v>1</v>
      </c>
      <c r="GI207" s="2">
        <v>-2</v>
      </c>
      <c r="GJ207" s="2">
        <v>0</v>
      </c>
      <c r="GK207" s="2">
        <v>0</v>
      </c>
      <c r="GL207" s="2">
        <f t="shared" si="240"/>
        <v>0</v>
      </c>
      <c r="GM207" s="2">
        <f t="shared" si="241"/>
        <v>47785.84</v>
      </c>
      <c r="GN207" s="2">
        <f t="shared" si="242"/>
        <v>0</v>
      </c>
      <c r="GO207" s="2">
        <f t="shared" si="243"/>
        <v>47785.84</v>
      </c>
      <c r="GP207" s="2">
        <f t="shared" si="244"/>
        <v>0</v>
      </c>
      <c r="GQ207" s="2"/>
      <c r="GR207" s="2">
        <v>0</v>
      </c>
      <c r="GS207" s="2">
        <v>3</v>
      </c>
      <c r="GT207" s="2">
        <v>0</v>
      </c>
      <c r="GU207" s="2" t="s">
        <v>3</v>
      </c>
      <c r="GV207" s="2">
        <f t="shared" si="245"/>
        <v>0</v>
      </c>
      <c r="GW207" s="2">
        <v>1</v>
      </c>
      <c r="GX207" s="2">
        <f t="shared" si="246"/>
        <v>0</v>
      </c>
      <c r="GY207" s="2"/>
      <c r="GZ207" s="2"/>
      <c r="HA207" s="2">
        <v>0</v>
      </c>
      <c r="HB207" s="2">
        <v>0</v>
      </c>
      <c r="HC207" s="2">
        <f t="shared" si="247"/>
        <v>0</v>
      </c>
      <c r="HD207" s="2"/>
      <c r="HE207" s="2" t="s">
        <v>3</v>
      </c>
      <c r="HF207" s="2" t="s">
        <v>3</v>
      </c>
      <c r="HG207" s="2"/>
      <c r="HH207" s="2"/>
      <c r="HI207" s="2"/>
      <c r="HJ207" s="2"/>
      <c r="HK207" s="2"/>
      <c r="HL207" s="2"/>
      <c r="HM207" s="2" t="s">
        <v>35</v>
      </c>
      <c r="HN207" s="2" t="s">
        <v>3</v>
      </c>
      <c r="HO207" s="2" t="s">
        <v>3</v>
      </c>
      <c r="HP207" s="2" t="s">
        <v>3</v>
      </c>
      <c r="HQ207" s="2" t="s">
        <v>3</v>
      </c>
      <c r="HR207" s="2"/>
      <c r="HS207" s="2">
        <v>0</v>
      </c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>
        <v>0</v>
      </c>
      <c r="IL207" s="2"/>
      <c r="IM207" s="2"/>
      <c r="IN207" s="2"/>
      <c r="IO207" s="2"/>
      <c r="IP207" s="2"/>
      <c r="IQ207" s="2"/>
      <c r="IR207" s="2"/>
      <c r="IS207" s="2"/>
      <c r="IT207" s="2"/>
      <c r="IU207" s="2"/>
    </row>
    <row r="208" spans="1:255" x14ac:dyDescent="0.2">
      <c r="A208" s="3">
        <v>18</v>
      </c>
      <c r="B208" s="3">
        <v>1</v>
      </c>
      <c r="C208" s="3">
        <v>498</v>
      </c>
      <c r="E208" s="3" t="s">
        <v>401</v>
      </c>
      <c r="F208" s="3" t="s">
        <v>186</v>
      </c>
      <c r="G208" s="3" t="s">
        <v>187</v>
      </c>
      <c r="H208" s="3" t="s">
        <v>179</v>
      </c>
      <c r="I208" s="3">
        <f>I206*J208</f>
        <v>592.95000000000005</v>
      </c>
      <c r="J208" s="3">
        <v>100.5</v>
      </c>
      <c r="K208" s="3">
        <v>100.5</v>
      </c>
      <c r="O208" s="3">
        <f t="shared" si="223"/>
        <v>219337.01</v>
      </c>
      <c r="P208" s="3">
        <f t="shared" si="224"/>
        <v>219337.01</v>
      </c>
      <c r="Q208" s="3">
        <f>(ROUND((ROUND(((ET208)*AV208*I208),2)*BB208),2)+ROUND((ROUND(((AE208-(EU208))*AV208*I208),2)*BS208),2))</f>
        <v>0</v>
      </c>
      <c r="R208" s="3">
        <f>(ROUND((ROUND(((EU208)*AV208*I208),2)*BS208),2)+ROUND((ROUND(((AE208-(EU208))*AV208*I208),2)*BS208),2))</f>
        <v>0</v>
      </c>
      <c r="S208" s="3">
        <f t="shared" si="225"/>
        <v>0</v>
      </c>
      <c r="T208" s="3">
        <f t="shared" si="226"/>
        <v>0</v>
      </c>
      <c r="U208" s="3">
        <f t="shared" si="227"/>
        <v>0</v>
      </c>
      <c r="V208" s="3">
        <f t="shared" si="228"/>
        <v>0</v>
      </c>
      <c r="W208" s="3">
        <f t="shared" si="229"/>
        <v>0</v>
      </c>
      <c r="X208" s="3">
        <f>(ROUND((((S208+ROUND((ROUND(((EU208)*AV208*I208),2)*BS208),2))*AT208)/100),2)+ROUND(((ROUND((ROUND(((AE208-(EU208))*AV208*I208),2)*BS208),2)*AT208)/100),2))</f>
        <v>0</v>
      </c>
      <c r="Y208" s="3">
        <f>(ROUND((((S208+ROUND((ROUND(((EU208)*AV208*I208),2)*BS208),2))*AU208)/100),2)+ROUND(((ROUND((ROUND(((AE208-(EU208))*AV208*I208),2)*BS208),2)*AU208)/100),2))</f>
        <v>0</v>
      </c>
      <c r="AA208" s="3">
        <v>85739207</v>
      </c>
      <c r="AB208" s="3">
        <f t="shared" si="230"/>
        <v>80.59</v>
      </c>
      <c r="AC208" s="3">
        <f>ROUND((ES208),6)</f>
        <v>80.59</v>
      </c>
      <c r="AD208" s="3">
        <f>ROUND((((ET208)-(EU208))+AE208),6)</f>
        <v>0</v>
      </c>
      <c r="AE208" s="3">
        <f>ROUND((EU208),6)</f>
        <v>0</v>
      </c>
      <c r="AF208" s="3">
        <f>ROUND((EV208),6)</f>
        <v>0</v>
      </c>
      <c r="AG208" s="3">
        <f t="shared" si="231"/>
        <v>0</v>
      </c>
      <c r="AH208" s="3">
        <f>(EW208)</f>
        <v>0</v>
      </c>
      <c r="AI208" s="3">
        <f>(EX208)</f>
        <v>0</v>
      </c>
      <c r="AJ208" s="3">
        <f t="shared" si="232"/>
        <v>0</v>
      </c>
      <c r="AK208" s="3">
        <v>80.59</v>
      </c>
      <c r="AL208" s="3">
        <v>80.59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90</v>
      </c>
      <c r="AU208" s="3">
        <v>46</v>
      </c>
      <c r="AV208" s="3">
        <v>1</v>
      </c>
      <c r="AW208" s="3">
        <v>1</v>
      </c>
      <c r="AZ208" s="3">
        <v>1</v>
      </c>
      <c r="BA208" s="3">
        <v>1</v>
      </c>
      <c r="BB208" s="3">
        <v>1</v>
      </c>
      <c r="BC208" s="3">
        <v>4.59</v>
      </c>
      <c r="BD208" s="3" t="s">
        <v>3</v>
      </c>
      <c r="BE208" s="3" t="s">
        <v>3</v>
      </c>
      <c r="BF208" s="3" t="s">
        <v>3</v>
      </c>
      <c r="BG208" s="3" t="s">
        <v>3</v>
      </c>
      <c r="BH208" s="3">
        <v>3</v>
      </c>
      <c r="BI208" s="3">
        <v>2</v>
      </c>
      <c r="BJ208" s="3" t="s">
        <v>188</v>
      </c>
      <c r="BM208" s="3">
        <v>73</v>
      </c>
      <c r="BN208" s="3">
        <v>0</v>
      </c>
      <c r="BO208" s="3" t="s">
        <v>186</v>
      </c>
      <c r="BP208" s="3">
        <v>1</v>
      </c>
      <c r="BQ208" s="3">
        <v>40</v>
      </c>
      <c r="BR208" s="3">
        <v>0</v>
      </c>
      <c r="BS208" s="3">
        <v>1</v>
      </c>
      <c r="BT208" s="3">
        <v>1</v>
      </c>
      <c r="BU208" s="3">
        <v>1</v>
      </c>
      <c r="BV208" s="3">
        <v>1</v>
      </c>
      <c r="BW208" s="3">
        <v>1</v>
      </c>
      <c r="BX208" s="3">
        <v>1</v>
      </c>
      <c r="BY208" s="3" t="s">
        <v>3</v>
      </c>
      <c r="BZ208" s="3">
        <v>90</v>
      </c>
      <c r="CA208" s="3">
        <v>46</v>
      </c>
      <c r="CB208" s="3" t="s">
        <v>3</v>
      </c>
      <c r="CE208" s="3">
        <v>1566</v>
      </c>
      <c r="CF208" s="3">
        <v>0</v>
      </c>
      <c r="CG208" s="3">
        <v>0</v>
      </c>
      <c r="CM208" s="3">
        <v>0</v>
      </c>
      <c r="CN208" s="3" t="s">
        <v>679</v>
      </c>
      <c r="CO208" s="3">
        <v>0</v>
      </c>
      <c r="CP208" s="3">
        <f t="shared" si="233"/>
        <v>219337.01</v>
      </c>
      <c r="CQ208" s="3">
        <f t="shared" si="234"/>
        <v>369.91</v>
      </c>
      <c r="CR208" s="3">
        <f>(ROUND((ROUND(((ET208)*AV208*1),2)*BB208),2)+ROUND((ROUND(((AE208-(EU208))*AV208*1),2)*BS208),2))</f>
        <v>0</v>
      </c>
      <c r="CS208" s="3">
        <f>(ROUND((ROUND(((EU208)*AV208*1),2)*BS208),2)+ROUND((ROUND(((AE208-(EU208))*AV208*1),2)*BS208),2))</f>
        <v>0</v>
      </c>
      <c r="CT208" s="3">
        <f t="shared" si="235"/>
        <v>0</v>
      </c>
      <c r="CU208" s="3">
        <f t="shared" si="236"/>
        <v>0</v>
      </c>
      <c r="CV208" s="3">
        <f t="shared" si="237"/>
        <v>0</v>
      </c>
      <c r="CW208" s="3">
        <f t="shared" si="238"/>
        <v>0</v>
      </c>
      <c r="CX208" s="3">
        <f t="shared" si="239"/>
        <v>0</v>
      </c>
      <c r="CY208" s="3">
        <f>(ROUND((((S208+ROUND((ROUND(((EU208)*AV208*1),2)*BS208),2))*AT208)/100),2)+ROUND(((ROUND((ROUND(((AE208-(EU208))*AV208*1),2)*BS208),2)*AT208)/100),2))</f>
        <v>0</v>
      </c>
      <c r="CZ208" s="3">
        <f>(ROUND((((S208+ROUND((ROUND(((EU208)*AV208*1),2)*BS208),2))*AU208)/100),2)+ROUND(((ROUND((ROUND(((AE208-(EU208))*AV208*1),2)*BS208),2)*AU208)/100),2))</f>
        <v>0</v>
      </c>
      <c r="DC208" s="3" t="s">
        <v>3</v>
      </c>
      <c r="DD208" s="3" t="s">
        <v>3</v>
      </c>
      <c r="DE208" s="3" t="s">
        <v>3</v>
      </c>
      <c r="DF208" s="3" t="s">
        <v>3</v>
      </c>
      <c r="DG208" s="3" t="s">
        <v>3</v>
      </c>
      <c r="DH208" s="3" t="s">
        <v>3</v>
      </c>
      <c r="DI208" s="3" t="s">
        <v>3</v>
      </c>
      <c r="DJ208" s="3" t="s">
        <v>3</v>
      </c>
      <c r="DK208" s="3" t="s">
        <v>3</v>
      </c>
      <c r="DL208" s="3" t="s">
        <v>3</v>
      </c>
      <c r="DM208" s="3" t="s">
        <v>3</v>
      </c>
      <c r="DN208" s="3">
        <v>0</v>
      </c>
      <c r="DO208" s="3">
        <v>0</v>
      </c>
      <c r="DP208" s="3">
        <v>1</v>
      </c>
      <c r="DQ208" s="3">
        <v>1</v>
      </c>
      <c r="DU208" s="3">
        <v>1003</v>
      </c>
      <c r="DV208" s="3" t="s">
        <v>179</v>
      </c>
      <c r="DW208" s="3" t="s">
        <v>179</v>
      </c>
      <c r="DX208" s="3">
        <v>1</v>
      </c>
      <c r="DZ208" s="3" t="s">
        <v>3</v>
      </c>
      <c r="EA208" s="3" t="s">
        <v>3</v>
      </c>
      <c r="EB208" s="3" t="s">
        <v>3</v>
      </c>
      <c r="EC208" s="3" t="s">
        <v>3</v>
      </c>
      <c r="EE208" s="3">
        <v>85133422</v>
      </c>
      <c r="EF208" s="3">
        <v>40</v>
      </c>
      <c r="EG208" s="3" t="s">
        <v>27</v>
      </c>
      <c r="EH208" s="3">
        <v>0</v>
      </c>
      <c r="EI208" s="3" t="s">
        <v>3</v>
      </c>
      <c r="EJ208" s="3">
        <v>2</v>
      </c>
      <c r="EK208" s="3">
        <v>73</v>
      </c>
      <c r="EL208" s="3" t="s">
        <v>62</v>
      </c>
      <c r="EM208" s="3" t="s">
        <v>63</v>
      </c>
      <c r="EO208" s="3" t="s">
        <v>37</v>
      </c>
      <c r="EQ208" s="3">
        <v>0</v>
      </c>
      <c r="ER208" s="3">
        <v>80.59</v>
      </c>
      <c r="ES208" s="3">
        <v>80.59</v>
      </c>
      <c r="ET208" s="3">
        <v>0</v>
      </c>
      <c r="EU208" s="3">
        <v>0</v>
      </c>
      <c r="EV208" s="3">
        <v>0</v>
      </c>
      <c r="EW208" s="3">
        <v>0</v>
      </c>
      <c r="EX208" s="3">
        <v>0</v>
      </c>
      <c r="FQ208" s="3">
        <v>0</v>
      </c>
      <c r="FR208" s="3">
        <v>0</v>
      </c>
      <c r="FS208" s="3">
        <v>0</v>
      </c>
      <c r="FX208" s="3">
        <v>90</v>
      </c>
      <c r="FY208" s="3">
        <v>46</v>
      </c>
      <c r="GA208" s="3" t="s">
        <v>3</v>
      </c>
      <c r="GD208" s="3">
        <v>1</v>
      </c>
      <c r="GF208" s="3">
        <v>-648477377</v>
      </c>
      <c r="GG208" s="3">
        <v>2</v>
      </c>
      <c r="GH208" s="3">
        <v>1</v>
      </c>
      <c r="GI208" s="3">
        <v>2</v>
      </c>
      <c r="GJ208" s="3">
        <v>0</v>
      </c>
      <c r="GK208" s="3">
        <v>0</v>
      </c>
      <c r="GL208" s="3">
        <f t="shared" si="240"/>
        <v>0</v>
      </c>
      <c r="GM208" s="3">
        <f t="shared" si="241"/>
        <v>219337.01</v>
      </c>
      <c r="GN208" s="3">
        <f t="shared" si="242"/>
        <v>0</v>
      </c>
      <c r="GO208" s="3">
        <f t="shared" si="243"/>
        <v>219337.01</v>
      </c>
      <c r="GP208" s="3">
        <f t="shared" si="244"/>
        <v>0</v>
      </c>
      <c r="GR208" s="3">
        <v>0</v>
      </c>
      <c r="GS208" s="3">
        <v>3</v>
      </c>
      <c r="GT208" s="3">
        <v>0</v>
      </c>
      <c r="GU208" s="3" t="s">
        <v>3</v>
      </c>
      <c r="GV208" s="3">
        <f t="shared" si="245"/>
        <v>0</v>
      </c>
      <c r="GW208" s="3">
        <v>1</v>
      </c>
      <c r="GX208" s="3">
        <f t="shared" si="246"/>
        <v>0</v>
      </c>
      <c r="HA208" s="3">
        <v>0</v>
      </c>
      <c r="HB208" s="3">
        <v>0</v>
      </c>
      <c r="HC208" s="3">
        <f t="shared" si="247"/>
        <v>0</v>
      </c>
      <c r="HE208" s="3" t="s">
        <v>3</v>
      </c>
      <c r="HF208" s="3" t="s">
        <v>3</v>
      </c>
      <c r="HM208" s="3" t="s">
        <v>35</v>
      </c>
      <c r="HN208" s="3" t="s">
        <v>3</v>
      </c>
      <c r="HO208" s="3" t="s">
        <v>3</v>
      </c>
      <c r="HP208" s="3" t="s">
        <v>3</v>
      </c>
      <c r="HQ208" s="3" t="s">
        <v>3</v>
      </c>
      <c r="HS208" s="3">
        <v>0</v>
      </c>
      <c r="IK208" s="3">
        <v>0</v>
      </c>
    </row>
    <row r="209" spans="1:255" x14ac:dyDescent="0.2">
      <c r="A209" s="2">
        <v>17</v>
      </c>
      <c r="B209" s="2">
        <v>1</v>
      </c>
      <c r="C209" s="2">
        <f>ROW(SmtRes!A506)</f>
        <v>506</v>
      </c>
      <c r="D209" s="2">
        <f>ROW(EtalonRes!A523)</f>
        <v>523</v>
      </c>
      <c r="E209" s="2" t="s">
        <v>402</v>
      </c>
      <c r="F209" s="2" t="s">
        <v>128</v>
      </c>
      <c r="G209" s="2" t="s">
        <v>129</v>
      </c>
      <c r="H209" s="2" t="s">
        <v>23</v>
      </c>
      <c r="I209" s="2">
        <f>ROUND(20+4,9)</f>
        <v>24</v>
      </c>
      <c r="J209" s="2">
        <v>0</v>
      </c>
      <c r="K209" s="2">
        <f>ROUND(20+4,9)</f>
        <v>24</v>
      </c>
      <c r="L209" s="2"/>
      <c r="M209" s="2"/>
      <c r="N209" s="2"/>
      <c r="O209" s="2">
        <f t="shared" si="223"/>
        <v>2448.73</v>
      </c>
      <c r="P209" s="2">
        <f t="shared" si="224"/>
        <v>106.83</v>
      </c>
      <c r="Q209" s="2">
        <f>(ROUND((ROUND((((ET209*1.2))*AV209*I209),2)*BB209),2)+ROUND((ROUND(((AE209-((EU209*1.2)))*AV209*I209),2)*BS209),2))</f>
        <v>247.68</v>
      </c>
      <c r="R209" s="2">
        <f>(ROUND((ROUND((((EU209*1.2))*AV209*I209),2)*BS209),2)+ROUND((ROUND(((AE209-((EU209*1.2)))*AV209*I209),2)*BS209),2))</f>
        <v>7.68</v>
      </c>
      <c r="S209" s="2">
        <f t="shared" si="225"/>
        <v>2094.2199999999998</v>
      </c>
      <c r="T209" s="2">
        <f t="shared" si="226"/>
        <v>0</v>
      </c>
      <c r="U209" s="2">
        <f t="shared" si="227"/>
        <v>165.93984</v>
      </c>
      <c r="V209" s="2">
        <f t="shared" si="228"/>
        <v>0</v>
      </c>
      <c r="W209" s="2">
        <f t="shared" si="229"/>
        <v>0</v>
      </c>
      <c r="X209" s="2">
        <f>(ROUND((((S209+ROUND((ROUND((((EU209*1.2))*AV209*I209),2)*BS209),2))*AT209)/100),2)+ROUND(((ROUND((ROUND(((AE209-((EU209*1.2)))*AV209*I209),2)*BS209),2)*AT209)/100),2))</f>
        <v>1891.71</v>
      </c>
      <c r="Y209" s="2">
        <f>(ROUND((((S209+ROUND((ROUND((((EU209*1.2))*AV209*I209),2)*BS209),2))*AU209)/100),2)+ROUND(((ROUND((ROUND(((AE209-((EU209*1.2)))*AV209*I209),2)*BS209),2)*AU209)/100),2))</f>
        <v>966.87</v>
      </c>
      <c r="Z209" s="2"/>
      <c r="AA209" s="2">
        <v>85739205</v>
      </c>
      <c r="AB209" s="2">
        <f t="shared" si="230"/>
        <v>95.781999999999996</v>
      </c>
      <c r="AC209" s="2">
        <f>ROUND(((ES209*1)),6)</f>
        <v>4.33</v>
      </c>
      <c r="AD209" s="2">
        <f>ROUND(((((ET209*1.2))-((EU209*1.2)))+AE209),6)</f>
        <v>9.6720000000000006</v>
      </c>
      <c r="AE209" s="2">
        <f>ROUND(((EU209*1.2)),6)</f>
        <v>0.3</v>
      </c>
      <c r="AF209" s="2">
        <f>ROUND(((EV209*1.2)),6)</f>
        <v>81.78</v>
      </c>
      <c r="AG209" s="2">
        <f t="shared" si="231"/>
        <v>0</v>
      </c>
      <c r="AH209" s="2">
        <f>((EW209*1.2))</f>
        <v>6.48</v>
      </c>
      <c r="AI209" s="2">
        <f>((EX209*1.2))</f>
        <v>0</v>
      </c>
      <c r="AJ209" s="2">
        <f t="shared" si="232"/>
        <v>0</v>
      </c>
      <c r="AK209" s="2">
        <v>80.540000000000006</v>
      </c>
      <c r="AL209" s="2">
        <v>4.33</v>
      </c>
      <c r="AM209" s="2">
        <v>8.06</v>
      </c>
      <c r="AN209" s="2">
        <v>0.25</v>
      </c>
      <c r="AO209" s="2">
        <v>68.150000000000006</v>
      </c>
      <c r="AP209" s="2">
        <v>0</v>
      </c>
      <c r="AQ209" s="2">
        <v>5.4</v>
      </c>
      <c r="AR209" s="2">
        <v>0</v>
      </c>
      <c r="AS209" s="2">
        <v>0</v>
      </c>
      <c r="AT209" s="2">
        <v>90</v>
      </c>
      <c r="AU209" s="2">
        <v>46</v>
      </c>
      <c r="AV209" s="2">
        <v>1.0669999999999999</v>
      </c>
      <c r="AW209" s="2">
        <v>1.028</v>
      </c>
      <c r="AX209" s="2"/>
      <c r="AY209" s="2"/>
      <c r="AZ209" s="2">
        <v>1</v>
      </c>
      <c r="BA209" s="2">
        <v>1</v>
      </c>
      <c r="BB209" s="2">
        <v>1</v>
      </c>
      <c r="BC209" s="2">
        <v>1</v>
      </c>
      <c r="BD209" s="2" t="s">
        <v>3</v>
      </c>
      <c r="BE209" s="2" t="s">
        <v>3</v>
      </c>
      <c r="BF209" s="2" t="s">
        <v>3</v>
      </c>
      <c r="BG209" s="2" t="s">
        <v>3</v>
      </c>
      <c r="BH209" s="2">
        <v>0</v>
      </c>
      <c r="BI209" s="2">
        <v>2</v>
      </c>
      <c r="BJ209" s="2" t="s">
        <v>130</v>
      </c>
      <c r="BK209" s="2"/>
      <c r="BL209" s="2"/>
      <c r="BM209" s="2">
        <v>73</v>
      </c>
      <c r="BN209" s="2">
        <v>0</v>
      </c>
      <c r="BO209" s="2" t="s">
        <v>128</v>
      </c>
      <c r="BP209" s="2">
        <v>1</v>
      </c>
      <c r="BQ209" s="2">
        <v>40</v>
      </c>
      <c r="BR209" s="2">
        <v>0</v>
      </c>
      <c r="BS209" s="2">
        <v>1</v>
      </c>
      <c r="BT209" s="2">
        <v>1</v>
      </c>
      <c r="BU209" s="2">
        <v>1</v>
      </c>
      <c r="BV209" s="2">
        <v>1</v>
      </c>
      <c r="BW209" s="2">
        <v>1</v>
      </c>
      <c r="BX209" s="2">
        <v>1</v>
      </c>
      <c r="BY209" s="2" t="s">
        <v>3</v>
      </c>
      <c r="BZ209" s="2">
        <v>90</v>
      </c>
      <c r="CA209" s="2">
        <v>46</v>
      </c>
      <c r="CB209" s="2" t="s">
        <v>3</v>
      </c>
      <c r="CC209" s="2"/>
      <c r="CD209" s="2"/>
      <c r="CE209" s="2">
        <v>1566</v>
      </c>
      <c r="CF209" s="2">
        <v>0</v>
      </c>
      <c r="CG209" s="2">
        <v>0</v>
      </c>
      <c r="CH209" s="2"/>
      <c r="CI209" s="2"/>
      <c r="CJ209" s="2"/>
      <c r="CK209" s="2"/>
      <c r="CL209" s="2"/>
      <c r="CM209" s="2">
        <v>0</v>
      </c>
      <c r="CN209" s="2" t="s">
        <v>677</v>
      </c>
      <c r="CO209" s="2">
        <v>0</v>
      </c>
      <c r="CP209" s="2">
        <f t="shared" si="233"/>
        <v>2448.7299999999996</v>
      </c>
      <c r="CQ209" s="2">
        <f t="shared" si="234"/>
        <v>4.45</v>
      </c>
      <c r="CR209" s="2">
        <f>(ROUND((ROUND((((ET209*1.2))*AV209*1),2)*BB209),2)+ROUND((ROUND(((AE209-((EU209*1.2)))*AV209*1),2)*BS209),2))</f>
        <v>10.32</v>
      </c>
      <c r="CS209" s="2">
        <f>(ROUND((ROUND((((EU209*1.2))*AV209*1),2)*BS209),2)+ROUND((ROUND(((AE209-((EU209*1.2)))*AV209*1),2)*BS209),2))</f>
        <v>0.32</v>
      </c>
      <c r="CT209" s="2">
        <f t="shared" si="235"/>
        <v>87.26</v>
      </c>
      <c r="CU209" s="2">
        <f t="shared" si="236"/>
        <v>0</v>
      </c>
      <c r="CV209" s="2">
        <f t="shared" si="237"/>
        <v>6.9141599999999999</v>
      </c>
      <c r="CW209" s="2">
        <f t="shared" si="238"/>
        <v>0</v>
      </c>
      <c r="CX209" s="2">
        <f t="shared" si="239"/>
        <v>0</v>
      </c>
      <c r="CY209" s="2">
        <f>(ROUND((((S209+ROUND((ROUND((((EU209*1.2))*AV209*1),2)*BS209),2))*AT209)/100),2)+ROUND(((ROUND((ROUND(((AE209-((EU209*1.2)))*AV209*1),2)*BS209),2)*AT209)/100),2))</f>
        <v>1885.09</v>
      </c>
      <c r="CZ209" s="2">
        <f>(ROUND((((S209+ROUND((ROUND((((EU209*1.2))*AV209*1),2)*BS209),2))*AU209)/100),2)+ROUND(((ROUND((ROUND(((AE209-((EU209*1.2)))*AV209*1),2)*BS209),2)*AU209)/100),2))</f>
        <v>963.49</v>
      </c>
      <c r="DA209" s="2"/>
      <c r="DB209" s="2">
        <v>79</v>
      </c>
      <c r="DC209" s="2" t="s">
        <v>3</v>
      </c>
      <c r="DD209" s="2" t="s">
        <v>35</v>
      </c>
      <c r="DE209" s="2" t="s">
        <v>36</v>
      </c>
      <c r="DF209" s="2" t="s">
        <v>36</v>
      </c>
      <c r="DG209" s="2" t="s">
        <v>36</v>
      </c>
      <c r="DH209" s="2" t="s">
        <v>3</v>
      </c>
      <c r="DI209" s="2" t="s">
        <v>36</v>
      </c>
      <c r="DJ209" s="2" t="s">
        <v>36</v>
      </c>
      <c r="DK209" s="2" t="s">
        <v>3</v>
      </c>
      <c r="DL209" s="2" t="s">
        <v>3</v>
      </c>
      <c r="DM209" s="2" t="s">
        <v>3</v>
      </c>
      <c r="DN209" s="2">
        <v>0</v>
      </c>
      <c r="DO209" s="2">
        <v>0</v>
      </c>
      <c r="DP209" s="2">
        <v>1</v>
      </c>
      <c r="DQ209" s="2">
        <v>1</v>
      </c>
      <c r="DR209" s="2"/>
      <c r="DS209" s="2"/>
      <c r="DT209" s="2"/>
      <c r="DU209" s="2">
        <v>1013</v>
      </c>
      <c r="DV209" s="2" t="s">
        <v>23</v>
      </c>
      <c r="DW209" s="2" t="s">
        <v>23</v>
      </c>
      <c r="DX209" s="2">
        <v>1</v>
      </c>
      <c r="DY209" s="2"/>
      <c r="DZ209" s="2" t="s">
        <v>3</v>
      </c>
      <c r="EA209" s="2" t="s">
        <v>3</v>
      </c>
      <c r="EB209" s="2" t="s">
        <v>3</v>
      </c>
      <c r="EC209" s="2" t="s">
        <v>3</v>
      </c>
      <c r="ED209" s="2"/>
      <c r="EE209" s="2">
        <v>85133422</v>
      </c>
      <c r="EF209" s="2">
        <v>40</v>
      </c>
      <c r="EG209" s="2" t="s">
        <v>27</v>
      </c>
      <c r="EH209" s="2">
        <v>0</v>
      </c>
      <c r="EI209" s="2" t="s">
        <v>3</v>
      </c>
      <c r="EJ209" s="2">
        <v>2</v>
      </c>
      <c r="EK209" s="2">
        <v>73</v>
      </c>
      <c r="EL209" s="2" t="s">
        <v>62</v>
      </c>
      <c r="EM209" s="2" t="s">
        <v>63</v>
      </c>
      <c r="EN209" s="2"/>
      <c r="EO209" s="2" t="s">
        <v>37</v>
      </c>
      <c r="EP209" s="2"/>
      <c r="EQ209" s="2">
        <v>0</v>
      </c>
      <c r="ER209" s="2">
        <v>80.540000000000006</v>
      </c>
      <c r="ES209" s="2">
        <v>4.33</v>
      </c>
      <c r="ET209" s="2">
        <v>8.06</v>
      </c>
      <c r="EU209" s="2">
        <v>0.25</v>
      </c>
      <c r="EV209" s="2">
        <v>68.150000000000006</v>
      </c>
      <c r="EW209" s="2">
        <v>5.4</v>
      </c>
      <c r="EX209" s="2">
        <v>0</v>
      </c>
      <c r="EY209" s="2">
        <v>0</v>
      </c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>
        <v>0</v>
      </c>
      <c r="FR209" s="2">
        <v>0</v>
      </c>
      <c r="FS209" s="2">
        <v>2</v>
      </c>
      <c r="FT209" s="2"/>
      <c r="FU209" s="2"/>
      <c r="FV209" s="2"/>
      <c r="FW209" s="2"/>
      <c r="FX209" s="2">
        <v>90</v>
      </c>
      <c r="FY209" s="2">
        <v>46</v>
      </c>
      <c r="FZ209" s="2"/>
      <c r="GA209" s="2" t="s">
        <v>3</v>
      </c>
      <c r="GB209" s="2"/>
      <c r="GC209" s="2"/>
      <c r="GD209" s="2">
        <v>1</v>
      </c>
      <c r="GE209" s="2"/>
      <c r="GF209" s="2">
        <v>-914769333</v>
      </c>
      <c r="GG209" s="2">
        <v>2</v>
      </c>
      <c r="GH209" s="2">
        <v>1</v>
      </c>
      <c r="GI209" s="2">
        <v>2</v>
      </c>
      <c r="GJ209" s="2">
        <v>0</v>
      </c>
      <c r="GK209" s="2">
        <v>0</v>
      </c>
      <c r="GL209" s="2">
        <f t="shared" si="240"/>
        <v>0</v>
      </c>
      <c r="GM209" s="2">
        <f t="shared" si="241"/>
        <v>5307.31</v>
      </c>
      <c r="GN209" s="2">
        <f t="shared" si="242"/>
        <v>0</v>
      </c>
      <c r="GO209" s="2">
        <f t="shared" si="243"/>
        <v>5307.31</v>
      </c>
      <c r="GP209" s="2">
        <f t="shared" si="244"/>
        <v>0</v>
      </c>
      <c r="GQ209" s="2"/>
      <c r="GR209" s="2">
        <v>0</v>
      </c>
      <c r="GS209" s="2">
        <v>3</v>
      </c>
      <c r="GT209" s="2">
        <v>0</v>
      </c>
      <c r="GU209" s="2" t="s">
        <v>3</v>
      </c>
      <c r="GV209" s="2">
        <f t="shared" si="245"/>
        <v>0</v>
      </c>
      <c r="GW209" s="2">
        <v>1</v>
      </c>
      <c r="GX209" s="2">
        <f t="shared" si="246"/>
        <v>0</v>
      </c>
      <c r="GY209" s="2"/>
      <c r="GZ209" s="2"/>
      <c r="HA209" s="2">
        <v>0</v>
      </c>
      <c r="HB209" s="2">
        <v>0</v>
      </c>
      <c r="HC209" s="2">
        <f t="shared" si="247"/>
        <v>0</v>
      </c>
      <c r="HD209" s="2"/>
      <c r="HE209" s="2" t="s">
        <v>3</v>
      </c>
      <c r="HF209" s="2" t="s">
        <v>3</v>
      </c>
      <c r="HG209" s="2"/>
      <c r="HH209" s="2"/>
      <c r="HI209" s="2"/>
      <c r="HJ209" s="2"/>
      <c r="HK209" s="2"/>
      <c r="HL209" s="2"/>
      <c r="HM209" s="2" t="s">
        <v>3</v>
      </c>
      <c r="HN209" s="2" t="s">
        <v>3</v>
      </c>
      <c r="HO209" s="2" t="s">
        <v>3</v>
      </c>
      <c r="HP209" s="2" t="s">
        <v>3</v>
      </c>
      <c r="HQ209" s="2" t="s">
        <v>3</v>
      </c>
      <c r="HR209" s="2"/>
      <c r="HS209" s="2">
        <v>0</v>
      </c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>
        <v>0</v>
      </c>
      <c r="IL209" s="2"/>
      <c r="IM209" s="2"/>
      <c r="IN209" s="2"/>
      <c r="IO209" s="2"/>
      <c r="IP209" s="2"/>
      <c r="IQ209" s="2"/>
      <c r="IR209" s="2"/>
      <c r="IS209" s="2"/>
      <c r="IT209" s="2"/>
      <c r="IU209" s="2"/>
    </row>
    <row r="210" spans="1:255" x14ac:dyDescent="0.2">
      <c r="A210" s="3">
        <v>17</v>
      </c>
      <c r="B210" s="3">
        <v>1</v>
      </c>
      <c r="C210" s="3">
        <f>ROW(SmtRes!A514)</f>
        <v>514</v>
      </c>
      <c r="D210" s="3">
        <f>ROW(EtalonRes!A530)</f>
        <v>530</v>
      </c>
      <c r="E210" s="3" t="s">
        <v>402</v>
      </c>
      <c r="F210" s="3" t="s">
        <v>128</v>
      </c>
      <c r="G210" s="3" t="s">
        <v>129</v>
      </c>
      <c r="H210" s="3" t="s">
        <v>23</v>
      </c>
      <c r="I210" s="3">
        <f>ROUND(20+4,9)</f>
        <v>24</v>
      </c>
      <c r="J210" s="3">
        <v>0</v>
      </c>
      <c r="K210" s="3">
        <f>ROUND(20+4,9)</f>
        <v>24</v>
      </c>
      <c r="O210" s="3">
        <f t="shared" si="223"/>
        <v>122660.16</v>
      </c>
      <c r="P210" s="3">
        <f t="shared" si="224"/>
        <v>1131.33</v>
      </c>
      <c r="Q210" s="3">
        <f>(ROUND((ROUND((((ET210*1.2))*AV210*I210),2)*BB210),2)+ROUND((ROUND(((AE210-((EU210*1.2)))*AV210*I210),2)*BS210),2))</f>
        <v>3519.53</v>
      </c>
      <c r="R210" s="3">
        <f>(ROUND((ROUND((((EU210*1.2))*AV210*I210),2)*BS210),2)+ROUND((ROUND(((AE210-((EU210*1.2)))*AV210*I210),2)*BS210),2))</f>
        <v>432.77</v>
      </c>
      <c r="S210" s="3">
        <f t="shared" si="225"/>
        <v>118009.3</v>
      </c>
      <c r="T210" s="3">
        <f t="shared" si="226"/>
        <v>0</v>
      </c>
      <c r="U210" s="3">
        <f t="shared" si="227"/>
        <v>165.93984</v>
      </c>
      <c r="V210" s="3">
        <f t="shared" si="228"/>
        <v>0</v>
      </c>
      <c r="W210" s="3">
        <f t="shared" si="229"/>
        <v>0</v>
      </c>
      <c r="X210" s="3">
        <f>(ROUND((((S210+ROUND((ROUND((((EU210*1.2))*AV210*I210),2)*BS210),2))*AT210)/100),2)+ROUND(((ROUND((ROUND(((AE210-((EU210*1.2)))*AV210*I210),2)*BS210),2)*AT210)/100),2))</f>
        <v>106597.86</v>
      </c>
      <c r="Y210" s="3">
        <f>(ROUND((((S210+ROUND((ROUND((((EU210*1.2))*AV210*I210),2)*BS210),2))*AU210)/100),2)+ROUND(((ROUND((ROUND(((AE210-((EU210*1.2)))*AV210*I210),2)*BS210),2)*AU210)/100),2))</f>
        <v>54483.35</v>
      </c>
      <c r="AA210" s="3">
        <v>85739207</v>
      </c>
      <c r="AB210" s="3">
        <f t="shared" si="230"/>
        <v>95.781999999999996</v>
      </c>
      <c r="AC210" s="3">
        <f>ROUND(((ES210*1)),6)</f>
        <v>4.33</v>
      </c>
      <c r="AD210" s="3">
        <f>ROUND(((((ET210*1.2))-((EU210*1.2)))+AE210),6)</f>
        <v>9.6720000000000006</v>
      </c>
      <c r="AE210" s="3">
        <f>ROUND(((EU210*1.2)),6)</f>
        <v>0.3</v>
      </c>
      <c r="AF210" s="3">
        <f>ROUND(((EV210*1.2)),6)</f>
        <v>81.78</v>
      </c>
      <c r="AG210" s="3">
        <f t="shared" si="231"/>
        <v>0</v>
      </c>
      <c r="AH210" s="3">
        <f>((EW210*1.2))</f>
        <v>6.48</v>
      </c>
      <c r="AI210" s="3">
        <f>((EX210*1.2))</f>
        <v>0</v>
      </c>
      <c r="AJ210" s="3">
        <f t="shared" si="232"/>
        <v>0</v>
      </c>
      <c r="AK210" s="3">
        <v>80.540000000000006</v>
      </c>
      <c r="AL210" s="3">
        <v>4.33</v>
      </c>
      <c r="AM210" s="3">
        <v>8.06</v>
      </c>
      <c r="AN210" s="3">
        <v>0.25</v>
      </c>
      <c r="AO210" s="3">
        <v>68.150000000000006</v>
      </c>
      <c r="AP210" s="3">
        <v>0</v>
      </c>
      <c r="AQ210" s="3">
        <v>5.4</v>
      </c>
      <c r="AR210" s="3">
        <v>0</v>
      </c>
      <c r="AS210" s="3">
        <v>0</v>
      </c>
      <c r="AT210" s="3">
        <v>90</v>
      </c>
      <c r="AU210" s="3">
        <v>46</v>
      </c>
      <c r="AV210" s="3">
        <v>1.0669999999999999</v>
      </c>
      <c r="AW210" s="3">
        <v>1.028</v>
      </c>
      <c r="AZ210" s="3">
        <v>1</v>
      </c>
      <c r="BA210" s="3">
        <v>56.35</v>
      </c>
      <c r="BB210" s="3">
        <v>14.21</v>
      </c>
      <c r="BC210" s="3">
        <v>10.59</v>
      </c>
      <c r="BD210" s="3" t="s">
        <v>3</v>
      </c>
      <c r="BE210" s="3" t="s">
        <v>3</v>
      </c>
      <c r="BF210" s="3" t="s">
        <v>3</v>
      </c>
      <c r="BG210" s="3" t="s">
        <v>3</v>
      </c>
      <c r="BH210" s="3">
        <v>0</v>
      </c>
      <c r="BI210" s="3">
        <v>2</v>
      </c>
      <c r="BJ210" s="3" t="s">
        <v>130</v>
      </c>
      <c r="BM210" s="3">
        <v>73</v>
      </c>
      <c r="BN210" s="3">
        <v>0</v>
      </c>
      <c r="BO210" s="3" t="s">
        <v>128</v>
      </c>
      <c r="BP210" s="3">
        <v>1</v>
      </c>
      <c r="BQ210" s="3">
        <v>40</v>
      </c>
      <c r="BR210" s="3">
        <v>0</v>
      </c>
      <c r="BS210" s="3">
        <v>56.35</v>
      </c>
      <c r="BT210" s="3">
        <v>1</v>
      </c>
      <c r="BU210" s="3">
        <v>1</v>
      </c>
      <c r="BV210" s="3">
        <v>1</v>
      </c>
      <c r="BW210" s="3">
        <v>1</v>
      </c>
      <c r="BX210" s="3">
        <v>1</v>
      </c>
      <c r="BY210" s="3" t="s">
        <v>3</v>
      </c>
      <c r="BZ210" s="3">
        <v>90</v>
      </c>
      <c r="CA210" s="3">
        <v>46</v>
      </c>
      <c r="CB210" s="3" t="s">
        <v>3</v>
      </c>
      <c r="CE210" s="3">
        <v>1566</v>
      </c>
      <c r="CF210" s="3">
        <v>0</v>
      </c>
      <c r="CG210" s="3">
        <v>0</v>
      </c>
      <c r="CM210" s="3">
        <v>0</v>
      </c>
      <c r="CN210" s="3" t="s">
        <v>677</v>
      </c>
      <c r="CO210" s="3">
        <v>0</v>
      </c>
      <c r="CP210" s="3">
        <f t="shared" si="233"/>
        <v>122660.16</v>
      </c>
      <c r="CQ210" s="3">
        <f t="shared" si="234"/>
        <v>47.13</v>
      </c>
      <c r="CR210" s="3">
        <f>(ROUND((ROUND((((ET210*1.2))*AV210*1),2)*BB210),2)+ROUND((ROUND(((AE210-((EU210*1.2)))*AV210*1),2)*BS210),2))</f>
        <v>146.65</v>
      </c>
      <c r="CS210" s="3">
        <f>(ROUND((ROUND((((EU210*1.2))*AV210*1),2)*BS210),2)+ROUND((ROUND(((AE210-((EU210*1.2)))*AV210*1),2)*BS210),2))</f>
        <v>18.03</v>
      </c>
      <c r="CT210" s="3">
        <f t="shared" si="235"/>
        <v>4917.1000000000004</v>
      </c>
      <c r="CU210" s="3">
        <f t="shared" si="236"/>
        <v>0</v>
      </c>
      <c r="CV210" s="3">
        <f t="shared" si="237"/>
        <v>6.9141599999999999</v>
      </c>
      <c r="CW210" s="3">
        <f t="shared" si="238"/>
        <v>0</v>
      </c>
      <c r="CX210" s="3">
        <f t="shared" si="239"/>
        <v>0</v>
      </c>
      <c r="CY210" s="3">
        <f>(ROUND((((S210+ROUND((ROUND((((EU210*1.2))*AV210*1),2)*BS210),2))*AT210)/100),2)+ROUND(((ROUND((ROUND(((AE210-((EU210*1.2)))*AV210*1),2)*BS210),2)*AT210)/100),2))</f>
        <v>106224.6</v>
      </c>
      <c r="CZ210" s="3">
        <f>(ROUND((((S210+ROUND((ROUND((((EU210*1.2))*AV210*1),2)*BS210),2))*AU210)/100),2)+ROUND(((ROUND((ROUND(((AE210-((EU210*1.2)))*AV210*1),2)*BS210),2)*AU210)/100),2))</f>
        <v>54292.57</v>
      </c>
      <c r="DB210" s="3">
        <v>80</v>
      </c>
      <c r="DC210" s="3" t="s">
        <v>3</v>
      </c>
      <c r="DD210" s="3" t="s">
        <v>35</v>
      </c>
      <c r="DE210" s="3" t="s">
        <v>36</v>
      </c>
      <c r="DF210" s="3" t="s">
        <v>36</v>
      </c>
      <c r="DG210" s="3" t="s">
        <v>36</v>
      </c>
      <c r="DH210" s="3" t="s">
        <v>3</v>
      </c>
      <c r="DI210" s="3" t="s">
        <v>36</v>
      </c>
      <c r="DJ210" s="3" t="s">
        <v>36</v>
      </c>
      <c r="DK210" s="3" t="s">
        <v>3</v>
      </c>
      <c r="DL210" s="3" t="s">
        <v>3</v>
      </c>
      <c r="DM210" s="3" t="s">
        <v>3</v>
      </c>
      <c r="DN210" s="3">
        <v>0</v>
      </c>
      <c r="DO210" s="3">
        <v>0</v>
      </c>
      <c r="DP210" s="3">
        <v>1</v>
      </c>
      <c r="DQ210" s="3">
        <v>1</v>
      </c>
      <c r="DU210" s="3">
        <v>1013</v>
      </c>
      <c r="DV210" s="3" t="s">
        <v>23</v>
      </c>
      <c r="DW210" s="3" t="s">
        <v>23</v>
      </c>
      <c r="DX210" s="3">
        <v>1</v>
      </c>
      <c r="DZ210" s="3" t="s">
        <v>3</v>
      </c>
      <c r="EA210" s="3" t="s">
        <v>3</v>
      </c>
      <c r="EB210" s="3" t="s">
        <v>3</v>
      </c>
      <c r="EC210" s="3" t="s">
        <v>3</v>
      </c>
      <c r="EE210" s="3">
        <v>85133422</v>
      </c>
      <c r="EF210" s="3">
        <v>40</v>
      </c>
      <c r="EG210" s="3" t="s">
        <v>27</v>
      </c>
      <c r="EH210" s="3">
        <v>0</v>
      </c>
      <c r="EI210" s="3" t="s">
        <v>3</v>
      </c>
      <c r="EJ210" s="3">
        <v>2</v>
      </c>
      <c r="EK210" s="3">
        <v>73</v>
      </c>
      <c r="EL210" s="3" t="s">
        <v>62</v>
      </c>
      <c r="EM210" s="3" t="s">
        <v>63</v>
      </c>
      <c r="EO210" s="3" t="s">
        <v>37</v>
      </c>
      <c r="EQ210" s="3">
        <v>0</v>
      </c>
      <c r="ER210" s="3">
        <v>80.540000000000006</v>
      </c>
      <c r="ES210" s="3">
        <v>4.33</v>
      </c>
      <c r="ET210" s="3">
        <v>8.06</v>
      </c>
      <c r="EU210" s="3">
        <v>0.25</v>
      </c>
      <c r="EV210" s="3">
        <v>68.150000000000006</v>
      </c>
      <c r="EW210" s="3">
        <v>5.4</v>
      </c>
      <c r="EX210" s="3">
        <v>0</v>
      </c>
      <c r="EY210" s="3">
        <v>0</v>
      </c>
      <c r="FQ210" s="3">
        <v>0</v>
      </c>
      <c r="FR210" s="3">
        <v>0</v>
      </c>
      <c r="FS210" s="3">
        <v>2</v>
      </c>
      <c r="FX210" s="3">
        <v>90</v>
      </c>
      <c r="FY210" s="3">
        <v>46</v>
      </c>
      <c r="GA210" s="3" t="s">
        <v>3</v>
      </c>
      <c r="GD210" s="3">
        <v>1</v>
      </c>
      <c r="GF210" s="3">
        <v>-914769333</v>
      </c>
      <c r="GG210" s="3">
        <v>2</v>
      </c>
      <c r="GH210" s="3">
        <v>1</v>
      </c>
      <c r="GI210" s="3">
        <v>2</v>
      </c>
      <c r="GJ210" s="3">
        <v>0</v>
      </c>
      <c r="GK210" s="3">
        <v>0</v>
      </c>
      <c r="GL210" s="3">
        <f t="shared" si="240"/>
        <v>0</v>
      </c>
      <c r="GM210" s="3">
        <f t="shared" si="241"/>
        <v>283741.37</v>
      </c>
      <c r="GN210" s="3">
        <f t="shared" si="242"/>
        <v>0</v>
      </c>
      <c r="GO210" s="3">
        <f t="shared" si="243"/>
        <v>283741.37</v>
      </c>
      <c r="GP210" s="3">
        <f t="shared" si="244"/>
        <v>0</v>
      </c>
      <c r="GR210" s="3">
        <v>0</v>
      </c>
      <c r="GS210" s="3">
        <v>3</v>
      </c>
      <c r="GT210" s="3">
        <v>0</v>
      </c>
      <c r="GU210" s="3" t="s">
        <v>3</v>
      </c>
      <c r="GV210" s="3">
        <f t="shared" si="245"/>
        <v>0</v>
      </c>
      <c r="GW210" s="3">
        <v>1</v>
      </c>
      <c r="GX210" s="3">
        <f t="shared" si="246"/>
        <v>0</v>
      </c>
      <c r="HA210" s="3">
        <v>0</v>
      </c>
      <c r="HB210" s="3">
        <v>0</v>
      </c>
      <c r="HC210" s="3">
        <f t="shared" si="247"/>
        <v>0</v>
      </c>
      <c r="HE210" s="3" t="s">
        <v>3</v>
      </c>
      <c r="HF210" s="3" t="s">
        <v>3</v>
      </c>
      <c r="HM210" s="3" t="s">
        <v>3</v>
      </c>
      <c r="HN210" s="3" t="s">
        <v>3</v>
      </c>
      <c r="HO210" s="3" t="s">
        <v>3</v>
      </c>
      <c r="HP210" s="3" t="s">
        <v>3</v>
      </c>
      <c r="HQ210" s="3" t="s">
        <v>3</v>
      </c>
      <c r="HS210" s="3">
        <v>0</v>
      </c>
      <c r="IK210" s="3">
        <v>0</v>
      </c>
    </row>
    <row r="211" spans="1:255" x14ac:dyDescent="0.2">
      <c r="A211" s="2">
        <v>18</v>
      </c>
      <c r="B211" s="2">
        <v>1</v>
      </c>
      <c r="C211" s="2">
        <v>506</v>
      </c>
      <c r="D211" s="2"/>
      <c r="E211" s="2" t="s">
        <v>403</v>
      </c>
      <c r="F211" s="2" t="s">
        <v>136</v>
      </c>
      <c r="G211" s="2" t="s">
        <v>137</v>
      </c>
      <c r="H211" s="2" t="s">
        <v>99</v>
      </c>
      <c r="I211" s="2">
        <f>I209*J211</f>
        <v>20</v>
      </c>
      <c r="J211" s="2">
        <v>0.83333333333333337</v>
      </c>
      <c r="K211" s="2">
        <v>0.83333332999999998</v>
      </c>
      <c r="L211" s="2"/>
      <c r="M211" s="2"/>
      <c r="N211" s="2"/>
      <c r="O211" s="2">
        <f t="shared" si="223"/>
        <v>2601.4</v>
      </c>
      <c r="P211" s="2">
        <f t="shared" si="224"/>
        <v>2601.4</v>
      </c>
      <c r="Q211" s="2">
        <f t="shared" ref="Q211:Q222" si="248">(ROUND((ROUND(((ET211)*AV211*I211),2)*BB211),2)+ROUND((ROUND(((AE211-(EU211))*AV211*I211),2)*BS211),2))</f>
        <v>0</v>
      </c>
      <c r="R211" s="2">
        <f t="shared" ref="R211:R222" si="249">(ROUND((ROUND(((EU211)*AV211*I211),2)*BS211),2)+ROUND((ROUND(((AE211-(EU211))*AV211*I211),2)*BS211),2))</f>
        <v>0</v>
      </c>
      <c r="S211" s="2">
        <f t="shared" si="225"/>
        <v>0</v>
      </c>
      <c r="T211" s="2">
        <f t="shared" si="226"/>
        <v>0</v>
      </c>
      <c r="U211" s="2">
        <f t="shared" si="227"/>
        <v>0</v>
      </c>
      <c r="V211" s="2">
        <f t="shared" si="228"/>
        <v>0</v>
      </c>
      <c r="W211" s="2">
        <f t="shared" si="229"/>
        <v>0</v>
      </c>
      <c r="X211" s="2">
        <f t="shared" ref="X211:X222" si="250">(ROUND((((S211+ROUND((ROUND(((EU211)*AV211*I211),2)*BS211),2))*AT211)/100),2)+ROUND(((ROUND((ROUND(((AE211-(EU211))*AV211*I211),2)*BS211),2)*AT211)/100),2))</f>
        <v>0</v>
      </c>
      <c r="Y211" s="2">
        <f t="shared" ref="Y211:Y222" si="251">(ROUND((((S211+ROUND((ROUND(((EU211)*AV211*I211),2)*BS211),2))*AU211)/100),2)+ROUND(((ROUND((ROUND(((AE211-(EU211))*AV211*I211),2)*BS211),2)*AU211)/100),2))</f>
        <v>0</v>
      </c>
      <c r="Z211" s="2"/>
      <c r="AA211" s="2">
        <v>85739205</v>
      </c>
      <c r="AB211" s="2">
        <f t="shared" si="230"/>
        <v>130.07</v>
      </c>
      <c r="AC211" s="2">
        <f t="shared" ref="AC211:AC222" si="252">ROUND((ES211),6)</f>
        <v>130.07</v>
      </c>
      <c r="AD211" s="2">
        <f t="shared" ref="AD211:AD222" si="253">ROUND((((ET211)-(EU211))+AE211),6)</f>
        <v>0</v>
      </c>
      <c r="AE211" s="2">
        <f t="shared" ref="AE211:AE222" si="254">ROUND((EU211),6)</f>
        <v>0</v>
      </c>
      <c r="AF211" s="2">
        <f t="shared" ref="AF211:AF222" si="255">ROUND((EV211),6)</f>
        <v>0</v>
      </c>
      <c r="AG211" s="2">
        <f t="shared" si="231"/>
        <v>0</v>
      </c>
      <c r="AH211" s="2">
        <f t="shared" ref="AH211:AH222" si="256">(EW211)</f>
        <v>0</v>
      </c>
      <c r="AI211" s="2">
        <f t="shared" ref="AI211:AI222" si="257">(EX211)</f>
        <v>0</v>
      </c>
      <c r="AJ211" s="2">
        <f t="shared" si="232"/>
        <v>0</v>
      </c>
      <c r="AK211" s="2">
        <v>130.07</v>
      </c>
      <c r="AL211" s="2">
        <v>130.07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90</v>
      </c>
      <c r="AU211" s="2">
        <v>46</v>
      </c>
      <c r="AV211" s="2">
        <v>1</v>
      </c>
      <c r="AW211" s="2">
        <v>1</v>
      </c>
      <c r="AX211" s="2"/>
      <c r="AY211" s="2"/>
      <c r="AZ211" s="2">
        <v>1</v>
      </c>
      <c r="BA211" s="2">
        <v>1</v>
      </c>
      <c r="BB211" s="2">
        <v>1</v>
      </c>
      <c r="BC211" s="2">
        <v>1</v>
      </c>
      <c r="BD211" s="2" t="s">
        <v>3</v>
      </c>
      <c r="BE211" s="2" t="s">
        <v>3</v>
      </c>
      <c r="BF211" s="2" t="s">
        <v>3</v>
      </c>
      <c r="BG211" s="2" t="s">
        <v>3</v>
      </c>
      <c r="BH211" s="2">
        <v>3</v>
      </c>
      <c r="BI211" s="2">
        <v>2</v>
      </c>
      <c r="BJ211" s="2" t="s">
        <v>138</v>
      </c>
      <c r="BK211" s="2"/>
      <c r="BL211" s="2"/>
      <c r="BM211" s="2">
        <v>73</v>
      </c>
      <c r="BN211" s="2">
        <v>0</v>
      </c>
      <c r="BO211" s="2" t="s">
        <v>3</v>
      </c>
      <c r="BP211" s="2">
        <v>0</v>
      </c>
      <c r="BQ211" s="2">
        <v>40</v>
      </c>
      <c r="BR211" s="2">
        <v>0</v>
      </c>
      <c r="BS211" s="2">
        <v>1</v>
      </c>
      <c r="BT211" s="2">
        <v>1</v>
      </c>
      <c r="BU211" s="2">
        <v>1</v>
      </c>
      <c r="BV211" s="2">
        <v>1</v>
      </c>
      <c r="BW211" s="2">
        <v>1</v>
      </c>
      <c r="BX211" s="2">
        <v>1</v>
      </c>
      <c r="BY211" s="2" t="s">
        <v>3</v>
      </c>
      <c r="BZ211" s="2">
        <v>90</v>
      </c>
      <c r="CA211" s="2">
        <v>46</v>
      </c>
      <c r="CB211" s="2" t="s">
        <v>3</v>
      </c>
      <c r="CC211" s="2"/>
      <c r="CD211" s="2"/>
      <c r="CE211" s="2">
        <v>1566</v>
      </c>
      <c r="CF211" s="2">
        <v>0</v>
      </c>
      <c r="CG211" s="2">
        <v>0</v>
      </c>
      <c r="CH211" s="2"/>
      <c r="CI211" s="2"/>
      <c r="CJ211" s="2"/>
      <c r="CK211" s="2"/>
      <c r="CL211" s="2"/>
      <c r="CM211" s="2">
        <v>0</v>
      </c>
      <c r="CN211" s="2" t="s">
        <v>679</v>
      </c>
      <c r="CO211" s="2">
        <v>0</v>
      </c>
      <c r="CP211" s="2">
        <f t="shared" si="233"/>
        <v>2601.4</v>
      </c>
      <c r="CQ211" s="2">
        <f t="shared" si="234"/>
        <v>130.07</v>
      </c>
      <c r="CR211" s="2">
        <f t="shared" ref="CR211:CR222" si="258">(ROUND((ROUND(((ET211)*AV211*1),2)*BB211),2)+ROUND((ROUND(((AE211-(EU211))*AV211*1),2)*BS211),2))</f>
        <v>0</v>
      </c>
      <c r="CS211" s="2">
        <f t="shared" ref="CS211:CS222" si="259">(ROUND((ROUND(((EU211)*AV211*1),2)*BS211),2)+ROUND((ROUND(((AE211-(EU211))*AV211*1),2)*BS211),2))</f>
        <v>0</v>
      </c>
      <c r="CT211" s="2">
        <f t="shared" si="235"/>
        <v>0</v>
      </c>
      <c r="CU211" s="2">
        <f t="shared" si="236"/>
        <v>0</v>
      </c>
      <c r="CV211" s="2">
        <f t="shared" si="237"/>
        <v>0</v>
      </c>
      <c r="CW211" s="2">
        <f t="shared" si="238"/>
        <v>0</v>
      </c>
      <c r="CX211" s="2">
        <f t="shared" si="239"/>
        <v>0</v>
      </c>
      <c r="CY211" s="2">
        <f t="shared" ref="CY211:CY222" si="260">(ROUND((((S211+ROUND((ROUND(((EU211)*AV211*1),2)*BS211),2))*AT211)/100),2)+ROUND(((ROUND((ROUND(((AE211-(EU211))*AV211*1),2)*BS211),2)*AT211)/100),2))</f>
        <v>0</v>
      </c>
      <c r="CZ211" s="2">
        <f t="shared" ref="CZ211:CZ222" si="261">(ROUND((((S211+ROUND((ROUND(((EU211)*AV211*1),2)*BS211),2))*AU211)/100),2)+ROUND(((ROUND((ROUND(((AE211-(EU211))*AV211*1),2)*BS211),2)*AU211)/100),2))</f>
        <v>0</v>
      </c>
      <c r="DA211" s="2"/>
      <c r="DB211" s="2"/>
      <c r="DC211" s="2" t="s">
        <v>3</v>
      </c>
      <c r="DD211" s="2" t="s">
        <v>3</v>
      </c>
      <c r="DE211" s="2" t="s">
        <v>3</v>
      </c>
      <c r="DF211" s="2" t="s">
        <v>3</v>
      </c>
      <c r="DG211" s="2" t="s">
        <v>3</v>
      </c>
      <c r="DH211" s="2" t="s">
        <v>3</v>
      </c>
      <c r="DI211" s="2" t="s">
        <v>3</v>
      </c>
      <c r="DJ211" s="2" t="s">
        <v>3</v>
      </c>
      <c r="DK211" s="2" t="s">
        <v>3</v>
      </c>
      <c r="DL211" s="2" t="s">
        <v>3</v>
      </c>
      <c r="DM211" s="2" t="s">
        <v>3</v>
      </c>
      <c r="DN211" s="2">
        <v>0</v>
      </c>
      <c r="DO211" s="2">
        <v>0</v>
      </c>
      <c r="DP211" s="2">
        <v>1</v>
      </c>
      <c r="DQ211" s="2">
        <v>1</v>
      </c>
      <c r="DR211" s="2"/>
      <c r="DS211" s="2"/>
      <c r="DT211" s="2"/>
      <c r="DU211" s="2">
        <v>1010</v>
      </c>
      <c r="DV211" s="2" t="s">
        <v>99</v>
      </c>
      <c r="DW211" s="2" t="s">
        <v>99</v>
      </c>
      <c r="DX211" s="2">
        <v>1</v>
      </c>
      <c r="DY211" s="2"/>
      <c r="DZ211" s="2" t="s">
        <v>3</v>
      </c>
      <c r="EA211" s="2" t="s">
        <v>3</v>
      </c>
      <c r="EB211" s="2" t="s">
        <v>3</v>
      </c>
      <c r="EC211" s="2" t="s">
        <v>3</v>
      </c>
      <c r="ED211" s="2"/>
      <c r="EE211" s="2">
        <v>85133422</v>
      </c>
      <c r="EF211" s="2">
        <v>40</v>
      </c>
      <c r="EG211" s="2" t="s">
        <v>27</v>
      </c>
      <c r="EH211" s="2">
        <v>0</v>
      </c>
      <c r="EI211" s="2" t="s">
        <v>3</v>
      </c>
      <c r="EJ211" s="2">
        <v>2</v>
      </c>
      <c r="EK211" s="2">
        <v>73</v>
      </c>
      <c r="EL211" s="2" t="s">
        <v>62</v>
      </c>
      <c r="EM211" s="2" t="s">
        <v>63</v>
      </c>
      <c r="EN211" s="2"/>
      <c r="EO211" s="2" t="s">
        <v>37</v>
      </c>
      <c r="EP211" s="2"/>
      <c r="EQ211" s="2">
        <v>0</v>
      </c>
      <c r="ER211" s="2">
        <v>130.07</v>
      </c>
      <c r="ES211" s="2">
        <v>130.07</v>
      </c>
      <c r="ET211" s="2">
        <v>0</v>
      </c>
      <c r="EU211" s="2">
        <v>0</v>
      </c>
      <c r="EV211" s="2">
        <v>0</v>
      </c>
      <c r="EW211" s="2">
        <v>0</v>
      </c>
      <c r="EX211" s="2">
        <v>0</v>
      </c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>
        <v>0</v>
      </c>
      <c r="FR211" s="2">
        <v>0</v>
      </c>
      <c r="FS211" s="2">
        <v>0</v>
      </c>
      <c r="FT211" s="2"/>
      <c r="FU211" s="2"/>
      <c r="FV211" s="2"/>
      <c r="FW211" s="2"/>
      <c r="FX211" s="2">
        <v>90</v>
      </c>
      <c r="FY211" s="2">
        <v>46</v>
      </c>
      <c r="FZ211" s="2"/>
      <c r="GA211" s="2" t="s">
        <v>3</v>
      </c>
      <c r="GB211" s="2"/>
      <c r="GC211" s="2"/>
      <c r="GD211" s="2">
        <v>1</v>
      </c>
      <c r="GE211" s="2"/>
      <c r="GF211" s="2">
        <v>-1214401210</v>
      </c>
      <c r="GG211" s="2">
        <v>2</v>
      </c>
      <c r="GH211" s="2">
        <v>1</v>
      </c>
      <c r="GI211" s="2">
        <v>-2</v>
      </c>
      <c r="GJ211" s="2">
        <v>0</v>
      </c>
      <c r="GK211" s="2">
        <v>0</v>
      </c>
      <c r="GL211" s="2">
        <f t="shared" si="240"/>
        <v>0</v>
      </c>
      <c r="GM211" s="2">
        <f t="shared" si="241"/>
        <v>2601.4</v>
      </c>
      <c r="GN211" s="2">
        <f t="shared" si="242"/>
        <v>0</v>
      </c>
      <c r="GO211" s="2">
        <f t="shared" si="243"/>
        <v>2601.4</v>
      </c>
      <c r="GP211" s="2">
        <f t="shared" si="244"/>
        <v>0</v>
      </c>
      <c r="GQ211" s="2"/>
      <c r="GR211" s="2">
        <v>0</v>
      </c>
      <c r="GS211" s="2">
        <v>3</v>
      </c>
      <c r="GT211" s="2">
        <v>0</v>
      </c>
      <c r="GU211" s="2" t="s">
        <v>3</v>
      </c>
      <c r="GV211" s="2">
        <f t="shared" si="245"/>
        <v>0</v>
      </c>
      <c r="GW211" s="2">
        <v>1</v>
      </c>
      <c r="GX211" s="2">
        <f t="shared" si="246"/>
        <v>0</v>
      </c>
      <c r="GY211" s="2"/>
      <c r="GZ211" s="2"/>
      <c r="HA211" s="2">
        <v>0</v>
      </c>
      <c r="HB211" s="2">
        <v>0</v>
      </c>
      <c r="HC211" s="2">
        <f t="shared" si="247"/>
        <v>0</v>
      </c>
      <c r="HD211" s="2"/>
      <c r="HE211" s="2" t="s">
        <v>3</v>
      </c>
      <c r="HF211" s="2" t="s">
        <v>3</v>
      </c>
      <c r="HG211" s="2"/>
      <c r="HH211" s="2"/>
      <c r="HI211" s="2"/>
      <c r="HJ211" s="2"/>
      <c r="HK211" s="2"/>
      <c r="HL211" s="2"/>
      <c r="HM211" s="2" t="s">
        <v>35</v>
      </c>
      <c r="HN211" s="2" t="s">
        <v>3</v>
      </c>
      <c r="HO211" s="2" t="s">
        <v>3</v>
      </c>
      <c r="HP211" s="2" t="s">
        <v>3</v>
      </c>
      <c r="HQ211" s="2" t="s">
        <v>3</v>
      </c>
      <c r="HR211" s="2"/>
      <c r="HS211" s="2">
        <v>0</v>
      </c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>
        <v>0</v>
      </c>
      <c r="IL211" s="2"/>
      <c r="IM211" s="2"/>
      <c r="IN211" s="2"/>
      <c r="IO211" s="2"/>
      <c r="IP211" s="2"/>
      <c r="IQ211" s="2"/>
      <c r="IR211" s="2"/>
      <c r="IS211" s="2"/>
      <c r="IT211" s="2"/>
      <c r="IU211" s="2"/>
    </row>
    <row r="212" spans="1:255" x14ac:dyDescent="0.2">
      <c r="A212" s="3">
        <v>18</v>
      </c>
      <c r="B212" s="3">
        <v>1</v>
      </c>
      <c r="C212" s="3">
        <v>514</v>
      </c>
      <c r="E212" s="3" t="s">
        <v>403</v>
      </c>
      <c r="F212" s="3" t="s">
        <v>136</v>
      </c>
      <c r="G212" s="3" t="s">
        <v>137</v>
      </c>
      <c r="H212" s="3" t="s">
        <v>99</v>
      </c>
      <c r="I212" s="3">
        <f>I210*J212</f>
        <v>20</v>
      </c>
      <c r="J212" s="3">
        <v>0.83333333333333337</v>
      </c>
      <c r="K212" s="3">
        <v>0.83333332999999998</v>
      </c>
      <c r="O212" s="3">
        <f t="shared" si="223"/>
        <v>12538.75</v>
      </c>
      <c r="P212" s="3">
        <f t="shared" si="224"/>
        <v>12538.75</v>
      </c>
      <c r="Q212" s="3">
        <f t="shared" si="248"/>
        <v>0</v>
      </c>
      <c r="R212" s="3">
        <f t="shared" si="249"/>
        <v>0</v>
      </c>
      <c r="S212" s="3">
        <f t="shared" si="225"/>
        <v>0</v>
      </c>
      <c r="T212" s="3">
        <f t="shared" si="226"/>
        <v>0</v>
      </c>
      <c r="U212" s="3">
        <f t="shared" si="227"/>
        <v>0</v>
      </c>
      <c r="V212" s="3">
        <f t="shared" si="228"/>
        <v>0</v>
      </c>
      <c r="W212" s="3">
        <f t="shared" si="229"/>
        <v>0</v>
      </c>
      <c r="X212" s="3">
        <f t="shared" si="250"/>
        <v>0</v>
      </c>
      <c r="Y212" s="3">
        <f t="shared" si="251"/>
        <v>0</v>
      </c>
      <c r="AA212" s="3">
        <v>85739207</v>
      </c>
      <c r="AB212" s="3">
        <f t="shared" si="230"/>
        <v>130.07</v>
      </c>
      <c r="AC212" s="3">
        <f t="shared" si="252"/>
        <v>130.07</v>
      </c>
      <c r="AD212" s="3">
        <f t="shared" si="253"/>
        <v>0</v>
      </c>
      <c r="AE212" s="3">
        <f t="shared" si="254"/>
        <v>0</v>
      </c>
      <c r="AF212" s="3">
        <f t="shared" si="255"/>
        <v>0</v>
      </c>
      <c r="AG212" s="3">
        <f t="shared" si="231"/>
        <v>0</v>
      </c>
      <c r="AH212" s="3">
        <f t="shared" si="256"/>
        <v>0</v>
      </c>
      <c r="AI212" s="3">
        <f t="shared" si="257"/>
        <v>0</v>
      </c>
      <c r="AJ212" s="3">
        <f t="shared" si="232"/>
        <v>0</v>
      </c>
      <c r="AK212" s="3">
        <v>130.07</v>
      </c>
      <c r="AL212" s="3">
        <v>130.07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90</v>
      </c>
      <c r="AU212" s="3">
        <v>46</v>
      </c>
      <c r="AV212" s="3">
        <v>1</v>
      </c>
      <c r="AW212" s="3">
        <v>1</v>
      </c>
      <c r="AZ212" s="3">
        <v>1</v>
      </c>
      <c r="BA212" s="3">
        <v>1</v>
      </c>
      <c r="BB212" s="3">
        <v>1</v>
      </c>
      <c r="BC212" s="3">
        <v>4.82</v>
      </c>
      <c r="BD212" s="3" t="s">
        <v>3</v>
      </c>
      <c r="BE212" s="3" t="s">
        <v>3</v>
      </c>
      <c r="BF212" s="3" t="s">
        <v>3</v>
      </c>
      <c r="BG212" s="3" t="s">
        <v>3</v>
      </c>
      <c r="BH212" s="3">
        <v>3</v>
      </c>
      <c r="BI212" s="3">
        <v>2</v>
      </c>
      <c r="BJ212" s="3" t="s">
        <v>138</v>
      </c>
      <c r="BM212" s="3">
        <v>73</v>
      </c>
      <c r="BN212" s="3">
        <v>0</v>
      </c>
      <c r="BO212" s="3" t="s">
        <v>136</v>
      </c>
      <c r="BP212" s="3">
        <v>1</v>
      </c>
      <c r="BQ212" s="3">
        <v>40</v>
      </c>
      <c r="BR212" s="3">
        <v>0</v>
      </c>
      <c r="BS212" s="3">
        <v>1</v>
      </c>
      <c r="BT212" s="3">
        <v>1</v>
      </c>
      <c r="BU212" s="3">
        <v>1</v>
      </c>
      <c r="BV212" s="3">
        <v>1</v>
      </c>
      <c r="BW212" s="3">
        <v>1</v>
      </c>
      <c r="BX212" s="3">
        <v>1</v>
      </c>
      <c r="BY212" s="3" t="s">
        <v>3</v>
      </c>
      <c r="BZ212" s="3">
        <v>90</v>
      </c>
      <c r="CA212" s="3">
        <v>46</v>
      </c>
      <c r="CB212" s="3" t="s">
        <v>3</v>
      </c>
      <c r="CE212" s="3">
        <v>1566</v>
      </c>
      <c r="CF212" s="3">
        <v>0</v>
      </c>
      <c r="CG212" s="3">
        <v>0</v>
      </c>
      <c r="CM212" s="3">
        <v>0</v>
      </c>
      <c r="CN212" s="3" t="s">
        <v>679</v>
      </c>
      <c r="CO212" s="3">
        <v>0</v>
      </c>
      <c r="CP212" s="3">
        <f t="shared" si="233"/>
        <v>12538.75</v>
      </c>
      <c r="CQ212" s="3">
        <f t="shared" si="234"/>
        <v>626.94000000000005</v>
      </c>
      <c r="CR212" s="3">
        <f t="shared" si="258"/>
        <v>0</v>
      </c>
      <c r="CS212" s="3">
        <f t="shared" si="259"/>
        <v>0</v>
      </c>
      <c r="CT212" s="3">
        <f t="shared" si="235"/>
        <v>0</v>
      </c>
      <c r="CU212" s="3">
        <f t="shared" si="236"/>
        <v>0</v>
      </c>
      <c r="CV212" s="3">
        <f t="shared" si="237"/>
        <v>0</v>
      </c>
      <c r="CW212" s="3">
        <f t="shared" si="238"/>
        <v>0</v>
      </c>
      <c r="CX212" s="3">
        <f t="shared" si="239"/>
        <v>0</v>
      </c>
      <c r="CY212" s="3">
        <f t="shared" si="260"/>
        <v>0</v>
      </c>
      <c r="CZ212" s="3">
        <f t="shared" si="261"/>
        <v>0</v>
      </c>
      <c r="DC212" s="3" t="s">
        <v>3</v>
      </c>
      <c r="DD212" s="3" t="s">
        <v>3</v>
      </c>
      <c r="DE212" s="3" t="s">
        <v>3</v>
      </c>
      <c r="DF212" s="3" t="s">
        <v>3</v>
      </c>
      <c r="DG212" s="3" t="s">
        <v>3</v>
      </c>
      <c r="DH212" s="3" t="s">
        <v>3</v>
      </c>
      <c r="DI212" s="3" t="s">
        <v>3</v>
      </c>
      <c r="DJ212" s="3" t="s">
        <v>3</v>
      </c>
      <c r="DK212" s="3" t="s">
        <v>3</v>
      </c>
      <c r="DL212" s="3" t="s">
        <v>3</v>
      </c>
      <c r="DM212" s="3" t="s">
        <v>3</v>
      </c>
      <c r="DN212" s="3">
        <v>0</v>
      </c>
      <c r="DO212" s="3">
        <v>0</v>
      </c>
      <c r="DP212" s="3">
        <v>1</v>
      </c>
      <c r="DQ212" s="3">
        <v>1</v>
      </c>
      <c r="DU212" s="3">
        <v>1010</v>
      </c>
      <c r="DV212" s="3" t="s">
        <v>99</v>
      </c>
      <c r="DW212" s="3" t="s">
        <v>99</v>
      </c>
      <c r="DX212" s="3">
        <v>1</v>
      </c>
      <c r="DZ212" s="3" t="s">
        <v>3</v>
      </c>
      <c r="EA212" s="3" t="s">
        <v>3</v>
      </c>
      <c r="EB212" s="3" t="s">
        <v>3</v>
      </c>
      <c r="EC212" s="3" t="s">
        <v>3</v>
      </c>
      <c r="EE212" s="3">
        <v>85133422</v>
      </c>
      <c r="EF212" s="3">
        <v>40</v>
      </c>
      <c r="EG212" s="3" t="s">
        <v>27</v>
      </c>
      <c r="EH212" s="3">
        <v>0</v>
      </c>
      <c r="EI212" s="3" t="s">
        <v>3</v>
      </c>
      <c r="EJ212" s="3">
        <v>2</v>
      </c>
      <c r="EK212" s="3">
        <v>73</v>
      </c>
      <c r="EL212" s="3" t="s">
        <v>62</v>
      </c>
      <c r="EM212" s="3" t="s">
        <v>63</v>
      </c>
      <c r="EO212" s="3" t="s">
        <v>37</v>
      </c>
      <c r="EQ212" s="3">
        <v>0</v>
      </c>
      <c r="ER212" s="3">
        <v>130.07</v>
      </c>
      <c r="ES212" s="3">
        <v>130.07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FQ212" s="3">
        <v>0</v>
      </c>
      <c r="FR212" s="3">
        <v>0</v>
      </c>
      <c r="FS212" s="3">
        <v>0</v>
      </c>
      <c r="FX212" s="3">
        <v>90</v>
      </c>
      <c r="FY212" s="3">
        <v>46</v>
      </c>
      <c r="GA212" s="3" t="s">
        <v>3</v>
      </c>
      <c r="GD212" s="3">
        <v>1</v>
      </c>
      <c r="GF212" s="3">
        <v>-1214401210</v>
      </c>
      <c r="GG212" s="3">
        <v>2</v>
      </c>
      <c r="GH212" s="3">
        <v>1</v>
      </c>
      <c r="GI212" s="3">
        <v>2</v>
      </c>
      <c r="GJ212" s="3">
        <v>0</v>
      </c>
      <c r="GK212" s="3">
        <v>0</v>
      </c>
      <c r="GL212" s="3">
        <f t="shared" si="240"/>
        <v>0</v>
      </c>
      <c r="GM212" s="3">
        <f t="shared" si="241"/>
        <v>12538.75</v>
      </c>
      <c r="GN212" s="3">
        <f t="shared" si="242"/>
        <v>0</v>
      </c>
      <c r="GO212" s="3">
        <f t="shared" si="243"/>
        <v>12538.75</v>
      </c>
      <c r="GP212" s="3">
        <f t="shared" si="244"/>
        <v>0</v>
      </c>
      <c r="GR212" s="3">
        <v>0</v>
      </c>
      <c r="GS212" s="3">
        <v>3</v>
      </c>
      <c r="GT212" s="3">
        <v>0</v>
      </c>
      <c r="GU212" s="3" t="s">
        <v>3</v>
      </c>
      <c r="GV212" s="3">
        <f t="shared" si="245"/>
        <v>0</v>
      </c>
      <c r="GW212" s="3">
        <v>1</v>
      </c>
      <c r="GX212" s="3">
        <f t="shared" si="246"/>
        <v>0</v>
      </c>
      <c r="HA212" s="3">
        <v>0</v>
      </c>
      <c r="HB212" s="3">
        <v>0</v>
      </c>
      <c r="HC212" s="3">
        <f t="shared" si="247"/>
        <v>0</v>
      </c>
      <c r="HE212" s="3" t="s">
        <v>3</v>
      </c>
      <c r="HF212" s="3" t="s">
        <v>3</v>
      </c>
      <c r="HM212" s="3" t="s">
        <v>35</v>
      </c>
      <c r="HN212" s="3" t="s">
        <v>3</v>
      </c>
      <c r="HO212" s="3" t="s">
        <v>3</v>
      </c>
      <c r="HP212" s="3" t="s">
        <v>3</v>
      </c>
      <c r="HQ212" s="3" t="s">
        <v>3</v>
      </c>
      <c r="HS212" s="3">
        <v>0</v>
      </c>
      <c r="IK212" s="3">
        <v>0</v>
      </c>
    </row>
    <row r="213" spans="1:255" x14ac:dyDescent="0.2">
      <c r="A213" s="2">
        <v>18</v>
      </c>
      <c r="B213" s="2">
        <v>1</v>
      </c>
      <c r="C213" s="2">
        <v>505</v>
      </c>
      <c r="D213" s="2"/>
      <c r="E213" s="2" t="s">
        <v>404</v>
      </c>
      <c r="F213" s="2" t="s">
        <v>405</v>
      </c>
      <c r="G213" s="2" t="s">
        <v>406</v>
      </c>
      <c r="H213" s="2" t="s">
        <v>99</v>
      </c>
      <c r="I213" s="2">
        <f>I209*J213</f>
        <v>4</v>
      </c>
      <c r="J213" s="2">
        <v>0.16666666666666666</v>
      </c>
      <c r="K213" s="2">
        <v>0.16666666999999999</v>
      </c>
      <c r="L213" s="2"/>
      <c r="M213" s="2"/>
      <c r="N213" s="2"/>
      <c r="O213" s="2">
        <f t="shared" si="223"/>
        <v>1187.96</v>
      </c>
      <c r="P213" s="2">
        <f t="shared" si="224"/>
        <v>1187.96</v>
      </c>
      <c r="Q213" s="2">
        <f t="shared" si="248"/>
        <v>0</v>
      </c>
      <c r="R213" s="2">
        <f t="shared" si="249"/>
        <v>0</v>
      </c>
      <c r="S213" s="2">
        <f t="shared" si="225"/>
        <v>0</v>
      </c>
      <c r="T213" s="2">
        <f t="shared" si="226"/>
        <v>0</v>
      </c>
      <c r="U213" s="2">
        <f t="shared" si="227"/>
        <v>0</v>
      </c>
      <c r="V213" s="2">
        <f t="shared" si="228"/>
        <v>0</v>
      </c>
      <c r="W213" s="2">
        <f t="shared" si="229"/>
        <v>0</v>
      </c>
      <c r="X213" s="2">
        <f t="shared" si="250"/>
        <v>0</v>
      </c>
      <c r="Y213" s="2">
        <f t="shared" si="251"/>
        <v>0</v>
      </c>
      <c r="Z213" s="2"/>
      <c r="AA213" s="2">
        <v>85739205</v>
      </c>
      <c r="AB213" s="2">
        <f t="shared" si="230"/>
        <v>296.99</v>
      </c>
      <c r="AC213" s="2">
        <f t="shared" si="252"/>
        <v>296.99</v>
      </c>
      <c r="AD213" s="2">
        <f t="shared" si="253"/>
        <v>0</v>
      </c>
      <c r="AE213" s="2">
        <f t="shared" si="254"/>
        <v>0</v>
      </c>
      <c r="AF213" s="2">
        <f t="shared" si="255"/>
        <v>0</v>
      </c>
      <c r="AG213" s="2">
        <f t="shared" si="231"/>
        <v>0</v>
      </c>
      <c r="AH213" s="2">
        <f t="shared" si="256"/>
        <v>0</v>
      </c>
      <c r="AI213" s="2">
        <f t="shared" si="257"/>
        <v>0</v>
      </c>
      <c r="AJ213" s="2">
        <f t="shared" si="232"/>
        <v>0</v>
      </c>
      <c r="AK213" s="2">
        <v>296.99</v>
      </c>
      <c r="AL213" s="2">
        <v>296.99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90</v>
      </c>
      <c r="AU213" s="2">
        <v>46</v>
      </c>
      <c r="AV213" s="2">
        <v>1</v>
      </c>
      <c r="AW213" s="2">
        <v>1</v>
      </c>
      <c r="AX213" s="2"/>
      <c r="AY213" s="2"/>
      <c r="AZ213" s="2">
        <v>1</v>
      </c>
      <c r="BA213" s="2">
        <v>1</v>
      </c>
      <c r="BB213" s="2">
        <v>1</v>
      </c>
      <c r="BC213" s="2">
        <v>1</v>
      </c>
      <c r="BD213" s="2" t="s">
        <v>3</v>
      </c>
      <c r="BE213" s="2" t="s">
        <v>3</v>
      </c>
      <c r="BF213" s="2" t="s">
        <v>3</v>
      </c>
      <c r="BG213" s="2" t="s">
        <v>3</v>
      </c>
      <c r="BH213" s="2">
        <v>3</v>
      </c>
      <c r="BI213" s="2">
        <v>2</v>
      </c>
      <c r="BJ213" s="2" t="s">
        <v>407</v>
      </c>
      <c r="BK213" s="2"/>
      <c r="BL213" s="2"/>
      <c r="BM213" s="2">
        <v>73</v>
      </c>
      <c r="BN213" s="2">
        <v>0</v>
      </c>
      <c r="BO213" s="2" t="s">
        <v>3</v>
      </c>
      <c r="BP213" s="2">
        <v>0</v>
      </c>
      <c r="BQ213" s="2">
        <v>40</v>
      </c>
      <c r="BR213" s="2">
        <v>0</v>
      </c>
      <c r="BS213" s="2">
        <v>1</v>
      </c>
      <c r="BT213" s="2">
        <v>1</v>
      </c>
      <c r="BU213" s="2">
        <v>1</v>
      </c>
      <c r="BV213" s="2">
        <v>1</v>
      </c>
      <c r="BW213" s="2">
        <v>1</v>
      </c>
      <c r="BX213" s="2">
        <v>1</v>
      </c>
      <c r="BY213" s="2" t="s">
        <v>3</v>
      </c>
      <c r="BZ213" s="2">
        <v>90</v>
      </c>
      <c r="CA213" s="2">
        <v>46</v>
      </c>
      <c r="CB213" s="2" t="s">
        <v>3</v>
      </c>
      <c r="CC213" s="2"/>
      <c r="CD213" s="2"/>
      <c r="CE213" s="2">
        <v>1566</v>
      </c>
      <c r="CF213" s="2">
        <v>0</v>
      </c>
      <c r="CG213" s="2">
        <v>0</v>
      </c>
      <c r="CH213" s="2"/>
      <c r="CI213" s="2"/>
      <c r="CJ213" s="2"/>
      <c r="CK213" s="2"/>
      <c r="CL213" s="2"/>
      <c r="CM213" s="2">
        <v>0</v>
      </c>
      <c r="CN213" s="2" t="s">
        <v>679</v>
      </c>
      <c r="CO213" s="2">
        <v>0</v>
      </c>
      <c r="CP213" s="2">
        <f t="shared" si="233"/>
        <v>1187.96</v>
      </c>
      <c r="CQ213" s="2">
        <f t="shared" si="234"/>
        <v>296.99</v>
      </c>
      <c r="CR213" s="2">
        <f t="shared" si="258"/>
        <v>0</v>
      </c>
      <c r="CS213" s="2">
        <f t="shared" si="259"/>
        <v>0</v>
      </c>
      <c r="CT213" s="2">
        <f t="shared" si="235"/>
        <v>0</v>
      </c>
      <c r="CU213" s="2">
        <f t="shared" si="236"/>
        <v>0</v>
      </c>
      <c r="CV213" s="2">
        <f t="shared" si="237"/>
        <v>0</v>
      </c>
      <c r="CW213" s="2">
        <f t="shared" si="238"/>
        <v>0</v>
      </c>
      <c r="CX213" s="2">
        <f t="shared" si="239"/>
        <v>0</v>
      </c>
      <c r="CY213" s="2">
        <f t="shared" si="260"/>
        <v>0</v>
      </c>
      <c r="CZ213" s="2">
        <f t="shared" si="261"/>
        <v>0</v>
      </c>
      <c r="DA213" s="2"/>
      <c r="DB213" s="2"/>
      <c r="DC213" s="2" t="s">
        <v>3</v>
      </c>
      <c r="DD213" s="2" t="s">
        <v>3</v>
      </c>
      <c r="DE213" s="2" t="s">
        <v>3</v>
      </c>
      <c r="DF213" s="2" t="s">
        <v>3</v>
      </c>
      <c r="DG213" s="2" t="s">
        <v>3</v>
      </c>
      <c r="DH213" s="2" t="s">
        <v>3</v>
      </c>
      <c r="DI213" s="2" t="s">
        <v>3</v>
      </c>
      <c r="DJ213" s="2" t="s">
        <v>3</v>
      </c>
      <c r="DK213" s="2" t="s">
        <v>3</v>
      </c>
      <c r="DL213" s="2" t="s">
        <v>3</v>
      </c>
      <c r="DM213" s="2" t="s">
        <v>3</v>
      </c>
      <c r="DN213" s="2">
        <v>0</v>
      </c>
      <c r="DO213" s="2">
        <v>0</v>
      </c>
      <c r="DP213" s="2">
        <v>1</v>
      </c>
      <c r="DQ213" s="2">
        <v>1</v>
      </c>
      <c r="DR213" s="2"/>
      <c r="DS213" s="2"/>
      <c r="DT213" s="2"/>
      <c r="DU213" s="2">
        <v>1010</v>
      </c>
      <c r="DV213" s="2" t="s">
        <v>99</v>
      </c>
      <c r="DW213" s="2" t="s">
        <v>99</v>
      </c>
      <c r="DX213" s="2">
        <v>1</v>
      </c>
      <c r="DY213" s="2"/>
      <c r="DZ213" s="2" t="s">
        <v>3</v>
      </c>
      <c r="EA213" s="2" t="s">
        <v>3</v>
      </c>
      <c r="EB213" s="2" t="s">
        <v>3</v>
      </c>
      <c r="EC213" s="2" t="s">
        <v>3</v>
      </c>
      <c r="ED213" s="2"/>
      <c r="EE213" s="2">
        <v>85133422</v>
      </c>
      <c r="EF213" s="2">
        <v>40</v>
      </c>
      <c r="EG213" s="2" t="s">
        <v>27</v>
      </c>
      <c r="EH213" s="2">
        <v>0</v>
      </c>
      <c r="EI213" s="2" t="s">
        <v>3</v>
      </c>
      <c r="EJ213" s="2">
        <v>2</v>
      </c>
      <c r="EK213" s="2">
        <v>73</v>
      </c>
      <c r="EL213" s="2" t="s">
        <v>62</v>
      </c>
      <c r="EM213" s="2" t="s">
        <v>63</v>
      </c>
      <c r="EN213" s="2"/>
      <c r="EO213" s="2" t="s">
        <v>37</v>
      </c>
      <c r="EP213" s="2"/>
      <c r="EQ213" s="2">
        <v>0</v>
      </c>
      <c r="ER213" s="2">
        <v>296.99</v>
      </c>
      <c r="ES213" s="2">
        <v>296.99</v>
      </c>
      <c r="ET213" s="2">
        <v>0</v>
      </c>
      <c r="EU213" s="2">
        <v>0</v>
      </c>
      <c r="EV213" s="2">
        <v>0</v>
      </c>
      <c r="EW213" s="2">
        <v>0</v>
      </c>
      <c r="EX213" s="2">
        <v>0</v>
      </c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>
        <v>0</v>
      </c>
      <c r="FR213" s="2">
        <v>0</v>
      </c>
      <c r="FS213" s="2">
        <v>0</v>
      </c>
      <c r="FT213" s="2"/>
      <c r="FU213" s="2"/>
      <c r="FV213" s="2"/>
      <c r="FW213" s="2"/>
      <c r="FX213" s="2">
        <v>90</v>
      </c>
      <c r="FY213" s="2">
        <v>46</v>
      </c>
      <c r="FZ213" s="2"/>
      <c r="GA213" s="2" t="s">
        <v>3</v>
      </c>
      <c r="GB213" s="2"/>
      <c r="GC213" s="2"/>
      <c r="GD213" s="2">
        <v>1</v>
      </c>
      <c r="GE213" s="2"/>
      <c r="GF213" s="2">
        <v>814129051</v>
      </c>
      <c r="GG213" s="2">
        <v>2</v>
      </c>
      <c r="GH213" s="2">
        <v>1</v>
      </c>
      <c r="GI213" s="2">
        <v>-2</v>
      </c>
      <c r="GJ213" s="2">
        <v>0</v>
      </c>
      <c r="GK213" s="2">
        <v>0</v>
      </c>
      <c r="GL213" s="2">
        <f t="shared" si="240"/>
        <v>0</v>
      </c>
      <c r="GM213" s="2">
        <f t="shared" si="241"/>
        <v>1187.96</v>
      </c>
      <c r="GN213" s="2">
        <f t="shared" si="242"/>
        <v>0</v>
      </c>
      <c r="GO213" s="2">
        <f t="shared" si="243"/>
        <v>1187.96</v>
      </c>
      <c r="GP213" s="2">
        <f t="shared" si="244"/>
        <v>0</v>
      </c>
      <c r="GQ213" s="2"/>
      <c r="GR213" s="2">
        <v>0</v>
      </c>
      <c r="GS213" s="2">
        <v>3</v>
      </c>
      <c r="GT213" s="2">
        <v>0</v>
      </c>
      <c r="GU213" s="2" t="s">
        <v>3</v>
      </c>
      <c r="GV213" s="2">
        <f t="shared" si="245"/>
        <v>0</v>
      </c>
      <c r="GW213" s="2">
        <v>1</v>
      </c>
      <c r="GX213" s="2">
        <f t="shared" si="246"/>
        <v>0</v>
      </c>
      <c r="GY213" s="2"/>
      <c r="GZ213" s="2"/>
      <c r="HA213" s="2">
        <v>0</v>
      </c>
      <c r="HB213" s="2">
        <v>0</v>
      </c>
      <c r="HC213" s="2">
        <f t="shared" si="247"/>
        <v>0</v>
      </c>
      <c r="HD213" s="2"/>
      <c r="HE213" s="2" t="s">
        <v>3</v>
      </c>
      <c r="HF213" s="2" t="s">
        <v>3</v>
      </c>
      <c r="HG213" s="2"/>
      <c r="HH213" s="2"/>
      <c r="HI213" s="2"/>
      <c r="HJ213" s="2"/>
      <c r="HK213" s="2"/>
      <c r="HL213" s="2"/>
      <c r="HM213" s="2" t="s">
        <v>35</v>
      </c>
      <c r="HN213" s="2" t="s">
        <v>3</v>
      </c>
      <c r="HO213" s="2" t="s">
        <v>3</v>
      </c>
      <c r="HP213" s="2" t="s">
        <v>3</v>
      </c>
      <c r="HQ213" s="2" t="s">
        <v>3</v>
      </c>
      <c r="HR213" s="2"/>
      <c r="HS213" s="2">
        <v>0</v>
      </c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>
        <v>0</v>
      </c>
      <c r="IL213" s="2"/>
      <c r="IM213" s="2"/>
      <c r="IN213" s="2"/>
      <c r="IO213" s="2"/>
      <c r="IP213" s="2"/>
      <c r="IQ213" s="2"/>
      <c r="IR213" s="2"/>
      <c r="IS213" s="2"/>
      <c r="IT213" s="2"/>
      <c r="IU213" s="2"/>
    </row>
    <row r="214" spans="1:255" x14ac:dyDescent="0.2">
      <c r="A214" s="3">
        <v>18</v>
      </c>
      <c r="B214" s="3">
        <v>1</v>
      </c>
      <c r="C214" s="3">
        <v>513</v>
      </c>
      <c r="E214" s="3" t="s">
        <v>404</v>
      </c>
      <c r="F214" s="3" t="s">
        <v>405</v>
      </c>
      <c r="G214" s="3" t="s">
        <v>406</v>
      </c>
      <c r="H214" s="3" t="s">
        <v>99</v>
      </c>
      <c r="I214" s="3">
        <f>I210*J214</f>
        <v>4</v>
      </c>
      <c r="J214" s="3">
        <v>0.16666666666666666</v>
      </c>
      <c r="K214" s="3">
        <v>0.16666666999999999</v>
      </c>
      <c r="O214" s="3">
        <f t="shared" si="223"/>
        <v>3611.4</v>
      </c>
      <c r="P214" s="3">
        <f t="shared" si="224"/>
        <v>3611.4</v>
      </c>
      <c r="Q214" s="3">
        <f t="shared" si="248"/>
        <v>0</v>
      </c>
      <c r="R214" s="3">
        <f t="shared" si="249"/>
        <v>0</v>
      </c>
      <c r="S214" s="3">
        <f t="shared" si="225"/>
        <v>0</v>
      </c>
      <c r="T214" s="3">
        <f t="shared" si="226"/>
        <v>0</v>
      </c>
      <c r="U214" s="3">
        <f t="shared" si="227"/>
        <v>0</v>
      </c>
      <c r="V214" s="3">
        <f t="shared" si="228"/>
        <v>0</v>
      </c>
      <c r="W214" s="3">
        <f t="shared" si="229"/>
        <v>0</v>
      </c>
      <c r="X214" s="3">
        <f t="shared" si="250"/>
        <v>0</v>
      </c>
      <c r="Y214" s="3">
        <f t="shared" si="251"/>
        <v>0</v>
      </c>
      <c r="AA214" s="3">
        <v>85739207</v>
      </c>
      <c r="AB214" s="3">
        <f t="shared" si="230"/>
        <v>296.99</v>
      </c>
      <c r="AC214" s="3">
        <f t="shared" si="252"/>
        <v>296.99</v>
      </c>
      <c r="AD214" s="3">
        <f t="shared" si="253"/>
        <v>0</v>
      </c>
      <c r="AE214" s="3">
        <f t="shared" si="254"/>
        <v>0</v>
      </c>
      <c r="AF214" s="3">
        <f t="shared" si="255"/>
        <v>0</v>
      </c>
      <c r="AG214" s="3">
        <f t="shared" si="231"/>
        <v>0</v>
      </c>
      <c r="AH214" s="3">
        <f t="shared" si="256"/>
        <v>0</v>
      </c>
      <c r="AI214" s="3">
        <f t="shared" si="257"/>
        <v>0</v>
      </c>
      <c r="AJ214" s="3">
        <f t="shared" si="232"/>
        <v>0</v>
      </c>
      <c r="AK214" s="3">
        <v>296.99</v>
      </c>
      <c r="AL214" s="3">
        <v>296.99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90</v>
      </c>
      <c r="AU214" s="3">
        <v>46</v>
      </c>
      <c r="AV214" s="3">
        <v>1</v>
      </c>
      <c r="AW214" s="3">
        <v>1</v>
      </c>
      <c r="AZ214" s="3">
        <v>1</v>
      </c>
      <c r="BA214" s="3">
        <v>1</v>
      </c>
      <c r="BB214" s="3">
        <v>1</v>
      </c>
      <c r="BC214" s="3">
        <v>3.04</v>
      </c>
      <c r="BD214" s="3" t="s">
        <v>3</v>
      </c>
      <c r="BE214" s="3" t="s">
        <v>3</v>
      </c>
      <c r="BF214" s="3" t="s">
        <v>3</v>
      </c>
      <c r="BG214" s="3" t="s">
        <v>3</v>
      </c>
      <c r="BH214" s="3">
        <v>3</v>
      </c>
      <c r="BI214" s="3">
        <v>2</v>
      </c>
      <c r="BJ214" s="3" t="s">
        <v>407</v>
      </c>
      <c r="BM214" s="3">
        <v>73</v>
      </c>
      <c r="BN214" s="3">
        <v>0</v>
      </c>
      <c r="BO214" s="3" t="s">
        <v>405</v>
      </c>
      <c r="BP214" s="3">
        <v>1</v>
      </c>
      <c r="BQ214" s="3">
        <v>40</v>
      </c>
      <c r="BR214" s="3">
        <v>0</v>
      </c>
      <c r="BS214" s="3">
        <v>1</v>
      </c>
      <c r="BT214" s="3">
        <v>1</v>
      </c>
      <c r="BU214" s="3">
        <v>1</v>
      </c>
      <c r="BV214" s="3">
        <v>1</v>
      </c>
      <c r="BW214" s="3">
        <v>1</v>
      </c>
      <c r="BX214" s="3">
        <v>1</v>
      </c>
      <c r="BY214" s="3" t="s">
        <v>3</v>
      </c>
      <c r="BZ214" s="3">
        <v>90</v>
      </c>
      <c r="CA214" s="3">
        <v>46</v>
      </c>
      <c r="CB214" s="3" t="s">
        <v>3</v>
      </c>
      <c r="CE214" s="3">
        <v>1566</v>
      </c>
      <c r="CF214" s="3">
        <v>0</v>
      </c>
      <c r="CG214" s="3">
        <v>0</v>
      </c>
      <c r="CM214" s="3">
        <v>0</v>
      </c>
      <c r="CN214" s="3" t="s">
        <v>679</v>
      </c>
      <c r="CO214" s="3">
        <v>0</v>
      </c>
      <c r="CP214" s="3">
        <f t="shared" si="233"/>
        <v>3611.4</v>
      </c>
      <c r="CQ214" s="3">
        <f t="shared" si="234"/>
        <v>902.85</v>
      </c>
      <c r="CR214" s="3">
        <f t="shared" si="258"/>
        <v>0</v>
      </c>
      <c r="CS214" s="3">
        <f t="shared" si="259"/>
        <v>0</v>
      </c>
      <c r="CT214" s="3">
        <f t="shared" si="235"/>
        <v>0</v>
      </c>
      <c r="CU214" s="3">
        <f t="shared" si="236"/>
        <v>0</v>
      </c>
      <c r="CV214" s="3">
        <f t="shared" si="237"/>
        <v>0</v>
      </c>
      <c r="CW214" s="3">
        <f t="shared" si="238"/>
        <v>0</v>
      </c>
      <c r="CX214" s="3">
        <f t="shared" si="239"/>
        <v>0</v>
      </c>
      <c r="CY214" s="3">
        <f t="shared" si="260"/>
        <v>0</v>
      </c>
      <c r="CZ214" s="3">
        <f t="shared" si="261"/>
        <v>0</v>
      </c>
      <c r="DC214" s="3" t="s">
        <v>3</v>
      </c>
      <c r="DD214" s="3" t="s">
        <v>3</v>
      </c>
      <c r="DE214" s="3" t="s">
        <v>3</v>
      </c>
      <c r="DF214" s="3" t="s">
        <v>3</v>
      </c>
      <c r="DG214" s="3" t="s">
        <v>3</v>
      </c>
      <c r="DH214" s="3" t="s">
        <v>3</v>
      </c>
      <c r="DI214" s="3" t="s">
        <v>3</v>
      </c>
      <c r="DJ214" s="3" t="s">
        <v>3</v>
      </c>
      <c r="DK214" s="3" t="s">
        <v>3</v>
      </c>
      <c r="DL214" s="3" t="s">
        <v>3</v>
      </c>
      <c r="DM214" s="3" t="s">
        <v>3</v>
      </c>
      <c r="DN214" s="3">
        <v>0</v>
      </c>
      <c r="DO214" s="3">
        <v>0</v>
      </c>
      <c r="DP214" s="3">
        <v>1</v>
      </c>
      <c r="DQ214" s="3">
        <v>1</v>
      </c>
      <c r="DU214" s="3">
        <v>1010</v>
      </c>
      <c r="DV214" s="3" t="s">
        <v>99</v>
      </c>
      <c r="DW214" s="3" t="s">
        <v>99</v>
      </c>
      <c r="DX214" s="3">
        <v>1</v>
      </c>
      <c r="DZ214" s="3" t="s">
        <v>3</v>
      </c>
      <c r="EA214" s="3" t="s">
        <v>3</v>
      </c>
      <c r="EB214" s="3" t="s">
        <v>3</v>
      </c>
      <c r="EC214" s="3" t="s">
        <v>3</v>
      </c>
      <c r="EE214" s="3">
        <v>85133422</v>
      </c>
      <c r="EF214" s="3">
        <v>40</v>
      </c>
      <c r="EG214" s="3" t="s">
        <v>27</v>
      </c>
      <c r="EH214" s="3">
        <v>0</v>
      </c>
      <c r="EI214" s="3" t="s">
        <v>3</v>
      </c>
      <c r="EJ214" s="3">
        <v>2</v>
      </c>
      <c r="EK214" s="3">
        <v>73</v>
      </c>
      <c r="EL214" s="3" t="s">
        <v>62</v>
      </c>
      <c r="EM214" s="3" t="s">
        <v>63</v>
      </c>
      <c r="EO214" s="3" t="s">
        <v>37</v>
      </c>
      <c r="EQ214" s="3">
        <v>0</v>
      </c>
      <c r="ER214" s="3">
        <v>296.99</v>
      </c>
      <c r="ES214" s="3">
        <v>296.99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FQ214" s="3">
        <v>0</v>
      </c>
      <c r="FR214" s="3">
        <v>0</v>
      </c>
      <c r="FS214" s="3">
        <v>0</v>
      </c>
      <c r="FX214" s="3">
        <v>90</v>
      </c>
      <c r="FY214" s="3">
        <v>46</v>
      </c>
      <c r="GA214" s="3" t="s">
        <v>3</v>
      </c>
      <c r="GD214" s="3">
        <v>1</v>
      </c>
      <c r="GF214" s="3">
        <v>814129051</v>
      </c>
      <c r="GG214" s="3">
        <v>2</v>
      </c>
      <c r="GH214" s="3">
        <v>1</v>
      </c>
      <c r="GI214" s="3">
        <v>2</v>
      </c>
      <c r="GJ214" s="3">
        <v>0</v>
      </c>
      <c r="GK214" s="3">
        <v>0</v>
      </c>
      <c r="GL214" s="3">
        <f t="shared" si="240"/>
        <v>0</v>
      </c>
      <c r="GM214" s="3">
        <f t="shared" si="241"/>
        <v>3611.4</v>
      </c>
      <c r="GN214" s="3">
        <f t="shared" si="242"/>
        <v>0</v>
      </c>
      <c r="GO214" s="3">
        <f t="shared" si="243"/>
        <v>3611.4</v>
      </c>
      <c r="GP214" s="3">
        <f t="shared" si="244"/>
        <v>0</v>
      </c>
      <c r="GR214" s="3">
        <v>0</v>
      </c>
      <c r="GS214" s="3">
        <v>3</v>
      </c>
      <c r="GT214" s="3">
        <v>0</v>
      </c>
      <c r="GU214" s="3" t="s">
        <v>3</v>
      </c>
      <c r="GV214" s="3">
        <f t="shared" si="245"/>
        <v>0</v>
      </c>
      <c r="GW214" s="3">
        <v>1</v>
      </c>
      <c r="GX214" s="3">
        <f t="shared" si="246"/>
        <v>0</v>
      </c>
      <c r="HA214" s="3">
        <v>0</v>
      </c>
      <c r="HB214" s="3">
        <v>0</v>
      </c>
      <c r="HC214" s="3">
        <f t="shared" si="247"/>
        <v>0</v>
      </c>
      <c r="HE214" s="3" t="s">
        <v>3</v>
      </c>
      <c r="HF214" s="3" t="s">
        <v>3</v>
      </c>
      <c r="HM214" s="3" t="s">
        <v>35</v>
      </c>
      <c r="HN214" s="3" t="s">
        <v>3</v>
      </c>
      <c r="HO214" s="3" t="s">
        <v>3</v>
      </c>
      <c r="HP214" s="3" t="s">
        <v>3</v>
      </c>
      <c r="HQ214" s="3" t="s">
        <v>3</v>
      </c>
      <c r="HS214" s="3">
        <v>0</v>
      </c>
      <c r="IK214" s="3">
        <v>0</v>
      </c>
    </row>
    <row r="215" spans="1:255" x14ac:dyDescent="0.2">
      <c r="A215" s="2">
        <v>17</v>
      </c>
      <c r="B215" s="2">
        <v>1</v>
      </c>
      <c r="C215" s="2">
        <f>ROW(SmtRes!A531)</f>
        <v>531</v>
      </c>
      <c r="D215" s="2">
        <f>ROW(EtalonRes!A545)</f>
        <v>545</v>
      </c>
      <c r="E215" s="2" t="s">
        <v>3</v>
      </c>
      <c r="F215" s="2" t="s">
        <v>201</v>
      </c>
      <c r="G215" s="2" t="s">
        <v>202</v>
      </c>
      <c r="H215" s="2" t="s">
        <v>203</v>
      </c>
      <c r="I215" s="2">
        <f>ROUND((800+900+200)/1000,9)</f>
        <v>1.9</v>
      </c>
      <c r="J215" s="2">
        <v>0</v>
      </c>
      <c r="K215" s="2">
        <f>ROUND((800+900+200)/1000,9)</f>
        <v>1.9</v>
      </c>
      <c r="L215" s="2"/>
      <c r="M215" s="2"/>
      <c r="N215" s="2"/>
      <c r="O215" s="2">
        <f t="shared" si="223"/>
        <v>66980.37</v>
      </c>
      <c r="P215" s="2">
        <f t="shared" si="224"/>
        <v>17540.36</v>
      </c>
      <c r="Q215" s="2">
        <f t="shared" si="248"/>
        <v>5178.78</v>
      </c>
      <c r="R215" s="2">
        <f t="shared" si="249"/>
        <v>482.52</v>
      </c>
      <c r="S215" s="2">
        <f t="shared" si="225"/>
        <v>44261.23</v>
      </c>
      <c r="T215" s="2">
        <f t="shared" si="226"/>
        <v>0</v>
      </c>
      <c r="U215" s="2">
        <f t="shared" si="227"/>
        <v>3507.2289999999994</v>
      </c>
      <c r="V215" s="2">
        <f t="shared" si="228"/>
        <v>0</v>
      </c>
      <c r="W215" s="2">
        <f t="shared" si="229"/>
        <v>0</v>
      </c>
      <c r="X215" s="2">
        <f t="shared" si="250"/>
        <v>40269.379999999997</v>
      </c>
      <c r="Y215" s="2">
        <f t="shared" si="251"/>
        <v>20582.13</v>
      </c>
      <c r="Z215" s="2"/>
      <c r="AA215" s="2">
        <v>-1</v>
      </c>
      <c r="AB215" s="2">
        <f t="shared" si="230"/>
        <v>33367.440000000002</v>
      </c>
      <c r="AC215" s="2">
        <f t="shared" si="252"/>
        <v>8980.32</v>
      </c>
      <c r="AD215" s="2">
        <f t="shared" si="253"/>
        <v>2554.52</v>
      </c>
      <c r="AE215" s="2">
        <f t="shared" si="254"/>
        <v>238.01</v>
      </c>
      <c r="AF215" s="2">
        <f t="shared" si="255"/>
        <v>21832.6</v>
      </c>
      <c r="AG215" s="2">
        <f t="shared" si="231"/>
        <v>0</v>
      </c>
      <c r="AH215" s="2">
        <f t="shared" si="256"/>
        <v>1730</v>
      </c>
      <c r="AI215" s="2">
        <f t="shared" si="257"/>
        <v>0</v>
      </c>
      <c r="AJ215" s="2">
        <f t="shared" si="232"/>
        <v>0</v>
      </c>
      <c r="AK215" s="2">
        <v>33367.440000000002</v>
      </c>
      <c r="AL215" s="2">
        <v>8980.32</v>
      </c>
      <c r="AM215" s="2">
        <v>2554.52</v>
      </c>
      <c r="AN215" s="2">
        <v>238.01</v>
      </c>
      <c r="AO215" s="2">
        <v>21832.6</v>
      </c>
      <c r="AP215" s="2">
        <v>0</v>
      </c>
      <c r="AQ215" s="2">
        <v>1730</v>
      </c>
      <c r="AR215" s="2">
        <v>0</v>
      </c>
      <c r="AS215" s="2">
        <v>0</v>
      </c>
      <c r="AT215" s="2">
        <v>90</v>
      </c>
      <c r="AU215" s="2">
        <v>46</v>
      </c>
      <c r="AV215" s="2">
        <v>1.0669999999999999</v>
      </c>
      <c r="AW215" s="2">
        <v>1.028</v>
      </c>
      <c r="AX215" s="2"/>
      <c r="AY215" s="2"/>
      <c r="AZ215" s="2">
        <v>1</v>
      </c>
      <c r="BA215" s="2">
        <v>1</v>
      </c>
      <c r="BB215" s="2">
        <v>1</v>
      </c>
      <c r="BC215" s="2">
        <v>1</v>
      </c>
      <c r="BD215" s="2" t="s">
        <v>3</v>
      </c>
      <c r="BE215" s="2" t="s">
        <v>3</v>
      </c>
      <c r="BF215" s="2" t="s">
        <v>3</v>
      </c>
      <c r="BG215" s="2" t="s">
        <v>3</v>
      </c>
      <c r="BH215" s="2">
        <v>0</v>
      </c>
      <c r="BI215" s="2">
        <v>2</v>
      </c>
      <c r="BJ215" s="2" t="s">
        <v>204</v>
      </c>
      <c r="BK215" s="2"/>
      <c r="BL215" s="2"/>
      <c r="BM215" s="2">
        <v>73</v>
      </c>
      <c r="BN215" s="2">
        <v>0</v>
      </c>
      <c r="BO215" s="2" t="s">
        <v>201</v>
      </c>
      <c r="BP215" s="2">
        <v>1</v>
      </c>
      <c r="BQ215" s="2">
        <v>40</v>
      </c>
      <c r="BR215" s="2">
        <v>0</v>
      </c>
      <c r="BS215" s="2">
        <v>1</v>
      </c>
      <c r="BT215" s="2">
        <v>1</v>
      </c>
      <c r="BU215" s="2">
        <v>1</v>
      </c>
      <c r="BV215" s="2">
        <v>1</v>
      </c>
      <c r="BW215" s="2">
        <v>1</v>
      </c>
      <c r="BX215" s="2">
        <v>1</v>
      </c>
      <c r="BY215" s="2" t="s">
        <v>3</v>
      </c>
      <c r="BZ215" s="2">
        <v>90</v>
      </c>
      <c r="CA215" s="2">
        <v>46</v>
      </c>
      <c r="CB215" s="2" t="s">
        <v>3</v>
      </c>
      <c r="CC215" s="2"/>
      <c r="CD215" s="2"/>
      <c r="CE215" s="2">
        <v>1566</v>
      </c>
      <c r="CF215" s="2">
        <v>0</v>
      </c>
      <c r="CG215" s="2">
        <v>0</v>
      </c>
      <c r="CH215" s="2"/>
      <c r="CI215" s="2"/>
      <c r="CJ215" s="2"/>
      <c r="CK215" s="2"/>
      <c r="CL215" s="2"/>
      <c r="CM215" s="2">
        <v>0</v>
      </c>
      <c r="CN215" s="2" t="s">
        <v>3</v>
      </c>
      <c r="CO215" s="2">
        <v>0</v>
      </c>
      <c r="CP215" s="2">
        <f t="shared" si="233"/>
        <v>66980.37</v>
      </c>
      <c r="CQ215" s="2">
        <f t="shared" si="234"/>
        <v>9231.77</v>
      </c>
      <c r="CR215" s="2">
        <f t="shared" si="258"/>
        <v>2725.67</v>
      </c>
      <c r="CS215" s="2">
        <f t="shared" si="259"/>
        <v>253.96</v>
      </c>
      <c r="CT215" s="2">
        <f t="shared" si="235"/>
        <v>23295.38</v>
      </c>
      <c r="CU215" s="2">
        <f t="shared" si="236"/>
        <v>0</v>
      </c>
      <c r="CV215" s="2">
        <f t="shared" si="237"/>
        <v>1845.9099999999999</v>
      </c>
      <c r="CW215" s="2">
        <f t="shared" si="238"/>
        <v>0</v>
      </c>
      <c r="CX215" s="2">
        <f t="shared" si="239"/>
        <v>0</v>
      </c>
      <c r="CY215" s="2">
        <f t="shared" si="260"/>
        <v>40063.67</v>
      </c>
      <c r="CZ215" s="2">
        <f t="shared" si="261"/>
        <v>20476.990000000002</v>
      </c>
      <c r="DA215" s="2"/>
      <c r="DB215" s="2"/>
      <c r="DC215" s="2" t="s">
        <v>3</v>
      </c>
      <c r="DD215" s="2" t="s">
        <v>3</v>
      </c>
      <c r="DE215" s="2" t="s">
        <v>3</v>
      </c>
      <c r="DF215" s="2" t="s">
        <v>3</v>
      </c>
      <c r="DG215" s="2" t="s">
        <v>3</v>
      </c>
      <c r="DH215" s="2" t="s">
        <v>3</v>
      </c>
      <c r="DI215" s="2" t="s">
        <v>3</v>
      </c>
      <c r="DJ215" s="2" t="s">
        <v>3</v>
      </c>
      <c r="DK215" s="2" t="s">
        <v>3</v>
      </c>
      <c r="DL215" s="2" t="s">
        <v>3</v>
      </c>
      <c r="DM215" s="2" t="s">
        <v>3</v>
      </c>
      <c r="DN215" s="2">
        <v>0</v>
      </c>
      <c r="DO215" s="2">
        <v>0</v>
      </c>
      <c r="DP215" s="2">
        <v>1</v>
      </c>
      <c r="DQ215" s="2">
        <v>1</v>
      </c>
      <c r="DR215" s="2"/>
      <c r="DS215" s="2"/>
      <c r="DT215" s="2"/>
      <c r="DU215" s="2">
        <v>1013</v>
      </c>
      <c r="DV215" s="2" t="s">
        <v>203</v>
      </c>
      <c r="DW215" s="2" t="s">
        <v>205</v>
      </c>
      <c r="DX215" s="2">
        <v>1</v>
      </c>
      <c r="DY215" s="2"/>
      <c r="DZ215" s="2" t="s">
        <v>3</v>
      </c>
      <c r="EA215" s="2" t="s">
        <v>3</v>
      </c>
      <c r="EB215" s="2" t="s">
        <v>3</v>
      </c>
      <c r="EC215" s="2" t="s">
        <v>3</v>
      </c>
      <c r="ED215" s="2"/>
      <c r="EE215" s="2">
        <v>85133422</v>
      </c>
      <c r="EF215" s="2">
        <v>40</v>
      </c>
      <c r="EG215" s="2" t="s">
        <v>27</v>
      </c>
      <c r="EH215" s="2">
        <v>0</v>
      </c>
      <c r="EI215" s="2" t="s">
        <v>3</v>
      </c>
      <c r="EJ215" s="2">
        <v>2</v>
      </c>
      <c r="EK215" s="2">
        <v>73</v>
      </c>
      <c r="EL215" s="2" t="s">
        <v>62</v>
      </c>
      <c r="EM215" s="2" t="s">
        <v>63</v>
      </c>
      <c r="EN215" s="2"/>
      <c r="EO215" s="2" t="s">
        <v>3</v>
      </c>
      <c r="EP215" s="2"/>
      <c r="EQ215" s="2">
        <v>1024</v>
      </c>
      <c r="ER215" s="2">
        <v>33367.440000000002</v>
      </c>
      <c r="ES215" s="2">
        <v>8980.32</v>
      </c>
      <c r="ET215" s="2">
        <v>2554.52</v>
      </c>
      <c r="EU215" s="2">
        <v>238.01</v>
      </c>
      <c r="EV215" s="2">
        <v>21832.6</v>
      </c>
      <c r="EW215" s="2">
        <v>1730</v>
      </c>
      <c r="EX215" s="2">
        <v>0</v>
      </c>
      <c r="EY215" s="2">
        <v>0</v>
      </c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>
        <v>0</v>
      </c>
      <c r="FR215" s="2">
        <v>0</v>
      </c>
      <c r="FS215" s="2">
        <v>2</v>
      </c>
      <c r="FT215" s="2"/>
      <c r="FU215" s="2"/>
      <c r="FV215" s="2"/>
      <c r="FW215" s="2"/>
      <c r="FX215" s="2">
        <v>90</v>
      </c>
      <c r="FY215" s="2">
        <v>46</v>
      </c>
      <c r="FZ215" s="2"/>
      <c r="GA215" s="2" t="s">
        <v>3</v>
      </c>
      <c r="GB215" s="2"/>
      <c r="GC215" s="2"/>
      <c r="GD215" s="2">
        <v>1</v>
      </c>
      <c r="GE215" s="2"/>
      <c r="GF215" s="2">
        <v>-1824218315</v>
      </c>
      <c r="GG215" s="2">
        <v>2</v>
      </c>
      <c r="GH215" s="2">
        <v>1</v>
      </c>
      <c r="GI215" s="2">
        <v>2</v>
      </c>
      <c r="GJ215" s="2">
        <v>0</v>
      </c>
      <c r="GK215" s="2">
        <v>0</v>
      </c>
      <c r="GL215" s="2">
        <f t="shared" si="240"/>
        <v>0</v>
      </c>
      <c r="GM215" s="2">
        <f t="shared" si="241"/>
        <v>127831.88</v>
      </c>
      <c r="GN215" s="2">
        <f t="shared" si="242"/>
        <v>0</v>
      </c>
      <c r="GO215" s="2">
        <f t="shared" si="243"/>
        <v>127831.88</v>
      </c>
      <c r="GP215" s="2">
        <f t="shared" si="244"/>
        <v>0</v>
      </c>
      <c r="GQ215" s="2"/>
      <c r="GR215" s="2">
        <v>0</v>
      </c>
      <c r="GS215" s="2">
        <v>3</v>
      </c>
      <c r="GT215" s="2">
        <v>0</v>
      </c>
      <c r="GU215" s="2" t="s">
        <v>3</v>
      </c>
      <c r="GV215" s="2">
        <f t="shared" si="245"/>
        <v>0</v>
      </c>
      <c r="GW215" s="2">
        <v>1</v>
      </c>
      <c r="GX215" s="2">
        <f t="shared" si="246"/>
        <v>0</v>
      </c>
      <c r="GY215" s="2"/>
      <c r="GZ215" s="2"/>
      <c r="HA215" s="2">
        <v>0</v>
      </c>
      <c r="HB215" s="2">
        <v>0</v>
      </c>
      <c r="HC215" s="2">
        <f t="shared" si="247"/>
        <v>0</v>
      </c>
      <c r="HD215" s="2"/>
      <c r="HE215" s="2" t="s">
        <v>3</v>
      </c>
      <c r="HF215" s="2" t="s">
        <v>3</v>
      </c>
      <c r="HG215" s="2"/>
      <c r="HH215" s="2"/>
      <c r="HI215" s="2"/>
      <c r="HJ215" s="2"/>
      <c r="HK215" s="2"/>
      <c r="HL215" s="2"/>
      <c r="HM215" s="2" t="s">
        <v>3</v>
      </c>
      <c r="HN215" s="2" t="s">
        <v>3</v>
      </c>
      <c r="HO215" s="2" t="s">
        <v>3</v>
      </c>
      <c r="HP215" s="2" t="s">
        <v>3</v>
      </c>
      <c r="HQ215" s="2" t="s">
        <v>3</v>
      </c>
      <c r="HR215" s="2"/>
      <c r="HS215" s="2">
        <v>0</v>
      </c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>
        <v>0</v>
      </c>
      <c r="IL215" s="2"/>
      <c r="IM215" s="2"/>
      <c r="IN215" s="2"/>
      <c r="IO215" s="2"/>
      <c r="IP215" s="2"/>
      <c r="IQ215" s="2"/>
      <c r="IR215" s="2"/>
      <c r="IS215" s="2"/>
      <c r="IT215" s="2"/>
      <c r="IU215" s="2"/>
    </row>
    <row r="216" spans="1:255" x14ac:dyDescent="0.2">
      <c r="A216" s="3">
        <v>17</v>
      </c>
      <c r="B216" s="3">
        <v>1</v>
      </c>
      <c r="C216" s="3">
        <f>ROW(SmtRes!A548)</f>
        <v>548</v>
      </c>
      <c r="D216" s="3">
        <f>ROW(EtalonRes!A560)</f>
        <v>560</v>
      </c>
      <c r="E216" s="3" t="s">
        <v>3</v>
      </c>
      <c r="F216" s="3" t="s">
        <v>201</v>
      </c>
      <c r="G216" s="3" t="s">
        <v>202</v>
      </c>
      <c r="H216" s="3" t="s">
        <v>203</v>
      </c>
      <c r="I216" s="3">
        <f>ROUND((800+900+200)/1000,9)</f>
        <v>1.9</v>
      </c>
      <c r="J216" s="3">
        <v>0</v>
      </c>
      <c r="K216" s="3">
        <f>ROUND((800+900+200)/1000,9)</f>
        <v>1.9</v>
      </c>
      <c r="O216" s="3">
        <f t="shared" si="223"/>
        <v>2621274.36</v>
      </c>
      <c r="P216" s="3">
        <f t="shared" si="224"/>
        <v>44552.51</v>
      </c>
      <c r="Q216" s="3">
        <f t="shared" si="248"/>
        <v>82601.539999999994</v>
      </c>
      <c r="R216" s="3">
        <f t="shared" si="249"/>
        <v>27190</v>
      </c>
      <c r="S216" s="3">
        <f t="shared" si="225"/>
        <v>2494120.31</v>
      </c>
      <c r="T216" s="3">
        <f t="shared" si="226"/>
        <v>0</v>
      </c>
      <c r="U216" s="3">
        <f t="shared" si="227"/>
        <v>3507.2289999999994</v>
      </c>
      <c r="V216" s="3">
        <f t="shared" si="228"/>
        <v>0</v>
      </c>
      <c r="W216" s="3">
        <f t="shared" si="229"/>
        <v>0</v>
      </c>
      <c r="X216" s="3">
        <f t="shared" si="250"/>
        <v>2269179.2799999998</v>
      </c>
      <c r="Y216" s="3">
        <f t="shared" si="251"/>
        <v>1159802.74</v>
      </c>
      <c r="AA216" s="3">
        <v>-1</v>
      </c>
      <c r="AB216" s="3">
        <f t="shared" si="230"/>
        <v>33367.440000000002</v>
      </c>
      <c r="AC216" s="3">
        <f t="shared" si="252"/>
        <v>8980.32</v>
      </c>
      <c r="AD216" s="3">
        <f t="shared" si="253"/>
        <v>2554.52</v>
      </c>
      <c r="AE216" s="3">
        <f t="shared" si="254"/>
        <v>238.01</v>
      </c>
      <c r="AF216" s="3">
        <f t="shared" si="255"/>
        <v>21832.6</v>
      </c>
      <c r="AG216" s="3">
        <f t="shared" si="231"/>
        <v>0</v>
      </c>
      <c r="AH216" s="3">
        <f t="shared" si="256"/>
        <v>1730</v>
      </c>
      <c r="AI216" s="3">
        <f t="shared" si="257"/>
        <v>0</v>
      </c>
      <c r="AJ216" s="3">
        <f t="shared" si="232"/>
        <v>0</v>
      </c>
      <c r="AK216" s="3">
        <v>33367.440000000002</v>
      </c>
      <c r="AL216" s="3">
        <v>8980.32</v>
      </c>
      <c r="AM216" s="3">
        <v>2554.52</v>
      </c>
      <c r="AN216" s="3">
        <v>238.01</v>
      </c>
      <c r="AO216" s="3">
        <v>21832.6</v>
      </c>
      <c r="AP216" s="3">
        <v>0</v>
      </c>
      <c r="AQ216" s="3">
        <v>1730</v>
      </c>
      <c r="AR216" s="3">
        <v>0</v>
      </c>
      <c r="AS216" s="3">
        <v>0</v>
      </c>
      <c r="AT216" s="3">
        <v>90</v>
      </c>
      <c r="AU216" s="3">
        <v>46</v>
      </c>
      <c r="AV216" s="3">
        <v>1.0669999999999999</v>
      </c>
      <c r="AW216" s="3">
        <v>1.028</v>
      </c>
      <c r="AZ216" s="3">
        <v>1</v>
      </c>
      <c r="BA216" s="3">
        <v>56.35</v>
      </c>
      <c r="BB216" s="3">
        <v>15.95</v>
      </c>
      <c r="BC216" s="3">
        <v>2.54</v>
      </c>
      <c r="BD216" s="3" t="s">
        <v>3</v>
      </c>
      <c r="BE216" s="3" t="s">
        <v>3</v>
      </c>
      <c r="BF216" s="3" t="s">
        <v>3</v>
      </c>
      <c r="BG216" s="3" t="s">
        <v>3</v>
      </c>
      <c r="BH216" s="3">
        <v>0</v>
      </c>
      <c r="BI216" s="3">
        <v>2</v>
      </c>
      <c r="BJ216" s="3" t="s">
        <v>204</v>
      </c>
      <c r="BM216" s="3">
        <v>73</v>
      </c>
      <c r="BN216" s="3">
        <v>0</v>
      </c>
      <c r="BO216" s="3" t="s">
        <v>201</v>
      </c>
      <c r="BP216" s="3">
        <v>1</v>
      </c>
      <c r="BQ216" s="3">
        <v>40</v>
      </c>
      <c r="BR216" s="3">
        <v>0</v>
      </c>
      <c r="BS216" s="3">
        <v>56.35</v>
      </c>
      <c r="BT216" s="3">
        <v>1</v>
      </c>
      <c r="BU216" s="3">
        <v>1</v>
      </c>
      <c r="BV216" s="3">
        <v>1</v>
      </c>
      <c r="BW216" s="3">
        <v>1</v>
      </c>
      <c r="BX216" s="3">
        <v>1</v>
      </c>
      <c r="BY216" s="3" t="s">
        <v>3</v>
      </c>
      <c r="BZ216" s="3">
        <v>90</v>
      </c>
      <c r="CA216" s="3">
        <v>46</v>
      </c>
      <c r="CB216" s="3" t="s">
        <v>3</v>
      </c>
      <c r="CE216" s="3">
        <v>1566</v>
      </c>
      <c r="CF216" s="3">
        <v>0</v>
      </c>
      <c r="CG216" s="3">
        <v>0</v>
      </c>
      <c r="CM216" s="3">
        <v>0</v>
      </c>
      <c r="CN216" s="3" t="s">
        <v>3</v>
      </c>
      <c r="CO216" s="3">
        <v>0</v>
      </c>
      <c r="CP216" s="3">
        <f t="shared" si="233"/>
        <v>2621274.36</v>
      </c>
      <c r="CQ216" s="3">
        <f t="shared" si="234"/>
        <v>23448.7</v>
      </c>
      <c r="CR216" s="3">
        <f t="shared" si="258"/>
        <v>43474.44</v>
      </c>
      <c r="CS216" s="3">
        <f t="shared" si="259"/>
        <v>14310.65</v>
      </c>
      <c r="CT216" s="3">
        <f t="shared" si="235"/>
        <v>1312694.6599999999</v>
      </c>
      <c r="CU216" s="3">
        <f t="shared" si="236"/>
        <v>0</v>
      </c>
      <c r="CV216" s="3">
        <f t="shared" si="237"/>
        <v>1845.9099999999999</v>
      </c>
      <c r="CW216" s="3">
        <f t="shared" si="238"/>
        <v>0</v>
      </c>
      <c r="CX216" s="3">
        <f t="shared" si="239"/>
        <v>0</v>
      </c>
      <c r="CY216" s="3">
        <f t="shared" si="260"/>
        <v>2257587.86</v>
      </c>
      <c r="CZ216" s="3">
        <f t="shared" si="261"/>
        <v>1153878.24</v>
      </c>
      <c r="DC216" s="3" t="s">
        <v>3</v>
      </c>
      <c r="DD216" s="3" t="s">
        <v>3</v>
      </c>
      <c r="DE216" s="3" t="s">
        <v>3</v>
      </c>
      <c r="DF216" s="3" t="s">
        <v>3</v>
      </c>
      <c r="DG216" s="3" t="s">
        <v>3</v>
      </c>
      <c r="DH216" s="3" t="s">
        <v>3</v>
      </c>
      <c r="DI216" s="3" t="s">
        <v>3</v>
      </c>
      <c r="DJ216" s="3" t="s">
        <v>3</v>
      </c>
      <c r="DK216" s="3" t="s">
        <v>3</v>
      </c>
      <c r="DL216" s="3" t="s">
        <v>3</v>
      </c>
      <c r="DM216" s="3" t="s">
        <v>3</v>
      </c>
      <c r="DN216" s="3">
        <v>0</v>
      </c>
      <c r="DO216" s="3">
        <v>0</v>
      </c>
      <c r="DP216" s="3">
        <v>1</v>
      </c>
      <c r="DQ216" s="3">
        <v>1</v>
      </c>
      <c r="DU216" s="3">
        <v>1013</v>
      </c>
      <c r="DV216" s="3" t="s">
        <v>203</v>
      </c>
      <c r="DW216" s="3" t="s">
        <v>205</v>
      </c>
      <c r="DX216" s="3">
        <v>1</v>
      </c>
      <c r="DZ216" s="3" t="s">
        <v>3</v>
      </c>
      <c r="EA216" s="3" t="s">
        <v>3</v>
      </c>
      <c r="EB216" s="3" t="s">
        <v>3</v>
      </c>
      <c r="EC216" s="3" t="s">
        <v>3</v>
      </c>
      <c r="EE216" s="3">
        <v>85133422</v>
      </c>
      <c r="EF216" s="3">
        <v>40</v>
      </c>
      <c r="EG216" s="3" t="s">
        <v>27</v>
      </c>
      <c r="EH216" s="3">
        <v>0</v>
      </c>
      <c r="EI216" s="3" t="s">
        <v>3</v>
      </c>
      <c r="EJ216" s="3">
        <v>2</v>
      </c>
      <c r="EK216" s="3">
        <v>73</v>
      </c>
      <c r="EL216" s="3" t="s">
        <v>62</v>
      </c>
      <c r="EM216" s="3" t="s">
        <v>63</v>
      </c>
      <c r="EO216" s="3" t="s">
        <v>3</v>
      </c>
      <c r="EQ216" s="3">
        <v>1024</v>
      </c>
      <c r="ER216" s="3">
        <v>33367.440000000002</v>
      </c>
      <c r="ES216" s="3">
        <v>8980.32</v>
      </c>
      <c r="ET216" s="3">
        <v>2554.52</v>
      </c>
      <c r="EU216" s="3">
        <v>238.01</v>
      </c>
      <c r="EV216" s="3">
        <v>21832.6</v>
      </c>
      <c r="EW216" s="3">
        <v>1730</v>
      </c>
      <c r="EX216" s="3">
        <v>0</v>
      </c>
      <c r="EY216" s="3">
        <v>0</v>
      </c>
      <c r="FQ216" s="3">
        <v>0</v>
      </c>
      <c r="FR216" s="3">
        <v>0</v>
      </c>
      <c r="FS216" s="3">
        <v>2</v>
      </c>
      <c r="FX216" s="3">
        <v>90</v>
      </c>
      <c r="FY216" s="3">
        <v>46</v>
      </c>
      <c r="GA216" s="3" t="s">
        <v>3</v>
      </c>
      <c r="GD216" s="3">
        <v>1</v>
      </c>
      <c r="GF216" s="3">
        <v>-1824218315</v>
      </c>
      <c r="GG216" s="3">
        <v>2</v>
      </c>
      <c r="GH216" s="3">
        <v>1</v>
      </c>
      <c r="GI216" s="3">
        <v>2</v>
      </c>
      <c r="GJ216" s="3">
        <v>0</v>
      </c>
      <c r="GK216" s="3">
        <v>0</v>
      </c>
      <c r="GL216" s="3">
        <f t="shared" si="240"/>
        <v>0</v>
      </c>
      <c r="GM216" s="3">
        <f t="shared" si="241"/>
        <v>6050256.3799999999</v>
      </c>
      <c r="GN216" s="3">
        <f t="shared" si="242"/>
        <v>0</v>
      </c>
      <c r="GO216" s="3">
        <f t="shared" si="243"/>
        <v>6050256.3799999999</v>
      </c>
      <c r="GP216" s="3">
        <f t="shared" si="244"/>
        <v>0</v>
      </c>
      <c r="GR216" s="3">
        <v>0</v>
      </c>
      <c r="GS216" s="3">
        <v>3</v>
      </c>
      <c r="GT216" s="3">
        <v>0</v>
      </c>
      <c r="GU216" s="3" t="s">
        <v>3</v>
      </c>
      <c r="GV216" s="3">
        <f t="shared" si="245"/>
        <v>0</v>
      </c>
      <c r="GW216" s="3">
        <v>1</v>
      </c>
      <c r="GX216" s="3">
        <f t="shared" si="246"/>
        <v>0</v>
      </c>
      <c r="HA216" s="3">
        <v>0</v>
      </c>
      <c r="HB216" s="3">
        <v>0</v>
      </c>
      <c r="HC216" s="3">
        <f t="shared" si="247"/>
        <v>0</v>
      </c>
      <c r="HE216" s="3" t="s">
        <v>3</v>
      </c>
      <c r="HF216" s="3" t="s">
        <v>3</v>
      </c>
      <c r="HM216" s="3" t="s">
        <v>3</v>
      </c>
      <c r="HN216" s="3" t="s">
        <v>3</v>
      </c>
      <c r="HO216" s="3" t="s">
        <v>3</v>
      </c>
      <c r="HP216" s="3" t="s">
        <v>3</v>
      </c>
      <c r="HQ216" s="3" t="s">
        <v>3</v>
      </c>
      <c r="HS216" s="3">
        <v>0</v>
      </c>
      <c r="IK216" s="3">
        <v>0</v>
      </c>
    </row>
    <row r="217" spans="1:255" x14ac:dyDescent="0.2">
      <c r="A217" s="2">
        <v>18</v>
      </c>
      <c r="B217" s="2">
        <v>1</v>
      </c>
      <c r="C217" s="2">
        <v>530</v>
      </c>
      <c r="D217" s="2"/>
      <c r="E217" s="2" t="s">
        <v>3</v>
      </c>
      <c r="F217" s="2" t="s">
        <v>408</v>
      </c>
      <c r="G217" s="2" t="s">
        <v>409</v>
      </c>
      <c r="H217" s="2" t="s">
        <v>179</v>
      </c>
      <c r="I217" s="2">
        <f>I215*J217</f>
        <v>804</v>
      </c>
      <c r="J217" s="2">
        <v>423.15789473684214</v>
      </c>
      <c r="K217" s="2">
        <v>423.15789469999999</v>
      </c>
      <c r="L217" s="2"/>
      <c r="M217" s="2"/>
      <c r="N217" s="2"/>
      <c r="O217" s="2">
        <f t="shared" si="223"/>
        <v>49510.32</v>
      </c>
      <c r="P217" s="2">
        <f t="shared" si="224"/>
        <v>49510.32</v>
      </c>
      <c r="Q217" s="2">
        <f t="shared" si="248"/>
        <v>0</v>
      </c>
      <c r="R217" s="2">
        <f t="shared" si="249"/>
        <v>0</v>
      </c>
      <c r="S217" s="2">
        <f t="shared" si="225"/>
        <v>0</v>
      </c>
      <c r="T217" s="2">
        <f t="shared" si="226"/>
        <v>0</v>
      </c>
      <c r="U217" s="2">
        <f t="shared" si="227"/>
        <v>0</v>
      </c>
      <c r="V217" s="2">
        <f t="shared" si="228"/>
        <v>0</v>
      </c>
      <c r="W217" s="2">
        <f t="shared" si="229"/>
        <v>0</v>
      </c>
      <c r="X217" s="2">
        <f t="shared" si="250"/>
        <v>0</v>
      </c>
      <c r="Y217" s="2">
        <f t="shared" si="251"/>
        <v>0</v>
      </c>
      <c r="Z217" s="2"/>
      <c r="AA217" s="2">
        <v>-1</v>
      </c>
      <c r="AB217" s="2">
        <f t="shared" si="230"/>
        <v>61.58</v>
      </c>
      <c r="AC217" s="2">
        <f t="shared" si="252"/>
        <v>61.58</v>
      </c>
      <c r="AD217" s="2">
        <f t="shared" si="253"/>
        <v>0</v>
      </c>
      <c r="AE217" s="2">
        <f t="shared" si="254"/>
        <v>0</v>
      </c>
      <c r="AF217" s="2">
        <f t="shared" si="255"/>
        <v>0</v>
      </c>
      <c r="AG217" s="2">
        <f t="shared" si="231"/>
        <v>0</v>
      </c>
      <c r="AH217" s="2">
        <f t="shared" si="256"/>
        <v>0</v>
      </c>
      <c r="AI217" s="2">
        <f t="shared" si="257"/>
        <v>0</v>
      </c>
      <c r="AJ217" s="2">
        <f t="shared" si="232"/>
        <v>0</v>
      </c>
      <c r="AK217" s="2">
        <v>61.58</v>
      </c>
      <c r="AL217" s="2">
        <v>61.58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90</v>
      </c>
      <c r="AU217" s="2">
        <v>46</v>
      </c>
      <c r="AV217" s="2">
        <v>1</v>
      </c>
      <c r="AW217" s="2">
        <v>1</v>
      </c>
      <c r="AX217" s="2"/>
      <c r="AY217" s="2"/>
      <c r="AZ217" s="2">
        <v>1</v>
      </c>
      <c r="BA217" s="2">
        <v>1</v>
      </c>
      <c r="BB217" s="2">
        <v>1</v>
      </c>
      <c r="BC217" s="2">
        <v>1</v>
      </c>
      <c r="BD217" s="2" t="s">
        <v>3</v>
      </c>
      <c r="BE217" s="2" t="s">
        <v>3</v>
      </c>
      <c r="BF217" s="2" t="s">
        <v>3</v>
      </c>
      <c r="BG217" s="2" t="s">
        <v>3</v>
      </c>
      <c r="BH217" s="2">
        <v>3</v>
      </c>
      <c r="BI217" s="2">
        <v>2</v>
      </c>
      <c r="BJ217" s="2" t="s">
        <v>410</v>
      </c>
      <c r="BK217" s="2"/>
      <c r="BL217" s="2"/>
      <c r="BM217" s="2">
        <v>73</v>
      </c>
      <c r="BN217" s="2">
        <v>0</v>
      </c>
      <c r="BO217" s="2" t="s">
        <v>3</v>
      </c>
      <c r="BP217" s="2">
        <v>0</v>
      </c>
      <c r="BQ217" s="2">
        <v>40</v>
      </c>
      <c r="BR217" s="2">
        <v>0</v>
      </c>
      <c r="BS217" s="2">
        <v>1</v>
      </c>
      <c r="BT217" s="2">
        <v>1</v>
      </c>
      <c r="BU217" s="2">
        <v>1</v>
      </c>
      <c r="BV217" s="2">
        <v>1</v>
      </c>
      <c r="BW217" s="2">
        <v>1</v>
      </c>
      <c r="BX217" s="2">
        <v>1</v>
      </c>
      <c r="BY217" s="2" t="s">
        <v>3</v>
      </c>
      <c r="BZ217" s="2">
        <v>90</v>
      </c>
      <c r="CA217" s="2">
        <v>46</v>
      </c>
      <c r="CB217" s="2" t="s">
        <v>3</v>
      </c>
      <c r="CC217" s="2"/>
      <c r="CD217" s="2"/>
      <c r="CE217" s="2">
        <v>1566</v>
      </c>
      <c r="CF217" s="2">
        <v>0</v>
      </c>
      <c r="CG217" s="2">
        <v>0</v>
      </c>
      <c r="CH217" s="2"/>
      <c r="CI217" s="2"/>
      <c r="CJ217" s="2"/>
      <c r="CK217" s="2"/>
      <c r="CL217" s="2"/>
      <c r="CM217" s="2">
        <v>0</v>
      </c>
      <c r="CN217" s="2" t="s">
        <v>3</v>
      </c>
      <c r="CO217" s="2">
        <v>0</v>
      </c>
      <c r="CP217" s="2">
        <f t="shared" si="233"/>
        <v>49510.32</v>
      </c>
      <c r="CQ217" s="2">
        <f t="shared" si="234"/>
        <v>61.58</v>
      </c>
      <c r="CR217" s="2">
        <f t="shared" si="258"/>
        <v>0</v>
      </c>
      <c r="CS217" s="2">
        <f t="shared" si="259"/>
        <v>0</v>
      </c>
      <c r="CT217" s="2">
        <f t="shared" si="235"/>
        <v>0</v>
      </c>
      <c r="CU217" s="2">
        <f t="shared" si="236"/>
        <v>0</v>
      </c>
      <c r="CV217" s="2">
        <f t="shared" si="237"/>
        <v>0</v>
      </c>
      <c r="CW217" s="2">
        <f t="shared" si="238"/>
        <v>0</v>
      </c>
      <c r="CX217" s="2">
        <f t="shared" si="239"/>
        <v>0</v>
      </c>
      <c r="CY217" s="2">
        <f t="shared" si="260"/>
        <v>0</v>
      </c>
      <c r="CZ217" s="2">
        <f t="shared" si="261"/>
        <v>0</v>
      </c>
      <c r="DA217" s="2"/>
      <c r="DB217" s="2"/>
      <c r="DC217" s="2" t="s">
        <v>3</v>
      </c>
      <c r="DD217" s="2" t="s">
        <v>3</v>
      </c>
      <c r="DE217" s="2" t="s">
        <v>3</v>
      </c>
      <c r="DF217" s="2" t="s">
        <v>3</v>
      </c>
      <c r="DG217" s="2" t="s">
        <v>3</v>
      </c>
      <c r="DH217" s="2" t="s">
        <v>3</v>
      </c>
      <c r="DI217" s="2" t="s">
        <v>3</v>
      </c>
      <c r="DJ217" s="2" t="s">
        <v>3</v>
      </c>
      <c r="DK217" s="2" t="s">
        <v>3</v>
      </c>
      <c r="DL217" s="2" t="s">
        <v>3</v>
      </c>
      <c r="DM217" s="2" t="s">
        <v>3</v>
      </c>
      <c r="DN217" s="2">
        <v>0</v>
      </c>
      <c r="DO217" s="2">
        <v>0</v>
      </c>
      <c r="DP217" s="2">
        <v>1</v>
      </c>
      <c r="DQ217" s="2">
        <v>1</v>
      </c>
      <c r="DR217" s="2"/>
      <c r="DS217" s="2"/>
      <c r="DT217" s="2"/>
      <c r="DU217" s="2">
        <v>1003</v>
      </c>
      <c r="DV217" s="2" t="s">
        <v>179</v>
      </c>
      <c r="DW217" s="2" t="s">
        <v>179</v>
      </c>
      <c r="DX217" s="2">
        <v>1</v>
      </c>
      <c r="DY217" s="2"/>
      <c r="DZ217" s="2" t="s">
        <v>3</v>
      </c>
      <c r="EA217" s="2" t="s">
        <v>3</v>
      </c>
      <c r="EB217" s="2" t="s">
        <v>3</v>
      </c>
      <c r="EC217" s="2" t="s">
        <v>3</v>
      </c>
      <c r="ED217" s="2"/>
      <c r="EE217" s="2">
        <v>85133422</v>
      </c>
      <c r="EF217" s="2">
        <v>40</v>
      </c>
      <c r="EG217" s="2" t="s">
        <v>27</v>
      </c>
      <c r="EH217" s="2">
        <v>0</v>
      </c>
      <c r="EI217" s="2" t="s">
        <v>3</v>
      </c>
      <c r="EJ217" s="2">
        <v>2</v>
      </c>
      <c r="EK217" s="2">
        <v>73</v>
      </c>
      <c r="EL217" s="2" t="s">
        <v>62</v>
      </c>
      <c r="EM217" s="2" t="s">
        <v>63</v>
      </c>
      <c r="EN217" s="2"/>
      <c r="EO217" s="2" t="s">
        <v>3</v>
      </c>
      <c r="EP217" s="2"/>
      <c r="EQ217" s="2">
        <v>1024</v>
      </c>
      <c r="ER217" s="2">
        <v>61.58</v>
      </c>
      <c r="ES217" s="2">
        <v>61.58</v>
      </c>
      <c r="ET217" s="2">
        <v>0</v>
      </c>
      <c r="EU217" s="2">
        <v>0</v>
      </c>
      <c r="EV217" s="2">
        <v>0</v>
      </c>
      <c r="EW217" s="2">
        <v>0</v>
      </c>
      <c r="EX217" s="2">
        <v>0</v>
      </c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>
        <v>0</v>
      </c>
      <c r="FR217" s="2">
        <v>0</v>
      </c>
      <c r="FS217" s="2">
        <v>0</v>
      </c>
      <c r="FT217" s="2"/>
      <c r="FU217" s="2"/>
      <c r="FV217" s="2"/>
      <c r="FW217" s="2"/>
      <c r="FX217" s="2">
        <v>90</v>
      </c>
      <c r="FY217" s="2">
        <v>46</v>
      </c>
      <c r="FZ217" s="2"/>
      <c r="GA217" s="2" t="s">
        <v>3</v>
      </c>
      <c r="GB217" s="2"/>
      <c r="GC217" s="2"/>
      <c r="GD217" s="2">
        <v>1</v>
      </c>
      <c r="GE217" s="2"/>
      <c r="GF217" s="2">
        <v>-2119850974</v>
      </c>
      <c r="GG217" s="2">
        <v>2</v>
      </c>
      <c r="GH217" s="2">
        <v>1</v>
      </c>
      <c r="GI217" s="2">
        <v>-2</v>
      </c>
      <c r="GJ217" s="2">
        <v>0</v>
      </c>
      <c r="GK217" s="2">
        <v>0</v>
      </c>
      <c r="GL217" s="2">
        <f t="shared" si="240"/>
        <v>0</v>
      </c>
      <c r="GM217" s="2">
        <f t="shared" si="241"/>
        <v>49510.32</v>
      </c>
      <c r="GN217" s="2">
        <f t="shared" si="242"/>
        <v>0</v>
      </c>
      <c r="GO217" s="2">
        <f t="shared" si="243"/>
        <v>49510.32</v>
      </c>
      <c r="GP217" s="2">
        <f t="shared" si="244"/>
        <v>0</v>
      </c>
      <c r="GQ217" s="2"/>
      <c r="GR217" s="2">
        <v>0</v>
      </c>
      <c r="GS217" s="2">
        <v>3</v>
      </c>
      <c r="GT217" s="2">
        <v>0</v>
      </c>
      <c r="GU217" s="2" t="s">
        <v>3</v>
      </c>
      <c r="GV217" s="2">
        <f t="shared" si="245"/>
        <v>0</v>
      </c>
      <c r="GW217" s="2">
        <v>1</v>
      </c>
      <c r="GX217" s="2">
        <f t="shared" si="246"/>
        <v>0</v>
      </c>
      <c r="GY217" s="2"/>
      <c r="GZ217" s="2"/>
      <c r="HA217" s="2">
        <v>0</v>
      </c>
      <c r="HB217" s="2">
        <v>0</v>
      </c>
      <c r="HC217" s="2">
        <f t="shared" si="247"/>
        <v>0</v>
      </c>
      <c r="HD217" s="2"/>
      <c r="HE217" s="2" t="s">
        <v>3</v>
      </c>
      <c r="HF217" s="2" t="s">
        <v>3</v>
      </c>
      <c r="HG217" s="2"/>
      <c r="HH217" s="2"/>
      <c r="HI217" s="2"/>
      <c r="HJ217" s="2"/>
      <c r="HK217" s="2"/>
      <c r="HL217" s="2"/>
      <c r="HM217" s="2" t="s">
        <v>3</v>
      </c>
      <c r="HN217" s="2" t="s">
        <v>3</v>
      </c>
      <c r="HO217" s="2" t="s">
        <v>3</v>
      </c>
      <c r="HP217" s="2" t="s">
        <v>3</v>
      </c>
      <c r="HQ217" s="2" t="s">
        <v>3</v>
      </c>
      <c r="HR217" s="2"/>
      <c r="HS217" s="2">
        <v>0</v>
      </c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>
        <v>0</v>
      </c>
      <c r="IL217" s="2"/>
      <c r="IM217" s="2"/>
      <c r="IN217" s="2"/>
      <c r="IO217" s="2"/>
      <c r="IP217" s="2"/>
      <c r="IQ217" s="2"/>
      <c r="IR217" s="2"/>
      <c r="IS217" s="2"/>
      <c r="IT217" s="2"/>
      <c r="IU217" s="2"/>
    </row>
    <row r="218" spans="1:255" x14ac:dyDescent="0.2">
      <c r="A218" s="3">
        <v>18</v>
      </c>
      <c r="B218" s="3">
        <v>1</v>
      </c>
      <c r="C218" s="3">
        <v>547</v>
      </c>
      <c r="E218" s="3" t="s">
        <v>3</v>
      </c>
      <c r="F218" s="3" t="s">
        <v>408</v>
      </c>
      <c r="G218" s="3" t="s">
        <v>409</v>
      </c>
      <c r="H218" s="3" t="s">
        <v>179</v>
      </c>
      <c r="I218" s="3">
        <f>I216*J218</f>
        <v>804</v>
      </c>
      <c r="J218" s="3">
        <v>423.15789473684214</v>
      </c>
      <c r="K218" s="3">
        <v>423.15789469999999</v>
      </c>
      <c r="O218" s="3">
        <f t="shared" si="223"/>
        <v>588677.69999999995</v>
      </c>
      <c r="P218" s="3">
        <f t="shared" si="224"/>
        <v>588677.69999999995</v>
      </c>
      <c r="Q218" s="3">
        <f t="shared" si="248"/>
        <v>0</v>
      </c>
      <c r="R218" s="3">
        <f t="shared" si="249"/>
        <v>0</v>
      </c>
      <c r="S218" s="3">
        <f t="shared" si="225"/>
        <v>0</v>
      </c>
      <c r="T218" s="3">
        <f t="shared" si="226"/>
        <v>0</v>
      </c>
      <c r="U218" s="3">
        <f t="shared" si="227"/>
        <v>0</v>
      </c>
      <c r="V218" s="3">
        <f t="shared" si="228"/>
        <v>0</v>
      </c>
      <c r="W218" s="3">
        <f t="shared" si="229"/>
        <v>0</v>
      </c>
      <c r="X218" s="3">
        <f t="shared" si="250"/>
        <v>0</v>
      </c>
      <c r="Y218" s="3">
        <f t="shared" si="251"/>
        <v>0</v>
      </c>
      <c r="AA218" s="3">
        <v>-1</v>
      </c>
      <c r="AB218" s="3">
        <f t="shared" si="230"/>
        <v>61.58</v>
      </c>
      <c r="AC218" s="3">
        <f t="shared" si="252"/>
        <v>61.58</v>
      </c>
      <c r="AD218" s="3">
        <f t="shared" si="253"/>
        <v>0</v>
      </c>
      <c r="AE218" s="3">
        <f t="shared" si="254"/>
        <v>0</v>
      </c>
      <c r="AF218" s="3">
        <f t="shared" si="255"/>
        <v>0</v>
      </c>
      <c r="AG218" s="3">
        <f t="shared" si="231"/>
        <v>0</v>
      </c>
      <c r="AH218" s="3">
        <f t="shared" si="256"/>
        <v>0</v>
      </c>
      <c r="AI218" s="3">
        <f t="shared" si="257"/>
        <v>0</v>
      </c>
      <c r="AJ218" s="3">
        <f t="shared" si="232"/>
        <v>0</v>
      </c>
      <c r="AK218" s="3">
        <v>61.58</v>
      </c>
      <c r="AL218" s="3">
        <v>61.58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90</v>
      </c>
      <c r="AU218" s="3">
        <v>46</v>
      </c>
      <c r="AV218" s="3">
        <v>1</v>
      </c>
      <c r="AW218" s="3">
        <v>1</v>
      </c>
      <c r="AZ218" s="3">
        <v>1</v>
      </c>
      <c r="BA218" s="3">
        <v>1</v>
      </c>
      <c r="BB218" s="3">
        <v>1</v>
      </c>
      <c r="BC218" s="3">
        <v>11.89</v>
      </c>
      <c r="BD218" s="3" t="s">
        <v>3</v>
      </c>
      <c r="BE218" s="3" t="s">
        <v>3</v>
      </c>
      <c r="BF218" s="3" t="s">
        <v>3</v>
      </c>
      <c r="BG218" s="3" t="s">
        <v>3</v>
      </c>
      <c r="BH218" s="3">
        <v>3</v>
      </c>
      <c r="BI218" s="3">
        <v>2</v>
      </c>
      <c r="BJ218" s="3" t="s">
        <v>410</v>
      </c>
      <c r="BM218" s="3">
        <v>73</v>
      </c>
      <c r="BN218" s="3">
        <v>0</v>
      </c>
      <c r="BO218" s="3" t="s">
        <v>408</v>
      </c>
      <c r="BP218" s="3">
        <v>1</v>
      </c>
      <c r="BQ218" s="3">
        <v>40</v>
      </c>
      <c r="BR218" s="3">
        <v>0</v>
      </c>
      <c r="BS218" s="3">
        <v>1</v>
      </c>
      <c r="BT218" s="3">
        <v>1</v>
      </c>
      <c r="BU218" s="3">
        <v>1</v>
      </c>
      <c r="BV218" s="3">
        <v>1</v>
      </c>
      <c r="BW218" s="3">
        <v>1</v>
      </c>
      <c r="BX218" s="3">
        <v>1</v>
      </c>
      <c r="BY218" s="3" t="s">
        <v>3</v>
      </c>
      <c r="BZ218" s="3">
        <v>90</v>
      </c>
      <c r="CA218" s="3">
        <v>46</v>
      </c>
      <c r="CB218" s="3" t="s">
        <v>3</v>
      </c>
      <c r="CE218" s="3">
        <v>1566</v>
      </c>
      <c r="CF218" s="3">
        <v>0</v>
      </c>
      <c r="CG218" s="3">
        <v>0</v>
      </c>
      <c r="CM218" s="3">
        <v>0</v>
      </c>
      <c r="CN218" s="3" t="s">
        <v>3</v>
      </c>
      <c r="CO218" s="3">
        <v>0</v>
      </c>
      <c r="CP218" s="3">
        <f t="shared" si="233"/>
        <v>588677.69999999995</v>
      </c>
      <c r="CQ218" s="3">
        <f t="shared" si="234"/>
        <v>732.19</v>
      </c>
      <c r="CR218" s="3">
        <f t="shared" si="258"/>
        <v>0</v>
      </c>
      <c r="CS218" s="3">
        <f t="shared" si="259"/>
        <v>0</v>
      </c>
      <c r="CT218" s="3">
        <f t="shared" si="235"/>
        <v>0</v>
      </c>
      <c r="CU218" s="3">
        <f t="shared" si="236"/>
        <v>0</v>
      </c>
      <c r="CV218" s="3">
        <f t="shared" si="237"/>
        <v>0</v>
      </c>
      <c r="CW218" s="3">
        <f t="shared" si="238"/>
        <v>0</v>
      </c>
      <c r="CX218" s="3">
        <f t="shared" si="239"/>
        <v>0</v>
      </c>
      <c r="CY218" s="3">
        <f t="shared" si="260"/>
        <v>0</v>
      </c>
      <c r="CZ218" s="3">
        <f t="shared" si="261"/>
        <v>0</v>
      </c>
      <c r="DC218" s="3" t="s">
        <v>3</v>
      </c>
      <c r="DD218" s="3" t="s">
        <v>3</v>
      </c>
      <c r="DE218" s="3" t="s">
        <v>3</v>
      </c>
      <c r="DF218" s="3" t="s">
        <v>3</v>
      </c>
      <c r="DG218" s="3" t="s">
        <v>3</v>
      </c>
      <c r="DH218" s="3" t="s">
        <v>3</v>
      </c>
      <c r="DI218" s="3" t="s">
        <v>3</v>
      </c>
      <c r="DJ218" s="3" t="s">
        <v>3</v>
      </c>
      <c r="DK218" s="3" t="s">
        <v>3</v>
      </c>
      <c r="DL218" s="3" t="s">
        <v>3</v>
      </c>
      <c r="DM218" s="3" t="s">
        <v>3</v>
      </c>
      <c r="DN218" s="3">
        <v>0</v>
      </c>
      <c r="DO218" s="3">
        <v>0</v>
      </c>
      <c r="DP218" s="3">
        <v>1</v>
      </c>
      <c r="DQ218" s="3">
        <v>1</v>
      </c>
      <c r="DU218" s="3">
        <v>1003</v>
      </c>
      <c r="DV218" s="3" t="s">
        <v>179</v>
      </c>
      <c r="DW218" s="3" t="s">
        <v>179</v>
      </c>
      <c r="DX218" s="3">
        <v>1</v>
      </c>
      <c r="DZ218" s="3" t="s">
        <v>3</v>
      </c>
      <c r="EA218" s="3" t="s">
        <v>3</v>
      </c>
      <c r="EB218" s="3" t="s">
        <v>3</v>
      </c>
      <c r="EC218" s="3" t="s">
        <v>3</v>
      </c>
      <c r="EE218" s="3">
        <v>85133422</v>
      </c>
      <c r="EF218" s="3">
        <v>40</v>
      </c>
      <c r="EG218" s="3" t="s">
        <v>27</v>
      </c>
      <c r="EH218" s="3">
        <v>0</v>
      </c>
      <c r="EI218" s="3" t="s">
        <v>3</v>
      </c>
      <c r="EJ218" s="3">
        <v>2</v>
      </c>
      <c r="EK218" s="3">
        <v>73</v>
      </c>
      <c r="EL218" s="3" t="s">
        <v>62</v>
      </c>
      <c r="EM218" s="3" t="s">
        <v>63</v>
      </c>
      <c r="EO218" s="3" t="s">
        <v>3</v>
      </c>
      <c r="EQ218" s="3">
        <v>1024</v>
      </c>
      <c r="ER218" s="3">
        <v>61.58</v>
      </c>
      <c r="ES218" s="3">
        <v>61.58</v>
      </c>
      <c r="ET218" s="3">
        <v>0</v>
      </c>
      <c r="EU218" s="3">
        <v>0</v>
      </c>
      <c r="EV218" s="3">
        <v>0</v>
      </c>
      <c r="EW218" s="3">
        <v>0</v>
      </c>
      <c r="EX218" s="3">
        <v>0</v>
      </c>
      <c r="FQ218" s="3">
        <v>0</v>
      </c>
      <c r="FR218" s="3">
        <v>0</v>
      </c>
      <c r="FS218" s="3">
        <v>0</v>
      </c>
      <c r="FX218" s="3">
        <v>90</v>
      </c>
      <c r="FY218" s="3">
        <v>46</v>
      </c>
      <c r="GA218" s="3" t="s">
        <v>3</v>
      </c>
      <c r="GD218" s="3">
        <v>1</v>
      </c>
      <c r="GF218" s="3">
        <v>-2119850974</v>
      </c>
      <c r="GG218" s="3">
        <v>2</v>
      </c>
      <c r="GH218" s="3">
        <v>1</v>
      </c>
      <c r="GI218" s="3">
        <v>2</v>
      </c>
      <c r="GJ218" s="3">
        <v>0</v>
      </c>
      <c r="GK218" s="3">
        <v>0</v>
      </c>
      <c r="GL218" s="3">
        <f t="shared" si="240"/>
        <v>0</v>
      </c>
      <c r="GM218" s="3">
        <f t="shared" si="241"/>
        <v>588677.69999999995</v>
      </c>
      <c r="GN218" s="3">
        <f t="shared" si="242"/>
        <v>0</v>
      </c>
      <c r="GO218" s="3">
        <f t="shared" si="243"/>
        <v>588677.69999999995</v>
      </c>
      <c r="GP218" s="3">
        <f t="shared" si="244"/>
        <v>0</v>
      </c>
      <c r="GR218" s="3">
        <v>0</v>
      </c>
      <c r="GS218" s="3">
        <v>3</v>
      </c>
      <c r="GT218" s="3">
        <v>0</v>
      </c>
      <c r="GU218" s="3" t="s">
        <v>3</v>
      </c>
      <c r="GV218" s="3">
        <f t="shared" si="245"/>
        <v>0</v>
      </c>
      <c r="GW218" s="3">
        <v>1</v>
      </c>
      <c r="GX218" s="3">
        <f t="shared" si="246"/>
        <v>0</v>
      </c>
      <c r="HA218" s="3">
        <v>0</v>
      </c>
      <c r="HB218" s="3">
        <v>0</v>
      </c>
      <c r="HC218" s="3">
        <f t="shared" si="247"/>
        <v>0</v>
      </c>
      <c r="HE218" s="3" t="s">
        <v>3</v>
      </c>
      <c r="HF218" s="3" t="s">
        <v>3</v>
      </c>
      <c r="HM218" s="3" t="s">
        <v>3</v>
      </c>
      <c r="HN218" s="3" t="s">
        <v>3</v>
      </c>
      <c r="HO218" s="3" t="s">
        <v>3</v>
      </c>
      <c r="HP218" s="3" t="s">
        <v>3</v>
      </c>
      <c r="HQ218" s="3" t="s">
        <v>3</v>
      </c>
      <c r="HS218" s="3">
        <v>0</v>
      </c>
      <c r="IK218" s="3">
        <v>0</v>
      </c>
    </row>
    <row r="219" spans="1:255" x14ac:dyDescent="0.2">
      <c r="A219" s="2">
        <v>18</v>
      </c>
      <c r="B219" s="2">
        <v>1</v>
      </c>
      <c r="C219" s="2">
        <v>529</v>
      </c>
      <c r="D219" s="2"/>
      <c r="E219" s="2" t="s">
        <v>3</v>
      </c>
      <c r="F219" s="2" t="s">
        <v>206</v>
      </c>
      <c r="G219" s="2" t="s">
        <v>207</v>
      </c>
      <c r="H219" s="2" t="s">
        <v>179</v>
      </c>
      <c r="I219" s="2">
        <f>I215*J219</f>
        <v>904.5</v>
      </c>
      <c r="J219" s="2">
        <v>476.0526315789474</v>
      </c>
      <c r="K219" s="2">
        <v>476.05263159999998</v>
      </c>
      <c r="L219" s="2"/>
      <c r="M219" s="2"/>
      <c r="N219" s="2"/>
      <c r="O219" s="2">
        <f t="shared" si="223"/>
        <v>46382.76</v>
      </c>
      <c r="P219" s="2">
        <f t="shared" si="224"/>
        <v>46382.76</v>
      </c>
      <c r="Q219" s="2">
        <f t="shared" si="248"/>
        <v>0</v>
      </c>
      <c r="R219" s="2">
        <f t="shared" si="249"/>
        <v>0</v>
      </c>
      <c r="S219" s="2">
        <f t="shared" si="225"/>
        <v>0</v>
      </c>
      <c r="T219" s="2">
        <f t="shared" si="226"/>
        <v>0</v>
      </c>
      <c r="U219" s="2">
        <f t="shared" si="227"/>
        <v>0</v>
      </c>
      <c r="V219" s="2">
        <f t="shared" si="228"/>
        <v>0</v>
      </c>
      <c r="W219" s="2">
        <f t="shared" si="229"/>
        <v>0</v>
      </c>
      <c r="X219" s="2">
        <f t="shared" si="250"/>
        <v>0</v>
      </c>
      <c r="Y219" s="2">
        <f t="shared" si="251"/>
        <v>0</v>
      </c>
      <c r="Z219" s="2"/>
      <c r="AA219" s="2">
        <v>-1</v>
      </c>
      <c r="AB219" s="2">
        <f t="shared" si="230"/>
        <v>51.28</v>
      </c>
      <c r="AC219" s="2">
        <f t="shared" si="252"/>
        <v>51.28</v>
      </c>
      <c r="AD219" s="2">
        <f t="shared" si="253"/>
        <v>0</v>
      </c>
      <c r="AE219" s="2">
        <f t="shared" si="254"/>
        <v>0</v>
      </c>
      <c r="AF219" s="2">
        <f t="shared" si="255"/>
        <v>0</v>
      </c>
      <c r="AG219" s="2">
        <f t="shared" si="231"/>
        <v>0</v>
      </c>
      <c r="AH219" s="2">
        <f t="shared" si="256"/>
        <v>0</v>
      </c>
      <c r="AI219" s="2">
        <f t="shared" si="257"/>
        <v>0</v>
      </c>
      <c r="AJ219" s="2">
        <f t="shared" si="232"/>
        <v>0</v>
      </c>
      <c r="AK219" s="2">
        <v>51.28</v>
      </c>
      <c r="AL219" s="2">
        <v>51.28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90</v>
      </c>
      <c r="AU219" s="2">
        <v>46</v>
      </c>
      <c r="AV219" s="2">
        <v>1</v>
      </c>
      <c r="AW219" s="2">
        <v>1</v>
      </c>
      <c r="AX219" s="2"/>
      <c r="AY219" s="2"/>
      <c r="AZ219" s="2">
        <v>1</v>
      </c>
      <c r="BA219" s="2">
        <v>1</v>
      </c>
      <c r="BB219" s="2">
        <v>1</v>
      </c>
      <c r="BC219" s="2">
        <v>1</v>
      </c>
      <c r="BD219" s="2" t="s">
        <v>3</v>
      </c>
      <c r="BE219" s="2" t="s">
        <v>3</v>
      </c>
      <c r="BF219" s="2" t="s">
        <v>3</v>
      </c>
      <c r="BG219" s="2" t="s">
        <v>3</v>
      </c>
      <c r="BH219" s="2">
        <v>3</v>
      </c>
      <c r="BI219" s="2">
        <v>2</v>
      </c>
      <c r="BJ219" s="2" t="s">
        <v>208</v>
      </c>
      <c r="BK219" s="2"/>
      <c r="BL219" s="2"/>
      <c r="BM219" s="2">
        <v>73</v>
      </c>
      <c r="BN219" s="2">
        <v>0</v>
      </c>
      <c r="BO219" s="2" t="s">
        <v>3</v>
      </c>
      <c r="BP219" s="2">
        <v>0</v>
      </c>
      <c r="BQ219" s="2">
        <v>40</v>
      </c>
      <c r="BR219" s="2">
        <v>0</v>
      </c>
      <c r="BS219" s="2">
        <v>1</v>
      </c>
      <c r="BT219" s="2">
        <v>1</v>
      </c>
      <c r="BU219" s="2">
        <v>1</v>
      </c>
      <c r="BV219" s="2">
        <v>1</v>
      </c>
      <c r="BW219" s="2">
        <v>1</v>
      </c>
      <c r="BX219" s="2">
        <v>1</v>
      </c>
      <c r="BY219" s="2" t="s">
        <v>3</v>
      </c>
      <c r="BZ219" s="2">
        <v>90</v>
      </c>
      <c r="CA219" s="2">
        <v>46</v>
      </c>
      <c r="CB219" s="2" t="s">
        <v>3</v>
      </c>
      <c r="CC219" s="2"/>
      <c r="CD219" s="2"/>
      <c r="CE219" s="2">
        <v>1566</v>
      </c>
      <c r="CF219" s="2">
        <v>0</v>
      </c>
      <c r="CG219" s="2">
        <v>0</v>
      </c>
      <c r="CH219" s="2"/>
      <c r="CI219" s="2"/>
      <c r="CJ219" s="2"/>
      <c r="CK219" s="2"/>
      <c r="CL219" s="2"/>
      <c r="CM219" s="2">
        <v>0</v>
      </c>
      <c r="CN219" s="2" t="s">
        <v>3</v>
      </c>
      <c r="CO219" s="2">
        <v>0</v>
      </c>
      <c r="CP219" s="2">
        <f t="shared" si="233"/>
        <v>46382.76</v>
      </c>
      <c r="CQ219" s="2">
        <f t="shared" si="234"/>
        <v>51.28</v>
      </c>
      <c r="CR219" s="2">
        <f t="shared" si="258"/>
        <v>0</v>
      </c>
      <c r="CS219" s="2">
        <f t="shared" si="259"/>
        <v>0</v>
      </c>
      <c r="CT219" s="2">
        <f t="shared" si="235"/>
        <v>0</v>
      </c>
      <c r="CU219" s="2">
        <f t="shared" si="236"/>
        <v>0</v>
      </c>
      <c r="CV219" s="2">
        <f t="shared" si="237"/>
        <v>0</v>
      </c>
      <c r="CW219" s="2">
        <f t="shared" si="238"/>
        <v>0</v>
      </c>
      <c r="CX219" s="2">
        <f t="shared" si="239"/>
        <v>0</v>
      </c>
      <c r="CY219" s="2">
        <f t="shared" si="260"/>
        <v>0</v>
      </c>
      <c r="CZ219" s="2">
        <f t="shared" si="261"/>
        <v>0</v>
      </c>
      <c r="DA219" s="2"/>
      <c r="DB219" s="2"/>
      <c r="DC219" s="2" t="s">
        <v>3</v>
      </c>
      <c r="DD219" s="2" t="s">
        <v>3</v>
      </c>
      <c r="DE219" s="2" t="s">
        <v>3</v>
      </c>
      <c r="DF219" s="2" t="s">
        <v>3</v>
      </c>
      <c r="DG219" s="2" t="s">
        <v>3</v>
      </c>
      <c r="DH219" s="2" t="s">
        <v>3</v>
      </c>
      <c r="DI219" s="2" t="s">
        <v>3</v>
      </c>
      <c r="DJ219" s="2" t="s">
        <v>3</v>
      </c>
      <c r="DK219" s="2" t="s">
        <v>3</v>
      </c>
      <c r="DL219" s="2" t="s">
        <v>3</v>
      </c>
      <c r="DM219" s="2" t="s">
        <v>3</v>
      </c>
      <c r="DN219" s="2">
        <v>0</v>
      </c>
      <c r="DO219" s="2">
        <v>0</v>
      </c>
      <c r="DP219" s="2">
        <v>1</v>
      </c>
      <c r="DQ219" s="2">
        <v>1</v>
      </c>
      <c r="DR219" s="2"/>
      <c r="DS219" s="2"/>
      <c r="DT219" s="2"/>
      <c r="DU219" s="2">
        <v>1003</v>
      </c>
      <c r="DV219" s="2" t="s">
        <v>179</v>
      </c>
      <c r="DW219" s="2" t="s">
        <v>179</v>
      </c>
      <c r="DX219" s="2">
        <v>1</v>
      </c>
      <c r="DY219" s="2"/>
      <c r="DZ219" s="2" t="s">
        <v>3</v>
      </c>
      <c r="EA219" s="2" t="s">
        <v>3</v>
      </c>
      <c r="EB219" s="2" t="s">
        <v>3</v>
      </c>
      <c r="EC219" s="2" t="s">
        <v>3</v>
      </c>
      <c r="ED219" s="2"/>
      <c r="EE219" s="2">
        <v>85133422</v>
      </c>
      <c r="EF219" s="2">
        <v>40</v>
      </c>
      <c r="EG219" s="2" t="s">
        <v>27</v>
      </c>
      <c r="EH219" s="2">
        <v>0</v>
      </c>
      <c r="EI219" s="2" t="s">
        <v>3</v>
      </c>
      <c r="EJ219" s="2">
        <v>2</v>
      </c>
      <c r="EK219" s="2">
        <v>73</v>
      </c>
      <c r="EL219" s="2" t="s">
        <v>62</v>
      </c>
      <c r="EM219" s="2" t="s">
        <v>63</v>
      </c>
      <c r="EN219" s="2"/>
      <c r="EO219" s="2" t="s">
        <v>3</v>
      </c>
      <c r="EP219" s="2"/>
      <c r="EQ219" s="2">
        <v>1024</v>
      </c>
      <c r="ER219" s="2">
        <v>51.28</v>
      </c>
      <c r="ES219" s="2">
        <v>51.28</v>
      </c>
      <c r="ET219" s="2">
        <v>0</v>
      </c>
      <c r="EU219" s="2">
        <v>0</v>
      </c>
      <c r="EV219" s="2">
        <v>0</v>
      </c>
      <c r="EW219" s="2">
        <v>0</v>
      </c>
      <c r="EX219" s="2">
        <v>0</v>
      </c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>
        <v>0</v>
      </c>
      <c r="FR219" s="2">
        <v>0</v>
      </c>
      <c r="FS219" s="2">
        <v>0</v>
      </c>
      <c r="FT219" s="2"/>
      <c r="FU219" s="2"/>
      <c r="FV219" s="2"/>
      <c r="FW219" s="2"/>
      <c r="FX219" s="2">
        <v>90</v>
      </c>
      <c r="FY219" s="2">
        <v>46</v>
      </c>
      <c r="FZ219" s="2"/>
      <c r="GA219" s="2" t="s">
        <v>3</v>
      </c>
      <c r="GB219" s="2"/>
      <c r="GC219" s="2"/>
      <c r="GD219" s="2">
        <v>1</v>
      </c>
      <c r="GE219" s="2"/>
      <c r="GF219" s="2">
        <v>-173671470</v>
      </c>
      <c r="GG219" s="2">
        <v>2</v>
      </c>
      <c r="GH219" s="2">
        <v>1</v>
      </c>
      <c r="GI219" s="2">
        <v>-2</v>
      </c>
      <c r="GJ219" s="2">
        <v>0</v>
      </c>
      <c r="GK219" s="2">
        <v>0</v>
      </c>
      <c r="GL219" s="2">
        <f t="shared" si="240"/>
        <v>0</v>
      </c>
      <c r="GM219" s="2">
        <f t="shared" si="241"/>
        <v>46382.76</v>
      </c>
      <c r="GN219" s="2">
        <f t="shared" si="242"/>
        <v>0</v>
      </c>
      <c r="GO219" s="2">
        <f t="shared" si="243"/>
        <v>46382.76</v>
      </c>
      <c r="GP219" s="2">
        <f t="shared" si="244"/>
        <v>0</v>
      </c>
      <c r="GQ219" s="2"/>
      <c r="GR219" s="2">
        <v>0</v>
      </c>
      <c r="GS219" s="2">
        <v>3</v>
      </c>
      <c r="GT219" s="2">
        <v>0</v>
      </c>
      <c r="GU219" s="2" t="s">
        <v>3</v>
      </c>
      <c r="GV219" s="2">
        <f t="shared" si="245"/>
        <v>0</v>
      </c>
      <c r="GW219" s="2">
        <v>1</v>
      </c>
      <c r="GX219" s="2">
        <f t="shared" si="246"/>
        <v>0</v>
      </c>
      <c r="GY219" s="2"/>
      <c r="GZ219" s="2"/>
      <c r="HA219" s="2">
        <v>0</v>
      </c>
      <c r="HB219" s="2">
        <v>0</v>
      </c>
      <c r="HC219" s="2">
        <f t="shared" si="247"/>
        <v>0</v>
      </c>
      <c r="HD219" s="2"/>
      <c r="HE219" s="2" t="s">
        <v>3</v>
      </c>
      <c r="HF219" s="2" t="s">
        <v>3</v>
      </c>
      <c r="HG219" s="2"/>
      <c r="HH219" s="2"/>
      <c r="HI219" s="2"/>
      <c r="HJ219" s="2"/>
      <c r="HK219" s="2"/>
      <c r="HL219" s="2"/>
      <c r="HM219" s="2" t="s">
        <v>3</v>
      </c>
      <c r="HN219" s="2" t="s">
        <v>3</v>
      </c>
      <c r="HO219" s="2" t="s">
        <v>3</v>
      </c>
      <c r="HP219" s="2" t="s">
        <v>3</v>
      </c>
      <c r="HQ219" s="2" t="s">
        <v>3</v>
      </c>
      <c r="HR219" s="2"/>
      <c r="HS219" s="2">
        <v>0</v>
      </c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>
        <v>0</v>
      </c>
      <c r="IL219" s="2"/>
      <c r="IM219" s="2"/>
      <c r="IN219" s="2"/>
      <c r="IO219" s="2"/>
      <c r="IP219" s="2"/>
      <c r="IQ219" s="2"/>
      <c r="IR219" s="2"/>
      <c r="IS219" s="2"/>
      <c r="IT219" s="2"/>
      <c r="IU219" s="2"/>
    </row>
    <row r="220" spans="1:255" x14ac:dyDescent="0.2">
      <c r="A220" s="3">
        <v>18</v>
      </c>
      <c r="B220" s="3">
        <v>1</v>
      </c>
      <c r="C220" s="3">
        <v>546</v>
      </c>
      <c r="E220" s="3" t="s">
        <v>3</v>
      </c>
      <c r="F220" s="3" t="s">
        <v>206</v>
      </c>
      <c r="G220" s="3" t="s">
        <v>207</v>
      </c>
      <c r="H220" s="3" t="s">
        <v>179</v>
      </c>
      <c r="I220" s="3">
        <f>I216*J220</f>
        <v>904.5</v>
      </c>
      <c r="J220" s="3">
        <v>476.0526315789474</v>
      </c>
      <c r="K220" s="3">
        <v>476.05263159999998</v>
      </c>
      <c r="O220" s="3">
        <f t="shared" si="223"/>
        <v>961050.79</v>
      </c>
      <c r="P220" s="3">
        <f t="shared" si="224"/>
        <v>961050.79</v>
      </c>
      <c r="Q220" s="3">
        <f t="shared" si="248"/>
        <v>0</v>
      </c>
      <c r="R220" s="3">
        <f t="shared" si="249"/>
        <v>0</v>
      </c>
      <c r="S220" s="3">
        <f t="shared" si="225"/>
        <v>0</v>
      </c>
      <c r="T220" s="3">
        <f t="shared" si="226"/>
        <v>0</v>
      </c>
      <c r="U220" s="3">
        <f t="shared" si="227"/>
        <v>0</v>
      </c>
      <c r="V220" s="3">
        <f t="shared" si="228"/>
        <v>0</v>
      </c>
      <c r="W220" s="3">
        <f t="shared" si="229"/>
        <v>0</v>
      </c>
      <c r="X220" s="3">
        <f t="shared" si="250"/>
        <v>0</v>
      </c>
      <c r="Y220" s="3">
        <f t="shared" si="251"/>
        <v>0</v>
      </c>
      <c r="AA220" s="3">
        <v>-1</v>
      </c>
      <c r="AB220" s="3">
        <f t="shared" si="230"/>
        <v>51.28</v>
      </c>
      <c r="AC220" s="3">
        <f t="shared" si="252"/>
        <v>51.28</v>
      </c>
      <c r="AD220" s="3">
        <f t="shared" si="253"/>
        <v>0</v>
      </c>
      <c r="AE220" s="3">
        <f t="shared" si="254"/>
        <v>0</v>
      </c>
      <c r="AF220" s="3">
        <f t="shared" si="255"/>
        <v>0</v>
      </c>
      <c r="AG220" s="3">
        <f t="shared" si="231"/>
        <v>0</v>
      </c>
      <c r="AH220" s="3">
        <f t="shared" si="256"/>
        <v>0</v>
      </c>
      <c r="AI220" s="3">
        <f t="shared" si="257"/>
        <v>0</v>
      </c>
      <c r="AJ220" s="3">
        <f t="shared" si="232"/>
        <v>0</v>
      </c>
      <c r="AK220" s="3">
        <v>51.28</v>
      </c>
      <c r="AL220" s="3">
        <v>51.28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90</v>
      </c>
      <c r="AU220" s="3">
        <v>46</v>
      </c>
      <c r="AV220" s="3">
        <v>1</v>
      </c>
      <c r="AW220" s="3">
        <v>1</v>
      </c>
      <c r="AZ220" s="3">
        <v>1</v>
      </c>
      <c r="BA220" s="3">
        <v>1</v>
      </c>
      <c r="BB220" s="3">
        <v>1</v>
      </c>
      <c r="BC220" s="3">
        <v>20.72</v>
      </c>
      <c r="BD220" s="3" t="s">
        <v>3</v>
      </c>
      <c r="BE220" s="3" t="s">
        <v>3</v>
      </c>
      <c r="BF220" s="3" t="s">
        <v>3</v>
      </c>
      <c r="BG220" s="3" t="s">
        <v>3</v>
      </c>
      <c r="BH220" s="3">
        <v>3</v>
      </c>
      <c r="BI220" s="3">
        <v>2</v>
      </c>
      <c r="BJ220" s="3" t="s">
        <v>208</v>
      </c>
      <c r="BM220" s="3">
        <v>73</v>
      </c>
      <c r="BN220" s="3">
        <v>0</v>
      </c>
      <c r="BO220" s="3" t="s">
        <v>206</v>
      </c>
      <c r="BP220" s="3">
        <v>1</v>
      </c>
      <c r="BQ220" s="3">
        <v>40</v>
      </c>
      <c r="BR220" s="3">
        <v>0</v>
      </c>
      <c r="BS220" s="3">
        <v>1</v>
      </c>
      <c r="BT220" s="3">
        <v>1</v>
      </c>
      <c r="BU220" s="3">
        <v>1</v>
      </c>
      <c r="BV220" s="3">
        <v>1</v>
      </c>
      <c r="BW220" s="3">
        <v>1</v>
      </c>
      <c r="BX220" s="3">
        <v>1</v>
      </c>
      <c r="BY220" s="3" t="s">
        <v>3</v>
      </c>
      <c r="BZ220" s="3">
        <v>90</v>
      </c>
      <c r="CA220" s="3">
        <v>46</v>
      </c>
      <c r="CB220" s="3" t="s">
        <v>3</v>
      </c>
      <c r="CE220" s="3">
        <v>1566</v>
      </c>
      <c r="CF220" s="3">
        <v>0</v>
      </c>
      <c r="CG220" s="3">
        <v>0</v>
      </c>
      <c r="CM220" s="3">
        <v>0</v>
      </c>
      <c r="CN220" s="3" t="s">
        <v>3</v>
      </c>
      <c r="CO220" s="3">
        <v>0</v>
      </c>
      <c r="CP220" s="3">
        <f t="shared" si="233"/>
        <v>961050.79</v>
      </c>
      <c r="CQ220" s="3">
        <f t="shared" si="234"/>
        <v>1062.52</v>
      </c>
      <c r="CR220" s="3">
        <f t="shared" si="258"/>
        <v>0</v>
      </c>
      <c r="CS220" s="3">
        <f t="shared" si="259"/>
        <v>0</v>
      </c>
      <c r="CT220" s="3">
        <f t="shared" si="235"/>
        <v>0</v>
      </c>
      <c r="CU220" s="3">
        <f t="shared" si="236"/>
        <v>0</v>
      </c>
      <c r="CV220" s="3">
        <f t="shared" si="237"/>
        <v>0</v>
      </c>
      <c r="CW220" s="3">
        <f t="shared" si="238"/>
        <v>0</v>
      </c>
      <c r="CX220" s="3">
        <f t="shared" si="239"/>
        <v>0</v>
      </c>
      <c r="CY220" s="3">
        <f t="shared" si="260"/>
        <v>0</v>
      </c>
      <c r="CZ220" s="3">
        <f t="shared" si="261"/>
        <v>0</v>
      </c>
      <c r="DC220" s="3" t="s">
        <v>3</v>
      </c>
      <c r="DD220" s="3" t="s">
        <v>3</v>
      </c>
      <c r="DE220" s="3" t="s">
        <v>3</v>
      </c>
      <c r="DF220" s="3" t="s">
        <v>3</v>
      </c>
      <c r="DG220" s="3" t="s">
        <v>3</v>
      </c>
      <c r="DH220" s="3" t="s">
        <v>3</v>
      </c>
      <c r="DI220" s="3" t="s">
        <v>3</v>
      </c>
      <c r="DJ220" s="3" t="s">
        <v>3</v>
      </c>
      <c r="DK220" s="3" t="s">
        <v>3</v>
      </c>
      <c r="DL220" s="3" t="s">
        <v>3</v>
      </c>
      <c r="DM220" s="3" t="s">
        <v>3</v>
      </c>
      <c r="DN220" s="3">
        <v>0</v>
      </c>
      <c r="DO220" s="3">
        <v>0</v>
      </c>
      <c r="DP220" s="3">
        <v>1</v>
      </c>
      <c r="DQ220" s="3">
        <v>1</v>
      </c>
      <c r="DU220" s="3">
        <v>1003</v>
      </c>
      <c r="DV220" s="3" t="s">
        <v>179</v>
      </c>
      <c r="DW220" s="3" t="s">
        <v>179</v>
      </c>
      <c r="DX220" s="3">
        <v>1</v>
      </c>
      <c r="DZ220" s="3" t="s">
        <v>3</v>
      </c>
      <c r="EA220" s="3" t="s">
        <v>3</v>
      </c>
      <c r="EB220" s="3" t="s">
        <v>3</v>
      </c>
      <c r="EC220" s="3" t="s">
        <v>3</v>
      </c>
      <c r="EE220" s="3">
        <v>85133422</v>
      </c>
      <c r="EF220" s="3">
        <v>40</v>
      </c>
      <c r="EG220" s="3" t="s">
        <v>27</v>
      </c>
      <c r="EH220" s="3">
        <v>0</v>
      </c>
      <c r="EI220" s="3" t="s">
        <v>3</v>
      </c>
      <c r="EJ220" s="3">
        <v>2</v>
      </c>
      <c r="EK220" s="3">
        <v>73</v>
      </c>
      <c r="EL220" s="3" t="s">
        <v>62</v>
      </c>
      <c r="EM220" s="3" t="s">
        <v>63</v>
      </c>
      <c r="EO220" s="3" t="s">
        <v>3</v>
      </c>
      <c r="EQ220" s="3">
        <v>1024</v>
      </c>
      <c r="ER220" s="3">
        <v>51.28</v>
      </c>
      <c r="ES220" s="3">
        <v>51.28</v>
      </c>
      <c r="ET220" s="3">
        <v>0</v>
      </c>
      <c r="EU220" s="3">
        <v>0</v>
      </c>
      <c r="EV220" s="3">
        <v>0</v>
      </c>
      <c r="EW220" s="3">
        <v>0</v>
      </c>
      <c r="EX220" s="3">
        <v>0</v>
      </c>
      <c r="FQ220" s="3">
        <v>0</v>
      </c>
      <c r="FR220" s="3">
        <v>0</v>
      </c>
      <c r="FS220" s="3">
        <v>0</v>
      </c>
      <c r="FX220" s="3">
        <v>90</v>
      </c>
      <c r="FY220" s="3">
        <v>46</v>
      </c>
      <c r="GA220" s="3" t="s">
        <v>3</v>
      </c>
      <c r="GD220" s="3">
        <v>1</v>
      </c>
      <c r="GF220" s="3">
        <v>-173671470</v>
      </c>
      <c r="GG220" s="3">
        <v>2</v>
      </c>
      <c r="GH220" s="3">
        <v>1</v>
      </c>
      <c r="GI220" s="3">
        <v>2</v>
      </c>
      <c r="GJ220" s="3">
        <v>0</v>
      </c>
      <c r="GK220" s="3">
        <v>0</v>
      </c>
      <c r="GL220" s="3">
        <f t="shared" si="240"/>
        <v>0</v>
      </c>
      <c r="GM220" s="3">
        <f t="shared" si="241"/>
        <v>961050.79</v>
      </c>
      <c r="GN220" s="3">
        <f t="shared" si="242"/>
        <v>0</v>
      </c>
      <c r="GO220" s="3">
        <f t="shared" si="243"/>
        <v>961050.79</v>
      </c>
      <c r="GP220" s="3">
        <f t="shared" si="244"/>
        <v>0</v>
      </c>
      <c r="GR220" s="3">
        <v>0</v>
      </c>
      <c r="GS220" s="3">
        <v>3</v>
      </c>
      <c r="GT220" s="3">
        <v>0</v>
      </c>
      <c r="GU220" s="3" t="s">
        <v>3</v>
      </c>
      <c r="GV220" s="3">
        <f t="shared" si="245"/>
        <v>0</v>
      </c>
      <c r="GW220" s="3">
        <v>1</v>
      </c>
      <c r="GX220" s="3">
        <f t="shared" si="246"/>
        <v>0</v>
      </c>
      <c r="HA220" s="3">
        <v>0</v>
      </c>
      <c r="HB220" s="3">
        <v>0</v>
      </c>
      <c r="HC220" s="3">
        <f t="shared" si="247"/>
        <v>0</v>
      </c>
      <c r="HE220" s="3" t="s">
        <v>3</v>
      </c>
      <c r="HF220" s="3" t="s">
        <v>3</v>
      </c>
      <c r="HM220" s="3" t="s">
        <v>3</v>
      </c>
      <c r="HN220" s="3" t="s">
        <v>3</v>
      </c>
      <c r="HO220" s="3" t="s">
        <v>3</v>
      </c>
      <c r="HP220" s="3" t="s">
        <v>3</v>
      </c>
      <c r="HQ220" s="3" t="s">
        <v>3</v>
      </c>
      <c r="HS220" s="3">
        <v>0</v>
      </c>
      <c r="IK220" s="3">
        <v>0</v>
      </c>
    </row>
    <row r="221" spans="1:255" x14ac:dyDescent="0.2">
      <c r="A221" s="2">
        <v>18</v>
      </c>
      <c r="B221" s="2">
        <v>1</v>
      </c>
      <c r="C221" s="2">
        <v>528</v>
      </c>
      <c r="D221" s="2"/>
      <c r="E221" s="2" t="s">
        <v>3</v>
      </c>
      <c r="F221" s="2" t="s">
        <v>209</v>
      </c>
      <c r="G221" s="2" t="s">
        <v>210</v>
      </c>
      <c r="H221" s="2" t="s">
        <v>179</v>
      </c>
      <c r="I221" s="2">
        <f>I215*J221</f>
        <v>201</v>
      </c>
      <c r="J221" s="2">
        <v>105.78947368421053</v>
      </c>
      <c r="K221" s="2">
        <v>105.7894737</v>
      </c>
      <c r="L221" s="2"/>
      <c r="M221" s="2"/>
      <c r="N221" s="2"/>
      <c r="O221" s="2">
        <f t="shared" si="223"/>
        <v>8355.57</v>
      </c>
      <c r="P221" s="2">
        <f t="shared" si="224"/>
        <v>8355.57</v>
      </c>
      <c r="Q221" s="2">
        <f t="shared" si="248"/>
        <v>0</v>
      </c>
      <c r="R221" s="2">
        <f t="shared" si="249"/>
        <v>0</v>
      </c>
      <c r="S221" s="2">
        <f t="shared" si="225"/>
        <v>0</v>
      </c>
      <c r="T221" s="2">
        <f t="shared" si="226"/>
        <v>0</v>
      </c>
      <c r="U221" s="2">
        <f t="shared" si="227"/>
        <v>0</v>
      </c>
      <c r="V221" s="2">
        <f t="shared" si="228"/>
        <v>0</v>
      </c>
      <c r="W221" s="2">
        <f t="shared" si="229"/>
        <v>0</v>
      </c>
      <c r="X221" s="2">
        <f t="shared" si="250"/>
        <v>0</v>
      </c>
      <c r="Y221" s="2">
        <f t="shared" si="251"/>
        <v>0</v>
      </c>
      <c r="Z221" s="2"/>
      <c r="AA221" s="2">
        <v>-1</v>
      </c>
      <c r="AB221" s="2">
        <f t="shared" si="230"/>
        <v>41.57</v>
      </c>
      <c r="AC221" s="2">
        <f t="shared" si="252"/>
        <v>41.57</v>
      </c>
      <c r="AD221" s="2">
        <f t="shared" si="253"/>
        <v>0</v>
      </c>
      <c r="AE221" s="2">
        <f t="shared" si="254"/>
        <v>0</v>
      </c>
      <c r="AF221" s="2">
        <f t="shared" si="255"/>
        <v>0</v>
      </c>
      <c r="AG221" s="2">
        <f t="shared" si="231"/>
        <v>0</v>
      </c>
      <c r="AH221" s="2">
        <f t="shared" si="256"/>
        <v>0</v>
      </c>
      <c r="AI221" s="2">
        <f t="shared" si="257"/>
        <v>0</v>
      </c>
      <c r="AJ221" s="2">
        <f t="shared" si="232"/>
        <v>0</v>
      </c>
      <c r="AK221" s="2">
        <v>41.57</v>
      </c>
      <c r="AL221" s="2">
        <v>41.57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90</v>
      </c>
      <c r="AU221" s="2">
        <v>46</v>
      </c>
      <c r="AV221" s="2">
        <v>1</v>
      </c>
      <c r="AW221" s="2">
        <v>1</v>
      </c>
      <c r="AX221" s="2"/>
      <c r="AY221" s="2"/>
      <c r="AZ221" s="2">
        <v>1</v>
      </c>
      <c r="BA221" s="2">
        <v>1</v>
      </c>
      <c r="BB221" s="2">
        <v>1</v>
      </c>
      <c r="BC221" s="2">
        <v>1</v>
      </c>
      <c r="BD221" s="2" t="s">
        <v>3</v>
      </c>
      <c r="BE221" s="2" t="s">
        <v>3</v>
      </c>
      <c r="BF221" s="2" t="s">
        <v>3</v>
      </c>
      <c r="BG221" s="2" t="s">
        <v>3</v>
      </c>
      <c r="BH221" s="2">
        <v>3</v>
      </c>
      <c r="BI221" s="2">
        <v>2</v>
      </c>
      <c r="BJ221" s="2" t="s">
        <v>211</v>
      </c>
      <c r="BK221" s="2"/>
      <c r="BL221" s="2"/>
      <c r="BM221" s="2">
        <v>73</v>
      </c>
      <c r="BN221" s="2">
        <v>0</v>
      </c>
      <c r="BO221" s="2" t="s">
        <v>3</v>
      </c>
      <c r="BP221" s="2">
        <v>0</v>
      </c>
      <c r="BQ221" s="2">
        <v>40</v>
      </c>
      <c r="BR221" s="2">
        <v>0</v>
      </c>
      <c r="BS221" s="2">
        <v>1</v>
      </c>
      <c r="BT221" s="2">
        <v>1</v>
      </c>
      <c r="BU221" s="2">
        <v>1</v>
      </c>
      <c r="BV221" s="2">
        <v>1</v>
      </c>
      <c r="BW221" s="2">
        <v>1</v>
      </c>
      <c r="BX221" s="2">
        <v>1</v>
      </c>
      <c r="BY221" s="2" t="s">
        <v>3</v>
      </c>
      <c r="BZ221" s="2">
        <v>90</v>
      </c>
      <c r="CA221" s="2">
        <v>46</v>
      </c>
      <c r="CB221" s="2" t="s">
        <v>3</v>
      </c>
      <c r="CC221" s="2"/>
      <c r="CD221" s="2"/>
      <c r="CE221" s="2">
        <v>1566</v>
      </c>
      <c r="CF221" s="2">
        <v>0</v>
      </c>
      <c r="CG221" s="2">
        <v>0</v>
      </c>
      <c r="CH221" s="2"/>
      <c r="CI221" s="2"/>
      <c r="CJ221" s="2"/>
      <c r="CK221" s="2"/>
      <c r="CL221" s="2"/>
      <c r="CM221" s="2">
        <v>0</v>
      </c>
      <c r="CN221" s="2" t="s">
        <v>3</v>
      </c>
      <c r="CO221" s="2">
        <v>0</v>
      </c>
      <c r="CP221" s="2">
        <f t="shared" si="233"/>
        <v>8355.57</v>
      </c>
      <c r="CQ221" s="2">
        <f t="shared" si="234"/>
        <v>41.57</v>
      </c>
      <c r="CR221" s="2">
        <f t="shared" si="258"/>
        <v>0</v>
      </c>
      <c r="CS221" s="2">
        <f t="shared" si="259"/>
        <v>0</v>
      </c>
      <c r="CT221" s="2">
        <f t="shared" si="235"/>
        <v>0</v>
      </c>
      <c r="CU221" s="2">
        <f t="shared" si="236"/>
        <v>0</v>
      </c>
      <c r="CV221" s="2">
        <f t="shared" si="237"/>
        <v>0</v>
      </c>
      <c r="CW221" s="2">
        <f t="shared" si="238"/>
        <v>0</v>
      </c>
      <c r="CX221" s="2">
        <f t="shared" si="239"/>
        <v>0</v>
      </c>
      <c r="CY221" s="2">
        <f t="shared" si="260"/>
        <v>0</v>
      </c>
      <c r="CZ221" s="2">
        <f t="shared" si="261"/>
        <v>0</v>
      </c>
      <c r="DA221" s="2"/>
      <c r="DB221" s="2"/>
      <c r="DC221" s="2" t="s">
        <v>3</v>
      </c>
      <c r="DD221" s="2" t="s">
        <v>3</v>
      </c>
      <c r="DE221" s="2" t="s">
        <v>3</v>
      </c>
      <c r="DF221" s="2" t="s">
        <v>3</v>
      </c>
      <c r="DG221" s="2" t="s">
        <v>3</v>
      </c>
      <c r="DH221" s="2" t="s">
        <v>3</v>
      </c>
      <c r="DI221" s="2" t="s">
        <v>3</v>
      </c>
      <c r="DJ221" s="2" t="s">
        <v>3</v>
      </c>
      <c r="DK221" s="2" t="s">
        <v>3</v>
      </c>
      <c r="DL221" s="2" t="s">
        <v>3</v>
      </c>
      <c r="DM221" s="2" t="s">
        <v>3</v>
      </c>
      <c r="DN221" s="2">
        <v>0</v>
      </c>
      <c r="DO221" s="2">
        <v>0</v>
      </c>
      <c r="DP221" s="2">
        <v>1</v>
      </c>
      <c r="DQ221" s="2">
        <v>1</v>
      </c>
      <c r="DR221" s="2"/>
      <c r="DS221" s="2"/>
      <c r="DT221" s="2"/>
      <c r="DU221" s="2">
        <v>1003</v>
      </c>
      <c r="DV221" s="2" t="s">
        <v>179</v>
      </c>
      <c r="DW221" s="2" t="s">
        <v>179</v>
      </c>
      <c r="DX221" s="2">
        <v>1</v>
      </c>
      <c r="DY221" s="2"/>
      <c r="DZ221" s="2" t="s">
        <v>3</v>
      </c>
      <c r="EA221" s="2" t="s">
        <v>3</v>
      </c>
      <c r="EB221" s="2" t="s">
        <v>3</v>
      </c>
      <c r="EC221" s="2" t="s">
        <v>3</v>
      </c>
      <c r="ED221" s="2"/>
      <c r="EE221" s="2">
        <v>85133422</v>
      </c>
      <c r="EF221" s="2">
        <v>40</v>
      </c>
      <c r="EG221" s="2" t="s">
        <v>27</v>
      </c>
      <c r="EH221" s="2">
        <v>0</v>
      </c>
      <c r="EI221" s="2" t="s">
        <v>3</v>
      </c>
      <c r="EJ221" s="2">
        <v>2</v>
      </c>
      <c r="EK221" s="2">
        <v>73</v>
      </c>
      <c r="EL221" s="2" t="s">
        <v>62</v>
      </c>
      <c r="EM221" s="2" t="s">
        <v>63</v>
      </c>
      <c r="EN221" s="2"/>
      <c r="EO221" s="2" t="s">
        <v>3</v>
      </c>
      <c r="EP221" s="2"/>
      <c r="EQ221" s="2">
        <v>1024</v>
      </c>
      <c r="ER221" s="2">
        <v>41.57</v>
      </c>
      <c r="ES221" s="2">
        <v>41.57</v>
      </c>
      <c r="ET221" s="2">
        <v>0</v>
      </c>
      <c r="EU221" s="2">
        <v>0</v>
      </c>
      <c r="EV221" s="2">
        <v>0</v>
      </c>
      <c r="EW221" s="2">
        <v>0</v>
      </c>
      <c r="EX221" s="2">
        <v>0</v>
      </c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>
        <v>0</v>
      </c>
      <c r="FR221" s="2">
        <v>0</v>
      </c>
      <c r="FS221" s="2">
        <v>0</v>
      </c>
      <c r="FT221" s="2"/>
      <c r="FU221" s="2"/>
      <c r="FV221" s="2"/>
      <c r="FW221" s="2"/>
      <c r="FX221" s="2">
        <v>90</v>
      </c>
      <c r="FY221" s="2">
        <v>46</v>
      </c>
      <c r="FZ221" s="2"/>
      <c r="GA221" s="2" t="s">
        <v>3</v>
      </c>
      <c r="GB221" s="2"/>
      <c r="GC221" s="2"/>
      <c r="GD221" s="2">
        <v>1</v>
      </c>
      <c r="GE221" s="2"/>
      <c r="GF221" s="2">
        <v>-2048145394</v>
      </c>
      <c r="GG221" s="2">
        <v>2</v>
      </c>
      <c r="GH221" s="2">
        <v>1</v>
      </c>
      <c r="GI221" s="2">
        <v>-2</v>
      </c>
      <c r="GJ221" s="2">
        <v>0</v>
      </c>
      <c r="GK221" s="2">
        <v>0</v>
      </c>
      <c r="GL221" s="2">
        <f t="shared" si="240"/>
        <v>0</v>
      </c>
      <c r="GM221" s="2">
        <f t="shared" si="241"/>
        <v>8355.57</v>
      </c>
      <c r="GN221" s="2">
        <f t="shared" si="242"/>
        <v>0</v>
      </c>
      <c r="GO221" s="2">
        <f t="shared" si="243"/>
        <v>8355.57</v>
      </c>
      <c r="GP221" s="2">
        <f t="shared" si="244"/>
        <v>0</v>
      </c>
      <c r="GQ221" s="2"/>
      <c r="GR221" s="2">
        <v>0</v>
      </c>
      <c r="GS221" s="2">
        <v>3</v>
      </c>
      <c r="GT221" s="2">
        <v>0</v>
      </c>
      <c r="GU221" s="2" t="s">
        <v>3</v>
      </c>
      <c r="GV221" s="2">
        <f t="shared" si="245"/>
        <v>0</v>
      </c>
      <c r="GW221" s="2">
        <v>1</v>
      </c>
      <c r="GX221" s="2">
        <f t="shared" si="246"/>
        <v>0</v>
      </c>
      <c r="GY221" s="2"/>
      <c r="GZ221" s="2"/>
      <c r="HA221" s="2">
        <v>0</v>
      </c>
      <c r="HB221" s="2">
        <v>0</v>
      </c>
      <c r="HC221" s="2">
        <f t="shared" si="247"/>
        <v>0</v>
      </c>
      <c r="HD221" s="2"/>
      <c r="HE221" s="2" t="s">
        <v>3</v>
      </c>
      <c r="HF221" s="2" t="s">
        <v>3</v>
      </c>
      <c r="HG221" s="2"/>
      <c r="HH221" s="2"/>
      <c r="HI221" s="2"/>
      <c r="HJ221" s="2"/>
      <c r="HK221" s="2"/>
      <c r="HL221" s="2"/>
      <c r="HM221" s="2" t="s">
        <v>3</v>
      </c>
      <c r="HN221" s="2" t="s">
        <v>3</v>
      </c>
      <c r="HO221" s="2" t="s">
        <v>3</v>
      </c>
      <c r="HP221" s="2" t="s">
        <v>3</v>
      </c>
      <c r="HQ221" s="2" t="s">
        <v>3</v>
      </c>
      <c r="HR221" s="2"/>
      <c r="HS221" s="2">
        <v>0</v>
      </c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>
        <v>0</v>
      </c>
      <c r="IL221" s="2"/>
      <c r="IM221" s="2"/>
      <c r="IN221" s="2"/>
      <c r="IO221" s="2"/>
      <c r="IP221" s="2"/>
      <c r="IQ221" s="2"/>
      <c r="IR221" s="2"/>
      <c r="IS221" s="2"/>
      <c r="IT221" s="2"/>
      <c r="IU221" s="2"/>
    </row>
    <row r="222" spans="1:255" x14ac:dyDescent="0.2">
      <c r="A222" s="3">
        <v>18</v>
      </c>
      <c r="B222" s="3">
        <v>1</v>
      </c>
      <c r="C222" s="3">
        <v>545</v>
      </c>
      <c r="E222" s="3" t="s">
        <v>3</v>
      </c>
      <c r="F222" s="3" t="s">
        <v>209</v>
      </c>
      <c r="G222" s="3" t="s">
        <v>210</v>
      </c>
      <c r="H222" s="3" t="s">
        <v>179</v>
      </c>
      <c r="I222" s="3">
        <f>I216*J222</f>
        <v>201</v>
      </c>
      <c r="J222" s="3">
        <v>105.78947368421053</v>
      </c>
      <c r="K222" s="3">
        <v>105.7894737</v>
      </c>
      <c r="O222" s="3">
        <f t="shared" si="223"/>
        <v>138284.68</v>
      </c>
      <c r="P222" s="3">
        <f t="shared" si="224"/>
        <v>138284.68</v>
      </c>
      <c r="Q222" s="3">
        <f t="shared" si="248"/>
        <v>0</v>
      </c>
      <c r="R222" s="3">
        <f t="shared" si="249"/>
        <v>0</v>
      </c>
      <c r="S222" s="3">
        <f t="shared" si="225"/>
        <v>0</v>
      </c>
      <c r="T222" s="3">
        <f t="shared" si="226"/>
        <v>0</v>
      </c>
      <c r="U222" s="3">
        <f t="shared" si="227"/>
        <v>0</v>
      </c>
      <c r="V222" s="3">
        <f t="shared" si="228"/>
        <v>0</v>
      </c>
      <c r="W222" s="3">
        <f t="shared" si="229"/>
        <v>0</v>
      </c>
      <c r="X222" s="3">
        <f t="shared" si="250"/>
        <v>0</v>
      </c>
      <c r="Y222" s="3">
        <f t="shared" si="251"/>
        <v>0</v>
      </c>
      <c r="AA222" s="3">
        <v>-1</v>
      </c>
      <c r="AB222" s="3">
        <f t="shared" si="230"/>
        <v>41.57</v>
      </c>
      <c r="AC222" s="3">
        <f t="shared" si="252"/>
        <v>41.57</v>
      </c>
      <c r="AD222" s="3">
        <f t="shared" si="253"/>
        <v>0</v>
      </c>
      <c r="AE222" s="3">
        <f t="shared" si="254"/>
        <v>0</v>
      </c>
      <c r="AF222" s="3">
        <f t="shared" si="255"/>
        <v>0</v>
      </c>
      <c r="AG222" s="3">
        <f t="shared" si="231"/>
        <v>0</v>
      </c>
      <c r="AH222" s="3">
        <f t="shared" si="256"/>
        <v>0</v>
      </c>
      <c r="AI222" s="3">
        <f t="shared" si="257"/>
        <v>0</v>
      </c>
      <c r="AJ222" s="3">
        <f t="shared" si="232"/>
        <v>0</v>
      </c>
      <c r="AK222" s="3">
        <v>41.57</v>
      </c>
      <c r="AL222" s="3">
        <v>41.57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90</v>
      </c>
      <c r="AU222" s="3">
        <v>46</v>
      </c>
      <c r="AV222" s="3">
        <v>1</v>
      </c>
      <c r="AW222" s="3">
        <v>1</v>
      </c>
      <c r="AZ222" s="3">
        <v>1</v>
      </c>
      <c r="BA222" s="3">
        <v>1</v>
      </c>
      <c r="BB222" s="3">
        <v>1</v>
      </c>
      <c r="BC222" s="3">
        <v>16.55</v>
      </c>
      <c r="BD222" s="3" t="s">
        <v>3</v>
      </c>
      <c r="BE222" s="3" t="s">
        <v>3</v>
      </c>
      <c r="BF222" s="3" t="s">
        <v>3</v>
      </c>
      <c r="BG222" s="3" t="s">
        <v>3</v>
      </c>
      <c r="BH222" s="3">
        <v>3</v>
      </c>
      <c r="BI222" s="3">
        <v>2</v>
      </c>
      <c r="BJ222" s="3" t="s">
        <v>211</v>
      </c>
      <c r="BM222" s="3">
        <v>73</v>
      </c>
      <c r="BN222" s="3">
        <v>0</v>
      </c>
      <c r="BO222" s="3" t="s">
        <v>209</v>
      </c>
      <c r="BP222" s="3">
        <v>1</v>
      </c>
      <c r="BQ222" s="3">
        <v>40</v>
      </c>
      <c r="BR222" s="3">
        <v>0</v>
      </c>
      <c r="BS222" s="3">
        <v>1</v>
      </c>
      <c r="BT222" s="3">
        <v>1</v>
      </c>
      <c r="BU222" s="3">
        <v>1</v>
      </c>
      <c r="BV222" s="3">
        <v>1</v>
      </c>
      <c r="BW222" s="3">
        <v>1</v>
      </c>
      <c r="BX222" s="3">
        <v>1</v>
      </c>
      <c r="BY222" s="3" t="s">
        <v>3</v>
      </c>
      <c r="BZ222" s="3">
        <v>90</v>
      </c>
      <c r="CA222" s="3">
        <v>46</v>
      </c>
      <c r="CB222" s="3" t="s">
        <v>3</v>
      </c>
      <c r="CE222" s="3">
        <v>1566</v>
      </c>
      <c r="CF222" s="3">
        <v>0</v>
      </c>
      <c r="CG222" s="3">
        <v>0</v>
      </c>
      <c r="CM222" s="3">
        <v>0</v>
      </c>
      <c r="CN222" s="3" t="s">
        <v>3</v>
      </c>
      <c r="CO222" s="3">
        <v>0</v>
      </c>
      <c r="CP222" s="3">
        <f t="shared" si="233"/>
        <v>138284.68</v>
      </c>
      <c r="CQ222" s="3">
        <f t="shared" si="234"/>
        <v>687.98</v>
      </c>
      <c r="CR222" s="3">
        <f t="shared" si="258"/>
        <v>0</v>
      </c>
      <c r="CS222" s="3">
        <f t="shared" si="259"/>
        <v>0</v>
      </c>
      <c r="CT222" s="3">
        <f t="shared" si="235"/>
        <v>0</v>
      </c>
      <c r="CU222" s="3">
        <f t="shared" si="236"/>
        <v>0</v>
      </c>
      <c r="CV222" s="3">
        <f t="shared" si="237"/>
        <v>0</v>
      </c>
      <c r="CW222" s="3">
        <f t="shared" si="238"/>
        <v>0</v>
      </c>
      <c r="CX222" s="3">
        <f t="shared" si="239"/>
        <v>0</v>
      </c>
      <c r="CY222" s="3">
        <f t="shared" si="260"/>
        <v>0</v>
      </c>
      <c r="CZ222" s="3">
        <f t="shared" si="261"/>
        <v>0</v>
      </c>
      <c r="DC222" s="3" t="s">
        <v>3</v>
      </c>
      <c r="DD222" s="3" t="s">
        <v>3</v>
      </c>
      <c r="DE222" s="3" t="s">
        <v>3</v>
      </c>
      <c r="DF222" s="3" t="s">
        <v>3</v>
      </c>
      <c r="DG222" s="3" t="s">
        <v>3</v>
      </c>
      <c r="DH222" s="3" t="s">
        <v>3</v>
      </c>
      <c r="DI222" s="3" t="s">
        <v>3</v>
      </c>
      <c r="DJ222" s="3" t="s">
        <v>3</v>
      </c>
      <c r="DK222" s="3" t="s">
        <v>3</v>
      </c>
      <c r="DL222" s="3" t="s">
        <v>3</v>
      </c>
      <c r="DM222" s="3" t="s">
        <v>3</v>
      </c>
      <c r="DN222" s="3">
        <v>0</v>
      </c>
      <c r="DO222" s="3">
        <v>0</v>
      </c>
      <c r="DP222" s="3">
        <v>1</v>
      </c>
      <c r="DQ222" s="3">
        <v>1</v>
      </c>
      <c r="DU222" s="3">
        <v>1003</v>
      </c>
      <c r="DV222" s="3" t="s">
        <v>179</v>
      </c>
      <c r="DW222" s="3" t="s">
        <v>179</v>
      </c>
      <c r="DX222" s="3">
        <v>1</v>
      </c>
      <c r="DZ222" s="3" t="s">
        <v>3</v>
      </c>
      <c r="EA222" s="3" t="s">
        <v>3</v>
      </c>
      <c r="EB222" s="3" t="s">
        <v>3</v>
      </c>
      <c r="EC222" s="3" t="s">
        <v>3</v>
      </c>
      <c r="EE222" s="3">
        <v>85133422</v>
      </c>
      <c r="EF222" s="3">
        <v>40</v>
      </c>
      <c r="EG222" s="3" t="s">
        <v>27</v>
      </c>
      <c r="EH222" s="3">
        <v>0</v>
      </c>
      <c r="EI222" s="3" t="s">
        <v>3</v>
      </c>
      <c r="EJ222" s="3">
        <v>2</v>
      </c>
      <c r="EK222" s="3">
        <v>73</v>
      </c>
      <c r="EL222" s="3" t="s">
        <v>62</v>
      </c>
      <c r="EM222" s="3" t="s">
        <v>63</v>
      </c>
      <c r="EO222" s="3" t="s">
        <v>3</v>
      </c>
      <c r="EQ222" s="3">
        <v>1024</v>
      </c>
      <c r="ER222" s="3">
        <v>41.57</v>
      </c>
      <c r="ES222" s="3">
        <v>41.57</v>
      </c>
      <c r="ET222" s="3">
        <v>0</v>
      </c>
      <c r="EU222" s="3">
        <v>0</v>
      </c>
      <c r="EV222" s="3">
        <v>0</v>
      </c>
      <c r="EW222" s="3">
        <v>0</v>
      </c>
      <c r="EX222" s="3">
        <v>0</v>
      </c>
      <c r="FQ222" s="3">
        <v>0</v>
      </c>
      <c r="FR222" s="3">
        <v>0</v>
      </c>
      <c r="FS222" s="3">
        <v>0</v>
      </c>
      <c r="FX222" s="3">
        <v>90</v>
      </c>
      <c r="FY222" s="3">
        <v>46</v>
      </c>
      <c r="GA222" s="3" t="s">
        <v>3</v>
      </c>
      <c r="GD222" s="3">
        <v>1</v>
      </c>
      <c r="GF222" s="3">
        <v>-2048145394</v>
      </c>
      <c r="GG222" s="3">
        <v>2</v>
      </c>
      <c r="GH222" s="3">
        <v>1</v>
      </c>
      <c r="GI222" s="3">
        <v>2</v>
      </c>
      <c r="GJ222" s="3">
        <v>0</v>
      </c>
      <c r="GK222" s="3">
        <v>0</v>
      </c>
      <c r="GL222" s="3">
        <f t="shared" si="240"/>
        <v>0</v>
      </c>
      <c r="GM222" s="3">
        <f t="shared" si="241"/>
        <v>138284.68</v>
      </c>
      <c r="GN222" s="3">
        <f t="shared" si="242"/>
        <v>0</v>
      </c>
      <c r="GO222" s="3">
        <f t="shared" si="243"/>
        <v>138284.68</v>
      </c>
      <c r="GP222" s="3">
        <f t="shared" si="244"/>
        <v>0</v>
      </c>
      <c r="GR222" s="3">
        <v>0</v>
      </c>
      <c r="GS222" s="3">
        <v>3</v>
      </c>
      <c r="GT222" s="3">
        <v>0</v>
      </c>
      <c r="GU222" s="3" t="s">
        <v>3</v>
      </c>
      <c r="GV222" s="3">
        <f t="shared" si="245"/>
        <v>0</v>
      </c>
      <c r="GW222" s="3">
        <v>1</v>
      </c>
      <c r="GX222" s="3">
        <f t="shared" si="246"/>
        <v>0</v>
      </c>
      <c r="HA222" s="3">
        <v>0</v>
      </c>
      <c r="HB222" s="3">
        <v>0</v>
      </c>
      <c r="HC222" s="3">
        <f t="shared" si="247"/>
        <v>0</v>
      </c>
      <c r="HE222" s="3" t="s">
        <v>3</v>
      </c>
      <c r="HF222" s="3" t="s">
        <v>3</v>
      </c>
      <c r="HM222" s="3" t="s">
        <v>3</v>
      </c>
      <c r="HN222" s="3" t="s">
        <v>3</v>
      </c>
      <c r="HO222" s="3" t="s">
        <v>3</v>
      </c>
      <c r="HP222" s="3" t="s">
        <v>3</v>
      </c>
      <c r="HQ222" s="3" t="s">
        <v>3</v>
      </c>
      <c r="HS222" s="3">
        <v>0</v>
      </c>
      <c r="IK222" s="3">
        <v>0</v>
      </c>
    </row>
    <row r="223" spans="1:255" x14ac:dyDescent="0.2">
      <c r="A223" s="2">
        <v>17</v>
      </c>
      <c r="B223" s="2">
        <v>1</v>
      </c>
      <c r="C223" s="2">
        <f>ROW(SmtRes!A565)</f>
        <v>565</v>
      </c>
      <c r="D223" s="2">
        <f>ROW(EtalonRes!A575)</f>
        <v>575</v>
      </c>
      <c r="E223" s="2" t="s">
        <v>411</v>
      </c>
      <c r="F223" s="2" t="s">
        <v>213</v>
      </c>
      <c r="G223" s="2" t="s">
        <v>214</v>
      </c>
      <c r="H223" s="2" t="s">
        <v>174</v>
      </c>
      <c r="I223" s="2">
        <f>ROUND((800+900+200)/100,9)</f>
        <v>19</v>
      </c>
      <c r="J223" s="2">
        <v>0</v>
      </c>
      <c r="K223" s="2">
        <f>ROUND((800+900+200)/100,9)</f>
        <v>19</v>
      </c>
      <c r="L223" s="2"/>
      <c r="M223" s="2"/>
      <c r="N223" s="2"/>
      <c r="O223" s="2">
        <f t="shared" si="223"/>
        <v>72061.66</v>
      </c>
      <c r="P223" s="2">
        <f t="shared" si="224"/>
        <v>16895.18</v>
      </c>
      <c r="Q223" s="2">
        <f>(ROUND((ROUND((((ET223*1.2))*AV223*I223),2)*BB223),2)+ROUND((ROUND(((AE223-((EU223*1.2)))*AV223*I223),2)*BS223),2))</f>
        <v>12491.49</v>
      </c>
      <c r="R223" s="2">
        <f>(ROUND((ROUND((((EU223*1.2))*AV223*I223),2)*BS223),2)+ROUND((ROUND(((AE223-((EU223*1.2)))*AV223*I223),2)*BS223),2))</f>
        <v>2468.2800000000002</v>
      </c>
      <c r="S223" s="2">
        <f t="shared" si="225"/>
        <v>42674.99</v>
      </c>
      <c r="T223" s="2">
        <f t="shared" si="226"/>
        <v>0</v>
      </c>
      <c r="U223" s="2">
        <f t="shared" si="227"/>
        <v>3381.5364</v>
      </c>
      <c r="V223" s="2">
        <f t="shared" si="228"/>
        <v>0</v>
      </c>
      <c r="W223" s="2">
        <f t="shared" si="229"/>
        <v>0</v>
      </c>
      <c r="X223" s="2">
        <f>(ROUND((((S223+ROUND((ROUND((((EU223*1.2))*AV223*I223),2)*BS223),2))*AT223)/100),2)+ROUND(((ROUND((ROUND(((AE223-((EU223*1.2)))*AV223*I223),2)*BS223),2)*AT223)/100),2))</f>
        <v>40628.94</v>
      </c>
      <c r="Y223" s="2">
        <f>(ROUND((((S223+ROUND((ROUND((((EU223*1.2))*AV223*I223),2)*BS223),2))*AU223)/100),2)+ROUND(((ROUND((ROUND(((AE223-((EU223*1.2)))*AV223*I223),2)*BS223),2)*AU223)/100),2))</f>
        <v>20765.900000000001</v>
      </c>
      <c r="Z223" s="2"/>
      <c r="AA223" s="2">
        <v>85739205</v>
      </c>
      <c r="AB223" s="2">
        <f t="shared" si="230"/>
        <v>3586.18</v>
      </c>
      <c r="AC223" s="2">
        <f>ROUND(((ES223*1)),6)</f>
        <v>865</v>
      </c>
      <c r="AD223" s="2">
        <f>ROUND(((((ET223*1.2))-((EU223*1.2)))+AE223),6)</f>
        <v>616.16399999999999</v>
      </c>
      <c r="AE223" s="2">
        <f>ROUND(((EU223*1.2)),6)</f>
        <v>121.752</v>
      </c>
      <c r="AF223" s="2">
        <f>ROUND(((EV223*1.2)),6)</f>
        <v>2105.0160000000001</v>
      </c>
      <c r="AG223" s="2">
        <f t="shared" si="231"/>
        <v>0</v>
      </c>
      <c r="AH223" s="2">
        <f>((EW223*1.2))</f>
        <v>166.79999999999998</v>
      </c>
      <c r="AI223" s="2">
        <f>((EX223*1.2))</f>
        <v>0</v>
      </c>
      <c r="AJ223" s="2">
        <f t="shared" si="232"/>
        <v>0</v>
      </c>
      <c r="AK223" s="2">
        <v>3132.65</v>
      </c>
      <c r="AL223" s="2">
        <v>865</v>
      </c>
      <c r="AM223" s="2">
        <v>513.47</v>
      </c>
      <c r="AN223" s="2">
        <v>101.46</v>
      </c>
      <c r="AO223" s="2">
        <v>1754.18</v>
      </c>
      <c r="AP223" s="2">
        <v>0</v>
      </c>
      <c r="AQ223" s="2">
        <v>139</v>
      </c>
      <c r="AR223" s="2">
        <v>0</v>
      </c>
      <c r="AS223" s="2">
        <v>0</v>
      </c>
      <c r="AT223" s="2">
        <v>90</v>
      </c>
      <c r="AU223" s="2">
        <v>46</v>
      </c>
      <c r="AV223" s="2">
        <v>1.0669999999999999</v>
      </c>
      <c r="AW223" s="2">
        <v>1.028</v>
      </c>
      <c r="AX223" s="2"/>
      <c r="AY223" s="2"/>
      <c r="AZ223" s="2">
        <v>1</v>
      </c>
      <c r="BA223" s="2">
        <v>1</v>
      </c>
      <c r="BB223" s="2">
        <v>1</v>
      </c>
      <c r="BC223" s="2">
        <v>1</v>
      </c>
      <c r="BD223" s="2" t="s">
        <v>3</v>
      </c>
      <c r="BE223" s="2" t="s">
        <v>3</v>
      </c>
      <c r="BF223" s="2" t="s">
        <v>3</v>
      </c>
      <c r="BG223" s="2" t="s">
        <v>3</v>
      </c>
      <c r="BH223" s="2">
        <v>0</v>
      </c>
      <c r="BI223" s="2">
        <v>2</v>
      </c>
      <c r="BJ223" s="2" t="s">
        <v>215</v>
      </c>
      <c r="BK223" s="2"/>
      <c r="BL223" s="2"/>
      <c r="BM223" s="2">
        <v>73</v>
      </c>
      <c r="BN223" s="2">
        <v>0</v>
      </c>
      <c r="BO223" s="2" t="s">
        <v>213</v>
      </c>
      <c r="BP223" s="2">
        <v>1</v>
      </c>
      <c r="BQ223" s="2">
        <v>40</v>
      </c>
      <c r="BR223" s="2">
        <v>0</v>
      </c>
      <c r="BS223" s="2">
        <v>1</v>
      </c>
      <c r="BT223" s="2">
        <v>1</v>
      </c>
      <c r="BU223" s="2">
        <v>1</v>
      </c>
      <c r="BV223" s="2">
        <v>1</v>
      </c>
      <c r="BW223" s="2">
        <v>1</v>
      </c>
      <c r="BX223" s="2">
        <v>1</v>
      </c>
      <c r="BY223" s="2" t="s">
        <v>3</v>
      </c>
      <c r="BZ223" s="2">
        <v>90</v>
      </c>
      <c r="CA223" s="2">
        <v>46</v>
      </c>
      <c r="CB223" s="2" t="s">
        <v>3</v>
      </c>
      <c r="CC223" s="2"/>
      <c r="CD223" s="2"/>
      <c r="CE223" s="2">
        <v>1566</v>
      </c>
      <c r="CF223" s="2">
        <v>0</v>
      </c>
      <c r="CG223" s="2">
        <v>0</v>
      </c>
      <c r="CH223" s="2"/>
      <c r="CI223" s="2"/>
      <c r="CJ223" s="2"/>
      <c r="CK223" s="2"/>
      <c r="CL223" s="2"/>
      <c r="CM223" s="2">
        <v>0</v>
      </c>
      <c r="CN223" s="2" t="s">
        <v>677</v>
      </c>
      <c r="CO223" s="2">
        <v>0</v>
      </c>
      <c r="CP223" s="2">
        <f t="shared" si="233"/>
        <v>72061.66</v>
      </c>
      <c r="CQ223" s="2">
        <f t="shared" si="234"/>
        <v>889.22</v>
      </c>
      <c r="CR223" s="2">
        <f>(ROUND((ROUND((((ET223*1.2))*AV223*1),2)*BB223),2)+ROUND((ROUND(((AE223-((EU223*1.2)))*AV223*1),2)*BS223),2))</f>
        <v>657.45</v>
      </c>
      <c r="CS223" s="2">
        <f>(ROUND((ROUND((((EU223*1.2))*AV223*1),2)*BS223),2)+ROUND((ROUND(((AE223-((EU223*1.2)))*AV223*1),2)*BS223),2))</f>
        <v>129.91</v>
      </c>
      <c r="CT223" s="2">
        <f t="shared" si="235"/>
        <v>2246.0500000000002</v>
      </c>
      <c r="CU223" s="2">
        <f t="shared" si="236"/>
        <v>0</v>
      </c>
      <c r="CV223" s="2">
        <f t="shared" si="237"/>
        <v>177.97559999999999</v>
      </c>
      <c r="CW223" s="2">
        <f t="shared" si="238"/>
        <v>0</v>
      </c>
      <c r="CX223" s="2">
        <f t="shared" si="239"/>
        <v>0</v>
      </c>
      <c r="CY223" s="2">
        <f>(ROUND((((S223+ROUND((ROUND((((EU223*1.2))*AV223*1),2)*BS223),2))*AT223)/100),2)+ROUND(((ROUND((ROUND(((AE223-((EU223*1.2)))*AV223*1),2)*BS223),2)*AT223)/100),2))</f>
        <v>38524.410000000003</v>
      </c>
      <c r="CZ223" s="2">
        <f>(ROUND((((S223+ROUND((ROUND((((EU223*1.2))*AV223*1),2)*BS223),2))*AU223)/100),2)+ROUND(((ROUND((ROUND(((AE223-((EU223*1.2)))*AV223*1),2)*BS223),2)*AU223)/100),2))</f>
        <v>19690.25</v>
      </c>
      <c r="DA223" s="2"/>
      <c r="DB223" s="2">
        <v>81</v>
      </c>
      <c r="DC223" s="2" t="s">
        <v>3</v>
      </c>
      <c r="DD223" s="2" t="s">
        <v>35</v>
      </c>
      <c r="DE223" s="2" t="s">
        <v>36</v>
      </c>
      <c r="DF223" s="2" t="s">
        <v>36</v>
      </c>
      <c r="DG223" s="2" t="s">
        <v>36</v>
      </c>
      <c r="DH223" s="2" t="s">
        <v>3</v>
      </c>
      <c r="DI223" s="2" t="s">
        <v>36</v>
      </c>
      <c r="DJ223" s="2" t="s">
        <v>36</v>
      </c>
      <c r="DK223" s="2" t="s">
        <v>3</v>
      </c>
      <c r="DL223" s="2" t="s">
        <v>3</v>
      </c>
      <c r="DM223" s="2" t="s">
        <v>3</v>
      </c>
      <c r="DN223" s="2">
        <v>0</v>
      </c>
      <c r="DO223" s="2">
        <v>0</v>
      </c>
      <c r="DP223" s="2">
        <v>1</v>
      </c>
      <c r="DQ223" s="2">
        <v>1</v>
      </c>
      <c r="DR223" s="2"/>
      <c r="DS223" s="2"/>
      <c r="DT223" s="2"/>
      <c r="DU223" s="2">
        <v>1003</v>
      </c>
      <c r="DV223" s="2" t="s">
        <v>174</v>
      </c>
      <c r="DW223" s="2" t="s">
        <v>174</v>
      </c>
      <c r="DX223" s="2">
        <v>100</v>
      </c>
      <c r="DY223" s="2"/>
      <c r="DZ223" s="2" t="s">
        <v>3</v>
      </c>
      <c r="EA223" s="2" t="s">
        <v>3</v>
      </c>
      <c r="EB223" s="2" t="s">
        <v>3</v>
      </c>
      <c r="EC223" s="2" t="s">
        <v>3</v>
      </c>
      <c r="ED223" s="2"/>
      <c r="EE223" s="2">
        <v>85133422</v>
      </c>
      <c r="EF223" s="2">
        <v>40</v>
      </c>
      <c r="EG223" s="2" t="s">
        <v>27</v>
      </c>
      <c r="EH223" s="2">
        <v>0</v>
      </c>
      <c r="EI223" s="2" t="s">
        <v>3</v>
      </c>
      <c r="EJ223" s="2">
        <v>2</v>
      </c>
      <c r="EK223" s="2">
        <v>73</v>
      </c>
      <c r="EL223" s="2" t="s">
        <v>62</v>
      </c>
      <c r="EM223" s="2" t="s">
        <v>63</v>
      </c>
      <c r="EN223" s="2"/>
      <c r="EO223" s="2" t="s">
        <v>37</v>
      </c>
      <c r="EP223" s="2"/>
      <c r="EQ223" s="2">
        <v>0</v>
      </c>
      <c r="ER223" s="2">
        <v>3132.65</v>
      </c>
      <c r="ES223" s="2">
        <v>865</v>
      </c>
      <c r="ET223" s="2">
        <v>513.47</v>
      </c>
      <c r="EU223" s="2">
        <v>101.46</v>
      </c>
      <c r="EV223" s="2">
        <v>1754.18</v>
      </c>
      <c r="EW223" s="2">
        <v>139</v>
      </c>
      <c r="EX223" s="2">
        <v>0</v>
      </c>
      <c r="EY223" s="2">
        <v>0</v>
      </c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>
        <v>0</v>
      </c>
      <c r="FR223" s="2">
        <v>0</v>
      </c>
      <c r="FS223" s="2">
        <v>2</v>
      </c>
      <c r="FT223" s="2"/>
      <c r="FU223" s="2"/>
      <c r="FV223" s="2"/>
      <c r="FW223" s="2"/>
      <c r="FX223" s="2">
        <v>90</v>
      </c>
      <c r="FY223" s="2">
        <v>46</v>
      </c>
      <c r="FZ223" s="2"/>
      <c r="GA223" s="2" t="s">
        <v>3</v>
      </c>
      <c r="GB223" s="2"/>
      <c r="GC223" s="2"/>
      <c r="GD223" s="2">
        <v>1</v>
      </c>
      <c r="GE223" s="2"/>
      <c r="GF223" s="2">
        <v>-358609466</v>
      </c>
      <c r="GG223" s="2">
        <v>2</v>
      </c>
      <c r="GH223" s="2">
        <v>1</v>
      </c>
      <c r="GI223" s="2">
        <v>2</v>
      </c>
      <c r="GJ223" s="2">
        <v>0</v>
      </c>
      <c r="GK223" s="2">
        <v>0</v>
      </c>
      <c r="GL223" s="2">
        <f t="shared" si="240"/>
        <v>0</v>
      </c>
      <c r="GM223" s="2">
        <f t="shared" si="241"/>
        <v>133456.5</v>
      </c>
      <c r="GN223" s="2">
        <f t="shared" si="242"/>
        <v>0</v>
      </c>
      <c r="GO223" s="2">
        <f t="shared" si="243"/>
        <v>133456.5</v>
      </c>
      <c r="GP223" s="2">
        <f t="shared" si="244"/>
        <v>0</v>
      </c>
      <c r="GQ223" s="2"/>
      <c r="GR223" s="2">
        <v>0</v>
      </c>
      <c r="GS223" s="2">
        <v>3</v>
      </c>
      <c r="GT223" s="2">
        <v>0</v>
      </c>
      <c r="GU223" s="2" t="s">
        <v>3</v>
      </c>
      <c r="GV223" s="2">
        <f t="shared" si="245"/>
        <v>0</v>
      </c>
      <c r="GW223" s="2">
        <v>1</v>
      </c>
      <c r="GX223" s="2">
        <f t="shared" si="246"/>
        <v>0</v>
      </c>
      <c r="GY223" s="2"/>
      <c r="GZ223" s="2"/>
      <c r="HA223" s="2">
        <v>0</v>
      </c>
      <c r="HB223" s="2">
        <v>0</v>
      </c>
      <c r="HC223" s="2">
        <f t="shared" si="247"/>
        <v>0</v>
      </c>
      <c r="HD223" s="2"/>
      <c r="HE223" s="2" t="s">
        <v>3</v>
      </c>
      <c r="HF223" s="2" t="s">
        <v>3</v>
      </c>
      <c r="HG223" s="2"/>
      <c r="HH223" s="2"/>
      <c r="HI223" s="2"/>
      <c r="HJ223" s="2"/>
      <c r="HK223" s="2"/>
      <c r="HL223" s="2"/>
      <c r="HM223" s="2" t="s">
        <v>3</v>
      </c>
      <c r="HN223" s="2" t="s">
        <v>3</v>
      </c>
      <c r="HO223" s="2" t="s">
        <v>3</v>
      </c>
      <c r="HP223" s="2" t="s">
        <v>3</v>
      </c>
      <c r="HQ223" s="2" t="s">
        <v>3</v>
      </c>
      <c r="HR223" s="2"/>
      <c r="HS223" s="2">
        <v>0</v>
      </c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>
        <v>0</v>
      </c>
      <c r="IL223" s="2"/>
      <c r="IM223" s="2"/>
      <c r="IN223" s="2"/>
      <c r="IO223" s="2"/>
      <c r="IP223" s="2"/>
      <c r="IQ223" s="2"/>
      <c r="IR223" s="2"/>
      <c r="IS223" s="2"/>
      <c r="IT223" s="2"/>
      <c r="IU223" s="2"/>
    </row>
    <row r="224" spans="1:255" x14ac:dyDescent="0.2">
      <c r="A224" s="3">
        <v>17</v>
      </c>
      <c r="B224" s="3">
        <v>1</v>
      </c>
      <c r="C224" s="3">
        <f>ROW(SmtRes!A582)</f>
        <v>582</v>
      </c>
      <c r="D224" s="3">
        <f>ROW(EtalonRes!A590)</f>
        <v>590</v>
      </c>
      <c r="E224" s="3" t="s">
        <v>411</v>
      </c>
      <c r="F224" s="3" t="s">
        <v>213</v>
      </c>
      <c r="G224" s="3" t="s">
        <v>214</v>
      </c>
      <c r="H224" s="3" t="s">
        <v>174</v>
      </c>
      <c r="I224" s="3">
        <f>ROUND((800+900+200)/100,9)</f>
        <v>19</v>
      </c>
      <c r="J224" s="3">
        <v>0</v>
      </c>
      <c r="K224" s="3">
        <f>ROUND((800+900+200)/100,9)</f>
        <v>19</v>
      </c>
      <c r="O224" s="3">
        <f t="shared" si="223"/>
        <v>2699810.31</v>
      </c>
      <c r="P224" s="3">
        <f t="shared" si="224"/>
        <v>37000.44</v>
      </c>
      <c r="Q224" s="3">
        <f>(ROUND((ROUND((((ET224*1.2))*AV224*I224),2)*BB224),2)+ROUND((ROUND(((AE224-((EU224*1.2)))*AV224*I224),2)*BS224),2))</f>
        <v>258074.18</v>
      </c>
      <c r="R224" s="3">
        <f>(ROUND((ROUND((((EU224*1.2))*AV224*I224),2)*BS224),2)+ROUND((ROUND(((AE224-((EU224*1.2)))*AV224*I224),2)*BS224),2))</f>
        <v>139087.57999999999</v>
      </c>
      <c r="S224" s="3">
        <f t="shared" si="225"/>
        <v>2404735.69</v>
      </c>
      <c r="T224" s="3">
        <f t="shared" si="226"/>
        <v>0</v>
      </c>
      <c r="U224" s="3">
        <f t="shared" si="227"/>
        <v>3381.5364</v>
      </c>
      <c r="V224" s="3">
        <f t="shared" si="228"/>
        <v>0</v>
      </c>
      <c r="W224" s="3">
        <f t="shared" si="229"/>
        <v>0</v>
      </c>
      <c r="X224" s="3">
        <f>(ROUND((((S224+ROUND((ROUND((((EU224*1.2))*AV224*I224),2)*BS224),2))*AT224)/100),2)+ROUND(((ROUND((ROUND(((AE224-((EU224*1.2)))*AV224*I224),2)*BS224),2)*AT224)/100),2))</f>
        <v>2289440.94</v>
      </c>
      <c r="Y224" s="3">
        <f>(ROUND((((S224+ROUND((ROUND((((EU224*1.2))*AV224*I224),2)*BS224),2))*AU224)/100),2)+ROUND(((ROUND((ROUND(((AE224-((EU224*1.2)))*AV224*I224),2)*BS224),2)*AU224)/100),2))</f>
        <v>1170158.7</v>
      </c>
      <c r="AA224" s="3">
        <v>85739207</v>
      </c>
      <c r="AB224" s="3">
        <f t="shared" si="230"/>
        <v>3586.18</v>
      </c>
      <c r="AC224" s="3">
        <f>ROUND(((ES224*1)),6)</f>
        <v>865</v>
      </c>
      <c r="AD224" s="3">
        <f>ROUND(((((ET224*1.2))-((EU224*1.2)))+AE224),6)</f>
        <v>616.16399999999999</v>
      </c>
      <c r="AE224" s="3">
        <f>ROUND(((EU224*1.2)),6)</f>
        <v>121.752</v>
      </c>
      <c r="AF224" s="3">
        <f>ROUND(((EV224*1.2)),6)</f>
        <v>2105.0160000000001</v>
      </c>
      <c r="AG224" s="3">
        <f t="shared" si="231"/>
        <v>0</v>
      </c>
      <c r="AH224" s="3">
        <f>((EW224*1.2))</f>
        <v>166.79999999999998</v>
      </c>
      <c r="AI224" s="3">
        <f>((EX224*1.2))</f>
        <v>0</v>
      </c>
      <c r="AJ224" s="3">
        <f t="shared" si="232"/>
        <v>0</v>
      </c>
      <c r="AK224" s="3">
        <v>3132.65</v>
      </c>
      <c r="AL224" s="3">
        <v>865</v>
      </c>
      <c r="AM224" s="3">
        <v>513.47</v>
      </c>
      <c r="AN224" s="3">
        <v>101.46</v>
      </c>
      <c r="AO224" s="3">
        <v>1754.18</v>
      </c>
      <c r="AP224" s="3">
        <v>0</v>
      </c>
      <c r="AQ224" s="3">
        <v>139</v>
      </c>
      <c r="AR224" s="3">
        <v>0</v>
      </c>
      <c r="AS224" s="3">
        <v>0</v>
      </c>
      <c r="AT224" s="3">
        <v>90</v>
      </c>
      <c r="AU224" s="3">
        <v>46</v>
      </c>
      <c r="AV224" s="3">
        <v>1.0669999999999999</v>
      </c>
      <c r="AW224" s="3">
        <v>1.028</v>
      </c>
      <c r="AZ224" s="3">
        <v>1</v>
      </c>
      <c r="BA224" s="3">
        <v>56.35</v>
      </c>
      <c r="BB224" s="3">
        <v>20.66</v>
      </c>
      <c r="BC224" s="3">
        <v>2.19</v>
      </c>
      <c r="BD224" s="3" t="s">
        <v>3</v>
      </c>
      <c r="BE224" s="3" t="s">
        <v>3</v>
      </c>
      <c r="BF224" s="3" t="s">
        <v>3</v>
      </c>
      <c r="BG224" s="3" t="s">
        <v>3</v>
      </c>
      <c r="BH224" s="3">
        <v>0</v>
      </c>
      <c r="BI224" s="3">
        <v>2</v>
      </c>
      <c r="BJ224" s="3" t="s">
        <v>215</v>
      </c>
      <c r="BM224" s="3">
        <v>73</v>
      </c>
      <c r="BN224" s="3">
        <v>0</v>
      </c>
      <c r="BO224" s="3" t="s">
        <v>213</v>
      </c>
      <c r="BP224" s="3">
        <v>1</v>
      </c>
      <c r="BQ224" s="3">
        <v>40</v>
      </c>
      <c r="BR224" s="3">
        <v>0</v>
      </c>
      <c r="BS224" s="3">
        <v>56.35</v>
      </c>
      <c r="BT224" s="3">
        <v>1</v>
      </c>
      <c r="BU224" s="3">
        <v>1</v>
      </c>
      <c r="BV224" s="3">
        <v>1</v>
      </c>
      <c r="BW224" s="3">
        <v>1</v>
      </c>
      <c r="BX224" s="3">
        <v>1</v>
      </c>
      <c r="BY224" s="3" t="s">
        <v>3</v>
      </c>
      <c r="BZ224" s="3">
        <v>90</v>
      </c>
      <c r="CA224" s="3">
        <v>46</v>
      </c>
      <c r="CB224" s="3" t="s">
        <v>3</v>
      </c>
      <c r="CE224" s="3">
        <v>1566</v>
      </c>
      <c r="CF224" s="3">
        <v>0</v>
      </c>
      <c r="CG224" s="3">
        <v>0</v>
      </c>
      <c r="CM224" s="3">
        <v>0</v>
      </c>
      <c r="CN224" s="3" t="s">
        <v>677</v>
      </c>
      <c r="CO224" s="3">
        <v>0</v>
      </c>
      <c r="CP224" s="3">
        <f t="shared" si="233"/>
        <v>2699810.31</v>
      </c>
      <c r="CQ224" s="3">
        <f t="shared" si="234"/>
        <v>1947.39</v>
      </c>
      <c r="CR224" s="3">
        <f>(ROUND((ROUND((((ET224*1.2))*AV224*1),2)*BB224),2)+ROUND((ROUND(((AE224-((EU224*1.2)))*AV224*1),2)*BS224),2))</f>
        <v>13582.92</v>
      </c>
      <c r="CS224" s="3">
        <f>(ROUND((ROUND((((EU224*1.2))*AV224*1),2)*BS224),2)+ROUND((ROUND(((AE224-((EU224*1.2)))*AV224*1),2)*BS224),2))</f>
        <v>7320.43</v>
      </c>
      <c r="CT224" s="3">
        <f t="shared" si="235"/>
        <v>126564.92</v>
      </c>
      <c r="CU224" s="3">
        <f t="shared" si="236"/>
        <v>0</v>
      </c>
      <c r="CV224" s="3">
        <f t="shared" si="237"/>
        <v>177.97559999999999</v>
      </c>
      <c r="CW224" s="3">
        <f t="shared" si="238"/>
        <v>0</v>
      </c>
      <c r="CX224" s="3">
        <f t="shared" si="239"/>
        <v>0</v>
      </c>
      <c r="CY224" s="3">
        <f>(ROUND((((S224+ROUND((ROUND((((EU224*1.2))*AV224*1),2)*BS224),2))*AT224)/100),2)+ROUND(((ROUND((ROUND(((AE224-((EU224*1.2)))*AV224*1),2)*BS224),2)*AT224)/100),2))</f>
        <v>2170850.5099999998</v>
      </c>
      <c r="CZ224" s="3">
        <f>(ROUND((((S224+ROUND((ROUND((((EU224*1.2))*AV224*1),2)*BS224),2))*AU224)/100),2)+ROUND(((ROUND((ROUND(((AE224-((EU224*1.2)))*AV224*1),2)*BS224),2)*AU224)/100),2))</f>
        <v>1109545.82</v>
      </c>
      <c r="DB224" s="3">
        <v>82</v>
      </c>
      <c r="DC224" s="3" t="s">
        <v>3</v>
      </c>
      <c r="DD224" s="3" t="s">
        <v>35</v>
      </c>
      <c r="DE224" s="3" t="s">
        <v>36</v>
      </c>
      <c r="DF224" s="3" t="s">
        <v>36</v>
      </c>
      <c r="DG224" s="3" t="s">
        <v>36</v>
      </c>
      <c r="DH224" s="3" t="s">
        <v>3</v>
      </c>
      <c r="DI224" s="3" t="s">
        <v>36</v>
      </c>
      <c r="DJ224" s="3" t="s">
        <v>36</v>
      </c>
      <c r="DK224" s="3" t="s">
        <v>3</v>
      </c>
      <c r="DL224" s="3" t="s">
        <v>3</v>
      </c>
      <c r="DM224" s="3" t="s">
        <v>3</v>
      </c>
      <c r="DN224" s="3">
        <v>0</v>
      </c>
      <c r="DO224" s="3">
        <v>0</v>
      </c>
      <c r="DP224" s="3">
        <v>1</v>
      </c>
      <c r="DQ224" s="3">
        <v>1</v>
      </c>
      <c r="DU224" s="3">
        <v>1003</v>
      </c>
      <c r="DV224" s="3" t="s">
        <v>174</v>
      </c>
      <c r="DW224" s="3" t="s">
        <v>174</v>
      </c>
      <c r="DX224" s="3">
        <v>100</v>
      </c>
      <c r="DZ224" s="3" t="s">
        <v>3</v>
      </c>
      <c r="EA224" s="3" t="s">
        <v>3</v>
      </c>
      <c r="EB224" s="3" t="s">
        <v>3</v>
      </c>
      <c r="EC224" s="3" t="s">
        <v>3</v>
      </c>
      <c r="EE224" s="3">
        <v>85133422</v>
      </c>
      <c r="EF224" s="3">
        <v>40</v>
      </c>
      <c r="EG224" s="3" t="s">
        <v>27</v>
      </c>
      <c r="EH224" s="3">
        <v>0</v>
      </c>
      <c r="EI224" s="3" t="s">
        <v>3</v>
      </c>
      <c r="EJ224" s="3">
        <v>2</v>
      </c>
      <c r="EK224" s="3">
        <v>73</v>
      </c>
      <c r="EL224" s="3" t="s">
        <v>62</v>
      </c>
      <c r="EM224" s="3" t="s">
        <v>63</v>
      </c>
      <c r="EO224" s="3" t="s">
        <v>37</v>
      </c>
      <c r="EQ224" s="3">
        <v>0</v>
      </c>
      <c r="ER224" s="3">
        <v>3132.65</v>
      </c>
      <c r="ES224" s="3">
        <v>865</v>
      </c>
      <c r="ET224" s="3">
        <v>513.47</v>
      </c>
      <c r="EU224" s="3">
        <v>101.46</v>
      </c>
      <c r="EV224" s="3">
        <v>1754.18</v>
      </c>
      <c r="EW224" s="3">
        <v>139</v>
      </c>
      <c r="EX224" s="3">
        <v>0</v>
      </c>
      <c r="EY224" s="3">
        <v>0</v>
      </c>
      <c r="FQ224" s="3">
        <v>0</v>
      </c>
      <c r="FR224" s="3">
        <v>0</v>
      </c>
      <c r="FS224" s="3">
        <v>2</v>
      </c>
      <c r="FX224" s="3">
        <v>90</v>
      </c>
      <c r="FY224" s="3">
        <v>46</v>
      </c>
      <c r="GA224" s="3" t="s">
        <v>3</v>
      </c>
      <c r="GD224" s="3">
        <v>1</v>
      </c>
      <c r="GF224" s="3">
        <v>-358609466</v>
      </c>
      <c r="GG224" s="3">
        <v>2</v>
      </c>
      <c r="GH224" s="3">
        <v>1</v>
      </c>
      <c r="GI224" s="3">
        <v>2</v>
      </c>
      <c r="GJ224" s="3">
        <v>0</v>
      </c>
      <c r="GK224" s="3">
        <v>0</v>
      </c>
      <c r="GL224" s="3">
        <f t="shared" si="240"/>
        <v>0</v>
      </c>
      <c r="GM224" s="3">
        <f t="shared" si="241"/>
        <v>6159409.9500000002</v>
      </c>
      <c r="GN224" s="3">
        <f t="shared" si="242"/>
        <v>0</v>
      </c>
      <c r="GO224" s="3">
        <f t="shared" si="243"/>
        <v>6159409.9500000002</v>
      </c>
      <c r="GP224" s="3">
        <f t="shared" si="244"/>
        <v>0</v>
      </c>
      <c r="GR224" s="3">
        <v>0</v>
      </c>
      <c r="GS224" s="3">
        <v>3</v>
      </c>
      <c r="GT224" s="3">
        <v>0</v>
      </c>
      <c r="GU224" s="3" t="s">
        <v>3</v>
      </c>
      <c r="GV224" s="3">
        <f t="shared" si="245"/>
        <v>0</v>
      </c>
      <c r="GW224" s="3">
        <v>1</v>
      </c>
      <c r="GX224" s="3">
        <f t="shared" si="246"/>
        <v>0</v>
      </c>
      <c r="HA224" s="3">
        <v>0</v>
      </c>
      <c r="HB224" s="3">
        <v>0</v>
      </c>
      <c r="HC224" s="3">
        <f t="shared" si="247"/>
        <v>0</v>
      </c>
      <c r="HE224" s="3" t="s">
        <v>3</v>
      </c>
      <c r="HF224" s="3" t="s">
        <v>3</v>
      </c>
      <c r="HM224" s="3" t="s">
        <v>3</v>
      </c>
      <c r="HN224" s="3" t="s">
        <v>3</v>
      </c>
      <c r="HO224" s="3" t="s">
        <v>3</v>
      </c>
      <c r="HP224" s="3" t="s">
        <v>3</v>
      </c>
      <c r="HQ224" s="3" t="s">
        <v>3</v>
      </c>
      <c r="HS224" s="3">
        <v>0</v>
      </c>
      <c r="IK224" s="3">
        <v>0</v>
      </c>
    </row>
    <row r="225" spans="1:255" x14ac:dyDescent="0.2">
      <c r="A225" s="2">
        <v>18</v>
      </c>
      <c r="B225" s="2">
        <v>1</v>
      </c>
      <c r="C225" s="2">
        <v>564</v>
      </c>
      <c r="D225" s="2"/>
      <c r="E225" s="2" t="s">
        <v>412</v>
      </c>
      <c r="F225" s="2" t="s">
        <v>408</v>
      </c>
      <c r="G225" s="2" t="s">
        <v>409</v>
      </c>
      <c r="H225" s="2" t="s">
        <v>179</v>
      </c>
      <c r="I225" s="2">
        <f>I223*J225</f>
        <v>804</v>
      </c>
      <c r="J225" s="2">
        <v>42.315789473684212</v>
      </c>
      <c r="K225" s="2">
        <v>42.315789469999999</v>
      </c>
      <c r="L225" s="2"/>
      <c r="M225" s="2"/>
      <c r="N225" s="2"/>
      <c r="O225" s="2">
        <f t="shared" si="223"/>
        <v>49510.32</v>
      </c>
      <c r="P225" s="2">
        <f t="shared" si="224"/>
        <v>49510.32</v>
      </c>
      <c r="Q225" s="2">
        <f t="shared" ref="Q225:Q230" si="262">(ROUND((ROUND(((ET225)*AV225*I225),2)*BB225),2)+ROUND((ROUND(((AE225-(EU225))*AV225*I225),2)*BS225),2))</f>
        <v>0</v>
      </c>
      <c r="R225" s="2">
        <f t="shared" ref="R225:R230" si="263">(ROUND((ROUND(((EU225)*AV225*I225),2)*BS225),2)+ROUND((ROUND(((AE225-(EU225))*AV225*I225),2)*BS225),2))</f>
        <v>0</v>
      </c>
      <c r="S225" s="2">
        <f t="shared" si="225"/>
        <v>0</v>
      </c>
      <c r="T225" s="2">
        <f t="shared" si="226"/>
        <v>0</v>
      </c>
      <c r="U225" s="2">
        <f t="shared" si="227"/>
        <v>0</v>
      </c>
      <c r="V225" s="2">
        <f t="shared" si="228"/>
        <v>0</v>
      </c>
      <c r="W225" s="2">
        <f t="shared" si="229"/>
        <v>0</v>
      </c>
      <c r="X225" s="2">
        <f t="shared" ref="X225:X230" si="264">(ROUND((((S225+ROUND((ROUND(((EU225)*AV225*I225),2)*BS225),2))*AT225)/100),2)+ROUND(((ROUND((ROUND(((AE225-(EU225))*AV225*I225),2)*BS225),2)*AT225)/100),2))</f>
        <v>0</v>
      </c>
      <c r="Y225" s="2">
        <f t="shared" ref="Y225:Y230" si="265">(ROUND((((S225+ROUND((ROUND(((EU225)*AV225*I225),2)*BS225),2))*AU225)/100),2)+ROUND(((ROUND((ROUND(((AE225-(EU225))*AV225*I225),2)*BS225),2)*AU225)/100),2))</f>
        <v>0</v>
      </c>
      <c r="Z225" s="2"/>
      <c r="AA225" s="2">
        <v>85739205</v>
      </c>
      <c r="AB225" s="2">
        <f t="shared" si="230"/>
        <v>61.58</v>
      </c>
      <c r="AC225" s="2">
        <f t="shared" ref="AC225:AC230" si="266">ROUND((ES225),6)</f>
        <v>61.58</v>
      </c>
      <c r="AD225" s="2">
        <f t="shared" ref="AD225:AD230" si="267">ROUND((((ET225)-(EU225))+AE225),6)</f>
        <v>0</v>
      </c>
      <c r="AE225" s="2">
        <f t="shared" ref="AE225:AF230" si="268">ROUND((EU225),6)</f>
        <v>0</v>
      </c>
      <c r="AF225" s="2">
        <f t="shared" si="268"/>
        <v>0</v>
      </c>
      <c r="AG225" s="2">
        <f t="shared" si="231"/>
        <v>0</v>
      </c>
      <c r="AH225" s="2">
        <f t="shared" ref="AH225:AI230" si="269">(EW225)</f>
        <v>0</v>
      </c>
      <c r="AI225" s="2">
        <f t="shared" si="269"/>
        <v>0</v>
      </c>
      <c r="AJ225" s="2">
        <f t="shared" si="232"/>
        <v>0</v>
      </c>
      <c r="AK225" s="2">
        <v>61.58</v>
      </c>
      <c r="AL225" s="2">
        <v>61.58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90</v>
      </c>
      <c r="AU225" s="2">
        <v>46</v>
      </c>
      <c r="AV225" s="2">
        <v>1</v>
      </c>
      <c r="AW225" s="2">
        <v>1</v>
      </c>
      <c r="AX225" s="2"/>
      <c r="AY225" s="2"/>
      <c r="AZ225" s="2">
        <v>1</v>
      </c>
      <c r="BA225" s="2">
        <v>1</v>
      </c>
      <c r="BB225" s="2">
        <v>1</v>
      </c>
      <c r="BC225" s="2">
        <v>1</v>
      </c>
      <c r="BD225" s="2" t="s">
        <v>3</v>
      </c>
      <c r="BE225" s="2" t="s">
        <v>3</v>
      </c>
      <c r="BF225" s="2" t="s">
        <v>3</v>
      </c>
      <c r="BG225" s="2" t="s">
        <v>3</v>
      </c>
      <c r="BH225" s="2">
        <v>3</v>
      </c>
      <c r="BI225" s="2">
        <v>2</v>
      </c>
      <c r="BJ225" s="2" t="s">
        <v>410</v>
      </c>
      <c r="BK225" s="2"/>
      <c r="BL225" s="2"/>
      <c r="BM225" s="2">
        <v>73</v>
      </c>
      <c r="BN225" s="2">
        <v>0</v>
      </c>
      <c r="BO225" s="2" t="s">
        <v>3</v>
      </c>
      <c r="BP225" s="2">
        <v>0</v>
      </c>
      <c r="BQ225" s="2">
        <v>40</v>
      </c>
      <c r="BR225" s="2">
        <v>0</v>
      </c>
      <c r="BS225" s="2">
        <v>1</v>
      </c>
      <c r="BT225" s="2">
        <v>1</v>
      </c>
      <c r="BU225" s="2">
        <v>1</v>
      </c>
      <c r="BV225" s="2">
        <v>1</v>
      </c>
      <c r="BW225" s="2">
        <v>1</v>
      </c>
      <c r="BX225" s="2">
        <v>1</v>
      </c>
      <c r="BY225" s="2" t="s">
        <v>3</v>
      </c>
      <c r="BZ225" s="2">
        <v>90</v>
      </c>
      <c r="CA225" s="2">
        <v>46</v>
      </c>
      <c r="CB225" s="2" t="s">
        <v>3</v>
      </c>
      <c r="CC225" s="2"/>
      <c r="CD225" s="2"/>
      <c r="CE225" s="2">
        <v>1566</v>
      </c>
      <c r="CF225" s="2">
        <v>0</v>
      </c>
      <c r="CG225" s="2">
        <v>0</v>
      </c>
      <c r="CH225" s="2"/>
      <c r="CI225" s="2"/>
      <c r="CJ225" s="2"/>
      <c r="CK225" s="2"/>
      <c r="CL225" s="2"/>
      <c r="CM225" s="2">
        <v>0</v>
      </c>
      <c r="CN225" s="2" t="s">
        <v>679</v>
      </c>
      <c r="CO225" s="2">
        <v>0</v>
      </c>
      <c r="CP225" s="2">
        <f t="shared" si="233"/>
        <v>49510.32</v>
      </c>
      <c r="CQ225" s="2">
        <f t="shared" si="234"/>
        <v>61.58</v>
      </c>
      <c r="CR225" s="2">
        <f t="shared" ref="CR225:CR230" si="270">(ROUND((ROUND(((ET225)*AV225*1),2)*BB225),2)+ROUND((ROUND(((AE225-(EU225))*AV225*1),2)*BS225),2))</f>
        <v>0</v>
      </c>
      <c r="CS225" s="2">
        <f t="shared" ref="CS225:CS230" si="271">(ROUND((ROUND(((EU225)*AV225*1),2)*BS225),2)+ROUND((ROUND(((AE225-(EU225))*AV225*1),2)*BS225),2))</f>
        <v>0</v>
      </c>
      <c r="CT225" s="2">
        <f t="shared" si="235"/>
        <v>0</v>
      </c>
      <c r="CU225" s="2">
        <f t="shared" si="236"/>
        <v>0</v>
      </c>
      <c r="CV225" s="2">
        <f t="shared" si="237"/>
        <v>0</v>
      </c>
      <c r="CW225" s="2">
        <f t="shared" si="238"/>
        <v>0</v>
      </c>
      <c r="CX225" s="2">
        <f t="shared" si="239"/>
        <v>0</v>
      </c>
      <c r="CY225" s="2">
        <f t="shared" ref="CY225:CY230" si="272">(ROUND((((S225+ROUND((ROUND(((EU225)*AV225*1),2)*BS225),2))*AT225)/100),2)+ROUND(((ROUND((ROUND(((AE225-(EU225))*AV225*1),2)*BS225),2)*AT225)/100),2))</f>
        <v>0</v>
      </c>
      <c r="CZ225" s="2">
        <f t="shared" ref="CZ225:CZ230" si="273">(ROUND((((S225+ROUND((ROUND(((EU225)*AV225*1),2)*BS225),2))*AU225)/100),2)+ROUND(((ROUND((ROUND(((AE225-(EU225))*AV225*1),2)*BS225),2)*AU225)/100),2))</f>
        <v>0</v>
      </c>
      <c r="DA225" s="2"/>
      <c r="DB225" s="2"/>
      <c r="DC225" s="2" t="s">
        <v>3</v>
      </c>
      <c r="DD225" s="2" t="s">
        <v>3</v>
      </c>
      <c r="DE225" s="2" t="s">
        <v>3</v>
      </c>
      <c r="DF225" s="2" t="s">
        <v>3</v>
      </c>
      <c r="DG225" s="2" t="s">
        <v>3</v>
      </c>
      <c r="DH225" s="2" t="s">
        <v>3</v>
      </c>
      <c r="DI225" s="2" t="s">
        <v>3</v>
      </c>
      <c r="DJ225" s="2" t="s">
        <v>3</v>
      </c>
      <c r="DK225" s="2" t="s">
        <v>3</v>
      </c>
      <c r="DL225" s="2" t="s">
        <v>3</v>
      </c>
      <c r="DM225" s="2" t="s">
        <v>3</v>
      </c>
      <c r="DN225" s="2">
        <v>0</v>
      </c>
      <c r="DO225" s="2">
        <v>0</v>
      </c>
      <c r="DP225" s="2">
        <v>1</v>
      </c>
      <c r="DQ225" s="2">
        <v>1</v>
      </c>
      <c r="DR225" s="2"/>
      <c r="DS225" s="2"/>
      <c r="DT225" s="2"/>
      <c r="DU225" s="2">
        <v>1003</v>
      </c>
      <c r="DV225" s="2" t="s">
        <v>179</v>
      </c>
      <c r="DW225" s="2" t="s">
        <v>179</v>
      </c>
      <c r="DX225" s="2">
        <v>1</v>
      </c>
      <c r="DY225" s="2"/>
      <c r="DZ225" s="2" t="s">
        <v>3</v>
      </c>
      <c r="EA225" s="2" t="s">
        <v>3</v>
      </c>
      <c r="EB225" s="2" t="s">
        <v>3</v>
      </c>
      <c r="EC225" s="2" t="s">
        <v>3</v>
      </c>
      <c r="ED225" s="2"/>
      <c r="EE225" s="2">
        <v>85133422</v>
      </c>
      <c r="EF225" s="2">
        <v>40</v>
      </c>
      <c r="EG225" s="2" t="s">
        <v>27</v>
      </c>
      <c r="EH225" s="2">
        <v>0</v>
      </c>
      <c r="EI225" s="2" t="s">
        <v>3</v>
      </c>
      <c r="EJ225" s="2">
        <v>2</v>
      </c>
      <c r="EK225" s="2">
        <v>73</v>
      </c>
      <c r="EL225" s="2" t="s">
        <v>62</v>
      </c>
      <c r="EM225" s="2" t="s">
        <v>63</v>
      </c>
      <c r="EN225" s="2"/>
      <c r="EO225" s="2" t="s">
        <v>37</v>
      </c>
      <c r="EP225" s="2"/>
      <c r="EQ225" s="2">
        <v>0</v>
      </c>
      <c r="ER225" s="2">
        <v>61.58</v>
      </c>
      <c r="ES225" s="2">
        <v>61.58</v>
      </c>
      <c r="ET225" s="2">
        <v>0</v>
      </c>
      <c r="EU225" s="2">
        <v>0</v>
      </c>
      <c r="EV225" s="2">
        <v>0</v>
      </c>
      <c r="EW225" s="2">
        <v>0</v>
      </c>
      <c r="EX225" s="2">
        <v>0</v>
      </c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>
        <v>0</v>
      </c>
      <c r="FR225" s="2">
        <v>0</v>
      </c>
      <c r="FS225" s="2">
        <v>0</v>
      </c>
      <c r="FT225" s="2"/>
      <c r="FU225" s="2"/>
      <c r="FV225" s="2"/>
      <c r="FW225" s="2"/>
      <c r="FX225" s="2">
        <v>90</v>
      </c>
      <c r="FY225" s="2">
        <v>46</v>
      </c>
      <c r="FZ225" s="2"/>
      <c r="GA225" s="2" t="s">
        <v>3</v>
      </c>
      <c r="GB225" s="2"/>
      <c r="GC225" s="2"/>
      <c r="GD225" s="2">
        <v>1</v>
      </c>
      <c r="GE225" s="2"/>
      <c r="GF225" s="2">
        <v>-2119850974</v>
      </c>
      <c r="GG225" s="2">
        <v>2</v>
      </c>
      <c r="GH225" s="2">
        <v>1</v>
      </c>
      <c r="GI225" s="2">
        <v>-2</v>
      </c>
      <c r="GJ225" s="2">
        <v>0</v>
      </c>
      <c r="GK225" s="2">
        <v>0</v>
      </c>
      <c r="GL225" s="2">
        <f t="shared" si="240"/>
        <v>0</v>
      </c>
      <c r="GM225" s="2">
        <f t="shared" si="241"/>
        <v>49510.32</v>
      </c>
      <c r="GN225" s="2">
        <f t="shared" si="242"/>
        <v>0</v>
      </c>
      <c r="GO225" s="2">
        <f t="shared" si="243"/>
        <v>49510.32</v>
      </c>
      <c r="GP225" s="2">
        <f t="shared" si="244"/>
        <v>0</v>
      </c>
      <c r="GQ225" s="2"/>
      <c r="GR225" s="2">
        <v>0</v>
      </c>
      <c r="GS225" s="2">
        <v>3</v>
      </c>
      <c r="GT225" s="2">
        <v>0</v>
      </c>
      <c r="GU225" s="2" t="s">
        <v>3</v>
      </c>
      <c r="GV225" s="2">
        <f t="shared" si="245"/>
        <v>0</v>
      </c>
      <c r="GW225" s="2">
        <v>1</v>
      </c>
      <c r="GX225" s="2">
        <f t="shared" si="246"/>
        <v>0</v>
      </c>
      <c r="GY225" s="2"/>
      <c r="GZ225" s="2"/>
      <c r="HA225" s="2">
        <v>0</v>
      </c>
      <c r="HB225" s="2">
        <v>0</v>
      </c>
      <c r="HC225" s="2">
        <f t="shared" si="247"/>
        <v>0</v>
      </c>
      <c r="HD225" s="2"/>
      <c r="HE225" s="2" t="s">
        <v>3</v>
      </c>
      <c r="HF225" s="2" t="s">
        <v>3</v>
      </c>
      <c r="HG225" s="2"/>
      <c r="HH225" s="2"/>
      <c r="HI225" s="2"/>
      <c r="HJ225" s="2"/>
      <c r="HK225" s="2"/>
      <c r="HL225" s="2"/>
      <c r="HM225" s="2" t="s">
        <v>35</v>
      </c>
      <c r="HN225" s="2" t="s">
        <v>3</v>
      </c>
      <c r="HO225" s="2" t="s">
        <v>3</v>
      </c>
      <c r="HP225" s="2" t="s">
        <v>3</v>
      </c>
      <c r="HQ225" s="2" t="s">
        <v>3</v>
      </c>
      <c r="HR225" s="2"/>
      <c r="HS225" s="2">
        <v>0</v>
      </c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>
        <v>0</v>
      </c>
      <c r="IL225" s="2"/>
      <c r="IM225" s="2"/>
      <c r="IN225" s="2"/>
      <c r="IO225" s="2"/>
      <c r="IP225" s="2"/>
      <c r="IQ225" s="2"/>
      <c r="IR225" s="2"/>
      <c r="IS225" s="2"/>
      <c r="IT225" s="2"/>
      <c r="IU225" s="2"/>
    </row>
    <row r="226" spans="1:255" x14ac:dyDescent="0.2">
      <c r="A226" s="3">
        <v>18</v>
      </c>
      <c r="B226" s="3">
        <v>1</v>
      </c>
      <c r="C226" s="3">
        <v>581</v>
      </c>
      <c r="E226" s="3" t="s">
        <v>412</v>
      </c>
      <c r="F226" s="3" t="s">
        <v>408</v>
      </c>
      <c r="G226" s="3" t="s">
        <v>409</v>
      </c>
      <c r="H226" s="3" t="s">
        <v>179</v>
      </c>
      <c r="I226" s="3">
        <f>I224*J226</f>
        <v>804</v>
      </c>
      <c r="J226" s="3">
        <v>42.315789473684212</v>
      </c>
      <c r="K226" s="3">
        <v>42.315789469999999</v>
      </c>
      <c r="O226" s="3">
        <f t="shared" si="223"/>
        <v>588677.69999999995</v>
      </c>
      <c r="P226" s="3">
        <f t="shared" si="224"/>
        <v>588677.69999999995</v>
      </c>
      <c r="Q226" s="3">
        <f t="shared" si="262"/>
        <v>0</v>
      </c>
      <c r="R226" s="3">
        <f t="shared" si="263"/>
        <v>0</v>
      </c>
      <c r="S226" s="3">
        <f t="shared" si="225"/>
        <v>0</v>
      </c>
      <c r="T226" s="3">
        <f t="shared" si="226"/>
        <v>0</v>
      </c>
      <c r="U226" s="3">
        <f t="shared" si="227"/>
        <v>0</v>
      </c>
      <c r="V226" s="3">
        <f t="shared" si="228"/>
        <v>0</v>
      </c>
      <c r="W226" s="3">
        <f t="shared" si="229"/>
        <v>0</v>
      </c>
      <c r="X226" s="3">
        <f t="shared" si="264"/>
        <v>0</v>
      </c>
      <c r="Y226" s="3">
        <f t="shared" si="265"/>
        <v>0</v>
      </c>
      <c r="AA226" s="3">
        <v>85739207</v>
      </c>
      <c r="AB226" s="3">
        <f t="shared" si="230"/>
        <v>61.58</v>
      </c>
      <c r="AC226" s="3">
        <f t="shared" si="266"/>
        <v>61.58</v>
      </c>
      <c r="AD226" s="3">
        <f t="shared" si="267"/>
        <v>0</v>
      </c>
      <c r="AE226" s="3">
        <f t="shared" si="268"/>
        <v>0</v>
      </c>
      <c r="AF226" s="3">
        <f t="shared" si="268"/>
        <v>0</v>
      </c>
      <c r="AG226" s="3">
        <f t="shared" si="231"/>
        <v>0</v>
      </c>
      <c r="AH226" s="3">
        <f t="shared" si="269"/>
        <v>0</v>
      </c>
      <c r="AI226" s="3">
        <f t="shared" si="269"/>
        <v>0</v>
      </c>
      <c r="AJ226" s="3">
        <f t="shared" si="232"/>
        <v>0</v>
      </c>
      <c r="AK226" s="3">
        <v>61.58</v>
      </c>
      <c r="AL226" s="3">
        <v>61.58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90</v>
      </c>
      <c r="AU226" s="3">
        <v>46</v>
      </c>
      <c r="AV226" s="3">
        <v>1</v>
      </c>
      <c r="AW226" s="3">
        <v>1</v>
      </c>
      <c r="AZ226" s="3">
        <v>1</v>
      </c>
      <c r="BA226" s="3">
        <v>1</v>
      </c>
      <c r="BB226" s="3">
        <v>1</v>
      </c>
      <c r="BC226" s="3">
        <v>11.89</v>
      </c>
      <c r="BD226" s="3" t="s">
        <v>3</v>
      </c>
      <c r="BE226" s="3" t="s">
        <v>3</v>
      </c>
      <c r="BF226" s="3" t="s">
        <v>3</v>
      </c>
      <c r="BG226" s="3" t="s">
        <v>3</v>
      </c>
      <c r="BH226" s="3">
        <v>3</v>
      </c>
      <c r="BI226" s="3">
        <v>2</v>
      </c>
      <c r="BJ226" s="3" t="s">
        <v>410</v>
      </c>
      <c r="BM226" s="3">
        <v>73</v>
      </c>
      <c r="BN226" s="3">
        <v>0</v>
      </c>
      <c r="BO226" s="3" t="s">
        <v>408</v>
      </c>
      <c r="BP226" s="3">
        <v>1</v>
      </c>
      <c r="BQ226" s="3">
        <v>40</v>
      </c>
      <c r="BR226" s="3">
        <v>0</v>
      </c>
      <c r="BS226" s="3">
        <v>1</v>
      </c>
      <c r="BT226" s="3">
        <v>1</v>
      </c>
      <c r="BU226" s="3">
        <v>1</v>
      </c>
      <c r="BV226" s="3">
        <v>1</v>
      </c>
      <c r="BW226" s="3">
        <v>1</v>
      </c>
      <c r="BX226" s="3">
        <v>1</v>
      </c>
      <c r="BY226" s="3" t="s">
        <v>3</v>
      </c>
      <c r="BZ226" s="3">
        <v>90</v>
      </c>
      <c r="CA226" s="3">
        <v>46</v>
      </c>
      <c r="CB226" s="3" t="s">
        <v>3</v>
      </c>
      <c r="CE226" s="3">
        <v>1566</v>
      </c>
      <c r="CF226" s="3">
        <v>0</v>
      </c>
      <c r="CG226" s="3">
        <v>0</v>
      </c>
      <c r="CM226" s="3">
        <v>0</v>
      </c>
      <c r="CN226" s="3" t="s">
        <v>679</v>
      </c>
      <c r="CO226" s="3">
        <v>0</v>
      </c>
      <c r="CP226" s="3">
        <f t="shared" si="233"/>
        <v>588677.69999999995</v>
      </c>
      <c r="CQ226" s="3">
        <f t="shared" si="234"/>
        <v>732.19</v>
      </c>
      <c r="CR226" s="3">
        <f t="shared" si="270"/>
        <v>0</v>
      </c>
      <c r="CS226" s="3">
        <f t="shared" si="271"/>
        <v>0</v>
      </c>
      <c r="CT226" s="3">
        <f t="shared" si="235"/>
        <v>0</v>
      </c>
      <c r="CU226" s="3">
        <f t="shared" si="236"/>
        <v>0</v>
      </c>
      <c r="CV226" s="3">
        <f t="shared" si="237"/>
        <v>0</v>
      </c>
      <c r="CW226" s="3">
        <f t="shared" si="238"/>
        <v>0</v>
      </c>
      <c r="CX226" s="3">
        <f t="shared" si="239"/>
        <v>0</v>
      </c>
      <c r="CY226" s="3">
        <f t="shared" si="272"/>
        <v>0</v>
      </c>
      <c r="CZ226" s="3">
        <f t="shared" si="273"/>
        <v>0</v>
      </c>
      <c r="DC226" s="3" t="s">
        <v>3</v>
      </c>
      <c r="DD226" s="3" t="s">
        <v>3</v>
      </c>
      <c r="DE226" s="3" t="s">
        <v>3</v>
      </c>
      <c r="DF226" s="3" t="s">
        <v>3</v>
      </c>
      <c r="DG226" s="3" t="s">
        <v>3</v>
      </c>
      <c r="DH226" s="3" t="s">
        <v>3</v>
      </c>
      <c r="DI226" s="3" t="s">
        <v>3</v>
      </c>
      <c r="DJ226" s="3" t="s">
        <v>3</v>
      </c>
      <c r="DK226" s="3" t="s">
        <v>3</v>
      </c>
      <c r="DL226" s="3" t="s">
        <v>3</v>
      </c>
      <c r="DM226" s="3" t="s">
        <v>3</v>
      </c>
      <c r="DN226" s="3">
        <v>0</v>
      </c>
      <c r="DO226" s="3">
        <v>0</v>
      </c>
      <c r="DP226" s="3">
        <v>1</v>
      </c>
      <c r="DQ226" s="3">
        <v>1</v>
      </c>
      <c r="DU226" s="3">
        <v>1003</v>
      </c>
      <c r="DV226" s="3" t="s">
        <v>179</v>
      </c>
      <c r="DW226" s="3" t="s">
        <v>179</v>
      </c>
      <c r="DX226" s="3">
        <v>1</v>
      </c>
      <c r="DZ226" s="3" t="s">
        <v>3</v>
      </c>
      <c r="EA226" s="3" t="s">
        <v>3</v>
      </c>
      <c r="EB226" s="3" t="s">
        <v>3</v>
      </c>
      <c r="EC226" s="3" t="s">
        <v>3</v>
      </c>
      <c r="EE226" s="3">
        <v>85133422</v>
      </c>
      <c r="EF226" s="3">
        <v>40</v>
      </c>
      <c r="EG226" s="3" t="s">
        <v>27</v>
      </c>
      <c r="EH226" s="3">
        <v>0</v>
      </c>
      <c r="EI226" s="3" t="s">
        <v>3</v>
      </c>
      <c r="EJ226" s="3">
        <v>2</v>
      </c>
      <c r="EK226" s="3">
        <v>73</v>
      </c>
      <c r="EL226" s="3" t="s">
        <v>62</v>
      </c>
      <c r="EM226" s="3" t="s">
        <v>63</v>
      </c>
      <c r="EO226" s="3" t="s">
        <v>37</v>
      </c>
      <c r="EQ226" s="3">
        <v>0</v>
      </c>
      <c r="ER226" s="3">
        <v>61.58</v>
      </c>
      <c r="ES226" s="3">
        <v>61.58</v>
      </c>
      <c r="ET226" s="3">
        <v>0</v>
      </c>
      <c r="EU226" s="3">
        <v>0</v>
      </c>
      <c r="EV226" s="3">
        <v>0</v>
      </c>
      <c r="EW226" s="3">
        <v>0</v>
      </c>
      <c r="EX226" s="3">
        <v>0</v>
      </c>
      <c r="FQ226" s="3">
        <v>0</v>
      </c>
      <c r="FR226" s="3">
        <v>0</v>
      </c>
      <c r="FS226" s="3">
        <v>0</v>
      </c>
      <c r="FX226" s="3">
        <v>90</v>
      </c>
      <c r="FY226" s="3">
        <v>46</v>
      </c>
      <c r="GA226" s="3" t="s">
        <v>3</v>
      </c>
      <c r="GD226" s="3">
        <v>1</v>
      </c>
      <c r="GF226" s="3">
        <v>-2119850974</v>
      </c>
      <c r="GG226" s="3">
        <v>2</v>
      </c>
      <c r="GH226" s="3">
        <v>1</v>
      </c>
      <c r="GI226" s="3">
        <v>2</v>
      </c>
      <c r="GJ226" s="3">
        <v>0</v>
      </c>
      <c r="GK226" s="3">
        <v>0</v>
      </c>
      <c r="GL226" s="3">
        <f t="shared" si="240"/>
        <v>0</v>
      </c>
      <c r="GM226" s="3">
        <f t="shared" si="241"/>
        <v>588677.69999999995</v>
      </c>
      <c r="GN226" s="3">
        <f t="shared" si="242"/>
        <v>0</v>
      </c>
      <c r="GO226" s="3">
        <f t="shared" si="243"/>
        <v>588677.69999999995</v>
      </c>
      <c r="GP226" s="3">
        <f t="shared" si="244"/>
        <v>0</v>
      </c>
      <c r="GR226" s="3">
        <v>0</v>
      </c>
      <c r="GS226" s="3">
        <v>3</v>
      </c>
      <c r="GT226" s="3">
        <v>0</v>
      </c>
      <c r="GU226" s="3" t="s">
        <v>3</v>
      </c>
      <c r="GV226" s="3">
        <f t="shared" si="245"/>
        <v>0</v>
      </c>
      <c r="GW226" s="3">
        <v>1</v>
      </c>
      <c r="GX226" s="3">
        <f t="shared" si="246"/>
        <v>0</v>
      </c>
      <c r="HA226" s="3">
        <v>0</v>
      </c>
      <c r="HB226" s="3">
        <v>0</v>
      </c>
      <c r="HC226" s="3">
        <f t="shared" si="247"/>
        <v>0</v>
      </c>
      <c r="HE226" s="3" t="s">
        <v>3</v>
      </c>
      <c r="HF226" s="3" t="s">
        <v>3</v>
      </c>
      <c r="HM226" s="3" t="s">
        <v>35</v>
      </c>
      <c r="HN226" s="3" t="s">
        <v>3</v>
      </c>
      <c r="HO226" s="3" t="s">
        <v>3</v>
      </c>
      <c r="HP226" s="3" t="s">
        <v>3</v>
      </c>
      <c r="HQ226" s="3" t="s">
        <v>3</v>
      </c>
      <c r="HS226" s="3">
        <v>0</v>
      </c>
      <c r="IK226" s="3">
        <v>0</v>
      </c>
    </row>
    <row r="227" spans="1:255" x14ac:dyDescent="0.2">
      <c r="A227" s="2">
        <v>18</v>
      </c>
      <c r="B227" s="2">
        <v>1</v>
      </c>
      <c r="C227" s="2">
        <v>563</v>
      </c>
      <c r="D227" s="2"/>
      <c r="E227" s="2" t="s">
        <v>413</v>
      </c>
      <c r="F227" s="2" t="s">
        <v>206</v>
      </c>
      <c r="G227" s="2" t="s">
        <v>207</v>
      </c>
      <c r="H227" s="2" t="s">
        <v>179</v>
      </c>
      <c r="I227" s="2">
        <f>I223*J227</f>
        <v>904.5</v>
      </c>
      <c r="J227" s="2">
        <v>47.60526315789474</v>
      </c>
      <c r="K227" s="2">
        <v>47.60526316</v>
      </c>
      <c r="L227" s="2"/>
      <c r="M227" s="2"/>
      <c r="N227" s="2"/>
      <c r="O227" s="2">
        <f t="shared" si="223"/>
        <v>46382.76</v>
      </c>
      <c r="P227" s="2">
        <f t="shared" si="224"/>
        <v>46382.76</v>
      </c>
      <c r="Q227" s="2">
        <f t="shared" si="262"/>
        <v>0</v>
      </c>
      <c r="R227" s="2">
        <f t="shared" si="263"/>
        <v>0</v>
      </c>
      <c r="S227" s="2">
        <f t="shared" si="225"/>
        <v>0</v>
      </c>
      <c r="T227" s="2">
        <f t="shared" si="226"/>
        <v>0</v>
      </c>
      <c r="U227" s="2">
        <f t="shared" si="227"/>
        <v>0</v>
      </c>
      <c r="V227" s="2">
        <f t="shared" si="228"/>
        <v>0</v>
      </c>
      <c r="W227" s="2">
        <f t="shared" si="229"/>
        <v>0</v>
      </c>
      <c r="X227" s="2">
        <f t="shared" si="264"/>
        <v>0</v>
      </c>
      <c r="Y227" s="2">
        <f t="shared" si="265"/>
        <v>0</v>
      </c>
      <c r="Z227" s="2"/>
      <c r="AA227" s="2">
        <v>85739205</v>
      </c>
      <c r="AB227" s="2">
        <f t="shared" si="230"/>
        <v>51.28</v>
      </c>
      <c r="AC227" s="2">
        <f t="shared" si="266"/>
        <v>51.28</v>
      </c>
      <c r="AD227" s="2">
        <f t="shared" si="267"/>
        <v>0</v>
      </c>
      <c r="AE227" s="2">
        <f t="shared" si="268"/>
        <v>0</v>
      </c>
      <c r="AF227" s="2">
        <f t="shared" si="268"/>
        <v>0</v>
      </c>
      <c r="AG227" s="2">
        <f t="shared" si="231"/>
        <v>0</v>
      </c>
      <c r="AH227" s="2">
        <f t="shared" si="269"/>
        <v>0</v>
      </c>
      <c r="AI227" s="2">
        <f t="shared" si="269"/>
        <v>0</v>
      </c>
      <c r="AJ227" s="2">
        <f t="shared" si="232"/>
        <v>0</v>
      </c>
      <c r="AK227" s="2">
        <v>51.28</v>
      </c>
      <c r="AL227" s="2">
        <v>51.28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90</v>
      </c>
      <c r="AU227" s="2">
        <v>46</v>
      </c>
      <c r="AV227" s="2">
        <v>1</v>
      </c>
      <c r="AW227" s="2">
        <v>1</v>
      </c>
      <c r="AX227" s="2"/>
      <c r="AY227" s="2"/>
      <c r="AZ227" s="2">
        <v>1</v>
      </c>
      <c r="BA227" s="2">
        <v>1</v>
      </c>
      <c r="BB227" s="2">
        <v>1</v>
      </c>
      <c r="BC227" s="2">
        <v>1</v>
      </c>
      <c r="BD227" s="2" t="s">
        <v>3</v>
      </c>
      <c r="BE227" s="2" t="s">
        <v>3</v>
      </c>
      <c r="BF227" s="2" t="s">
        <v>3</v>
      </c>
      <c r="BG227" s="2" t="s">
        <v>3</v>
      </c>
      <c r="BH227" s="2">
        <v>3</v>
      </c>
      <c r="BI227" s="2">
        <v>2</v>
      </c>
      <c r="BJ227" s="2" t="s">
        <v>208</v>
      </c>
      <c r="BK227" s="2"/>
      <c r="BL227" s="2"/>
      <c r="BM227" s="2">
        <v>73</v>
      </c>
      <c r="BN227" s="2">
        <v>0</v>
      </c>
      <c r="BO227" s="2" t="s">
        <v>3</v>
      </c>
      <c r="BP227" s="2">
        <v>0</v>
      </c>
      <c r="BQ227" s="2">
        <v>40</v>
      </c>
      <c r="BR227" s="2">
        <v>0</v>
      </c>
      <c r="BS227" s="2">
        <v>1</v>
      </c>
      <c r="BT227" s="2">
        <v>1</v>
      </c>
      <c r="BU227" s="2">
        <v>1</v>
      </c>
      <c r="BV227" s="2">
        <v>1</v>
      </c>
      <c r="BW227" s="2">
        <v>1</v>
      </c>
      <c r="BX227" s="2">
        <v>1</v>
      </c>
      <c r="BY227" s="2" t="s">
        <v>3</v>
      </c>
      <c r="BZ227" s="2">
        <v>90</v>
      </c>
      <c r="CA227" s="2">
        <v>46</v>
      </c>
      <c r="CB227" s="2" t="s">
        <v>3</v>
      </c>
      <c r="CC227" s="2"/>
      <c r="CD227" s="2"/>
      <c r="CE227" s="2">
        <v>1566</v>
      </c>
      <c r="CF227" s="2">
        <v>0</v>
      </c>
      <c r="CG227" s="2">
        <v>0</v>
      </c>
      <c r="CH227" s="2"/>
      <c r="CI227" s="2"/>
      <c r="CJ227" s="2"/>
      <c r="CK227" s="2"/>
      <c r="CL227" s="2"/>
      <c r="CM227" s="2">
        <v>0</v>
      </c>
      <c r="CN227" s="2" t="s">
        <v>679</v>
      </c>
      <c r="CO227" s="2">
        <v>0</v>
      </c>
      <c r="CP227" s="2">
        <f t="shared" si="233"/>
        <v>46382.76</v>
      </c>
      <c r="CQ227" s="2">
        <f t="shared" si="234"/>
        <v>51.28</v>
      </c>
      <c r="CR227" s="2">
        <f t="shared" si="270"/>
        <v>0</v>
      </c>
      <c r="CS227" s="2">
        <f t="shared" si="271"/>
        <v>0</v>
      </c>
      <c r="CT227" s="2">
        <f t="shared" si="235"/>
        <v>0</v>
      </c>
      <c r="CU227" s="2">
        <f t="shared" si="236"/>
        <v>0</v>
      </c>
      <c r="CV227" s="2">
        <f t="shared" si="237"/>
        <v>0</v>
      </c>
      <c r="CW227" s="2">
        <f t="shared" si="238"/>
        <v>0</v>
      </c>
      <c r="CX227" s="2">
        <f t="shared" si="239"/>
        <v>0</v>
      </c>
      <c r="CY227" s="2">
        <f t="shared" si="272"/>
        <v>0</v>
      </c>
      <c r="CZ227" s="2">
        <f t="shared" si="273"/>
        <v>0</v>
      </c>
      <c r="DA227" s="2"/>
      <c r="DB227" s="2"/>
      <c r="DC227" s="2" t="s">
        <v>3</v>
      </c>
      <c r="DD227" s="2" t="s">
        <v>3</v>
      </c>
      <c r="DE227" s="2" t="s">
        <v>3</v>
      </c>
      <c r="DF227" s="2" t="s">
        <v>3</v>
      </c>
      <c r="DG227" s="2" t="s">
        <v>3</v>
      </c>
      <c r="DH227" s="2" t="s">
        <v>3</v>
      </c>
      <c r="DI227" s="2" t="s">
        <v>3</v>
      </c>
      <c r="DJ227" s="2" t="s">
        <v>3</v>
      </c>
      <c r="DK227" s="2" t="s">
        <v>3</v>
      </c>
      <c r="DL227" s="2" t="s">
        <v>3</v>
      </c>
      <c r="DM227" s="2" t="s">
        <v>3</v>
      </c>
      <c r="DN227" s="2">
        <v>0</v>
      </c>
      <c r="DO227" s="2">
        <v>0</v>
      </c>
      <c r="DP227" s="2">
        <v>1</v>
      </c>
      <c r="DQ227" s="2">
        <v>1</v>
      </c>
      <c r="DR227" s="2"/>
      <c r="DS227" s="2"/>
      <c r="DT227" s="2"/>
      <c r="DU227" s="2">
        <v>1003</v>
      </c>
      <c r="DV227" s="2" t="s">
        <v>179</v>
      </c>
      <c r="DW227" s="2" t="s">
        <v>179</v>
      </c>
      <c r="DX227" s="2">
        <v>1</v>
      </c>
      <c r="DY227" s="2"/>
      <c r="DZ227" s="2" t="s">
        <v>3</v>
      </c>
      <c r="EA227" s="2" t="s">
        <v>3</v>
      </c>
      <c r="EB227" s="2" t="s">
        <v>3</v>
      </c>
      <c r="EC227" s="2" t="s">
        <v>3</v>
      </c>
      <c r="ED227" s="2"/>
      <c r="EE227" s="2">
        <v>85133422</v>
      </c>
      <c r="EF227" s="2">
        <v>40</v>
      </c>
      <c r="EG227" s="2" t="s">
        <v>27</v>
      </c>
      <c r="EH227" s="2">
        <v>0</v>
      </c>
      <c r="EI227" s="2" t="s">
        <v>3</v>
      </c>
      <c r="EJ227" s="2">
        <v>2</v>
      </c>
      <c r="EK227" s="2">
        <v>73</v>
      </c>
      <c r="EL227" s="2" t="s">
        <v>62</v>
      </c>
      <c r="EM227" s="2" t="s">
        <v>63</v>
      </c>
      <c r="EN227" s="2"/>
      <c r="EO227" s="2" t="s">
        <v>37</v>
      </c>
      <c r="EP227" s="2"/>
      <c r="EQ227" s="2">
        <v>0</v>
      </c>
      <c r="ER227" s="2">
        <v>51.28</v>
      </c>
      <c r="ES227" s="2">
        <v>51.28</v>
      </c>
      <c r="ET227" s="2">
        <v>0</v>
      </c>
      <c r="EU227" s="2">
        <v>0</v>
      </c>
      <c r="EV227" s="2">
        <v>0</v>
      </c>
      <c r="EW227" s="2">
        <v>0</v>
      </c>
      <c r="EX227" s="2">
        <v>0</v>
      </c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>
        <v>0</v>
      </c>
      <c r="FR227" s="2">
        <v>0</v>
      </c>
      <c r="FS227" s="2">
        <v>0</v>
      </c>
      <c r="FT227" s="2"/>
      <c r="FU227" s="2"/>
      <c r="FV227" s="2"/>
      <c r="FW227" s="2"/>
      <c r="FX227" s="2">
        <v>90</v>
      </c>
      <c r="FY227" s="2">
        <v>46</v>
      </c>
      <c r="FZ227" s="2"/>
      <c r="GA227" s="2" t="s">
        <v>3</v>
      </c>
      <c r="GB227" s="2"/>
      <c r="GC227" s="2"/>
      <c r="GD227" s="2">
        <v>1</v>
      </c>
      <c r="GE227" s="2"/>
      <c r="GF227" s="2">
        <v>-173671470</v>
      </c>
      <c r="GG227" s="2">
        <v>2</v>
      </c>
      <c r="GH227" s="2">
        <v>1</v>
      </c>
      <c r="GI227" s="2">
        <v>-2</v>
      </c>
      <c r="GJ227" s="2">
        <v>0</v>
      </c>
      <c r="GK227" s="2">
        <v>0</v>
      </c>
      <c r="GL227" s="2">
        <f t="shared" si="240"/>
        <v>0</v>
      </c>
      <c r="GM227" s="2">
        <f t="shared" si="241"/>
        <v>46382.76</v>
      </c>
      <c r="GN227" s="2">
        <f t="shared" si="242"/>
        <v>0</v>
      </c>
      <c r="GO227" s="2">
        <f t="shared" si="243"/>
        <v>46382.76</v>
      </c>
      <c r="GP227" s="2">
        <f t="shared" si="244"/>
        <v>0</v>
      </c>
      <c r="GQ227" s="2"/>
      <c r="GR227" s="2">
        <v>0</v>
      </c>
      <c r="GS227" s="2">
        <v>3</v>
      </c>
      <c r="GT227" s="2">
        <v>0</v>
      </c>
      <c r="GU227" s="2" t="s">
        <v>3</v>
      </c>
      <c r="GV227" s="2">
        <f t="shared" si="245"/>
        <v>0</v>
      </c>
      <c r="GW227" s="2">
        <v>1</v>
      </c>
      <c r="GX227" s="2">
        <f t="shared" si="246"/>
        <v>0</v>
      </c>
      <c r="GY227" s="2"/>
      <c r="GZ227" s="2"/>
      <c r="HA227" s="2">
        <v>0</v>
      </c>
      <c r="HB227" s="2">
        <v>0</v>
      </c>
      <c r="HC227" s="2">
        <f t="shared" si="247"/>
        <v>0</v>
      </c>
      <c r="HD227" s="2"/>
      <c r="HE227" s="2" t="s">
        <v>3</v>
      </c>
      <c r="HF227" s="2" t="s">
        <v>3</v>
      </c>
      <c r="HG227" s="2"/>
      <c r="HH227" s="2"/>
      <c r="HI227" s="2"/>
      <c r="HJ227" s="2"/>
      <c r="HK227" s="2"/>
      <c r="HL227" s="2"/>
      <c r="HM227" s="2" t="s">
        <v>35</v>
      </c>
      <c r="HN227" s="2" t="s">
        <v>3</v>
      </c>
      <c r="HO227" s="2" t="s">
        <v>3</v>
      </c>
      <c r="HP227" s="2" t="s">
        <v>3</v>
      </c>
      <c r="HQ227" s="2" t="s">
        <v>3</v>
      </c>
      <c r="HR227" s="2"/>
      <c r="HS227" s="2">
        <v>0</v>
      </c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>
        <v>0</v>
      </c>
      <c r="IL227" s="2"/>
      <c r="IM227" s="2"/>
      <c r="IN227" s="2"/>
      <c r="IO227" s="2"/>
      <c r="IP227" s="2"/>
      <c r="IQ227" s="2"/>
      <c r="IR227" s="2"/>
      <c r="IS227" s="2"/>
      <c r="IT227" s="2"/>
      <c r="IU227" s="2"/>
    </row>
    <row r="228" spans="1:255" x14ac:dyDescent="0.2">
      <c r="A228" s="3">
        <v>18</v>
      </c>
      <c r="B228" s="3">
        <v>1</v>
      </c>
      <c r="C228" s="3">
        <v>580</v>
      </c>
      <c r="E228" s="3" t="s">
        <v>413</v>
      </c>
      <c r="F228" s="3" t="s">
        <v>206</v>
      </c>
      <c r="G228" s="3" t="s">
        <v>207</v>
      </c>
      <c r="H228" s="3" t="s">
        <v>179</v>
      </c>
      <c r="I228" s="3">
        <f>I224*J228</f>
        <v>904.5</v>
      </c>
      <c r="J228" s="3">
        <v>47.60526315789474</v>
      </c>
      <c r="K228" s="3">
        <v>47.60526316</v>
      </c>
      <c r="O228" s="3">
        <f t="shared" si="223"/>
        <v>961050.79</v>
      </c>
      <c r="P228" s="3">
        <f t="shared" si="224"/>
        <v>961050.79</v>
      </c>
      <c r="Q228" s="3">
        <f t="shared" si="262"/>
        <v>0</v>
      </c>
      <c r="R228" s="3">
        <f t="shared" si="263"/>
        <v>0</v>
      </c>
      <c r="S228" s="3">
        <f t="shared" si="225"/>
        <v>0</v>
      </c>
      <c r="T228" s="3">
        <f t="shared" si="226"/>
        <v>0</v>
      </c>
      <c r="U228" s="3">
        <f t="shared" si="227"/>
        <v>0</v>
      </c>
      <c r="V228" s="3">
        <f t="shared" si="228"/>
        <v>0</v>
      </c>
      <c r="W228" s="3">
        <f t="shared" si="229"/>
        <v>0</v>
      </c>
      <c r="X228" s="3">
        <f t="shared" si="264"/>
        <v>0</v>
      </c>
      <c r="Y228" s="3">
        <f t="shared" si="265"/>
        <v>0</v>
      </c>
      <c r="AA228" s="3">
        <v>85739207</v>
      </c>
      <c r="AB228" s="3">
        <f t="shared" si="230"/>
        <v>51.28</v>
      </c>
      <c r="AC228" s="3">
        <f t="shared" si="266"/>
        <v>51.28</v>
      </c>
      <c r="AD228" s="3">
        <f t="shared" si="267"/>
        <v>0</v>
      </c>
      <c r="AE228" s="3">
        <f t="shared" si="268"/>
        <v>0</v>
      </c>
      <c r="AF228" s="3">
        <f t="shared" si="268"/>
        <v>0</v>
      </c>
      <c r="AG228" s="3">
        <f t="shared" si="231"/>
        <v>0</v>
      </c>
      <c r="AH228" s="3">
        <f t="shared" si="269"/>
        <v>0</v>
      </c>
      <c r="AI228" s="3">
        <f t="shared" si="269"/>
        <v>0</v>
      </c>
      <c r="AJ228" s="3">
        <f t="shared" si="232"/>
        <v>0</v>
      </c>
      <c r="AK228" s="3">
        <v>51.28</v>
      </c>
      <c r="AL228" s="3">
        <v>51.28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90</v>
      </c>
      <c r="AU228" s="3">
        <v>46</v>
      </c>
      <c r="AV228" s="3">
        <v>1</v>
      </c>
      <c r="AW228" s="3">
        <v>1</v>
      </c>
      <c r="AZ228" s="3">
        <v>1</v>
      </c>
      <c r="BA228" s="3">
        <v>1</v>
      </c>
      <c r="BB228" s="3">
        <v>1</v>
      </c>
      <c r="BC228" s="3">
        <v>20.72</v>
      </c>
      <c r="BD228" s="3" t="s">
        <v>3</v>
      </c>
      <c r="BE228" s="3" t="s">
        <v>3</v>
      </c>
      <c r="BF228" s="3" t="s">
        <v>3</v>
      </c>
      <c r="BG228" s="3" t="s">
        <v>3</v>
      </c>
      <c r="BH228" s="3">
        <v>3</v>
      </c>
      <c r="BI228" s="3">
        <v>2</v>
      </c>
      <c r="BJ228" s="3" t="s">
        <v>208</v>
      </c>
      <c r="BM228" s="3">
        <v>73</v>
      </c>
      <c r="BN228" s="3">
        <v>0</v>
      </c>
      <c r="BO228" s="3" t="s">
        <v>206</v>
      </c>
      <c r="BP228" s="3">
        <v>1</v>
      </c>
      <c r="BQ228" s="3">
        <v>40</v>
      </c>
      <c r="BR228" s="3">
        <v>0</v>
      </c>
      <c r="BS228" s="3">
        <v>1</v>
      </c>
      <c r="BT228" s="3">
        <v>1</v>
      </c>
      <c r="BU228" s="3">
        <v>1</v>
      </c>
      <c r="BV228" s="3">
        <v>1</v>
      </c>
      <c r="BW228" s="3">
        <v>1</v>
      </c>
      <c r="BX228" s="3">
        <v>1</v>
      </c>
      <c r="BY228" s="3" t="s">
        <v>3</v>
      </c>
      <c r="BZ228" s="3">
        <v>90</v>
      </c>
      <c r="CA228" s="3">
        <v>46</v>
      </c>
      <c r="CB228" s="3" t="s">
        <v>3</v>
      </c>
      <c r="CE228" s="3">
        <v>1566</v>
      </c>
      <c r="CF228" s="3">
        <v>0</v>
      </c>
      <c r="CG228" s="3">
        <v>0</v>
      </c>
      <c r="CM228" s="3">
        <v>0</v>
      </c>
      <c r="CN228" s="3" t="s">
        <v>679</v>
      </c>
      <c r="CO228" s="3">
        <v>0</v>
      </c>
      <c r="CP228" s="3">
        <f t="shared" si="233"/>
        <v>961050.79</v>
      </c>
      <c r="CQ228" s="3">
        <f t="shared" si="234"/>
        <v>1062.52</v>
      </c>
      <c r="CR228" s="3">
        <f t="shared" si="270"/>
        <v>0</v>
      </c>
      <c r="CS228" s="3">
        <f t="shared" si="271"/>
        <v>0</v>
      </c>
      <c r="CT228" s="3">
        <f t="shared" si="235"/>
        <v>0</v>
      </c>
      <c r="CU228" s="3">
        <f t="shared" si="236"/>
        <v>0</v>
      </c>
      <c r="CV228" s="3">
        <f t="shared" si="237"/>
        <v>0</v>
      </c>
      <c r="CW228" s="3">
        <f t="shared" si="238"/>
        <v>0</v>
      </c>
      <c r="CX228" s="3">
        <f t="shared" si="239"/>
        <v>0</v>
      </c>
      <c r="CY228" s="3">
        <f t="shared" si="272"/>
        <v>0</v>
      </c>
      <c r="CZ228" s="3">
        <f t="shared" si="273"/>
        <v>0</v>
      </c>
      <c r="DC228" s="3" t="s">
        <v>3</v>
      </c>
      <c r="DD228" s="3" t="s">
        <v>3</v>
      </c>
      <c r="DE228" s="3" t="s">
        <v>3</v>
      </c>
      <c r="DF228" s="3" t="s">
        <v>3</v>
      </c>
      <c r="DG228" s="3" t="s">
        <v>3</v>
      </c>
      <c r="DH228" s="3" t="s">
        <v>3</v>
      </c>
      <c r="DI228" s="3" t="s">
        <v>3</v>
      </c>
      <c r="DJ228" s="3" t="s">
        <v>3</v>
      </c>
      <c r="DK228" s="3" t="s">
        <v>3</v>
      </c>
      <c r="DL228" s="3" t="s">
        <v>3</v>
      </c>
      <c r="DM228" s="3" t="s">
        <v>3</v>
      </c>
      <c r="DN228" s="3">
        <v>0</v>
      </c>
      <c r="DO228" s="3">
        <v>0</v>
      </c>
      <c r="DP228" s="3">
        <v>1</v>
      </c>
      <c r="DQ228" s="3">
        <v>1</v>
      </c>
      <c r="DU228" s="3">
        <v>1003</v>
      </c>
      <c r="DV228" s="3" t="s">
        <v>179</v>
      </c>
      <c r="DW228" s="3" t="s">
        <v>179</v>
      </c>
      <c r="DX228" s="3">
        <v>1</v>
      </c>
      <c r="DZ228" s="3" t="s">
        <v>3</v>
      </c>
      <c r="EA228" s="3" t="s">
        <v>3</v>
      </c>
      <c r="EB228" s="3" t="s">
        <v>3</v>
      </c>
      <c r="EC228" s="3" t="s">
        <v>3</v>
      </c>
      <c r="EE228" s="3">
        <v>85133422</v>
      </c>
      <c r="EF228" s="3">
        <v>40</v>
      </c>
      <c r="EG228" s="3" t="s">
        <v>27</v>
      </c>
      <c r="EH228" s="3">
        <v>0</v>
      </c>
      <c r="EI228" s="3" t="s">
        <v>3</v>
      </c>
      <c r="EJ228" s="3">
        <v>2</v>
      </c>
      <c r="EK228" s="3">
        <v>73</v>
      </c>
      <c r="EL228" s="3" t="s">
        <v>62</v>
      </c>
      <c r="EM228" s="3" t="s">
        <v>63</v>
      </c>
      <c r="EO228" s="3" t="s">
        <v>37</v>
      </c>
      <c r="EQ228" s="3">
        <v>0</v>
      </c>
      <c r="ER228" s="3">
        <v>51.28</v>
      </c>
      <c r="ES228" s="3">
        <v>51.28</v>
      </c>
      <c r="ET228" s="3">
        <v>0</v>
      </c>
      <c r="EU228" s="3">
        <v>0</v>
      </c>
      <c r="EV228" s="3">
        <v>0</v>
      </c>
      <c r="EW228" s="3">
        <v>0</v>
      </c>
      <c r="EX228" s="3">
        <v>0</v>
      </c>
      <c r="FQ228" s="3">
        <v>0</v>
      </c>
      <c r="FR228" s="3">
        <v>0</v>
      </c>
      <c r="FS228" s="3">
        <v>0</v>
      </c>
      <c r="FX228" s="3">
        <v>90</v>
      </c>
      <c r="FY228" s="3">
        <v>46</v>
      </c>
      <c r="GA228" s="3" t="s">
        <v>3</v>
      </c>
      <c r="GD228" s="3">
        <v>1</v>
      </c>
      <c r="GF228" s="3">
        <v>-173671470</v>
      </c>
      <c r="GG228" s="3">
        <v>2</v>
      </c>
      <c r="GH228" s="3">
        <v>1</v>
      </c>
      <c r="GI228" s="3">
        <v>2</v>
      </c>
      <c r="GJ228" s="3">
        <v>0</v>
      </c>
      <c r="GK228" s="3">
        <v>0</v>
      </c>
      <c r="GL228" s="3">
        <f t="shared" si="240"/>
        <v>0</v>
      </c>
      <c r="GM228" s="3">
        <f t="shared" si="241"/>
        <v>961050.79</v>
      </c>
      <c r="GN228" s="3">
        <f t="shared" si="242"/>
        <v>0</v>
      </c>
      <c r="GO228" s="3">
        <f t="shared" si="243"/>
        <v>961050.79</v>
      </c>
      <c r="GP228" s="3">
        <f t="shared" si="244"/>
        <v>0</v>
      </c>
      <c r="GR228" s="3">
        <v>0</v>
      </c>
      <c r="GS228" s="3">
        <v>3</v>
      </c>
      <c r="GT228" s="3">
        <v>0</v>
      </c>
      <c r="GU228" s="3" t="s">
        <v>3</v>
      </c>
      <c r="GV228" s="3">
        <f t="shared" si="245"/>
        <v>0</v>
      </c>
      <c r="GW228" s="3">
        <v>1</v>
      </c>
      <c r="GX228" s="3">
        <f t="shared" si="246"/>
        <v>0</v>
      </c>
      <c r="HA228" s="3">
        <v>0</v>
      </c>
      <c r="HB228" s="3">
        <v>0</v>
      </c>
      <c r="HC228" s="3">
        <f t="shared" si="247"/>
        <v>0</v>
      </c>
      <c r="HE228" s="3" t="s">
        <v>3</v>
      </c>
      <c r="HF228" s="3" t="s">
        <v>3</v>
      </c>
      <c r="HM228" s="3" t="s">
        <v>35</v>
      </c>
      <c r="HN228" s="3" t="s">
        <v>3</v>
      </c>
      <c r="HO228" s="3" t="s">
        <v>3</v>
      </c>
      <c r="HP228" s="3" t="s">
        <v>3</v>
      </c>
      <c r="HQ228" s="3" t="s">
        <v>3</v>
      </c>
      <c r="HS228" s="3">
        <v>0</v>
      </c>
      <c r="IK228" s="3">
        <v>0</v>
      </c>
    </row>
    <row r="229" spans="1:255" x14ac:dyDescent="0.2">
      <c r="A229" s="2">
        <v>18</v>
      </c>
      <c r="B229" s="2">
        <v>1</v>
      </c>
      <c r="C229" s="2">
        <v>562</v>
      </c>
      <c r="D229" s="2"/>
      <c r="E229" s="2" t="s">
        <v>414</v>
      </c>
      <c r="F229" s="2" t="s">
        <v>415</v>
      </c>
      <c r="G229" s="2" t="s">
        <v>416</v>
      </c>
      <c r="H229" s="2" t="s">
        <v>179</v>
      </c>
      <c r="I229" s="2">
        <f>I223*J229</f>
        <v>201</v>
      </c>
      <c r="J229" s="2">
        <v>10.578947368421053</v>
      </c>
      <c r="K229" s="2">
        <v>10.57894737</v>
      </c>
      <c r="L229" s="2"/>
      <c r="M229" s="2"/>
      <c r="N229" s="2"/>
      <c r="O229" s="2">
        <f t="shared" si="223"/>
        <v>6313.41</v>
      </c>
      <c r="P229" s="2">
        <f t="shared" si="224"/>
        <v>6313.41</v>
      </c>
      <c r="Q229" s="2">
        <f t="shared" si="262"/>
        <v>0</v>
      </c>
      <c r="R229" s="2">
        <f t="shared" si="263"/>
        <v>0</v>
      </c>
      <c r="S229" s="2">
        <f t="shared" si="225"/>
        <v>0</v>
      </c>
      <c r="T229" s="2">
        <f t="shared" si="226"/>
        <v>0</v>
      </c>
      <c r="U229" s="2">
        <f t="shared" si="227"/>
        <v>0</v>
      </c>
      <c r="V229" s="2">
        <f t="shared" si="228"/>
        <v>0</v>
      </c>
      <c r="W229" s="2">
        <f t="shared" si="229"/>
        <v>0</v>
      </c>
      <c r="X229" s="2">
        <f t="shared" si="264"/>
        <v>0</v>
      </c>
      <c r="Y229" s="2">
        <f t="shared" si="265"/>
        <v>0</v>
      </c>
      <c r="Z229" s="2"/>
      <c r="AA229" s="2">
        <v>85739205</v>
      </c>
      <c r="AB229" s="2">
        <f t="shared" si="230"/>
        <v>31.41</v>
      </c>
      <c r="AC229" s="2">
        <f t="shared" si="266"/>
        <v>31.41</v>
      </c>
      <c r="AD229" s="2">
        <f t="shared" si="267"/>
        <v>0</v>
      </c>
      <c r="AE229" s="2">
        <f t="shared" si="268"/>
        <v>0</v>
      </c>
      <c r="AF229" s="2">
        <f t="shared" si="268"/>
        <v>0</v>
      </c>
      <c r="AG229" s="2">
        <f t="shared" si="231"/>
        <v>0</v>
      </c>
      <c r="AH229" s="2">
        <f t="shared" si="269"/>
        <v>0</v>
      </c>
      <c r="AI229" s="2">
        <f t="shared" si="269"/>
        <v>0</v>
      </c>
      <c r="AJ229" s="2">
        <f t="shared" si="232"/>
        <v>0</v>
      </c>
      <c r="AK229" s="2">
        <v>31.41</v>
      </c>
      <c r="AL229" s="2">
        <v>31.41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90</v>
      </c>
      <c r="AU229" s="2">
        <v>46</v>
      </c>
      <c r="AV229" s="2">
        <v>1</v>
      </c>
      <c r="AW229" s="2">
        <v>1</v>
      </c>
      <c r="AX229" s="2"/>
      <c r="AY229" s="2"/>
      <c r="AZ229" s="2">
        <v>1</v>
      </c>
      <c r="BA229" s="2">
        <v>1</v>
      </c>
      <c r="BB229" s="2">
        <v>1</v>
      </c>
      <c r="BC229" s="2">
        <v>1</v>
      </c>
      <c r="BD229" s="2" t="s">
        <v>3</v>
      </c>
      <c r="BE229" s="2" t="s">
        <v>3</v>
      </c>
      <c r="BF229" s="2" t="s">
        <v>3</v>
      </c>
      <c r="BG229" s="2" t="s">
        <v>3</v>
      </c>
      <c r="BH229" s="2">
        <v>3</v>
      </c>
      <c r="BI229" s="2">
        <v>2</v>
      </c>
      <c r="BJ229" s="2" t="s">
        <v>417</v>
      </c>
      <c r="BK229" s="2"/>
      <c r="BL229" s="2"/>
      <c r="BM229" s="2">
        <v>73</v>
      </c>
      <c r="BN229" s="2">
        <v>0</v>
      </c>
      <c r="BO229" s="2" t="s">
        <v>3</v>
      </c>
      <c r="BP229" s="2">
        <v>0</v>
      </c>
      <c r="BQ229" s="2">
        <v>40</v>
      </c>
      <c r="BR229" s="2">
        <v>0</v>
      </c>
      <c r="BS229" s="2">
        <v>1</v>
      </c>
      <c r="BT229" s="2">
        <v>1</v>
      </c>
      <c r="BU229" s="2">
        <v>1</v>
      </c>
      <c r="BV229" s="2">
        <v>1</v>
      </c>
      <c r="BW229" s="2">
        <v>1</v>
      </c>
      <c r="BX229" s="2">
        <v>1</v>
      </c>
      <c r="BY229" s="2" t="s">
        <v>3</v>
      </c>
      <c r="BZ229" s="2">
        <v>90</v>
      </c>
      <c r="CA229" s="2">
        <v>46</v>
      </c>
      <c r="CB229" s="2" t="s">
        <v>3</v>
      </c>
      <c r="CC229" s="2"/>
      <c r="CD229" s="2"/>
      <c r="CE229" s="2">
        <v>1566</v>
      </c>
      <c r="CF229" s="2">
        <v>0</v>
      </c>
      <c r="CG229" s="2">
        <v>0</v>
      </c>
      <c r="CH229" s="2"/>
      <c r="CI229" s="2"/>
      <c r="CJ229" s="2"/>
      <c r="CK229" s="2"/>
      <c r="CL229" s="2"/>
      <c r="CM229" s="2">
        <v>0</v>
      </c>
      <c r="CN229" s="2" t="s">
        <v>679</v>
      </c>
      <c r="CO229" s="2">
        <v>0</v>
      </c>
      <c r="CP229" s="2">
        <f t="shared" si="233"/>
        <v>6313.41</v>
      </c>
      <c r="CQ229" s="2">
        <f t="shared" si="234"/>
        <v>31.41</v>
      </c>
      <c r="CR229" s="2">
        <f t="shared" si="270"/>
        <v>0</v>
      </c>
      <c r="CS229" s="2">
        <f t="shared" si="271"/>
        <v>0</v>
      </c>
      <c r="CT229" s="2">
        <f t="shared" si="235"/>
        <v>0</v>
      </c>
      <c r="CU229" s="2">
        <f t="shared" si="236"/>
        <v>0</v>
      </c>
      <c r="CV229" s="2">
        <f t="shared" si="237"/>
        <v>0</v>
      </c>
      <c r="CW229" s="2">
        <f t="shared" si="238"/>
        <v>0</v>
      </c>
      <c r="CX229" s="2">
        <f t="shared" si="239"/>
        <v>0</v>
      </c>
      <c r="CY229" s="2">
        <f t="shared" si="272"/>
        <v>0</v>
      </c>
      <c r="CZ229" s="2">
        <f t="shared" si="273"/>
        <v>0</v>
      </c>
      <c r="DA229" s="2"/>
      <c r="DB229" s="2"/>
      <c r="DC229" s="2" t="s">
        <v>3</v>
      </c>
      <c r="DD229" s="2" t="s">
        <v>3</v>
      </c>
      <c r="DE229" s="2" t="s">
        <v>3</v>
      </c>
      <c r="DF229" s="2" t="s">
        <v>3</v>
      </c>
      <c r="DG229" s="2" t="s">
        <v>3</v>
      </c>
      <c r="DH229" s="2" t="s">
        <v>3</v>
      </c>
      <c r="DI229" s="2" t="s">
        <v>3</v>
      </c>
      <c r="DJ229" s="2" t="s">
        <v>3</v>
      </c>
      <c r="DK229" s="2" t="s">
        <v>3</v>
      </c>
      <c r="DL229" s="2" t="s">
        <v>3</v>
      </c>
      <c r="DM229" s="2" t="s">
        <v>3</v>
      </c>
      <c r="DN229" s="2">
        <v>0</v>
      </c>
      <c r="DO229" s="2">
        <v>0</v>
      </c>
      <c r="DP229" s="2">
        <v>1</v>
      </c>
      <c r="DQ229" s="2">
        <v>1</v>
      </c>
      <c r="DR229" s="2"/>
      <c r="DS229" s="2"/>
      <c r="DT229" s="2"/>
      <c r="DU229" s="2">
        <v>1003</v>
      </c>
      <c r="DV229" s="2" t="s">
        <v>179</v>
      </c>
      <c r="DW229" s="2" t="s">
        <v>179</v>
      </c>
      <c r="DX229" s="2">
        <v>1</v>
      </c>
      <c r="DY229" s="2"/>
      <c r="DZ229" s="2" t="s">
        <v>3</v>
      </c>
      <c r="EA229" s="2" t="s">
        <v>3</v>
      </c>
      <c r="EB229" s="2" t="s">
        <v>3</v>
      </c>
      <c r="EC229" s="2" t="s">
        <v>3</v>
      </c>
      <c r="ED229" s="2"/>
      <c r="EE229" s="2">
        <v>85133422</v>
      </c>
      <c r="EF229" s="2">
        <v>40</v>
      </c>
      <c r="EG229" s="2" t="s">
        <v>27</v>
      </c>
      <c r="EH229" s="2">
        <v>0</v>
      </c>
      <c r="EI229" s="2" t="s">
        <v>3</v>
      </c>
      <c r="EJ229" s="2">
        <v>2</v>
      </c>
      <c r="EK229" s="2">
        <v>73</v>
      </c>
      <c r="EL229" s="2" t="s">
        <v>62</v>
      </c>
      <c r="EM229" s="2" t="s">
        <v>63</v>
      </c>
      <c r="EN229" s="2"/>
      <c r="EO229" s="2" t="s">
        <v>37</v>
      </c>
      <c r="EP229" s="2"/>
      <c r="EQ229" s="2">
        <v>0</v>
      </c>
      <c r="ER229" s="2">
        <v>31.41</v>
      </c>
      <c r="ES229" s="2">
        <v>31.41</v>
      </c>
      <c r="ET229" s="2">
        <v>0</v>
      </c>
      <c r="EU229" s="2">
        <v>0</v>
      </c>
      <c r="EV229" s="2">
        <v>0</v>
      </c>
      <c r="EW229" s="2">
        <v>0</v>
      </c>
      <c r="EX229" s="2">
        <v>0</v>
      </c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>
        <v>0</v>
      </c>
      <c r="FR229" s="2">
        <v>0</v>
      </c>
      <c r="FS229" s="2">
        <v>0</v>
      </c>
      <c r="FT229" s="2"/>
      <c r="FU229" s="2"/>
      <c r="FV229" s="2"/>
      <c r="FW229" s="2"/>
      <c r="FX229" s="2">
        <v>90</v>
      </c>
      <c r="FY229" s="2">
        <v>46</v>
      </c>
      <c r="FZ229" s="2"/>
      <c r="GA229" s="2" t="s">
        <v>3</v>
      </c>
      <c r="GB229" s="2"/>
      <c r="GC229" s="2"/>
      <c r="GD229" s="2">
        <v>1</v>
      </c>
      <c r="GE229" s="2"/>
      <c r="GF229" s="2">
        <v>935342670</v>
      </c>
      <c r="GG229" s="2">
        <v>2</v>
      </c>
      <c r="GH229" s="2">
        <v>1</v>
      </c>
      <c r="GI229" s="2">
        <v>-2</v>
      </c>
      <c r="GJ229" s="2">
        <v>0</v>
      </c>
      <c r="GK229" s="2">
        <v>0</v>
      </c>
      <c r="GL229" s="2">
        <f t="shared" si="240"/>
        <v>0</v>
      </c>
      <c r="GM229" s="2">
        <f t="shared" si="241"/>
        <v>6313.41</v>
      </c>
      <c r="GN229" s="2">
        <f t="shared" si="242"/>
        <v>0</v>
      </c>
      <c r="GO229" s="2">
        <f t="shared" si="243"/>
        <v>6313.41</v>
      </c>
      <c r="GP229" s="2">
        <f t="shared" si="244"/>
        <v>0</v>
      </c>
      <c r="GQ229" s="2"/>
      <c r="GR229" s="2">
        <v>0</v>
      </c>
      <c r="GS229" s="2">
        <v>3</v>
      </c>
      <c r="GT229" s="2">
        <v>0</v>
      </c>
      <c r="GU229" s="2" t="s">
        <v>3</v>
      </c>
      <c r="GV229" s="2">
        <f t="shared" si="245"/>
        <v>0</v>
      </c>
      <c r="GW229" s="2">
        <v>1</v>
      </c>
      <c r="GX229" s="2">
        <f t="shared" si="246"/>
        <v>0</v>
      </c>
      <c r="GY229" s="2"/>
      <c r="GZ229" s="2"/>
      <c r="HA229" s="2">
        <v>0</v>
      </c>
      <c r="HB229" s="2">
        <v>0</v>
      </c>
      <c r="HC229" s="2">
        <f t="shared" si="247"/>
        <v>0</v>
      </c>
      <c r="HD229" s="2"/>
      <c r="HE229" s="2" t="s">
        <v>3</v>
      </c>
      <c r="HF229" s="2" t="s">
        <v>3</v>
      </c>
      <c r="HG229" s="2"/>
      <c r="HH229" s="2"/>
      <c r="HI229" s="2"/>
      <c r="HJ229" s="2"/>
      <c r="HK229" s="2"/>
      <c r="HL229" s="2"/>
      <c r="HM229" s="2" t="s">
        <v>35</v>
      </c>
      <c r="HN229" s="2" t="s">
        <v>3</v>
      </c>
      <c r="HO229" s="2" t="s">
        <v>3</v>
      </c>
      <c r="HP229" s="2" t="s">
        <v>3</v>
      </c>
      <c r="HQ229" s="2" t="s">
        <v>3</v>
      </c>
      <c r="HR229" s="2"/>
      <c r="HS229" s="2">
        <v>0</v>
      </c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>
        <v>0</v>
      </c>
      <c r="IL229" s="2"/>
      <c r="IM229" s="2"/>
      <c r="IN229" s="2"/>
      <c r="IO229" s="2"/>
      <c r="IP229" s="2"/>
      <c r="IQ229" s="2"/>
      <c r="IR229" s="2"/>
      <c r="IS229" s="2"/>
      <c r="IT229" s="2"/>
      <c r="IU229" s="2"/>
    </row>
    <row r="230" spans="1:255" x14ac:dyDescent="0.2">
      <c r="A230" s="3">
        <v>18</v>
      </c>
      <c r="B230" s="3">
        <v>1</v>
      </c>
      <c r="C230" s="3">
        <v>579</v>
      </c>
      <c r="E230" s="3" t="s">
        <v>414</v>
      </c>
      <c r="F230" s="3" t="s">
        <v>415</v>
      </c>
      <c r="G230" s="3" t="s">
        <v>416</v>
      </c>
      <c r="H230" s="3" t="s">
        <v>179</v>
      </c>
      <c r="I230" s="3">
        <f>I224*J230</f>
        <v>201</v>
      </c>
      <c r="J230" s="3">
        <v>10.578947368421053</v>
      </c>
      <c r="K230" s="3">
        <v>10.57894737</v>
      </c>
      <c r="O230" s="3">
        <f t="shared" si="223"/>
        <v>116861.22</v>
      </c>
      <c r="P230" s="3">
        <f t="shared" si="224"/>
        <v>116861.22</v>
      </c>
      <c r="Q230" s="3">
        <f t="shared" si="262"/>
        <v>0</v>
      </c>
      <c r="R230" s="3">
        <f t="shared" si="263"/>
        <v>0</v>
      </c>
      <c r="S230" s="3">
        <f t="shared" si="225"/>
        <v>0</v>
      </c>
      <c r="T230" s="3">
        <f t="shared" si="226"/>
        <v>0</v>
      </c>
      <c r="U230" s="3">
        <f t="shared" si="227"/>
        <v>0</v>
      </c>
      <c r="V230" s="3">
        <f t="shared" si="228"/>
        <v>0</v>
      </c>
      <c r="W230" s="3">
        <f t="shared" si="229"/>
        <v>0</v>
      </c>
      <c r="X230" s="3">
        <f t="shared" si="264"/>
        <v>0</v>
      </c>
      <c r="Y230" s="3">
        <f t="shared" si="265"/>
        <v>0</v>
      </c>
      <c r="AA230" s="3">
        <v>85739207</v>
      </c>
      <c r="AB230" s="3">
        <f t="shared" si="230"/>
        <v>31.41</v>
      </c>
      <c r="AC230" s="3">
        <f t="shared" si="266"/>
        <v>31.41</v>
      </c>
      <c r="AD230" s="3">
        <f t="shared" si="267"/>
        <v>0</v>
      </c>
      <c r="AE230" s="3">
        <f t="shared" si="268"/>
        <v>0</v>
      </c>
      <c r="AF230" s="3">
        <f t="shared" si="268"/>
        <v>0</v>
      </c>
      <c r="AG230" s="3">
        <f t="shared" si="231"/>
        <v>0</v>
      </c>
      <c r="AH230" s="3">
        <f t="shared" si="269"/>
        <v>0</v>
      </c>
      <c r="AI230" s="3">
        <f t="shared" si="269"/>
        <v>0</v>
      </c>
      <c r="AJ230" s="3">
        <f t="shared" si="232"/>
        <v>0</v>
      </c>
      <c r="AK230" s="3">
        <v>31.41</v>
      </c>
      <c r="AL230" s="3">
        <v>31.41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90</v>
      </c>
      <c r="AU230" s="3">
        <v>46</v>
      </c>
      <c r="AV230" s="3">
        <v>1</v>
      </c>
      <c r="AW230" s="3">
        <v>1</v>
      </c>
      <c r="AZ230" s="3">
        <v>1</v>
      </c>
      <c r="BA230" s="3">
        <v>1</v>
      </c>
      <c r="BB230" s="3">
        <v>1</v>
      </c>
      <c r="BC230" s="3">
        <v>18.510000000000002</v>
      </c>
      <c r="BD230" s="3" t="s">
        <v>3</v>
      </c>
      <c r="BE230" s="3" t="s">
        <v>3</v>
      </c>
      <c r="BF230" s="3" t="s">
        <v>3</v>
      </c>
      <c r="BG230" s="3" t="s">
        <v>3</v>
      </c>
      <c r="BH230" s="3">
        <v>3</v>
      </c>
      <c r="BI230" s="3">
        <v>2</v>
      </c>
      <c r="BJ230" s="3" t="s">
        <v>417</v>
      </c>
      <c r="BM230" s="3">
        <v>73</v>
      </c>
      <c r="BN230" s="3">
        <v>0</v>
      </c>
      <c r="BO230" s="3" t="s">
        <v>415</v>
      </c>
      <c r="BP230" s="3">
        <v>1</v>
      </c>
      <c r="BQ230" s="3">
        <v>40</v>
      </c>
      <c r="BR230" s="3">
        <v>0</v>
      </c>
      <c r="BS230" s="3">
        <v>1</v>
      </c>
      <c r="BT230" s="3">
        <v>1</v>
      </c>
      <c r="BU230" s="3">
        <v>1</v>
      </c>
      <c r="BV230" s="3">
        <v>1</v>
      </c>
      <c r="BW230" s="3">
        <v>1</v>
      </c>
      <c r="BX230" s="3">
        <v>1</v>
      </c>
      <c r="BY230" s="3" t="s">
        <v>3</v>
      </c>
      <c r="BZ230" s="3">
        <v>90</v>
      </c>
      <c r="CA230" s="3">
        <v>46</v>
      </c>
      <c r="CB230" s="3" t="s">
        <v>3</v>
      </c>
      <c r="CE230" s="3">
        <v>1566</v>
      </c>
      <c r="CF230" s="3">
        <v>0</v>
      </c>
      <c r="CG230" s="3">
        <v>0</v>
      </c>
      <c r="CM230" s="3">
        <v>0</v>
      </c>
      <c r="CN230" s="3" t="s">
        <v>679</v>
      </c>
      <c r="CO230" s="3">
        <v>0</v>
      </c>
      <c r="CP230" s="3">
        <f t="shared" si="233"/>
        <v>116861.22</v>
      </c>
      <c r="CQ230" s="3">
        <f t="shared" si="234"/>
        <v>581.4</v>
      </c>
      <c r="CR230" s="3">
        <f t="shared" si="270"/>
        <v>0</v>
      </c>
      <c r="CS230" s="3">
        <f t="shared" si="271"/>
        <v>0</v>
      </c>
      <c r="CT230" s="3">
        <f t="shared" si="235"/>
        <v>0</v>
      </c>
      <c r="CU230" s="3">
        <f t="shared" si="236"/>
        <v>0</v>
      </c>
      <c r="CV230" s="3">
        <f t="shared" si="237"/>
        <v>0</v>
      </c>
      <c r="CW230" s="3">
        <f t="shared" si="238"/>
        <v>0</v>
      </c>
      <c r="CX230" s="3">
        <f t="shared" si="239"/>
        <v>0</v>
      </c>
      <c r="CY230" s="3">
        <f t="shared" si="272"/>
        <v>0</v>
      </c>
      <c r="CZ230" s="3">
        <f t="shared" si="273"/>
        <v>0</v>
      </c>
      <c r="DC230" s="3" t="s">
        <v>3</v>
      </c>
      <c r="DD230" s="3" t="s">
        <v>3</v>
      </c>
      <c r="DE230" s="3" t="s">
        <v>3</v>
      </c>
      <c r="DF230" s="3" t="s">
        <v>3</v>
      </c>
      <c r="DG230" s="3" t="s">
        <v>3</v>
      </c>
      <c r="DH230" s="3" t="s">
        <v>3</v>
      </c>
      <c r="DI230" s="3" t="s">
        <v>3</v>
      </c>
      <c r="DJ230" s="3" t="s">
        <v>3</v>
      </c>
      <c r="DK230" s="3" t="s">
        <v>3</v>
      </c>
      <c r="DL230" s="3" t="s">
        <v>3</v>
      </c>
      <c r="DM230" s="3" t="s">
        <v>3</v>
      </c>
      <c r="DN230" s="3">
        <v>0</v>
      </c>
      <c r="DO230" s="3">
        <v>0</v>
      </c>
      <c r="DP230" s="3">
        <v>1</v>
      </c>
      <c r="DQ230" s="3">
        <v>1</v>
      </c>
      <c r="DU230" s="3">
        <v>1003</v>
      </c>
      <c r="DV230" s="3" t="s">
        <v>179</v>
      </c>
      <c r="DW230" s="3" t="s">
        <v>179</v>
      </c>
      <c r="DX230" s="3">
        <v>1</v>
      </c>
      <c r="DZ230" s="3" t="s">
        <v>3</v>
      </c>
      <c r="EA230" s="3" t="s">
        <v>3</v>
      </c>
      <c r="EB230" s="3" t="s">
        <v>3</v>
      </c>
      <c r="EC230" s="3" t="s">
        <v>3</v>
      </c>
      <c r="EE230" s="3">
        <v>85133422</v>
      </c>
      <c r="EF230" s="3">
        <v>40</v>
      </c>
      <c r="EG230" s="3" t="s">
        <v>27</v>
      </c>
      <c r="EH230" s="3">
        <v>0</v>
      </c>
      <c r="EI230" s="3" t="s">
        <v>3</v>
      </c>
      <c r="EJ230" s="3">
        <v>2</v>
      </c>
      <c r="EK230" s="3">
        <v>73</v>
      </c>
      <c r="EL230" s="3" t="s">
        <v>62</v>
      </c>
      <c r="EM230" s="3" t="s">
        <v>63</v>
      </c>
      <c r="EO230" s="3" t="s">
        <v>37</v>
      </c>
      <c r="EQ230" s="3">
        <v>0</v>
      </c>
      <c r="ER230" s="3">
        <v>31.41</v>
      </c>
      <c r="ES230" s="3">
        <v>31.41</v>
      </c>
      <c r="ET230" s="3">
        <v>0</v>
      </c>
      <c r="EU230" s="3">
        <v>0</v>
      </c>
      <c r="EV230" s="3">
        <v>0</v>
      </c>
      <c r="EW230" s="3">
        <v>0</v>
      </c>
      <c r="EX230" s="3">
        <v>0</v>
      </c>
      <c r="FQ230" s="3">
        <v>0</v>
      </c>
      <c r="FR230" s="3">
        <v>0</v>
      </c>
      <c r="FS230" s="3">
        <v>0</v>
      </c>
      <c r="FX230" s="3">
        <v>90</v>
      </c>
      <c r="FY230" s="3">
        <v>46</v>
      </c>
      <c r="GA230" s="3" t="s">
        <v>3</v>
      </c>
      <c r="GD230" s="3">
        <v>1</v>
      </c>
      <c r="GF230" s="3">
        <v>935342670</v>
      </c>
      <c r="GG230" s="3">
        <v>2</v>
      </c>
      <c r="GH230" s="3">
        <v>1</v>
      </c>
      <c r="GI230" s="3">
        <v>2</v>
      </c>
      <c r="GJ230" s="3">
        <v>0</v>
      </c>
      <c r="GK230" s="3">
        <v>0</v>
      </c>
      <c r="GL230" s="3">
        <f t="shared" si="240"/>
        <v>0</v>
      </c>
      <c r="GM230" s="3">
        <f t="shared" si="241"/>
        <v>116861.22</v>
      </c>
      <c r="GN230" s="3">
        <f t="shared" si="242"/>
        <v>0</v>
      </c>
      <c r="GO230" s="3">
        <f t="shared" si="243"/>
        <v>116861.22</v>
      </c>
      <c r="GP230" s="3">
        <f t="shared" si="244"/>
        <v>0</v>
      </c>
      <c r="GR230" s="3">
        <v>0</v>
      </c>
      <c r="GS230" s="3">
        <v>3</v>
      </c>
      <c r="GT230" s="3">
        <v>0</v>
      </c>
      <c r="GU230" s="3" t="s">
        <v>3</v>
      </c>
      <c r="GV230" s="3">
        <f t="shared" si="245"/>
        <v>0</v>
      </c>
      <c r="GW230" s="3">
        <v>1</v>
      </c>
      <c r="GX230" s="3">
        <f t="shared" si="246"/>
        <v>0</v>
      </c>
      <c r="HA230" s="3">
        <v>0</v>
      </c>
      <c r="HB230" s="3">
        <v>0</v>
      </c>
      <c r="HC230" s="3">
        <f t="shared" si="247"/>
        <v>0</v>
      </c>
      <c r="HE230" s="3" t="s">
        <v>3</v>
      </c>
      <c r="HF230" s="3" t="s">
        <v>3</v>
      </c>
      <c r="HM230" s="3" t="s">
        <v>35</v>
      </c>
      <c r="HN230" s="3" t="s">
        <v>3</v>
      </c>
      <c r="HO230" s="3" t="s">
        <v>3</v>
      </c>
      <c r="HP230" s="3" t="s">
        <v>3</v>
      </c>
      <c r="HQ230" s="3" t="s">
        <v>3</v>
      </c>
      <c r="HS230" s="3">
        <v>0</v>
      </c>
      <c r="IK230" s="3">
        <v>0</v>
      </c>
    </row>
    <row r="231" spans="1:255" x14ac:dyDescent="0.2">
      <c r="A231" s="2">
        <v>17</v>
      </c>
      <c r="B231" s="2">
        <v>1</v>
      </c>
      <c r="C231" s="2">
        <f>ROW(SmtRes!A586)</f>
        <v>586</v>
      </c>
      <c r="D231" s="2">
        <f>ROW(EtalonRes!A594)</f>
        <v>594</v>
      </c>
      <c r="E231" s="2" t="s">
        <v>418</v>
      </c>
      <c r="F231" s="2" t="s">
        <v>419</v>
      </c>
      <c r="G231" s="2" t="s">
        <v>420</v>
      </c>
      <c r="H231" s="2" t="s">
        <v>421</v>
      </c>
      <c r="I231" s="2">
        <f>ROUND((165)/100,9)</f>
        <v>1.65</v>
      </c>
      <c r="J231" s="2">
        <v>0</v>
      </c>
      <c r="K231" s="2">
        <f>ROUND((165)/100,9)</f>
        <v>1.65</v>
      </c>
      <c r="L231" s="2"/>
      <c r="M231" s="2"/>
      <c r="N231" s="2"/>
      <c r="O231" s="2">
        <f t="shared" si="223"/>
        <v>6846.08</v>
      </c>
      <c r="P231" s="2">
        <f t="shared" si="224"/>
        <v>4098.95</v>
      </c>
      <c r="Q231" s="2">
        <f>(ROUND((ROUND((((ET231*1.2))*AV231*I231),2)*BB231),2)+ROUND((ROUND(((AE231-((EU231*1.2)))*AV231*I231),2)*BS231),2))</f>
        <v>0</v>
      </c>
      <c r="R231" s="2">
        <f>(ROUND((ROUND((((EU231*1.2))*AV231*I231),2)*BS231),2)+ROUND((ROUND(((AE231-((EU231*1.2)))*AV231*I231),2)*BS231),2))</f>
        <v>0</v>
      </c>
      <c r="S231" s="2">
        <f t="shared" si="225"/>
        <v>2747.13</v>
      </c>
      <c r="T231" s="2">
        <f t="shared" si="226"/>
        <v>0</v>
      </c>
      <c r="U231" s="2">
        <f t="shared" si="227"/>
        <v>236.61791999999997</v>
      </c>
      <c r="V231" s="2">
        <f t="shared" si="228"/>
        <v>0</v>
      </c>
      <c r="W231" s="2">
        <f t="shared" si="229"/>
        <v>0</v>
      </c>
      <c r="X231" s="2">
        <f>(ROUND((((S231+ROUND((ROUND((((EU231*1.2))*AV231*I231),2)*BS231),2))*AT231)/100),2)+ROUND(((ROUND((ROUND(((AE231-((EU231*1.2)))*AV231*I231),2)*BS231),2)*AT231)/100),2))</f>
        <v>2829.54</v>
      </c>
      <c r="Y231" s="2">
        <f>(ROUND((((S231+ROUND((ROUND((((EU231*1.2))*AV231*I231),2)*BS231),2))*AU231)/100),2)+ROUND(((ROUND((ROUND(((AE231-((EU231*1.2)))*AV231*I231),2)*BS231),2)*AU231)/100),2))</f>
        <v>1428.51</v>
      </c>
      <c r="Z231" s="2"/>
      <c r="AA231" s="2">
        <v>85739205</v>
      </c>
      <c r="AB231" s="2">
        <f t="shared" si="230"/>
        <v>4044.5940000000001</v>
      </c>
      <c r="AC231" s="2">
        <f>ROUND(((ES231*1)),6)</f>
        <v>2484.21</v>
      </c>
      <c r="AD231" s="2">
        <f>ROUND(((((ET231*1.2))-((EU231*1.2)))+AE231),6)</f>
        <v>0</v>
      </c>
      <c r="AE231" s="2">
        <f t="shared" ref="AE231:AF234" si="274">ROUND(((EU231*1.2)),6)</f>
        <v>0</v>
      </c>
      <c r="AF231" s="2">
        <f t="shared" si="274"/>
        <v>1560.384</v>
      </c>
      <c r="AG231" s="2">
        <f t="shared" si="231"/>
        <v>0</v>
      </c>
      <c r="AH231" s="2">
        <f t="shared" ref="AH231:AI234" si="275">((EW231*1.2))</f>
        <v>134.4</v>
      </c>
      <c r="AI231" s="2">
        <f t="shared" si="275"/>
        <v>0</v>
      </c>
      <c r="AJ231" s="2">
        <f t="shared" si="232"/>
        <v>0</v>
      </c>
      <c r="AK231" s="2">
        <v>3784.53</v>
      </c>
      <c r="AL231" s="2">
        <v>2484.21</v>
      </c>
      <c r="AM231" s="2">
        <v>0</v>
      </c>
      <c r="AN231" s="2">
        <v>0</v>
      </c>
      <c r="AO231" s="2">
        <v>1300.32</v>
      </c>
      <c r="AP231" s="2">
        <v>0</v>
      </c>
      <c r="AQ231" s="2">
        <v>112</v>
      </c>
      <c r="AR231" s="2">
        <v>0</v>
      </c>
      <c r="AS231" s="2">
        <v>0</v>
      </c>
      <c r="AT231" s="2">
        <v>103</v>
      </c>
      <c r="AU231" s="2">
        <v>52</v>
      </c>
      <c r="AV231" s="2">
        <v>1.0669999999999999</v>
      </c>
      <c r="AW231" s="2">
        <v>1</v>
      </c>
      <c r="AX231" s="2"/>
      <c r="AY231" s="2"/>
      <c r="AZ231" s="2">
        <v>1</v>
      </c>
      <c r="BA231" s="2">
        <v>1</v>
      </c>
      <c r="BB231" s="2">
        <v>1</v>
      </c>
      <c r="BC231" s="2">
        <v>1</v>
      </c>
      <c r="BD231" s="2" t="s">
        <v>3</v>
      </c>
      <c r="BE231" s="2" t="s">
        <v>3</v>
      </c>
      <c r="BF231" s="2" t="s">
        <v>3</v>
      </c>
      <c r="BG231" s="2" t="s">
        <v>3</v>
      </c>
      <c r="BH231" s="2">
        <v>0</v>
      </c>
      <c r="BI231" s="2">
        <v>1</v>
      </c>
      <c r="BJ231" s="2" t="s">
        <v>422</v>
      </c>
      <c r="BK231" s="2"/>
      <c r="BL231" s="2"/>
      <c r="BM231" s="2">
        <v>103</v>
      </c>
      <c r="BN231" s="2">
        <v>0</v>
      </c>
      <c r="BO231" s="2" t="s">
        <v>419</v>
      </c>
      <c r="BP231" s="2">
        <v>1</v>
      </c>
      <c r="BQ231" s="2">
        <v>60</v>
      </c>
      <c r="BR231" s="2">
        <v>0</v>
      </c>
      <c r="BS231" s="2">
        <v>1</v>
      </c>
      <c r="BT231" s="2">
        <v>1</v>
      </c>
      <c r="BU231" s="2">
        <v>1</v>
      </c>
      <c r="BV231" s="2">
        <v>1</v>
      </c>
      <c r="BW231" s="2">
        <v>1</v>
      </c>
      <c r="BX231" s="2">
        <v>1</v>
      </c>
      <c r="BY231" s="2" t="s">
        <v>3</v>
      </c>
      <c r="BZ231" s="2">
        <v>103</v>
      </c>
      <c r="CA231" s="2">
        <v>52</v>
      </c>
      <c r="CB231" s="2" t="s">
        <v>3</v>
      </c>
      <c r="CC231" s="2"/>
      <c r="CD231" s="2"/>
      <c r="CE231" s="2">
        <v>1566</v>
      </c>
      <c r="CF231" s="2">
        <v>0</v>
      </c>
      <c r="CG231" s="2">
        <v>0</v>
      </c>
      <c r="CH231" s="2"/>
      <c r="CI231" s="2"/>
      <c r="CJ231" s="2"/>
      <c r="CK231" s="2"/>
      <c r="CL231" s="2"/>
      <c r="CM231" s="2">
        <v>0</v>
      </c>
      <c r="CN231" s="2" t="s">
        <v>677</v>
      </c>
      <c r="CO231" s="2">
        <v>0</v>
      </c>
      <c r="CP231" s="2">
        <f t="shared" si="233"/>
        <v>6846.08</v>
      </c>
      <c r="CQ231" s="2">
        <f t="shared" si="234"/>
        <v>2484.21</v>
      </c>
      <c r="CR231" s="2">
        <f>(ROUND((ROUND((((ET231*1.2))*AV231*1),2)*BB231),2)+ROUND((ROUND(((AE231-((EU231*1.2)))*AV231*1),2)*BS231),2))</f>
        <v>0</v>
      </c>
      <c r="CS231" s="2">
        <f>(ROUND((ROUND((((EU231*1.2))*AV231*1),2)*BS231),2)+ROUND((ROUND(((AE231-((EU231*1.2)))*AV231*1),2)*BS231),2))</f>
        <v>0</v>
      </c>
      <c r="CT231" s="2">
        <f t="shared" si="235"/>
        <v>1664.93</v>
      </c>
      <c r="CU231" s="2">
        <f t="shared" si="236"/>
        <v>0</v>
      </c>
      <c r="CV231" s="2">
        <f t="shared" si="237"/>
        <v>143.40479999999999</v>
      </c>
      <c r="CW231" s="2">
        <f t="shared" si="238"/>
        <v>0</v>
      </c>
      <c r="CX231" s="2">
        <f t="shared" si="239"/>
        <v>0</v>
      </c>
      <c r="CY231" s="2">
        <f>(ROUND((((S231+ROUND((ROUND((((EU231*1.2))*AV231*1),2)*BS231),2))*AT231)/100),2)+ROUND(((ROUND((ROUND(((AE231-((EU231*1.2)))*AV231*1),2)*BS231),2)*AT231)/100),2))</f>
        <v>2829.54</v>
      </c>
      <c r="CZ231" s="2">
        <f>(ROUND((((S231+ROUND((ROUND((((EU231*1.2))*AV231*1),2)*BS231),2))*AU231)/100),2)+ROUND(((ROUND((ROUND(((AE231-((EU231*1.2)))*AV231*1),2)*BS231),2)*AU231)/100),2))</f>
        <v>1428.51</v>
      </c>
      <c r="DA231" s="2"/>
      <c r="DB231" s="2">
        <v>83</v>
      </c>
      <c r="DC231" s="2" t="s">
        <v>3</v>
      </c>
      <c r="DD231" s="2" t="s">
        <v>35</v>
      </c>
      <c r="DE231" s="2" t="s">
        <v>36</v>
      </c>
      <c r="DF231" s="2" t="s">
        <v>36</v>
      </c>
      <c r="DG231" s="2" t="s">
        <v>36</v>
      </c>
      <c r="DH231" s="2" t="s">
        <v>3</v>
      </c>
      <c r="DI231" s="2" t="s">
        <v>36</v>
      </c>
      <c r="DJ231" s="2" t="s">
        <v>36</v>
      </c>
      <c r="DK231" s="2" t="s">
        <v>3</v>
      </c>
      <c r="DL231" s="2" t="s">
        <v>3</v>
      </c>
      <c r="DM231" s="2" t="s">
        <v>3</v>
      </c>
      <c r="DN231" s="2">
        <v>0</v>
      </c>
      <c r="DO231" s="2">
        <v>0</v>
      </c>
      <c r="DP231" s="2">
        <v>1</v>
      </c>
      <c r="DQ231" s="2">
        <v>1</v>
      </c>
      <c r="DR231" s="2"/>
      <c r="DS231" s="2"/>
      <c r="DT231" s="2"/>
      <c r="DU231" s="2">
        <v>1013</v>
      </c>
      <c r="DV231" s="2" t="s">
        <v>421</v>
      </c>
      <c r="DW231" s="2" t="s">
        <v>421</v>
      </c>
      <c r="DX231" s="2">
        <v>1</v>
      </c>
      <c r="DY231" s="2"/>
      <c r="DZ231" s="2" t="s">
        <v>3</v>
      </c>
      <c r="EA231" s="2" t="s">
        <v>3</v>
      </c>
      <c r="EB231" s="2" t="s">
        <v>3</v>
      </c>
      <c r="EC231" s="2" t="s">
        <v>3</v>
      </c>
      <c r="ED231" s="2"/>
      <c r="EE231" s="2">
        <v>85133452</v>
      </c>
      <c r="EF231" s="2">
        <v>60</v>
      </c>
      <c r="EG231" s="2" t="s">
        <v>423</v>
      </c>
      <c r="EH231" s="2">
        <v>0</v>
      </c>
      <c r="EI231" s="2" t="s">
        <v>3</v>
      </c>
      <c r="EJ231" s="2">
        <v>1</v>
      </c>
      <c r="EK231" s="2">
        <v>103</v>
      </c>
      <c r="EL231" s="2" t="s">
        <v>424</v>
      </c>
      <c r="EM231" s="2" t="s">
        <v>425</v>
      </c>
      <c r="EN231" s="2"/>
      <c r="EO231" s="2" t="s">
        <v>37</v>
      </c>
      <c r="EP231" s="2"/>
      <c r="EQ231" s="2">
        <v>0</v>
      </c>
      <c r="ER231" s="2">
        <v>3784.53</v>
      </c>
      <c r="ES231" s="2">
        <v>2484.21</v>
      </c>
      <c r="ET231" s="2">
        <v>0</v>
      </c>
      <c r="EU231" s="2">
        <v>0</v>
      </c>
      <c r="EV231" s="2">
        <v>1300.32</v>
      </c>
      <c r="EW231" s="2">
        <v>112</v>
      </c>
      <c r="EX231" s="2">
        <v>0</v>
      </c>
      <c r="EY231" s="2">
        <v>0</v>
      </c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>
        <v>0</v>
      </c>
      <c r="FR231" s="2">
        <v>0</v>
      </c>
      <c r="FS231" s="2">
        <v>0</v>
      </c>
      <c r="FT231" s="2"/>
      <c r="FU231" s="2"/>
      <c r="FV231" s="2"/>
      <c r="FW231" s="2"/>
      <c r="FX231" s="2">
        <v>103</v>
      </c>
      <c r="FY231" s="2">
        <v>52</v>
      </c>
      <c r="FZ231" s="2"/>
      <c r="GA231" s="2" t="s">
        <v>3</v>
      </c>
      <c r="GB231" s="2"/>
      <c r="GC231" s="2"/>
      <c r="GD231" s="2">
        <v>1</v>
      </c>
      <c r="GE231" s="2"/>
      <c r="GF231" s="2">
        <v>-160211445</v>
      </c>
      <c r="GG231" s="2">
        <v>2</v>
      </c>
      <c r="GH231" s="2">
        <v>1</v>
      </c>
      <c r="GI231" s="2">
        <v>2</v>
      </c>
      <c r="GJ231" s="2">
        <v>0</v>
      </c>
      <c r="GK231" s="2">
        <v>0</v>
      </c>
      <c r="GL231" s="2">
        <f t="shared" si="240"/>
        <v>0</v>
      </c>
      <c r="GM231" s="2">
        <f t="shared" si="241"/>
        <v>11104.13</v>
      </c>
      <c r="GN231" s="2">
        <f t="shared" si="242"/>
        <v>11104.13</v>
      </c>
      <c r="GO231" s="2">
        <f t="shared" si="243"/>
        <v>0</v>
      </c>
      <c r="GP231" s="2">
        <f t="shared" si="244"/>
        <v>0</v>
      </c>
      <c r="GQ231" s="2"/>
      <c r="GR231" s="2">
        <v>0</v>
      </c>
      <c r="GS231" s="2">
        <v>3</v>
      </c>
      <c r="GT231" s="2">
        <v>0</v>
      </c>
      <c r="GU231" s="2" t="s">
        <v>3</v>
      </c>
      <c r="GV231" s="2">
        <f t="shared" si="245"/>
        <v>0</v>
      </c>
      <c r="GW231" s="2">
        <v>1</v>
      </c>
      <c r="GX231" s="2">
        <f t="shared" si="246"/>
        <v>0</v>
      </c>
      <c r="GY231" s="2"/>
      <c r="GZ231" s="2"/>
      <c r="HA231" s="2">
        <v>0</v>
      </c>
      <c r="HB231" s="2">
        <v>0</v>
      </c>
      <c r="HC231" s="2">
        <f t="shared" si="247"/>
        <v>0</v>
      </c>
      <c r="HD231" s="2"/>
      <c r="HE231" s="2" t="s">
        <v>3</v>
      </c>
      <c r="HF231" s="2" t="s">
        <v>3</v>
      </c>
      <c r="HG231" s="2"/>
      <c r="HH231" s="2"/>
      <c r="HI231" s="2"/>
      <c r="HJ231" s="2"/>
      <c r="HK231" s="2"/>
      <c r="HL231" s="2"/>
      <c r="HM231" s="2" t="s">
        <v>3</v>
      </c>
      <c r="HN231" s="2" t="s">
        <v>3</v>
      </c>
      <c r="HO231" s="2" t="s">
        <v>3</v>
      </c>
      <c r="HP231" s="2" t="s">
        <v>3</v>
      </c>
      <c r="HQ231" s="2" t="s">
        <v>3</v>
      </c>
      <c r="HR231" s="2"/>
      <c r="HS231" s="2">
        <v>0</v>
      </c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>
        <v>0</v>
      </c>
      <c r="IL231" s="2"/>
      <c r="IM231" s="2"/>
      <c r="IN231" s="2"/>
      <c r="IO231" s="2"/>
      <c r="IP231" s="2"/>
      <c r="IQ231" s="2"/>
      <c r="IR231" s="2"/>
      <c r="IS231" s="2"/>
      <c r="IT231" s="2"/>
      <c r="IU231" s="2"/>
    </row>
    <row r="232" spans="1:255" x14ac:dyDescent="0.2">
      <c r="A232" s="3">
        <v>17</v>
      </c>
      <c r="B232" s="3">
        <v>1</v>
      </c>
      <c r="C232" s="3">
        <f>ROW(SmtRes!A590)</f>
        <v>590</v>
      </c>
      <c r="D232" s="3">
        <f>ROW(EtalonRes!A598)</f>
        <v>598</v>
      </c>
      <c r="E232" s="3" t="s">
        <v>418</v>
      </c>
      <c r="F232" s="3" t="s">
        <v>419</v>
      </c>
      <c r="G232" s="3" t="s">
        <v>420</v>
      </c>
      <c r="H232" s="3" t="s">
        <v>421</v>
      </c>
      <c r="I232" s="3">
        <f>ROUND((165)/100,9)</f>
        <v>1.65</v>
      </c>
      <c r="J232" s="3">
        <v>0</v>
      </c>
      <c r="K232" s="3">
        <f>ROUND((165)/100,9)</f>
        <v>1.65</v>
      </c>
      <c r="O232" s="3">
        <f t="shared" si="223"/>
        <v>181198.02</v>
      </c>
      <c r="P232" s="3">
        <f t="shared" si="224"/>
        <v>26397.24</v>
      </c>
      <c r="Q232" s="3">
        <f>(ROUND((ROUND((((ET232*1.2))*AV232*I232),2)*BB232),2)+ROUND((ROUND(((AE232-((EU232*1.2)))*AV232*I232),2)*BS232),2))</f>
        <v>0</v>
      </c>
      <c r="R232" s="3">
        <f>(ROUND((ROUND((((EU232*1.2))*AV232*I232),2)*BS232),2)+ROUND((ROUND(((AE232-((EU232*1.2)))*AV232*I232),2)*BS232),2))</f>
        <v>0</v>
      </c>
      <c r="S232" s="3">
        <f t="shared" si="225"/>
        <v>154800.78</v>
      </c>
      <c r="T232" s="3">
        <f t="shared" si="226"/>
        <v>0</v>
      </c>
      <c r="U232" s="3">
        <f t="shared" si="227"/>
        <v>236.61791999999997</v>
      </c>
      <c r="V232" s="3">
        <f t="shared" si="228"/>
        <v>0</v>
      </c>
      <c r="W232" s="3">
        <f t="shared" si="229"/>
        <v>0</v>
      </c>
      <c r="X232" s="3">
        <f>(ROUND((((S232+ROUND((ROUND((((EU232*1.2))*AV232*I232),2)*BS232),2))*AT232)/100),2)+ROUND(((ROUND((ROUND(((AE232-((EU232*1.2)))*AV232*I232),2)*BS232),2)*AT232)/100),2))</f>
        <v>159444.79999999999</v>
      </c>
      <c r="Y232" s="3">
        <f>(ROUND((((S232+ROUND((ROUND((((EU232*1.2))*AV232*I232),2)*BS232),2))*AU232)/100),2)+ROUND(((ROUND((ROUND(((AE232-((EU232*1.2)))*AV232*I232),2)*BS232),2)*AU232)/100),2))</f>
        <v>80496.41</v>
      </c>
      <c r="AA232" s="3">
        <v>85739207</v>
      </c>
      <c r="AB232" s="3">
        <f t="shared" si="230"/>
        <v>4044.5940000000001</v>
      </c>
      <c r="AC232" s="3">
        <f>ROUND(((ES232*1)),6)</f>
        <v>2484.21</v>
      </c>
      <c r="AD232" s="3">
        <f>ROUND(((((ET232*1.2))-((EU232*1.2)))+AE232),6)</f>
        <v>0</v>
      </c>
      <c r="AE232" s="3">
        <f t="shared" si="274"/>
        <v>0</v>
      </c>
      <c r="AF232" s="3">
        <f t="shared" si="274"/>
        <v>1560.384</v>
      </c>
      <c r="AG232" s="3">
        <f t="shared" si="231"/>
        <v>0</v>
      </c>
      <c r="AH232" s="3">
        <f t="shared" si="275"/>
        <v>134.4</v>
      </c>
      <c r="AI232" s="3">
        <f t="shared" si="275"/>
        <v>0</v>
      </c>
      <c r="AJ232" s="3">
        <f t="shared" si="232"/>
        <v>0</v>
      </c>
      <c r="AK232" s="3">
        <v>3784.53</v>
      </c>
      <c r="AL232" s="3">
        <v>2484.21</v>
      </c>
      <c r="AM232" s="3">
        <v>0</v>
      </c>
      <c r="AN232" s="3">
        <v>0</v>
      </c>
      <c r="AO232" s="3">
        <v>1300.32</v>
      </c>
      <c r="AP232" s="3">
        <v>0</v>
      </c>
      <c r="AQ232" s="3">
        <v>112</v>
      </c>
      <c r="AR232" s="3">
        <v>0</v>
      </c>
      <c r="AS232" s="3">
        <v>0</v>
      </c>
      <c r="AT232" s="3">
        <v>103</v>
      </c>
      <c r="AU232" s="3">
        <v>52</v>
      </c>
      <c r="AV232" s="3">
        <v>1.0669999999999999</v>
      </c>
      <c r="AW232" s="3">
        <v>1</v>
      </c>
      <c r="AZ232" s="3">
        <v>1</v>
      </c>
      <c r="BA232" s="3">
        <v>56.35</v>
      </c>
      <c r="BB232" s="3">
        <v>1</v>
      </c>
      <c r="BC232" s="3">
        <v>6.44</v>
      </c>
      <c r="BD232" s="3" t="s">
        <v>3</v>
      </c>
      <c r="BE232" s="3" t="s">
        <v>3</v>
      </c>
      <c r="BF232" s="3" t="s">
        <v>3</v>
      </c>
      <c r="BG232" s="3" t="s">
        <v>3</v>
      </c>
      <c r="BH232" s="3">
        <v>0</v>
      </c>
      <c r="BI232" s="3">
        <v>1</v>
      </c>
      <c r="BJ232" s="3" t="s">
        <v>422</v>
      </c>
      <c r="BM232" s="3">
        <v>103</v>
      </c>
      <c r="BN232" s="3">
        <v>0</v>
      </c>
      <c r="BO232" s="3" t="s">
        <v>419</v>
      </c>
      <c r="BP232" s="3">
        <v>1</v>
      </c>
      <c r="BQ232" s="3">
        <v>60</v>
      </c>
      <c r="BR232" s="3">
        <v>0</v>
      </c>
      <c r="BS232" s="3">
        <v>56.35</v>
      </c>
      <c r="BT232" s="3">
        <v>1</v>
      </c>
      <c r="BU232" s="3">
        <v>1</v>
      </c>
      <c r="BV232" s="3">
        <v>1</v>
      </c>
      <c r="BW232" s="3">
        <v>1</v>
      </c>
      <c r="BX232" s="3">
        <v>1</v>
      </c>
      <c r="BY232" s="3" t="s">
        <v>3</v>
      </c>
      <c r="BZ232" s="3">
        <v>103</v>
      </c>
      <c r="CA232" s="3">
        <v>52</v>
      </c>
      <c r="CB232" s="3" t="s">
        <v>3</v>
      </c>
      <c r="CE232" s="3">
        <v>1566</v>
      </c>
      <c r="CF232" s="3">
        <v>0</v>
      </c>
      <c r="CG232" s="3">
        <v>0</v>
      </c>
      <c r="CM232" s="3">
        <v>0</v>
      </c>
      <c r="CN232" s="3" t="s">
        <v>677</v>
      </c>
      <c r="CO232" s="3">
        <v>0</v>
      </c>
      <c r="CP232" s="3">
        <f t="shared" si="233"/>
        <v>181198.02</v>
      </c>
      <c r="CQ232" s="3">
        <f t="shared" si="234"/>
        <v>15998.31</v>
      </c>
      <c r="CR232" s="3">
        <f>(ROUND((ROUND((((ET232*1.2))*AV232*1),2)*BB232),2)+ROUND((ROUND(((AE232-((EU232*1.2)))*AV232*1),2)*BS232),2))</f>
        <v>0</v>
      </c>
      <c r="CS232" s="3">
        <f>(ROUND((ROUND((((EU232*1.2))*AV232*1),2)*BS232),2)+ROUND((ROUND(((AE232-((EU232*1.2)))*AV232*1),2)*BS232),2))</f>
        <v>0</v>
      </c>
      <c r="CT232" s="3">
        <f t="shared" si="235"/>
        <v>93818.81</v>
      </c>
      <c r="CU232" s="3">
        <f t="shared" si="236"/>
        <v>0</v>
      </c>
      <c r="CV232" s="3">
        <f t="shared" si="237"/>
        <v>143.40479999999999</v>
      </c>
      <c r="CW232" s="3">
        <f t="shared" si="238"/>
        <v>0</v>
      </c>
      <c r="CX232" s="3">
        <f t="shared" si="239"/>
        <v>0</v>
      </c>
      <c r="CY232" s="3">
        <f>(ROUND((((S232+ROUND((ROUND((((EU232*1.2))*AV232*1),2)*BS232),2))*AT232)/100),2)+ROUND(((ROUND((ROUND(((AE232-((EU232*1.2)))*AV232*1),2)*BS232),2)*AT232)/100),2))</f>
        <v>159444.79999999999</v>
      </c>
      <c r="CZ232" s="3">
        <f>(ROUND((((S232+ROUND((ROUND((((EU232*1.2))*AV232*1),2)*BS232),2))*AU232)/100),2)+ROUND(((ROUND((ROUND(((AE232-((EU232*1.2)))*AV232*1),2)*BS232),2)*AU232)/100),2))</f>
        <v>80496.41</v>
      </c>
      <c r="DB232" s="3">
        <v>84</v>
      </c>
      <c r="DC232" s="3" t="s">
        <v>3</v>
      </c>
      <c r="DD232" s="3" t="s">
        <v>35</v>
      </c>
      <c r="DE232" s="3" t="s">
        <v>36</v>
      </c>
      <c r="DF232" s="3" t="s">
        <v>36</v>
      </c>
      <c r="DG232" s="3" t="s">
        <v>36</v>
      </c>
      <c r="DH232" s="3" t="s">
        <v>3</v>
      </c>
      <c r="DI232" s="3" t="s">
        <v>36</v>
      </c>
      <c r="DJ232" s="3" t="s">
        <v>36</v>
      </c>
      <c r="DK232" s="3" t="s">
        <v>3</v>
      </c>
      <c r="DL232" s="3" t="s">
        <v>3</v>
      </c>
      <c r="DM232" s="3" t="s">
        <v>3</v>
      </c>
      <c r="DN232" s="3">
        <v>0</v>
      </c>
      <c r="DO232" s="3">
        <v>0</v>
      </c>
      <c r="DP232" s="3">
        <v>1</v>
      </c>
      <c r="DQ232" s="3">
        <v>1</v>
      </c>
      <c r="DU232" s="3">
        <v>1013</v>
      </c>
      <c r="DV232" s="3" t="s">
        <v>421</v>
      </c>
      <c r="DW232" s="3" t="s">
        <v>421</v>
      </c>
      <c r="DX232" s="3">
        <v>1</v>
      </c>
      <c r="DZ232" s="3" t="s">
        <v>3</v>
      </c>
      <c r="EA232" s="3" t="s">
        <v>3</v>
      </c>
      <c r="EB232" s="3" t="s">
        <v>3</v>
      </c>
      <c r="EC232" s="3" t="s">
        <v>3</v>
      </c>
      <c r="EE232" s="3">
        <v>85133452</v>
      </c>
      <c r="EF232" s="3">
        <v>60</v>
      </c>
      <c r="EG232" s="3" t="s">
        <v>423</v>
      </c>
      <c r="EH232" s="3">
        <v>0</v>
      </c>
      <c r="EI232" s="3" t="s">
        <v>3</v>
      </c>
      <c r="EJ232" s="3">
        <v>1</v>
      </c>
      <c r="EK232" s="3">
        <v>103</v>
      </c>
      <c r="EL232" s="3" t="s">
        <v>424</v>
      </c>
      <c r="EM232" s="3" t="s">
        <v>425</v>
      </c>
      <c r="EO232" s="3" t="s">
        <v>37</v>
      </c>
      <c r="EQ232" s="3">
        <v>0</v>
      </c>
      <c r="ER232" s="3">
        <v>3784.53</v>
      </c>
      <c r="ES232" s="3">
        <v>2484.21</v>
      </c>
      <c r="ET232" s="3">
        <v>0</v>
      </c>
      <c r="EU232" s="3">
        <v>0</v>
      </c>
      <c r="EV232" s="3">
        <v>1300.32</v>
      </c>
      <c r="EW232" s="3">
        <v>112</v>
      </c>
      <c r="EX232" s="3">
        <v>0</v>
      </c>
      <c r="EY232" s="3">
        <v>0</v>
      </c>
      <c r="FQ232" s="3">
        <v>0</v>
      </c>
      <c r="FR232" s="3">
        <v>0</v>
      </c>
      <c r="FS232" s="3">
        <v>0</v>
      </c>
      <c r="FX232" s="3">
        <v>103</v>
      </c>
      <c r="FY232" s="3">
        <v>52</v>
      </c>
      <c r="GA232" s="3" t="s">
        <v>3</v>
      </c>
      <c r="GD232" s="3">
        <v>1</v>
      </c>
      <c r="GF232" s="3">
        <v>-160211445</v>
      </c>
      <c r="GG232" s="3">
        <v>2</v>
      </c>
      <c r="GH232" s="3">
        <v>1</v>
      </c>
      <c r="GI232" s="3">
        <v>2</v>
      </c>
      <c r="GJ232" s="3">
        <v>0</v>
      </c>
      <c r="GK232" s="3">
        <v>0</v>
      </c>
      <c r="GL232" s="3">
        <f t="shared" si="240"/>
        <v>0</v>
      </c>
      <c r="GM232" s="3">
        <f t="shared" si="241"/>
        <v>421139.23</v>
      </c>
      <c r="GN232" s="3">
        <f t="shared" si="242"/>
        <v>421139.23</v>
      </c>
      <c r="GO232" s="3">
        <f t="shared" si="243"/>
        <v>0</v>
      </c>
      <c r="GP232" s="3">
        <f t="shared" si="244"/>
        <v>0</v>
      </c>
      <c r="GR232" s="3">
        <v>0</v>
      </c>
      <c r="GS232" s="3">
        <v>3</v>
      </c>
      <c r="GT232" s="3">
        <v>0</v>
      </c>
      <c r="GU232" s="3" t="s">
        <v>3</v>
      </c>
      <c r="GV232" s="3">
        <f t="shared" si="245"/>
        <v>0</v>
      </c>
      <c r="GW232" s="3">
        <v>1</v>
      </c>
      <c r="GX232" s="3">
        <f t="shared" si="246"/>
        <v>0</v>
      </c>
      <c r="HA232" s="3">
        <v>0</v>
      </c>
      <c r="HB232" s="3">
        <v>0</v>
      </c>
      <c r="HC232" s="3">
        <f t="shared" si="247"/>
        <v>0</v>
      </c>
      <c r="HE232" s="3" t="s">
        <v>3</v>
      </c>
      <c r="HF232" s="3" t="s">
        <v>3</v>
      </c>
      <c r="HM232" s="3" t="s">
        <v>3</v>
      </c>
      <c r="HN232" s="3" t="s">
        <v>3</v>
      </c>
      <c r="HO232" s="3" t="s">
        <v>3</v>
      </c>
      <c r="HP232" s="3" t="s">
        <v>3</v>
      </c>
      <c r="HQ232" s="3" t="s">
        <v>3</v>
      </c>
      <c r="HS232" s="3">
        <v>0</v>
      </c>
      <c r="IK232" s="3">
        <v>0</v>
      </c>
    </row>
    <row r="233" spans="1:255" x14ac:dyDescent="0.2">
      <c r="A233" s="2">
        <v>17</v>
      </c>
      <c r="B233" s="2">
        <v>1</v>
      </c>
      <c r="C233" s="2">
        <f>ROW(SmtRes!A594)</f>
        <v>594</v>
      </c>
      <c r="D233" s="2">
        <f>ROW(EtalonRes!A603)</f>
        <v>603</v>
      </c>
      <c r="E233" s="2" t="s">
        <v>426</v>
      </c>
      <c r="F233" s="2" t="s">
        <v>102</v>
      </c>
      <c r="G233" s="2" t="s">
        <v>103</v>
      </c>
      <c r="H233" s="2" t="s">
        <v>23</v>
      </c>
      <c r="I233" s="2">
        <f>ROUND(8,9)</f>
        <v>8</v>
      </c>
      <c r="J233" s="2">
        <v>0</v>
      </c>
      <c r="K233" s="2">
        <f>ROUND(8,9)</f>
        <v>8</v>
      </c>
      <c r="L233" s="2"/>
      <c r="M233" s="2"/>
      <c r="N233" s="2"/>
      <c r="O233" s="2">
        <f t="shared" si="223"/>
        <v>587.80999999999995</v>
      </c>
      <c r="P233" s="2">
        <f t="shared" si="224"/>
        <v>32.32</v>
      </c>
      <c r="Q233" s="2">
        <f>(ROUND((ROUND((((ET233*1.2))*AV233*I233),2)*BB233),2)+ROUND((ROUND(((AE233-((EU233*1.2)))*AV233*I233),2)*BS233),2))</f>
        <v>25.51</v>
      </c>
      <c r="R233" s="2">
        <f>(ROUND((ROUND((((EU233*1.2))*AV233*I233),2)*BS233),2)+ROUND((ROUND(((AE233-((EU233*1.2)))*AV233*I233),2)*BS233),2))</f>
        <v>3.89</v>
      </c>
      <c r="S233" s="2">
        <f t="shared" si="225"/>
        <v>529.98</v>
      </c>
      <c r="T233" s="2">
        <f t="shared" si="226"/>
        <v>0</v>
      </c>
      <c r="U233" s="2">
        <f t="shared" si="227"/>
        <v>41.997119999999988</v>
      </c>
      <c r="V233" s="2">
        <f t="shared" si="228"/>
        <v>0</v>
      </c>
      <c r="W233" s="2">
        <f t="shared" si="229"/>
        <v>0</v>
      </c>
      <c r="X233" s="2">
        <f>(ROUND((((S233+ROUND((ROUND((((EU233*1.2))*AV233*I233),2)*BS233),2))*AT233)/100),2)+ROUND(((ROUND((ROUND(((AE233-((EU233*1.2)))*AV233*I233),2)*BS233),2)*AT233)/100),2))</f>
        <v>480.48</v>
      </c>
      <c r="Y233" s="2">
        <f>(ROUND((((S233+ROUND((ROUND((((EU233*1.2))*AV233*I233),2)*BS233),2))*AU233)/100),2)+ROUND(((ROUND((ROUND(((AE233-((EU233*1.2)))*AV233*I233),2)*BS233),2)*AU233)/100),2))</f>
        <v>245.58</v>
      </c>
      <c r="Z233" s="2"/>
      <c r="AA233" s="2">
        <v>85739205</v>
      </c>
      <c r="AB233" s="2">
        <f t="shared" si="230"/>
        <v>69.006</v>
      </c>
      <c r="AC233" s="2">
        <f>ROUND(((ES233*1)),6)</f>
        <v>3.93</v>
      </c>
      <c r="AD233" s="2">
        <f>ROUND(((((ET233*1.2))-((EU233*1.2)))+AE233),6)</f>
        <v>2.988</v>
      </c>
      <c r="AE233" s="2">
        <f t="shared" si="274"/>
        <v>0.45600000000000002</v>
      </c>
      <c r="AF233" s="2">
        <f t="shared" si="274"/>
        <v>62.088000000000001</v>
      </c>
      <c r="AG233" s="2">
        <f t="shared" si="231"/>
        <v>0</v>
      </c>
      <c r="AH233" s="2">
        <f t="shared" si="275"/>
        <v>4.919999999999999</v>
      </c>
      <c r="AI233" s="2">
        <f t="shared" si="275"/>
        <v>0</v>
      </c>
      <c r="AJ233" s="2">
        <f t="shared" si="232"/>
        <v>0</v>
      </c>
      <c r="AK233" s="2">
        <v>58.16</v>
      </c>
      <c r="AL233" s="2">
        <v>3.93</v>
      </c>
      <c r="AM233" s="2">
        <v>2.4900000000000002</v>
      </c>
      <c r="AN233" s="2">
        <v>0.38</v>
      </c>
      <c r="AO233" s="2">
        <v>51.74</v>
      </c>
      <c r="AP233" s="2">
        <v>0</v>
      </c>
      <c r="AQ233" s="2">
        <v>4.0999999999999996</v>
      </c>
      <c r="AR233" s="2">
        <v>0</v>
      </c>
      <c r="AS233" s="2">
        <v>0</v>
      </c>
      <c r="AT233" s="2">
        <v>90</v>
      </c>
      <c r="AU233" s="2">
        <v>46</v>
      </c>
      <c r="AV233" s="2">
        <v>1.0669999999999999</v>
      </c>
      <c r="AW233" s="2">
        <v>1.028</v>
      </c>
      <c r="AX233" s="2"/>
      <c r="AY233" s="2"/>
      <c r="AZ233" s="2">
        <v>1</v>
      </c>
      <c r="BA233" s="2">
        <v>1</v>
      </c>
      <c r="BB233" s="2">
        <v>1</v>
      </c>
      <c r="BC233" s="2">
        <v>1</v>
      </c>
      <c r="BD233" s="2" t="s">
        <v>3</v>
      </c>
      <c r="BE233" s="2" t="s">
        <v>3</v>
      </c>
      <c r="BF233" s="2" t="s">
        <v>3</v>
      </c>
      <c r="BG233" s="2" t="s">
        <v>3</v>
      </c>
      <c r="BH233" s="2">
        <v>0</v>
      </c>
      <c r="BI233" s="2">
        <v>2</v>
      </c>
      <c r="BJ233" s="2" t="s">
        <v>104</v>
      </c>
      <c r="BK233" s="2"/>
      <c r="BL233" s="2"/>
      <c r="BM233" s="2">
        <v>73</v>
      </c>
      <c r="BN233" s="2">
        <v>0</v>
      </c>
      <c r="BO233" s="2" t="s">
        <v>102</v>
      </c>
      <c r="BP233" s="2">
        <v>1</v>
      </c>
      <c r="BQ233" s="2">
        <v>40</v>
      </c>
      <c r="BR233" s="2">
        <v>0</v>
      </c>
      <c r="BS233" s="2">
        <v>1</v>
      </c>
      <c r="BT233" s="2">
        <v>1</v>
      </c>
      <c r="BU233" s="2">
        <v>1</v>
      </c>
      <c r="BV233" s="2">
        <v>1</v>
      </c>
      <c r="BW233" s="2">
        <v>1</v>
      </c>
      <c r="BX233" s="2">
        <v>1</v>
      </c>
      <c r="BY233" s="2" t="s">
        <v>3</v>
      </c>
      <c r="BZ233" s="2">
        <v>90</v>
      </c>
      <c r="CA233" s="2">
        <v>46</v>
      </c>
      <c r="CB233" s="2" t="s">
        <v>3</v>
      </c>
      <c r="CC233" s="2"/>
      <c r="CD233" s="2"/>
      <c r="CE233" s="2">
        <v>1566</v>
      </c>
      <c r="CF233" s="2">
        <v>0</v>
      </c>
      <c r="CG233" s="2">
        <v>0</v>
      </c>
      <c r="CH233" s="2"/>
      <c r="CI233" s="2"/>
      <c r="CJ233" s="2"/>
      <c r="CK233" s="2"/>
      <c r="CL233" s="2"/>
      <c r="CM233" s="2">
        <v>0</v>
      </c>
      <c r="CN233" s="2" t="s">
        <v>677</v>
      </c>
      <c r="CO233" s="2">
        <v>0</v>
      </c>
      <c r="CP233" s="2">
        <f t="shared" si="233"/>
        <v>587.81000000000006</v>
      </c>
      <c r="CQ233" s="2">
        <f t="shared" si="234"/>
        <v>4.04</v>
      </c>
      <c r="CR233" s="2">
        <f>(ROUND((ROUND((((ET233*1.2))*AV233*1),2)*BB233),2)+ROUND((ROUND(((AE233-((EU233*1.2)))*AV233*1),2)*BS233),2))</f>
        <v>3.19</v>
      </c>
      <c r="CS233" s="2">
        <f>(ROUND((ROUND((((EU233*1.2))*AV233*1),2)*BS233),2)+ROUND((ROUND(((AE233-((EU233*1.2)))*AV233*1),2)*BS233),2))</f>
        <v>0.49</v>
      </c>
      <c r="CT233" s="2">
        <f t="shared" si="235"/>
        <v>66.25</v>
      </c>
      <c r="CU233" s="2">
        <f t="shared" si="236"/>
        <v>0</v>
      </c>
      <c r="CV233" s="2">
        <f t="shared" si="237"/>
        <v>5.2496399999999985</v>
      </c>
      <c r="CW233" s="2">
        <f t="shared" si="238"/>
        <v>0</v>
      </c>
      <c r="CX233" s="2">
        <f t="shared" si="239"/>
        <v>0</v>
      </c>
      <c r="CY233" s="2">
        <f>(ROUND((((S233+ROUND((ROUND((((EU233*1.2))*AV233*1),2)*BS233),2))*AT233)/100),2)+ROUND(((ROUND((ROUND(((AE233-((EU233*1.2)))*AV233*1),2)*BS233),2)*AT233)/100),2))</f>
        <v>477.42</v>
      </c>
      <c r="CZ233" s="2">
        <f>(ROUND((((S233+ROUND((ROUND((((EU233*1.2))*AV233*1),2)*BS233),2))*AU233)/100),2)+ROUND(((ROUND((ROUND(((AE233-((EU233*1.2)))*AV233*1),2)*BS233),2)*AU233)/100),2))</f>
        <v>244.02</v>
      </c>
      <c r="DA233" s="2"/>
      <c r="DB233" s="2">
        <v>85</v>
      </c>
      <c r="DC233" s="2" t="s">
        <v>3</v>
      </c>
      <c r="DD233" s="2" t="s">
        <v>35</v>
      </c>
      <c r="DE233" s="2" t="s">
        <v>36</v>
      </c>
      <c r="DF233" s="2" t="s">
        <v>36</v>
      </c>
      <c r="DG233" s="2" t="s">
        <v>36</v>
      </c>
      <c r="DH233" s="2" t="s">
        <v>3</v>
      </c>
      <c r="DI233" s="2" t="s">
        <v>36</v>
      </c>
      <c r="DJ233" s="2" t="s">
        <v>36</v>
      </c>
      <c r="DK233" s="2" t="s">
        <v>3</v>
      </c>
      <c r="DL233" s="2" t="s">
        <v>3</v>
      </c>
      <c r="DM233" s="2" t="s">
        <v>3</v>
      </c>
      <c r="DN233" s="2">
        <v>0</v>
      </c>
      <c r="DO233" s="2">
        <v>0</v>
      </c>
      <c r="DP233" s="2">
        <v>1</v>
      </c>
      <c r="DQ233" s="2">
        <v>1</v>
      </c>
      <c r="DR233" s="2"/>
      <c r="DS233" s="2"/>
      <c r="DT233" s="2"/>
      <c r="DU233" s="2">
        <v>1013</v>
      </c>
      <c r="DV233" s="2" t="s">
        <v>23</v>
      </c>
      <c r="DW233" s="2" t="s">
        <v>23</v>
      </c>
      <c r="DX233" s="2">
        <v>1</v>
      </c>
      <c r="DY233" s="2"/>
      <c r="DZ233" s="2" t="s">
        <v>3</v>
      </c>
      <c r="EA233" s="2" t="s">
        <v>3</v>
      </c>
      <c r="EB233" s="2" t="s">
        <v>3</v>
      </c>
      <c r="EC233" s="2" t="s">
        <v>3</v>
      </c>
      <c r="ED233" s="2"/>
      <c r="EE233" s="2">
        <v>85133422</v>
      </c>
      <c r="EF233" s="2">
        <v>40</v>
      </c>
      <c r="EG233" s="2" t="s">
        <v>27</v>
      </c>
      <c r="EH233" s="2">
        <v>0</v>
      </c>
      <c r="EI233" s="2" t="s">
        <v>3</v>
      </c>
      <c r="EJ233" s="2">
        <v>2</v>
      </c>
      <c r="EK233" s="2">
        <v>73</v>
      </c>
      <c r="EL233" s="2" t="s">
        <v>62</v>
      </c>
      <c r="EM233" s="2" t="s">
        <v>63</v>
      </c>
      <c r="EN233" s="2"/>
      <c r="EO233" s="2" t="s">
        <v>37</v>
      </c>
      <c r="EP233" s="2"/>
      <c r="EQ233" s="2">
        <v>0</v>
      </c>
      <c r="ER233" s="2">
        <v>58.16</v>
      </c>
      <c r="ES233" s="2">
        <v>3.93</v>
      </c>
      <c r="ET233" s="2">
        <v>2.4900000000000002</v>
      </c>
      <c r="EU233" s="2">
        <v>0.38</v>
      </c>
      <c r="EV233" s="2">
        <v>51.74</v>
      </c>
      <c r="EW233" s="2">
        <v>4.0999999999999996</v>
      </c>
      <c r="EX233" s="2">
        <v>0</v>
      </c>
      <c r="EY233" s="2">
        <v>0</v>
      </c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>
        <v>0</v>
      </c>
      <c r="FR233" s="2">
        <v>0</v>
      </c>
      <c r="FS233" s="2">
        <v>2</v>
      </c>
      <c r="FT233" s="2"/>
      <c r="FU233" s="2"/>
      <c r="FV233" s="2"/>
      <c r="FW233" s="2"/>
      <c r="FX233" s="2">
        <v>90</v>
      </c>
      <c r="FY233" s="2">
        <v>46</v>
      </c>
      <c r="FZ233" s="2"/>
      <c r="GA233" s="2" t="s">
        <v>3</v>
      </c>
      <c r="GB233" s="2"/>
      <c r="GC233" s="2"/>
      <c r="GD233" s="2">
        <v>1</v>
      </c>
      <c r="GE233" s="2"/>
      <c r="GF233" s="2">
        <v>1723816868</v>
      </c>
      <c r="GG233" s="2">
        <v>2</v>
      </c>
      <c r="GH233" s="2">
        <v>1</v>
      </c>
      <c r="GI233" s="2">
        <v>2</v>
      </c>
      <c r="GJ233" s="2">
        <v>0</v>
      </c>
      <c r="GK233" s="2">
        <v>0</v>
      </c>
      <c r="GL233" s="2">
        <f t="shared" si="240"/>
        <v>0</v>
      </c>
      <c r="GM233" s="2">
        <f t="shared" si="241"/>
        <v>1313.87</v>
      </c>
      <c r="GN233" s="2">
        <f t="shared" si="242"/>
        <v>0</v>
      </c>
      <c r="GO233" s="2">
        <f t="shared" si="243"/>
        <v>1313.87</v>
      </c>
      <c r="GP233" s="2">
        <f t="shared" si="244"/>
        <v>0</v>
      </c>
      <c r="GQ233" s="2"/>
      <c r="GR233" s="2">
        <v>0</v>
      </c>
      <c r="GS233" s="2">
        <v>3</v>
      </c>
      <c r="GT233" s="2">
        <v>0</v>
      </c>
      <c r="GU233" s="2" t="s">
        <v>3</v>
      </c>
      <c r="GV233" s="2">
        <f t="shared" si="245"/>
        <v>0</v>
      </c>
      <c r="GW233" s="2">
        <v>1</v>
      </c>
      <c r="GX233" s="2">
        <f t="shared" si="246"/>
        <v>0</v>
      </c>
      <c r="GY233" s="2"/>
      <c r="GZ233" s="2"/>
      <c r="HA233" s="2">
        <v>0</v>
      </c>
      <c r="HB233" s="2">
        <v>0</v>
      </c>
      <c r="HC233" s="2">
        <f t="shared" si="247"/>
        <v>0</v>
      </c>
      <c r="HD233" s="2"/>
      <c r="HE233" s="2" t="s">
        <v>3</v>
      </c>
      <c r="HF233" s="2" t="s">
        <v>3</v>
      </c>
      <c r="HG233" s="2"/>
      <c r="HH233" s="2"/>
      <c r="HI233" s="2"/>
      <c r="HJ233" s="2"/>
      <c r="HK233" s="2"/>
      <c r="HL233" s="2"/>
      <c r="HM233" s="2" t="s">
        <v>3</v>
      </c>
      <c r="HN233" s="2" t="s">
        <v>3</v>
      </c>
      <c r="HO233" s="2" t="s">
        <v>3</v>
      </c>
      <c r="HP233" s="2" t="s">
        <v>3</v>
      </c>
      <c r="HQ233" s="2" t="s">
        <v>3</v>
      </c>
      <c r="HR233" s="2"/>
      <c r="HS233" s="2">
        <v>0</v>
      </c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>
        <v>0</v>
      </c>
      <c r="IL233" s="2"/>
      <c r="IM233" s="2"/>
      <c r="IN233" s="2"/>
      <c r="IO233" s="2"/>
      <c r="IP233" s="2"/>
      <c r="IQ233" s="2"/>
      <c r="IR233" s="2"/>
      <c r="IS233" s="2"/>
      <c r="IT233" s="2"/>
      <c r="IU233" s="2"/>
    </row>
    <row r="234" spans="1:255" x14ac:dyDescent="0.2">
      <c r="A234" s="3">
        <v>17</v>
      </c>
      <c r="B234" s="3">
        <v>1</v>
      </c>
      <c r="C234" s="3">
        <f>ROW(SmtRes!A598)</f>
        <v>598</v>
      </c>
      <c r="D234" s="3">
        <f>ROW(EtalonRes!A608)</f>
        <v>608</v>
      </c>
      <c r="E234" s="3" t="s">
        <v>426</v>
      </c>
      <c r="F234" s="3" t="s">
        <v>102</v>
      </c>
      <c r="G234" s="3" t="s">
        <v>103</v>
      </c>
      <c r="H234" s="3" t="s">
        <v>23</v>
      </c>
      <c r="I234" s="3">
        <f>ROUND(8,9)</f>
        <v>8</v>
      </c>
      <c r="J234" s="3">
        <v>0</v>
      </c>
      <c r="K234" s="3">
        <f>ROUND(8,9)</f>
        <v>8</v>
      </c>
      <c r="O234" s="3">
        <f t="shared" si="223"/>
        <v>30445.46</v>
      </c>
      <c r="P234" s="3">
        <f t="shared" si="224"/>
        <v>145.12</v>
      </c>
      <c r="Q234" s="3">
        <f>(ROUND((ROUND((((ET234*1.2))*AV234*I234),2)*BB234),2)+ROUND((ROUND(((AE234-((EU234*1.2)))*AV234*I234),2)*BS234),2))</f>
        <v>435.97</v>
      </c>
      <c r="R234" s="3">
        <f>(ROUND((ROUND((((EU234*1.2))*AV234*I234),2)*BS234),2)+ROUND((ROUND(((AE234-((EU234*1.2)))*AV234*I234),2)*BS234),2))</f>
        <v>219.2</v>
      </c>
      <c r="S234" s="3">
        <f t="shared" si="225"/>
        <v>29864.37</v>
      </c>
      <c r="T234" s="3">
        <f t="shared" si="226"/>
        <v>0</v>
      </c>
      <c r="U234" s="3">
        <f t="shared" si="227"/>
        <v>41.997119999999988</v>
      </c>
      <c r="V234" s="3">
        <f t="shared" si="228"/>
        <v>0</v>
      </c>
      <c r="W234" s="3">
        <f t="shared" si="229"/>
        <v>0</v>
      </c>
      <c r="X234" s="3">
        <f>(ROUND((((S234+ROUND((ROUND((((EU234*1.2))*AV234*I234),2)*BS234),2))*AT234)/100),2)+ROUND(((ROUND((ROUND(((AE234-((EU234*1.2)))*AV234*I234),2)*BS234),2)*AT234)/100),2))</f>
        <v>27075.21</v>
      </c>
      <c r="Y234" s="3">
        <f>(ROUND((((S234+ROUND((ROUND((((EU234*1.2))*AV234*I234),2)*BS234),2))*AU234)/100),2)+ROUND(((ROUND((ROUND(((AE234-((EU234*1.2)))*AV234*I234),2)*BS234),2)*AU234)/100),2))</f>
        <v>13838.44</v>
      </c>
      <c r="AA234" s="3">
        <v>85739207</v>
      </c>
      <c r="AB234" s="3">
        <f t="shared" si="230"/>
        <v>69.006</v>
      </c>
      <c r="AC234" s="3">
        <f>ROUND(((ES234*1)),6)</f>
        <v>3.93</v>
      </c>
      <c r="AD234" s="3">
        <f>ROUND(((((ET234*1.2))-((EU234*1.2)))+AE234),6)</f>
        <v>2.988</v>
      </c>
      <c r="AE234" s="3">
        <f t="shared" si="274"/>
        <v>0.45600000000000002</v>
      </c>
      <c r="AF234" s="3">
        <f t="shared" si="274"/>
        <v>62.088000000000001</v>
      </c>
      <c r="AG234" s="3">
        <f t="shared" si="231"/>
        <v>0</v>
      </c>
      <c r="AH234" s="3">
        <f t="shared" si="275"/>
        <v>4.919999999999999</v>
      </c>
      <c r="AI234" s="3">
        <f t="shared" si="275"/>
        <v>0</v>
      </c>
      <c r="AJ234" s="3">
        <f t="shared" si="232"/>
        <v>0</v>
      </c>
      <c r="AK234" s="3">
        <v>58.16</v>
      </c>
      <c r="AL234" s="3">
        <v>3.93</v>
      </c>
      <c r="AM234" s="3">
        <v>2.4900000000000002</v>
      </c>
      <c r="AN234" s="3">
        <v>0.38</v>
      </c>
      <c r="AO234" s="3">
        <v>51.74</v>
      </c>
      <c r="AP234" s="3">
        <v>0</v>
      </c>
      <c r="AQ234" s="3">
        <v>4.0999999999999996</v>
      </c>
      <c r="AR234" s="3">
        <v>0</v>
      </c>
      <c r="AS234" s="3">
        <v>0</v>
      </c>
      <c r="AT234" s="3">
        <v>90</v>
      </c>
      <c r="AU234" s="3">
        <v>46</v>
      </c>
      <c r="AV234" s="3">
        <v>1.0669999999999999</v>
      </c>
      <c r="AW234" s="3">
        <v>1.028</v>
      </c>
      <c r="AZ234" s="3">
        <v>1</v>
      </c>
      <c r="BA234" s="3">
        <v>56.35</v>
      </c>
      <c r="BB234" s="3">
        <v>17.09</v>
      </c>
      <c r="BC234" s="3">
        <v>4.49</v>
      </c>
      <c r="BD234" s="3" t="s">
        <v>3</v>
      </c>
      <c r="BE234" s="3" t="s">
        <v>3</v>
      </c>
      <c r="BF234" s="3" t="s">
        <v>3</v>
      </c>
      <c r="BG234" s="3" t="s">
        <v>3</v>
      </c>
      <c r="BH234" s="3">
        <v>0</v>
      </c>
      <c r="BI234" s="3">
        <v>2</v>
      </c>
      <c r="BJ234" s="3" t="s">
        <v>104</v>
      </c>
      <c r="BM234" s="3">
        <v>73</v>
      </c>
      <c r="BN234" s="3">
        <v>0</v>
      </c>
      <c r="BO234" s="3" t="s">
        <v>102</v>
      </c>
      <c r="BP234" s="3">
        <v>1</v>
      </c>
      <c r="BQ234" s="3">
        <v>40</v>
      </c>
      <c r="BR234" s="3">
        <v>0</v>
      </c>
      <c r="BS234" s="3">
        <v>56.35</v>
      </c>
      <c r="BT234" s="3">
        <v>1</v>
      </c>
      <c r="BU234" s="3">
        <v>1</v>
      </c>
      <c r="BV234" s="3">
        <v>1</v>
      </c>
      <c r="BW234" s="3">
        <v>1</v>
      </c>
      <c r="BX234" s="3">
        <v>1</v>
      </c>
      <c r="BY234" s="3" t="s">
        <v>3</v>
      </c>
      <c r="BZ234" s="3">
        <v>90</v>
      </c>
      <c r="CA234" s="3">
        <v>46</v>
      </c>
      <c r="CB234" s="3" t="s">
        <v>3</v>
      </c>
      <c r="CE234" s="3">
        <v>1566</v>
      </c>
      <c r="CF234" s="3">
        <v>0</v>
      </c>
      <c r="CG234" s="3">
        <v>0</v>
      </c>
      <c r="CM234" s="3">
        <v>0</v>
      </c>
      <c r="CN234" s="3" t="s">
        <v>677</v>
      </c>
      <c r="CO234" s="3">
        <v>0</v>
      </c>
      <c r="CP234" s="3">
        <f t="shared" si="233"/>
        <v>30445.46</v>
      </c>
      <c r="CQ234" s="3">
        <f t="shared" si="234"/>
        <v>18.14</v>
      </c>
      <c r="CR234" s="3">
        <f>(ROUND((ROUND((((ET234*1.2))*AV234*1),2)*BB234),2)+ROUND((ROUND(((AE234-((EU234*1.2)))*AV234*1),2)*BS234),2))</f>
        <v>54.52</v>
      </c>
      <c r="CS234" s="3">
        <f>(ROUND((ROUND((((EU234*1.2))*AV234*1),2)*BS234),2)+ROUND((ROUND(((AE234-((EU234*1.2)))*AV234*1),2)*BS234),2))</f>
        <v>27.61</v>
      </c>
      <c r="CT234" s="3">
        <f t="shared" si="235"/>
        <v>3733.19</v>
      </c>
      <c r="CU234" s="3">
        <f t="shared" si="236"/>
        <v>0</v>
      </c>
      <c r="CV234" s="3">
        <f t="shared" si="237"/>
        <v>5.2496399999999985</v>
      </c>
      <c r="CW234" s="3">
        <f t="shared" si="238"/>
        <v>0</v>
      </c>
      <c r="CX234" s="3">
        <f t="shared" si="239"/>
        <v>0</v>
      </c>
      <c r="CY234" s="3">
        <f>(ROUND((((S234+ROUND((ROUND((((EU234*1.2))*AV234*1),2)*BS234),2))*AT234)/100),2)+ROUND(((ROUND((ROUND(((AE234-((EU234*1.2)))*AV234*1),2)*BS234),2)*AT234)/100),2))</f>
        <v>26902.78</v>
      </c>
      <c r="CZ234" s="3">
        <f>(ROUND((((S234+ROUND((ROUND((((EU234*1.2))*AV234*1),2)*BS234),2))*AU234)/100),2)+ROUND(((ROUND((ROUND(((AE234-((EU234*1.2)))*AV234*1),2)*BS234),2)*AU234)/100),2))</f>
        <v>13750.31</v>
      </c>
      <c r="DB234" s="3">
        <v>86</v>
      </c>
      <c r="DC234" s="3" t="s">
        <v>3</v>
      </c>
      <c r="DD234" s="3" t="s">
        <v>35</v>
      </c>
      <c r="DE234" s="3" t="s">
        <v>36</v>
      </c>
      <c r="DF234" s="3" t="s">
        <v>36</v>
      </c>
      <c r="DG234" s="3" t="s">
        <v>36</v>
      </c>
      <c r="DH234" s="3" t="s">
        <v>3</v>
      </c>
      <c r="DI234" s="3" t="s">
        <v>36</v>
      </c>
      <c r="DJ234" s="3" t="s">
        <v>36</v>
      </c>
      <c r="DK234" s="3" t="s">
        <v>3</v>
      </c>
      <c r="DL234" s="3" t="s">
        <v>3</v>
      </c>
      <c r="DM234" s="3" t="s">
        <v>3</v>
      </c>
      <c r="DN234" s="3">
        <v>0</v>
      </c>
      <c r="DO234" s="3">
        <v>0</v>
      </c>
      <c r="DP234" s="3">
        <v>1</v>
      </c>
      <c r="DQ234" s="3">
        <v>1</v>
      </c>
      <c r="DU234" s="3">
        <v>1013</v>
      </c>
      <c r="DV234" s="3" t="s">
        <v>23</v>
      </c>
      <c r="DW234" s="3" t="s">
        <v>23</v>
      </c>
      <c r="DX234" s="3">
        <v>1</v>
      </c>
      <c r="DZ234" s="3" t="s">
        <v>3</v>
      </c>
      <c r="EA234" s="3" t="s">
        <v>3</v>
      </c>
      <c r="EB234" s="3" t="s">
        <v>3</v>
      </c>
      <c r="EC234" s="3" t="s">
        <v>3</v>
      </c>
      <c r="EE234" s="3">
        <v>85133422</v>
      </c>
      <c r="EF234" s="3">
        <v>40</v>
      </c>
      <c r="EG234" s="3" t="s">
        <v>27</v>
      </c>
      <c r="EH234" s="3">
        <v>0</v>
      </c>
      <c r="EI234" s="3" t="s">
        <v>3</v>
      </c>
      <c r="EJ234" s="3">
        <v>2</v>
      </c>
      <c r="EK234" s="3">
        <v>73</v>
      </c>
      <c r="EL234" s="3" t="s">
        <v>62</v>
      </c>
      <c r="EM234" s="3" t="s">
        <v>63</v>
      </c>
      <c r="EO234" s="3" t="s">
        <v>37</v>
      </c>
      <c r="EQ234" s="3">
        <v>0</v>
      </c>
      <c r="ER234" s="3">
        <v>58.16</v>
      </c>
      <c r="ES234" s="3">
        <v>3.93</v>
      </c>
      <c r="ET234" s="3">
        <v>2.4900000000000002</v>
      </c>
      <c r="EU234" s="3">
        <v>0.38</v>
      </c>
      <c r="EV234" s="3">
        <v>51.74</v>
      </c>
      <c r="EW234" s="3">
        <v>4.0999999999999996</v>
      </c>
      <c r="EX234" s="3">
        <v>0</v>
      </c>
      <c r="EY234" s="3">
        <v>0</v>
      </c>
      <c r="FQ234" s="3">
        <v>0</v>
      </c>
      <c r="FR234" s="3">
        <v>0</v>
      </c>
      <c r="FS234" s="3">
        <v>2</v>
      </c>
      <c r="FX234" s="3">
        <v>90</v>
      </c>
      <c r="FY234" s="3">
        <v>46</v>
      </c>
      <c r="GA234" s="3" t="s">
        <v>3</v>
      </c>
      <c r="GD234" s="3">
        <v>1</v>
      </c>
      <c r="GF234" s="3">
        <v>1723816868</v>
      </c>
      <c r="GG234" s="3">
        <v>2</v>
      </c>
      <c r="GH234" s="3">
        <v>1</v>
      </c>
      <c r="GI234" s="3">
        <v>2</v>
      </c>
      <c r="GJ234" s="3">
        <v>0</v>
      </c>
      <c r="GK234" s="3">
        <v>0</v>
      </c>
      <c r="GL234" s="3">
        <f t="shared" si="240"/>
        <v>0</v>
      </c>
      <c r="GM234" s="3">
        <f t="shared" si="241"/>
        <v>71359.11</v>
      </c>
      <c r="GN234" s="3">
        <f t="shared" si="242"/>
        <v>0</v>
      </c>
      <c r="GO234" s="3">
        <f t="shared" si="243"/>
        <v>71359.11</v>
      </c>
      <c r="GP234" s="3">
        <f t="shared" si="244"/>
        <v>0</v>
      </c>
      <c r="GR234" s="3">
        <v>0</v>
      </c>
      <c r="GS234" s="3">
        <v>3</v>
      </c>
      <c r="GT234" s="3">
        <v>0</v>
      </c>
      <c r="GU234" s="3" t="s">
        <v>3</v>
      </c>
      <c r="GV234" s="3">
        <f t="shared" si="245"/>
        <v>0</v>
      </c>
      <c r="GW234" s="3">
        <v>1</v>
      </c>
      <c r="GX234" s="3">
        <f t="shared" si="246"/>
        <v>0</v>
      </c>
      <c r="HA234" s="3">
        <v>0</v>
      </c>
      <c r="HB234" s="3">
        <v>0</v>
      </c>
      <c r="HC234" s="3">
        <f t="shared" si="247"/>
        <v>0</v>
      </c>
      <c r="HE234" s="3" t="s">
        <v>3</v>
      </c>
      <c r="HF234" s="3" t="s">
        <v>3</v>
      </c>
      <c r="HM234" s="3" t="s">
        <v>3</v>
      </c>
      <c r="HN234" s="3" t="s">
        <v>3</v>
      </c>
      <c r="HO234" s="3" t="s">
        <v>3</v>
      </c>
      <c r="HP234" s="3" t="s">
        <v>3</v>
      </c>
      <c r="HQ234" s="3" t="s">
        <v>3</v>
      </c>
      <c r="HS234" s="3">
        <v>0</v>
      </c>
      <c r="IK234" s="3">
        <v>0</v>
      </c>
    </row>
    <row r="235" spans="1:255" x14ac:dyDescent="0.2">
      <c r="A235" s="2">
        <v>18</v>
      </c>
      <c r="B235" s="2">
        <v>1</v>
      </c>
      <c r="C235" s="2">
        <v>594</v>
      </c>
      <c r="D235" s="2"/>
      <c r="E235" s="2" t="s">
        <v>427</v>
      </c>
      <c r="F235" s="2" t="s">
        <v>106</v>
      </c>
      <c r="G235" s="2" t="s">
        <v>107</v>
      </c>
      <c r="H235" s="2" t="s">
        <v>99</v>
      </c>
      <c r="I235" s="2">
        <f>I233*J235</f>
        <v>8</v>
      </c>
      <c r="J235" s="2">
        <v>1</v>
      </c>
      <c r="K235" s="2">
        <v>1</v>
      </c>
      <c r="L235" s="2"/>
      <c r="M235" s="2"/>
      <c r="N235" s="2"/>
      <c r="O235" s="2">
        <f t="shared" si="223"/>
        <v>17423.439999999999</v>
      </c>
      <c r="P235" s="2">
        <f t="shared" si="224"/>
        <v>17423.439999999999</v>
      </c>
      <c r="Q235" s="2">
        <f>(ROUND((ROUND(((ET235)*AV235*I235),2)*BB235),2)+ROUND((ROUND(((AE235-(EU235))*AV235*I235),2)*BS235),2))</f>
        <v>0</v>
      </c>
      <c r="R235" s="2">
        <f>(ROUND((ROUND(((EU235)*AV235*I235),2)*BS235),2)+ROUND((ROUND(((AE235-(EU235))*AV235*I235),2)*BS235),2))</f>
        <v>0</v>
      </c>
      <c r="S235" s="2">
        <f t="shared" si="225"/>
        <v>0</v>
      </c>
      <c r="T235" s="2">
        <f t="shared" si="226"/>
        <v>0</v>
      </c>
      <c r="U235" s="2">
        <f t="shared" si="227"/>
        <v>0</v>
      </c>
      <c r="V235" s="2">
        <f t="shared" si="228"/>
        <v>0</v>
      </c>
      <c r="W235" s="2">
        <f t="shared" si="229"/>
        <v>0</v>
      </c>
      <c r="X235" s="2">
        <f>(ROUND((((S235+ROUND((ROUND(((EU235)*AV235*I235),2)*BS235),2))*AT235)/100),2)+ROUND(((ROUND((ROUND(((AE235-(EU235))*AV235*I235),2)*BS235),2)*AT235)/100),2))</f>
        <v>0</v>
      </c>
      <c r="Y235" s="2">
        <f>(ROUND((((S235+ROUND((ROUND(((EU235)*AV235*I235),2)*BS235),2))*AU235)/100),2)+ROUND(((ROUND((ROUND(((AE235-(EU235))*AV235*I235),2)*BS235),2)*AU235)/100),2))</f>
        <v>0</v>
      </c>
      <c r="Z235" s="2"/>
      <c r="AA235" s="2">
        <v>85739205</v>
      </c>
      <c r="AB235" s="2">
        <f t="shared" si="230"/>
        <v>2177.9299999999998</v>
      </c>
      <c r="AC235" s="2">
        <f>ROUND((ES235),6)</f>
        <v>2177.9299999999998</v>
      </c>
      <c r="AD235" s="2">
        <f>ROUND((((ET235)-(EU235))+AE235),6)</f>
        <v>0</v>
      </c>
      <c r="AE235" s="2">
        <f>ROUND((EU235),6)</f>
        <v>0</v>
      </c>
      <c r="AF235" s="2">
        <f>ROUND((EV235),6)</f>
        <v>0</v>
      </c>
      <c r="AG235" s="2">
        <f t="shared" si="231"/>
        <v>0</v>
      </c>
      <c r="AH235" s="2">
        <f>(EW235)</f>
        <v>0</v>
      </c>
      <c r="AI235" s="2">
        <f>(EX235)</f>
        <v>0</v>
      </c>
      <c r="AJ235" s="2">
        <f t="shared" si="232"/>
        <v>0</v>
      </c>
      <c r="AK235" s="2">
        <v>2177.9299999999998</v>
      </c>
      <c r="AL235" s="2">
        <v>2177.9299999999998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90</v>
      </c>
      <c r="AU235" s="2">
        <v>46</v>
      </c>
      <c r="AV235" s="2">
        <v>1</v>
      </c>
      <c r="AW235" s="2">
        <v>1</v>
      </c>
      <c r="AX235" s="2"/>
      <c r="AY235" s="2"/>
      <c r="AZ235" s="2">
        <v>1</v>
      </c>
      <c r="BA235" s="2">
        <v>1</v>
      </c>
      <c r="BB235" s="2">
        <v>1</v>
      </c>
      <c r="BC235" s="2">
        <v>1</v>
      </c>
      <c r="BD235" s="2" t="s">
        <v>3</v>
      </c>
      <c r="BE235" s="2" t="s">
        <v>3</v>
      </c>
      <c r="BF235" s="2" t="s">
        <v>3</v>
      </c>
      <c r="BG235" s="2" t="s">
        <v>3</v>
      </c>
      <c r="BH235" s="2">
        <v>3</v>
      </c>
      <c r="BI235" s="2">
        <v>2</v>
      </c>
      <c r="BJ235" s="2" t="s">
        <v>108</v>
      </c>
      <c r="BK235" s="2"/>
      <c r="BL235" s="2"/>
      <c r="BM235" s="2">
        <v>73</v>
      </c>
      <c r="BN235" s="2">
        <v>0</v>
      </c>
      <c r="BO235" s="2" t="s">
        <v>3</v>
      </c>
      <c r="BP235" s="2">
        <v>0</v>
      </c>
      <c r="BQ235" s="2">
        <v>40</v>
      </c>
      <c r="BR235" s="2">
        <v>0</v>
      </c>
      <c r="BS235" s="2">
        <v>1</v>
      </c>
      <c r="BT235" s="2">
        <v>1</v>
      </c>
      <c r="BU235" s="2">
        <v>1</v>
      </c>
      <c r="BV235" s="2">
        <v>1</v>
      </c>
      <c r="BW235" s="2">
        <v>1</v>
      </c>
      <c r="BX235" s="2">
        <v>1</v>
      </c>
      <c r="BY235" s="2" t="s">
        <v>3</v>
      </c>
      <c r="BZ235" s="2">
        <v>90</v>
      </c>
      <c r="CA235" s="2">
        <v>46</v>
      </c>
      <c r="CB235" s="2" t="s">
        <v>3</v>
      </c>
      <c r="CC235" s="2"/>
      <c r="CD235" s="2"/>
      <c r="CE235" s="2">
        <v>1566</v>
      </c>
      <c r="CF235" s="2">
        <v>0</v>
      </c>
      <c r="CG235" s="2">
        <v>0</v>
      </c>
      <c r="CH235" s="2"/>
      <c r="CI235" s="2"/>
      <c r="CJ235" s="2"/>
      <c r="CK235" s="2"/>
      <c r="CL235" s="2"/>
      <c r="CM235" s="2">
        <v>0</v>
      </c>
      <c r="CN235" s="2" t="s">
        <v>679</v>
      </c>
      <c r="CO235" s="2">
        <v>0</v>
      </c>
      <c r="CP235" s="2">
        <f t="shared" si="233"/>
        <v>17423.439999999999</v>
      </c>
      <c r="CQ235" s="2">
        <f t="shared" si="234"/>
        <v>2177.9299999999998</v>
      </c>
      <c r="CR235" s="2">
        <f>(ROUND((ROUND(((ET235)*AV235*1),2)*BB235),2)+ROUND((ROUND(((AE235-(EU235))*AV235*1),2)*BS235),2))</f>
        <v>0</v>
      </c>
      <c r="CS235" s="2">
        <f>(ROUND((ROUND(((EU235)*AV235*1),2)*BS235),2)+ROUND((ROUND(((AE235-(EU235))*AV235*1),2)*BS235),2))</f>
        <v>0</v>
      </c>
      <c r="CT235" s="2">
        <f t="shared" si="235"/>
        <v>0</v>
      </c>
      <c r="CU235" s="2">
        <f t="shared" si="236"/>
        <v>0</v>
      </c>
      <c r="CV235" s="2">
        <f t="shared" si="237"/>
        <v>0</v>
      </c>
      <c r="CW235" s="2">
        <f t="shared" si="238"/>
        <v>0</v>
      </c>
      <c r="CX235" s="2">
        <f t="shared" si="239"/>
        <v>0</v>
      </c>
      <c r="CY235" s="2">
        <f>(ROUND((((S235+ROUND((ROUND(((EU235)*AV235*1),2)*BS235),2))*AT235)/100),2)+ROUND(((ROUND((ROUND(((AE235-(EU235))*AV235*1),2)*BS235),2)*AT235)/100),2))</f>
        <v>0</v>
      </c>
      <c r="CZ235" s="2">
        <f>(ROUND((((S235+ROUND((ROUND(((EU235)*AV235*1),2)*BS235),2))*AU235)/100),2)+ROUND(((ROUND((ROUND(((AE235-(EU235))*AV235*1),2)*BS235),2)*AU235)/100),2))</f>
        <v>0</v>
      </c>
      <c r="DA235" s="2"/>
      <c r="DB235" s="2"/>
      <c r="DC235" s="2" t="s">
        <v>3</v>
      </c>
      <c r="DD235" s="2" t="s">
        <v>3</v>
      </c>
      <c r="DE235" s="2" t="s">
        <v>3</v>
      </c>
      <c r="DF235" s="2" t="s">
        <v>3</v>
      </c>
      <c r="DG235" s="2" t="s">
        <v>3</v>
      </c>
      <c r="DH235" s="2" t="s">
        <v>3</v>
      </c>
      <c r="DI235" s="2" t="s">
        <v>3</v>
      </c>
      <c r="DJ235" s="2" t="s">
        <v>3</v>
      </c>
      <c r="DK235" s="2" t="s">
        <v>3</v>
      </c>
      <c r="DL235" s="2" t="s">
        <v>3</v>
      </c>
      <c r="DM235" s="2" t="s">
        <v>3</v>
      </c>
      <c r="DN235" s="2">
        <v>0</v>
      </c>
      <c r="DO235" s="2">
        <v>0</v>
      </c>
      <c r="DP235" s="2">
        <v>1</v>
      </c>
      <c r="DQ235" s="2">
        <v>1</v>
      </c>
      <c r="DR235" s="2"/>
      <c r="DS235" s="2"/>
      <c r="DT235" s="2"/>
      <c r="DU235" s="2">
        <v>1010</v>
      </c>
      <c r="DV235" s="2" t="s">
        <v>99</v>
      </c>
      <c r="DW235" s="2" t="s">
        <v>99</v>
      </c>
      <c r="DX235" s="2">
        <v>1</v>
      </c>
      <c r="DY235" s="2"/>
      <c r="DZ235" s="2" t="s">
        <v>3</v>
      </c>
      <c r="EA235" s="2" t="s">
        <v>3</v>
      </c>
      <c r="EB235" s="2" t="s">
        <v>3</v>
      </c>
      <c r="EC235" s="2" t="s">
        <v>3</v>
      </c>
      <c r="ED235" s="2"/>
      <c r="EE235" s="2">
        <v>85133422</v>
      </c>
      <c r="EF235" s="2">
        <v>40</v>
      </c>
      <c r="EG235" s="2" t="s">
        <v>27</v>
      </c>
      <c r="EH235" s="2">
        <v>0</v>
      </c>
      <c r="EI235" s="2" t="s">
        <v>3</v>
      </c>
      <c r="EJ235" s="2">
        <v>2</v>
      </c>
      <c r="EK235" s="2">
        <v>73</v>
      </c>
      <c r="EL235" s="2" t="s">
        <v>62</v>
      </c>
      <c r="EM235" s="2" t="s">
        <v>63</v>
      </c>
      <c r="EN235" s="2"/>
      <c r="EO235" s="2" t="s">
        <v>37</v>
      </c>
      <c r="EP235" s="2"/>
      <c r="EQ235" s="2">
        <v>0</v>
      </c>
      <c r="ER235" s="2">
        <v>2177.9299999999998</v>
      </c>
      <c r="ES235" s="2">
        <v>2177.9299999999998</v>
      </c>
      <c r="ET235" s="2">
        <v>0</v>
      </c>
      <c r="EU235" s="2">
        <v>0</v>
      </c>
      <c r="EV235" s="2">
        <v>0</v>
      </c>
      <c r="EW235" s="2">
        <v>0</v>
      </c>
      <c r="EX235" s="2">
        <v>0</v>
      </c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>
        <v>0</v>
      </c>
      <c r="FR235" s="2">
        <v>0</v>
      </c>
      <c r="FS235" s="2">
        <v>0</v>
      </c>
      <c r="FT235" s="2"/>
      <c r="FU235" s="2"/>
      <c r="FV235" s="2"/>
      <c r="FW235" s="2"/>
      <c r="FX235" s="2">
        <v>90</v>
      </c>
      <c r="FY235" s="2">
        <v>46</v>
      </c>
      <c r="FZ235" s="2"/>
      <c r="GA235" s="2" t="s">
        <v>3</v>
      </c>
      <c r="GB235" s="2"/>
      <c r="GC235" s="2"/>
      <c r="GD235" s="2">
        <v>1</v>
      </c>
      <c r="GE235" s="2"/>
      <c r="GF235" s="2">
        <v>873960273</v>
      </c>
      <c r="GG235" s="2">
        <v>2</v>
      </c>
      <c r="GH235" s="2">
        <v>1</v>
      </c>
      <c r="GI235" s="2">
        <v>-2</v>
      </c>
      <c r="GJ235" s="2">
        <v>0</v>
      </c>
      <c r="GK235" s="2">
        <v>0</v>
      </c>
      <c r="GL235" s="2">
        <f t="shared" si="240"/>
        <v>0</v>
      </c>
      <c r="GM235" s="2">
        <f t="shared" si="241"/>
        <v>17423.439999999999</v>
      </c>
      <c r="GN235" s="2">
        <f t="shared" si="242"/>
        <v>0</v>
      </c>
      <c r="GO235" s="2">
        <f t="shared" si="243"/>
        <v>17423.439999999999</v>
      </c>
      <c r="GP235" s="2">
        <f t="shared" si="244"/>
        <v>0</v>
      </c>
      <c r="GQ235" s="2"/>
      <c r="GR235" s="2">
        <v>0</v>
      </c>
      <c r="GS235" s="2">
        <v>3</v>
      </c>
      <c r="GT235" s="2">
        <v>0</v>
      </c>
      <c r="GU235" s="2" t="s">
        <v>3</v>
      </c>
      <c r="GV235" s="2">
        <f t="shared" si="245"/>
        <v>0</v>
      </c>
      <c r="GW235" s="2">
        <v>1</v>
      </c>
      <c r="GX235" s="2">
        <f t="shared" si="246"/>
        <v>0</v>
      </c>
      <c r="GY235" s="2"/>
      <c r="GZ235" s="2"/>
      <c r="HA235" s="2">
        <v>0</v>
      </c>
      <c r="HB235" s="2">
        <v>0</v>
      </c>
      <c r="HC235" s="2">
        <f t="shared" si="247"/>
        <v>0</v>
      </c>
      <c r="HD235" s="2"/>
      <c r="HE235" s="2" t="s">
        <v>3</v>
      </c>
      <c r="HF235" s="2" t="s">
        <v>3</v>
      </c>
      <c r="HG235" s="2"/>
      <c r="HH235" s="2"/>
      <c r="HI235" s="2"/>
      <c r="HJ235" s="2"/>
      <c r="HK235" s="2"/>
      <c r="HL235" s="2"/>
      <c r="HM235" s="2" t="s">
        <v>35</v>
      </c>
      <c r="HN235" s="2" t="s">
        <v>3</v>
      </c>
      <c r="HO235" s="2" t="s">
        <v>3</v>
      </c>
      <c r="HP235" s="2" t="s">
        <v>3</v>
      </c>
      <c r="HQ235" s="2" t="s">
        <v>3</v>
      </c>
      <c r="HR235" s="2"/>
      <c r="HS235" s="2">
        <v>0</v>
      </c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>
        <v>0</v>
      </c>
      <c r="IL235" s="2"/>
      <c r="IM235" s="2"/>
      <c r="IN235" s="2"/>
      <c r="IO235" s="2"/>
      <c r="IP235" s="2"/>
      <c r="IQ235" s="2"/>
      <c r="IR235" s="2"/>
      <c r="IS235" s="2"/>
      <c r="IT235" s="2"/>
      <c r="IU235" s="2"/>
    </row>
    <row r="236" spans="1:255" x14ac:dyDescent="0.2">
      <c r="A236" s="3">
        <v>18</v>
      </c>
      <c r="B236" s="3">
        <v>1</v>
      </c>
      <c r="C236" s="3">
        <v>598</v>
      </c>
      <c r="E236" s="3" t="s">
        <v>427</v>
      </c>
      <c r="F236" s="3" t="s">
        <v>106</v>
      </c>
      <c r="G236" s="3" t="s">
        <v>107</v>
      </c>
      <c r="H236" s="3" t="s">
        <v>99</v>
      </c>
      <c r="I236" s="3">
        <f>I234*J236</f>
        <v>8</v>
      </c>
      <c r="J236" s="3">
        <v>1</v>
      </c>
      <c r="K236" s="3">
        <v>1</v>
      </c>
      <c r="O236" s="3">
        <f t="shared" si="223"/>
        <v>54186.9</v>
      </c>
      <c r="P236" s="3">
        <f t="shared" si="224"/>
        <v>54186.9</v>
      </c>
      <c r="Q236" s="3">
        <f>(ROUND((ROUND(((ET236)*AV236*I236),2)*BB236),2)+ROUND((ROUND(((AE236-(EU236))*AV236*I236),2)*BS236),2))</f>
        <v>0</v>
      </c>
      <c r="R236" s="3">
        <f>(ROUND((ROUND(((EU236)*AV236*I236),2)*BS236),2)+ROUND((ROUND(((AE236-(EU236))*AV236*I236),2)*BS236),2))</f>
        <v>0</v>
      </c>
      <c r="S236" s="3">
        <f t="shared" si="225"/>
        <v>0</v>
      </c>
      <c r="T236" s="3">
        <f t="shared" si="226"/>
        <v>0</v>
      </c>
      <c r="U236" s="3">
        <f t="shared" si="227"/>
        <v>0</v>
      </c>
      <c r="V236" s="3">
        <f t="shared" si="228"/>
        <v>0</v>
      </c>
      <c r="W236" s="3">
        <f t="shared" si="229"/>
        <v>0</v>
      </c>
      <c r="X236" s="3">
        <f>(ROUND((((S236+ROUND((ROUND(((EU236)*AV236*I236),2)*BS236),2))*AT236)/100),2)+ROUND(((ROUND((ROUND(((AE236-(EU236))*AV236*I236),2)*BS236),2)*AT236)/100),2))</f>
        <v>0</v>
      </c>
      <c r="Y236" s="3">
        <f>(ROUND((((S236+ROUND((ROUND(((EU236)*AV236*I236),2)*BS236),2))*AU236)/100),2)+ROUND(((ROUND((ROUND(((AE236-(EU236))*AV236*I236),2)*BS236),2)*AU236)/100),2))</f>
        <v>0</v>
      </c>
      <c r="AA236" s="3">
        <v>85739207</v>
      </c>
      <c r="AB236" s="3">
        <f t="shared" si="230"/>
        <v>2177.9299999999998</v>
      </c>
      <c r="AC236" s="3">
        <f>ROUND((ES236),6)</f>
        <v>2177.9299999999998</v>
      </c>
      <c r="AD236" s="3">
        <f>ROUND((((ET236)-(EU236))+AE236),6)</f>
        <v>0</v>
      </c>
      <c r="AE236" s="3">
        <f>ROUND((EU236),6)</f>
        <v>0</v>
      </c>
      <c r="AF236" s="3">
        <f>ROUND((EV236),6)</f>
        <v>0</v>
      </c>
      <c r="AG236" s="3">
        <f t="shared" si="231"/>
        <v>0</v>
      </c>
      <c r="AH236" s="3">
        <f>(EW236)</f>
        <v>0</v>
      </c>
      <c r="AI236" s="3">
        <f>(EX236)</f>
        <v>0</v>
      </c>
      <c r="AJ236" s="3">
        <f t="shared" si="232"/>
        <v>0</v>
      </c>
      <c r="AK236" s="3">
        <v>2177.9299999999998</v>
      </c>
      <c r="AL236" s="3">
        <v>2177.9299999999998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90</v>
      </c>
      <c r="AU236" s="3">
        <v>46</v>
      </c>
      <c r="AV236" s="3">
        <v>1</v>
      </c>
      <c r="AW236" s="3">
        <v>1</v>
      </c>
      <c r="AZ236" s="3">
        <v>1</v>
      </c>
      <c r="BA236" s="3">
        <v>1</v>
      </c>
      <c r="BB236" s="3">
        <v>1</v>
      </c>
      <c r="BC236" s="3">
        <v>3.11</v>
      </c>
      <c r="BD236" s="3" t="s">
        <v>3</v>
      </c>
      <c r="BE236" s="3" t="s">
        <v>3</v>
      </c>
      <c r="BF236" s="3" t="s">
        <v>3</v>
      </c>
      <c r="BG236" s="3" t="s">
        <v>3</v>
      </c>
      <c r="BH236" s="3">
        <v>3</v>
      </c>
      <c r="BI236" s="3">
        <v>2</v>
      </c>
      <c r="BJ236" s="3" t="s">
        <v>108</v>
      </c>
      <c r="BM236" s="3">
        <v>73</v>
      </c>
      <c r="BN236" s="3">
        <v>0</v>
      </c>
      <c r="BO236" s="3" t="s">
        <v>106</v>
      </c>
      <c r="BP236" s="3">
        <v>1</v>
      </c>
      <c r="BQ236" s="3">
        <v>40</v>
      </c>
      <c r="BR236" s="3">
        <v>0</v>
      </c>
      <c r="BS236" s="3">
        <v>1</v>
      </c>
      <c r="BT236" s="3">
        <v>1</v>
      </c>
      <c r="BU236" s="3">
        <v>1</v>
      </c>
      <c r="BV236" s="3">
        <v>1</v>
      </c>
      <c r="BW236" s="3">
        <v>1</v>
      </c>
      <c r="BX236" s="3">
        <v>1</v>
      </c>
      <c r="BY236" s="3" t="s">
        <v>3</v>
      </c>
      <c r="BZ236" s="3">
        <v>90</v>
      </c>
      <c r="CA236" s="3">
        <v>46</v>
      </c>
      <c r="CB236" s="3" t="s">
        <v>3</v>
      </c>
      <c r="CE236" s="3">
        <v>1566</v>
      </c>
      <c r="CF236" s="3">
        <v>0</v>
      </c>
      <c r="CG236" s="3">
        <v>0</v>
      </c>
      <c r="CM236" s="3">
        <v>0</v>
      </c>
      <c r="CN236" s="3" t="s">
        <v>679</v>
      </c>
      <c r="CO236" s="3">
        <v>0</v>
      </c>
      <c r="CP236" s="3">
        <f t="shared" si="233"/>
        <v>54186.9</v>
      </c>
      <c r="CQ236" s="3">
        <f t="shared" si="234"/>
        <v>6773.36</v>
      </c>
      <c r="CR236" s="3">
        <f>(ROUND((ROUND(((ET236)*AV236*1),2)*BB236),2)+ROUND((ROUND(((AE236-(EU236))*AV236*1),2)*BS236),2))</f>
        <v>0</v>
      </c>
      <c r="CS236" s="3">
        <f>(ROUND((ROUND(((EU236)*AV236*1),2)*BS236),2)+ROUND((ROUND(((AE236-(EU236))*AV236*1),2)*BS236),2))</f>
        <v>0</v>
      </c>
      <c r="CT236" s="3">
        <f t="shared" si="235"/>
        <v>0</v>
      </c>
      <c r="CU236" s="3">
        <f t="shared" si="236"/>
        <v>0</v>
      </c>
      <c r="CV236" s="3">
        <f t="shared" si="237"/>
        <v>0</v>
      </c>
      <c r="CW236" s="3">
        <f t="shared" si="238"/>
        <v>0</v>
      </c>
      <c r="CX236" s="3">
        <f t="shared" si="239"/>
        <v>0</v>
      </c>
      <c r="CY236" s="3">
        <f>(ROUND((((S236+ROUND((ROUND(((EU236)*AV236*1),2)*BS236),2))*AT236)/100),2)+ROUND(((ROUND((ROUND(((AE236-(EU236))*AV236*1),2)*BS236),2)*AT236)/100),2))</f>
        <v>0</v>
      </c>
      <c r="CZ236" s="3">
        <f>(ROUND((((S236+ROUND((ROUND(((EU236)*AV236*1),2)*BS236),2))*AU236)/100),2)+ROUND(((ROUND((ROUND(((AE236-(EU236))*AV236*1),2)*BS236),2)*AU236)/100),2))</f>
        <v>0</v>
      </c>
      <c r="DC236" s="3" t="s">
        <v>3</v>
      </c>
      <c r="DD236" s="3" t="s">
        <v>3</v>
      </c>
      <c r="DE236" s="3" t="s">
        <v>3</v>
      </c>
      <c r="DF236" s="3" t="s">
        <v>3</v>
      </c>
      <c r="DG236" s="3" t="s">
        <v>3</v>
      </c>
      <c r="DH236" s="3" t="s">
        <v>3</v>
      </c>
      <c r="DI236" s="3" t="s">
        <v>3</v>
      </c>
      <c r="DJ236" s="3" t="s">
        <v>3</v>
      </c>
      <c r="DK236" s="3" t="s">
        <v>3</v>
      </c>
      <c r="DL236" s="3" t="s">
        <v>3</v>
      </c>
      <c r="DM236" s="3" t="s">
        <v>3</v>
      </c>
      <c r="DN236" s="3">
        <v>0</v>
      </c>
      <c r="DO236" s="3">
        <v>0</v>
      </c>
      <c r="DP236" s="3">
        <v>1</v>
      </c>
      <c r="DQ236" s="3">
        <v>1</v>
      </c>
      <c r="DU236" s="3">
        <v>1010</v>
      </c>
      <c r="DV236" s="3" t="s">
        <v>99</v>
      </c>
      <c r="DW236" s="3" t="s">
        <v>99</v>
      </c>
      <c r="DX236" s="3">
        <v>1</v>
      </c>
      <c r="DZ236" s="3" t="s">
        <v>3</v>
      </c>
      <c r="EA236" s="3" t="s">
        <v>3</v>
      </c>
      <c r="EB236" s="3" t="s">
        <v>3</v>
      </c>
      <c r="EC236" s="3" t="s">
        <v>3</v>
      </c>
      <c r="EE236" s="3">
        <v>85133422</v>
      </c>
      <c r="EF236" s="3">
        <v>40</v>
      </c>
      <c r="EG236" s="3" t="s">
        <v>27</v>
      </c>
      <c r="EH236" s="3">
        <v>0</v>
      </c>
      <c r="EI236" s="3" t="s">
        <v>3</v>
      </c>
      <c r="EJ236" s="3">
        <v>2</v>
      </c>
      <c r="EK236" s="3">
        <v>73</v>
      </c>
      <c r="EL236" s="3" t="s">
        <v>62</v>
      </c>
      <c r="EM236" s="3" t="s">
        <v>63</v>
      </c>
      <c r="EO236" s="3" t="s">
        <v>37</v>
      </c>
      <c r="EQ236" s="3">
        <v>0</v>
      </c>
      <c r="ER236" s="3">
        <v>2177.9299999999998</v>
      </c>
      <c r="ES236" s="3">
        <v>2177.9299999999998</v>
      </c>
      <c r="ET236" s="3">
        <v>0</v>
      </c>
      <c r="EU236" s="3">
        <v>0</v>
      </c>
      <c r="EV236" s="3">
        <v>0</v>
      </c>
      <c r="EW236" s="3">
        <v>0</v>
      </c>
      <c r="EX236" s="3">
        <v>0</v>
      </c>
      <c r="FQ236" s="3">
        <v>0</v>
      </c>
      <c r="FR236" s="3">
        <v>0</v>
      </c>
      <c r="FS236" s="3">
        <v>0</v>
      </c>
      <c r="FX236" s="3">
        <v>90</v>
      </c>
      <c r="FY236" s="3">
        <v>46</v>
      </c>
      <c r="GA236" s="3" t="s">
        <v>3</v>
      </c>
      <c r="GD236" s="3">
        <v>1</v>
      </c>
      <c r="GF236" s="3">
        <v>873960273</v>
      </c>
      <c r="GG236" s="3">
        <v>2</v>
      </c>
      <c r="GH236" s="3">
        <v>1</v>
      </c>
      <c r="GI236" s="3">
        <v>2</v>
      </c>
      <c r="GJ236" s="3">
        <v>0</v>
      </c>
      <c r="GK236" s="3">
        <v>0</v>
      </c>
      <c r="GL236" s="3">
        <f t="shared" si="240"/>
        <v>0</v>
      </c>
      <c r="GM236" s="3">
        <f t="shared" si="241"/>
        <v>54186.9</v>
      </c>
      <c r="GN236" s="3">
        <f t="shared" si="242"/>
        <v>0</v>
      </c>
      <c r="GO236" s="3">
        <f t="shared" si="243"/>
        <v>54186.9</v>
      </c>
      <c r="GP236" s="3">
        <f t="shared" si="244"/>
        <v>0</v>
      </c>
      <c r="GR236" s="3">
        <v>0</v>
      </c>
      <c r="GS236" s="3">
        <v>3</v>
      </c>
      <c r="GT236" s="3">
        <v>0</v>
      </c>
      <c r="GU236" s="3" t="s">
        <v>3</v>
      </c>
      <c r="GV236" s="3">
        <f t="shared" si="245"/>
        <v>0</v>
      </c>
      <c r="GW236" s="3">
        <v>1</v>
      </c>
      <c r="GX236" s="3">
        <f t="shared" si="246"/>
        <v>0</v>
      </c>
      <c r="HA236" s="3">
        <v>0</v>
      </c>
      <c r="HB236" s="3">
        <v>0</v>
      </c>
      <c r="HC236" s="3">
        <f t="shared" si="247"/>
        <v>0</v>
      </c>
      <c r="HE236" s="3" t="s">
        <v>3</v>
      </c>
      <c r="HF236" s="3" t="s">
        <v>3</v>
      </c>
      <c r="HM236" s="3" t="s">
        <v>35</v>
      </c>
      <c r="HN236" s="3" t="s">
        <v>3</v>
      </c>
      <c r="HO236" s="3" t="s">
        <v>3</v>
      </c>
      <c r="HP236" s="3" t="s">
        <v>3</v>
      </c>
      <c r="HQ236" s="3" t="s">
        <v>3</v>
      </c>
      <c r="HS236" s="3">
        <v>0</v>
      </c>
      <c r="IK236" s="3">
        <v>0</v>
      </c>
    </row>
    <row r="237" spans="1:255" x14ac:dyDescent="0.2">
      <c r="A237" s="2">
        <v>17</v>
      </c>
      <c r="B237" s="2">
        <v>1</v>
      </c>
      <c r="C237" s="2">
        <f>ROW(SmtRes!A605)</f>
        <v>605</v>
      </c>
      <c r="D237" s="2">
        <f>ROW(EtalonRes!A615)</f>
        <v>615</v>
      </c>
      <c r="E237" s="2" t="s">
        <v>428</v>
      </c>
      <c r="F237" s="2" t="s">
        <v>128</v>
      </c>
      <c r="G237" s="2" t="s">
        <v>129</v>
      </c>
      <c r="H237" s="2" t="s">
        <v>23</v>
      </c>
      <c r="I237" s="2">
        <f>ROUND(8,9)</f>
        <v>8</v>
      </c>
      <c r="J237" s="2">
        <v>0</v>
      </c>
      <c r="K237" s="2">
        <f>ROUND(8,9)</f>
        <v>8</v>
      </c>
      <c r="L237" s="2"/>
      <c r="M237" s="2"/>
      <c r="N237" s="2"/>
      <c r="O237" s="2">
        <f t="shared" ref="O237:O254" si="276">ROUND(CP237,2)</f>
        <v>816.24</v>
      </c>
      <c r="P237" s="2">
        <f t="shared" ref="P237:P242" si="277">ROUND((ROUND((AC237*AW237*I237),2)*BC237),2)</f>
        <v>35.61</v>
      </c>
      <c r="Q237" s="2">
        <f>(ROUND((ROUND((((ET237*1.2))*AV237*I237),2)*BB237),2)+ROUND((ROUND(((AE237-((EU237*1.2)))*AV237*I237),2)*BS237),2))</f>
        <v>82.56</v>
      </c>
      <c r="R237" s="2">
        <f>(ROUND((ROUND((((EU237*1.2))*AV237*I237),2)*BS237),2)+ROUND((ROUND(((AE237-((EU237*1.2)))*AV237*I237),2)*BS237),2))</f>
        <v>2.56</v>
      </c>
      <c r="S237" s="2">
        <f t="shared" ref="S237:S254" si="278">ROUND((ROUND((AF237*AV237*I237),2)*BA237),2)</f>
        <v>698.07</v>
      </c>
      <c r="T237" s="2">
        <f t="shared" ref="T237:T254" si="279">ROUND(CU237*I237,2)</f>
        <v>0</v>
      </c>
      <c r="U237" s="2">
        <f t="shared" ref="U237:U254" si="280">CV237*I237</f>
        <v>55.313279999999999</v>
      </c>
      <c r="V237" s="2">
        <f t="shared" ref="V237:V254" si="281">CW237*I237</f>
        <v>0</v>
      </c>
      <c r="W237" s="2">
        <f t="shared" ref="W237:W254" si="282">ROUND(CX237*I237,2)</f>
        <v>0</v>
      </c>
      <c r="X237" s="2">
        <f>(ROUND((((S237+ROUND((ROUND((((EU237*1.2))*AV237*I237),2)*BS237),2))*AT237)/100),2)+ROUND(((ROUND((ROUND(((AE237-((EU237*1.2)))*AV237*I237),2)*BS237),2)*AT237)/100),2))</f>
        <v>630.57000000000005</v>
      </c>
      <c r="Y237" s="2">
        <f>(ROUND((((S237+ROUND((ROUND((((EU237*1.2))*AV237*I237),2)*BS237),2))*AU237)/100),2)+ROUND(((ROUND((ROUND(((AE237-((EU237*1.2)))*AV237*I237),2)*BS237),2)*AU237)/100),2))</f>
        <v>322.29000000000002</v>
      </c>
      <c r="Z237" s="2"/>
      <c r="AA237" s="2">
        <v>85739205</v>
      </c>
      <c r="AB237" s="2">
        <f t="shared" ref="AB237:AB254" si="283">ROUND((AC237+AD237+AF237),6)</f>
        <v>95.781999999999996</v>
      </c>
      <c r="AC237" s="2">
        <f>ROUND(((ES237*1)),6)</f>
        <v>4.33</v>
      </c>
      <c r="AD237" s="2">
        <f>ROUND(((((ET237*1.2))-((EU237*1.2)))+AE237),6)</f>
        <v>9.6720000000000006</v>
      </c>
      <c r="AE237" s="2">
        <f>ROUND(((EU237*1.2)),6)</f>
        <v>0.3</v>
      </c>
      <c r="AF237" s="2">
        <f>ROUND(((EV237*1.2)),6)</f>
        <v>81.78</v>
      </c>
      <c r="AG237" s="2">
        <f t="shared" ref="AG237:AG254" si="284">ROUND((AP237),6)</f>
        <v>0</v>
      </c>
      <c r="AH237" s="2">
        <f>((EW237*1.2))</f>
        <v>6.48</v>
      </c>
      <c r="AI237" s="2">
        <f>((EX237*1.2))</f>
        <v>0</v>
      </c>
      <c r="AJ237" s="2">
        <f t="shared" ref="AJ237:AJ254" si="285">(AS237)</f>
        <v>0</v>
      </c>
      <c r="AK237" s="2">
        <v>80.540000000000006</v>
      </c>
      <c r="AL237" s="2">
        <v>4.33</v>
      </c>
      <c r="AM237" s="2">
        <v>8.06</v>
      </c>
      <c r="AN237" s="2">
        <v>0.25</v>
      </c>
      <c r="AO237" s="2">
        <v>68.150000000000006</v>
      </c>
      <c r="AP237" s="2">
        <v>0</v>
      </c>
      <c r="AQ237" s="2">
        <v>5.4</v>
      </c>
      <c r="AR237" s="2">
        <v>0</v>
      </c>
      <c r="AS237" s="2">
        <v>0</v>
      </c>
      <c r="AT237" s="2">
        <v>90</v>
      </c>
      <c r="AU237" s="2">
        <v>46</v>
      </c>
      <c r="AV237" s="2">
        <v>1.0669999999999999</v>
      </c>
      <c r="AW237" s="2">
        <v>1.028</v>
      </c>
      <c r="AX237" s="2"/>
      <c r="AY237" s="2"/>
      <c r="AZ237" s="2">
        <v>1</v>
      </c>
      <c r="BA237" s="2">
        <v>1</v>
      </c>
      <c r="BB237" s="2">
        <v>1</v>
      </c>
      <c r="BC237" s="2">
        <v>1</v>
      </c>
      <c r="BD237" s="2" t="s">
        <v>3</v>
      </c>
      <c r="BE237" s="2" t="s">
        <v>3</v>
      </c>
      <c r="BF237" s="2" t="s">
        <v>3</v>
      </c>
      <c r="BG237" s="2" t="s">
        <v>3</v>
      </c>
      <c r="BH237" s="2">
        <v>0</v>
      </c>
      <c r="BI237" s="2">
        <v>2</v>
      </c>
      <c r="BJ237" s="2" t="s">
        <v>130</v>
      </c>
      <c r="BK237" s="2"/>
      <c r="BL237" s="2"/>
      <c r="BM237" s="2">
        <v>73</v>
      </c>
      <c r="BN237" s="2">
        <v>0</v>
      </c>
      <c r="BO237" s="2" t="s">
        <v>128</v>
      </c>
      <c r="BP237" s="2">
        <v>1</v>
      </c>
      <c r="BQ237" s="2">
        <v>40</v>
      </c>
      <c r="BR237" s="2">
        <v>0</v>
      </c>
      <c r="BS237" s="2">
        <v>1</v>
      </c>
      <c r="BT237" s="2">
        <v>1</v>
      </c>
      <c r="BU237" s="2">
        <v>1</v>
      </c>
      <c r="BV237" s="2">
        <v>1</v>
      </c>
      <c r="BW237" s="2">
        <v>1</v>
      </c>
      <c r="BX237" s="2">
        <v>1</v>
      </c>
      <c r="BY237" s="2" t="s">
        <v>3</v>
      </c>
      <c r="BZ237" s="2">
        <v>90</v>
      </c>
      <c r="CA237" s="2">
        <v>46</v>
      </c>
      <c r="CB237" s="2" t="s">
        <v>3</v>
      </c>
      <c r="CC237" s="2"/>
      <c r="CD237" s="2"/>
      <c r="CE237" s="2">
        <v>1566</v>
      </c>
      <c r="CF237" s="2">
        <v>0</v>
      </c>
      <c r="CG237" s="2">
        <v>0</v>
      </c>
      <c r="CH237" s="2"/>
      <c r="CI237" s="2"/>
      <c r="CJ237" s="2"/>
      <c r="CK237" s="2"/>
      <c r="CL237" s="2"/>
      <c r="CM237" s="2">
        <v>0</v>
      </c>
      <c r="CN237" s="2" t="s">
        <v>677</v>
      </c>
      <c r="CO237" s="2">
        <v>0</v>
      </c>
      <c r="CP237" s="2">
        <f t="shared" ref="CP237:CP254" si="286">(P237+Q237+S237)</f>
        <v>816.24</v>
      </c>
      <c r="CQ237" s="2">
        <f t="shared" ref="CQ237:CQ242" si="287">ROUND((ROUND((AC237*AW237*1),2)*BC237),2)</f>
        <v>4.45</v>
      </c>
      <c r="CR237" s="2">
        <f>(ROUND((ROUND((((ET237*1.2))*AV237*1),2)*BB237),2)+ROUND((ROUND(((AE237-((EU237*1.2)))*AV237*1),2)*BS237),2))</f>
        <v>10.32</v>
      </c>
      <c r="CS237" s="2">
        <f>(ROUND((ROUND((((EU237*1.2))*AV237*1),2)*BS237),2)+ROUND((ROUND(((AE237-((EU237*1.2)))*AV237*1),2)*BS237),2))</f>
        <v>0.32</v>
      </c>
      <c r="CT237" s="2">
        <f t="shared" ref="CT237:CT254" si="288">ROUND((ROUND((AF237*AV237*1),2)*BA237),2)</f>
        <v>87.26</v>
      </c>
      <c r="CU237" s="2">
        <f t="shared" ref="CU237:CU254" si="289">AG237</f>
        <v>0</v>
      </c>
      <c r="CV237" s="2">
        <f t="shared" ref="CV237:CV254" si="290">(AH237*AV237)</f>
        <v>6.9141599999999999</v>
      </c>
      <c r="CW237" s="2">
        <f t="shared" ref="CW237:CW254" si="291">AI237</f>
        <v>0</v>
      </c>
      <c r="CX237" s="2">
        <f t="shared" ref="CX237:CX254" si="292">AJ237</f>
        <v>0</v>
      </c>
      <c r="CY237" s="2">
        <f>(ROUND((((S237+ROUND((ROUND((((EU237*1.2))*AV237*1),2)*BS237),2))*AT237)/100),2)+ROUND(((ROUND((ROUND(((AE237-((EU237*1.2)))*AV237*1),2)*BS237),2)*AT237)/100),2))</f>
        <v>628.54999999999995</v>
      </c>
      <c r="CZ237" s="2">
        <f>(ROUND((((S237+ROUND((ROUND((((EU237*1.2))*AV237*1),2)*BS237),2))*AU237)/100),2)+ROUND(((ROUND((ROUND(((AE237-((EU237*1.2)))*AV237*1),2)*BS237),2)*AU237)/100),2))</f>
        <v>321.26</v>
      </c>
      <c r="DA237" s="2"/>
      <c r="DB237" s="2">
        <v>87</v>
      </c>
      <c r="DC237" s="2" t="s">
        <v>3</v>
      </c>
      <c r="DD237" s="2" t="s">
        <v>35</v>
      </c>
      <c r="DE237" s="2" t="s">
        <v>36</v>
      </c>
      <c r="DF237" s="2" t="s">
        <v>36</v>
      </c>
      <c r="DG237" s="2" t="s">
        <v>36</v>
      </c>
      <c r="DH237" s="2" t="s">
        <v>3</v>
      </c>
      <c r="DI237" s="2" t="s">
        <v>36</v>
      </c>
      <c r="DJ237" s="2" t="s">
        <v>36</v>
      </c>
      <c r="DK237" s="2" t="s">
        <v>3</v>
      </c>
      <c r="DL237" s="2" t="s">
        <v>3</v>
      </c>
      <c r="DM237" s="2" t="s">
        <v>3</v>
      </c>
      <c r="DN237" s="2">
        <v>0</v>
      </c>
      <c r="DO237" s="2">
        <v>0</v>
      </c>
      <c r="DP237" s="2">
        <v>1</v>
      </c>
      <c r="DQ237" s="2">
        <v>1</v>
      </c>
      <c r="DR237" s="2"/>
      <c r="DS237" s="2"/>
      <c r="DT237" s="2"/>
      <c r="DU237" s="2">
        <v>1013</v>
      </c>
      <c r="DV237" s="2" t="s">
        <v>23</v>
      </c>
      <c r="DW237" s="2" t="s">
        <v>23</v>
      </c>
      <c r="DX237" s="2">
        <v>1</v>
      </c>
      <c r="DY237" s="2"/>
      <c r="DZ237" s="2" t="s">
        <v>3</v>
      </c>
      <c r="EA237" s="2" t="s">
        <v>3</v>
      </c>
      <c r="EB237" s="2" t="s">
        <v>3</v>
      </c>
      <c r="EC237" s="2" t="s">
        <v>3</v>
      </c>
      <c r="ED237" s="2"/>
      <c r="EE237" s="2">
        <v>85133422</v>
      </c>
      <c r="EF237" s="2">
        <v>40</v>
      </c>
      <c r="EG237" s="2" t="s">
        <v>27</v>
      </c>
      <c r="EH237" s="2">
        <v>0</v>
      </c>
      <c r="EI237" s="2" t="s">
        <v>3</v>
      </c>
      <c r="EJ237" s="2">
        <v>2</v>
      </c>
      <c r="EK237" s="2">
        <v>73</v>
      </c>
      <c r="EL237" s="2" t="s">
        <v>62</v>
      </c>
      <c r="EM237" s="2" t="s">
        <v>63</v>
      </c>
      <c r="EN237" s="2"/>
      <c r="EO237" s="2" t="s">
        <v>37</v>
      </c>
      <c r="EP237" s="2"/>
      <c r="EQ237" s="2">
        <v>0</v>
      </c>
      <c r="ER237" s="2">
        <v>80.540000000000006</v>
      </c>
      <c r="ES237" s="2">
        <v>4.33</v>
      </c>
      <c r="ET237" s="2">
        <v>8.06</v>
      </c>
      <c r="EU237" s="2">
        <v>0.25</v>
      </c>
      <c r="EV237" s="2">
        <v>68.150000000000006</v>
      </c>
      <c r="EW237" s="2">
        <v>5.4</v>
      </c>
      <c r="EX237" s="2">
        <v>0</v>
      </c>
      <c r="EY237" s="2">
        <v>0</v>
      </c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>
        <v>0</v>
      </c>
      <c r="FR237" s="2">
        <v>0</v>
      </c>
      <c r="FS237" s="2">
        <v>2</v>
      </c>
      <c r="FT237" s="2"/>
      <c r="FU237" s="2"/>
      <c r="FV237" s="2"/>
      <c r="FW237" s="2"/>
      <c r="FX237" s="2">
        <v>90</v>
      </c>
      <c r="FY237" s="2">
        <v>46</v>
      </c>
      <c r="FZ237" s="2"/>
      <c r="GA237" s="2" t="s">
        <v>3</v>
      </c>
      <c r="GB237" s="2"/>
      <c r="GC237" s="2"/>
      <c r="GD237" s="2">
        <v>1</v>
      </c>
      <c r="GE237" s="2"/>
      <c r="GF237" s="2">
        <v>-914769333</v>
      </c>
      <c r="GG237" s="2">
        <v>2</v>
      </c>
      <c r="GH237" s="2">
        <v>1</v>
      </c>
      <c r="GI237" s="2">
        <v>2</v>
      </c>
      <c r="GJ237" s="2">
        <v>0</v>
      </c>
      <c r="GK237" s="2">
        <v>0</v>
      </c>
      <c r="GL237" s="2">
        <f t="shared" ref="GL237:GL254" si="293">ROUND(IF(AND(BH237=3,BI237=3,FS237&lt;&gt;0),P237,0),2)</f>
        <v>0</v>
      </c>
      <c r="GM237" s="2">
        <f t="shared" ref="GM237:GM254" si="294">ROUND(O237+X237+Y237,2)+GX237</f>
        <v>1769.1</v>
      </c>
      <c r="GN237" s="2">
        <f t="shared" ref="GN237:GN254" si="295">IF(OR(BI237=0,BI237=1),GM237-GX237,0)</f>
        <v>0</v>
      </c>
      <c r="GO237" s="2">
        <f t="shared" ref="GO237:GO254" si="296">IF(BI237=2,GM237-GX237,0)</f>
        <v>1769.1</v>
      </c>
      <c r="GP237" s="2">
        <f t="shared" ref="GP237:GP254" si="297">IF(BI237=4,GM237-GX237,0)</f>
        <v>0</v>
      </c>
      <c r="GQ237" s="2"/>
      <c r="GR237" s="2">
        <v>0</v>
      </c>
      <c r="GS237" s="2">
        <v>3</v>
      </c>
      <c r="GT237" s="2">
        <v>0</v>
      </c>
      <c r="GU237" s="2" t="s">
        <v>3</v>
      </c>
      <c r="GV237" s="2">
        <f t="shared" ref="GV237:GV254" si="298">ROUND((GT237),6)</f>
        <v>0</v>
      </c>
      <c r="GW237" s="2">
        <v>1</v>
      </c>
      <c r="GX237" s="2">
        <f t="shared" ref="GX237:GX254" si="299">ROUND(HC237*I237,2)</f>
        <v>0</v>
      </c>
      <c r="GY237" s="2"/>
      <c r="GZ237" s="2"/>
      <c r="HA237" s="2">
        <v>0</v>
      </c>
      <c r="HB237" s="2">
        <v>0</v>
      </c>
      <c r="HC237" s="2">
        <f t="shared" ref="HC237:HC254" si="300">GV237*GW237</f>
        <v>0</v>
      </c>
      <c r="HD237" s="2"/>
      <c r="HE237" s="2" t="s">
        <v>3</v>
      </c>
      <c r="HF237" s="2" t="s">
        <v>3</v>
      </c>
      <c r="HG237" s="2"/>
      <c r="HH237" s="2"/>
      <c r="HI237" s="2"/>
      <c r="HJ237" s="2"/>
      <c r="HK237" s="2"/>
      <c r="HL237" s="2"/>
      <c r="HM237" s="2" t="s">
        <v>3</v>
      </c>
      <c r="HN237" s="2" t="s">
        <v>3</v>
      </c>
      <c r="HO237" s="2" t="s">
        <v>3</v>
      </c>
      <c r="HP237" s="2" t="s">
        <v>3</v>
      </c>
      <c r="HQ237" s="2" t="s">
        <v>3</v>
      </c>
      <c r="HR237" s="2"/>
      <c r="HS237" s="2">
        <v>0</v>
      </c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>
        <v>0</v>
      </c>
      <c r="IL237" s="2"/>
      <c r="IM237" s="2"/>
      <c r="IN237" s="2"/>
      <c r="IO237" s="2"/>
      <c r="IP237" s="2"/>
      <c r="IQ237" s="2"/>
      <c r="IR237" s="2"/>
      <c r="IS237" s="2"/>
      <c r="IT237" s="2"/>
      <c r="IU237" s="2"/>
    </row>
    <row r="238" spans="1:255" x14ac:dyDescent="0.2">
      <c r="A238" s="3">
        <v>17</v>
      </c>
      <c r="B238" s="3">
        <v>1</v>
      </c>
      <c r="C238" s="3">
        <f>ROW(SmtRes!A612)</f>
        <v>612</v>
      </c>
      <c r="D238" s="3">
        <f>ROW(EtalonRes!A622)</f>
        <v>622</v>
      </c>
      <c r="E238" s="3" t="s">
        <v>428</v>
      </c>
      <c r="F238" s="3" t="s">
        <v>128</v>
      </c>
      <c r="G238" s="3" t="s">
        <v>129</v>
      </c>
      <c r="H238" s="3" t="s">
        <v>23</v>
      </c>
      <c r="I238" s="3">
        <f>ROUND(8,9)</f>
        <v>8</v>
      </c>
      <c r="J238" s="3">
        <v>0</v>
      </c>
      <c r="K238" s="3">
        <f>ROUND(8,9)</f>
        <v>8</v>
      </c>
      <c r="O238" s="3">
        <f t="shared" si="276"/>
        <v>40886.53</v>
      </c>
      <c r="P238" s="3">
        <f t="shared" si="277"/>
        <v>377.11</v>
      </c>
      <c r="Q238" s="3">
        <f>(ROUND((ROUND((((ET238*1.2))*AV238*I238),2)*BB238),2)+ROUND((ROUND(((AE238-((EU238*1.2)))*AV238*I238),2)*BS238),2))</f>
        <v>1173.18</v>
      </c>
      <c r="R238" s="3">
        <f>(ROUND((ROUND((((EU238*1.2))*AV238*I238),2)*BS238),2)+ROUND((ROUND(((AE238-((EU238*1.2)))*AV238*I238),2)*BS238),2))</f>
        <v>144.26</v>
      </c>
      <c r="S238" s="3">
        <f t="shared" si="278"/>
        <v>39336.239999999998</v>
      </c>
      <c r="T238" s="3">
        <f t="shared" si="279"/>
        <v>0</v>
      </c>
      <c r="U238" s="3">
        <f t="shared" si="280"/>
        <v>55.313279999999999</v>
      </c>
      <c r="V238" s="3">
        <f t="shared" si="281"/>
        <v>0</v>
      </c>
      <c r="W238" s="3">
        <f t="shared" si="282"/>
        <v>0</v>
      </c>
      <c r="X238" s="3">
        <f>(ROUND((((S238+ROUND((ROUND((((EU238*1.2))*AV238*I238),2)*BS238),2))*AT238)/100),2)+ROUND(((ROUND((ROUND(((AE238-((EU238*1.2)))*AV238*I238),2)*BS238),2)*AT238)/100),2))</f>
        <v>35532.449999999997</v>
      </c>
      <c r="Y238" s="3">
        <f>(ROUND((((S238+ROUND((ROUND((((EU238*1.2))*AV238*I238),2)*BS238),2))*AU238)/100),2)+ROUND(((ROUND((ROUND(((AE238-((EU238*1.2)))*AV238*I238),2)*BS238),2)*AU238)/100),2))</f>
        <v>18161.03</v>
      </c>
      <c r="AA238" s="3">
        <v>85739207</v>
      </c>
      <c r="AB238" s="3">
        <f t="shared" si="283"/>
        <v>95.781999999999996</v>
      </c>
      <c r="AC238" s="3">
        <f>ROUND(((ES238*1)),6)</f>
        <v>4.33</v>
      </c>
      <c r="AD238" s="3">
        <f>ROUND(((((ET238*1.2))-((EU238*1.2)))+AE238),6)</f>
        <v>9.6720000000000006</v>
      </c>
      <c r="AE238" s="3">
        <f>ROUND(((EU238*1.2)),6)</f>
        <v>0.3</v>
      </c>
      <c r="AF238" s="3">
        <f>ROUND(((EV238*1.2)),6)</f>
        <v>81.78</v>
      </c>
      <c r="AG238" s="3">
        <f t="shared" si="284"/>
        <v>0</v>
      </c>
      <c r="AH238" s="3">
        <f>((EW238*1.2))</f>
        <v>6.48</v>
      </c>
      <c r="AI238" s="3">
        <f>((EX238*1.2))</f>
        <v>0</v>
      </c>
      <c r="AJ238" s="3">
        <f t="shared" si="285"/>
        <v>0</v>
      </c>
      <c r="AK238" s="3">
        <v>80.540000000000006</v>
      </c>
      <c r="AL238" s="3">
        <v>4.33</v>
      </c>
      <c r="AM238" s="3">
        <v>8.06</v>
      </c>
      <c r="AN238" s="3">
        <v>0.25</v>
      </c>
      <c r="AO238" s="3">
        <v>68.150000000000006</v>
      </c>
      <c r="AP238" s="3">
        <v>0</v>
      </c>
      <c r="AQ238" s="3">
        <v>5.4</v>
      </c>
      <c r="AR238" s="3">
        <v>0</v>
      </c>
      <c r="AS238" s="3">
        <v>0</v>
      </c>
      <c r="AT238" s="3">
        <v>90</v>
      </c>
      <c r="AU238" s="3">
        <v>46</v>
      </c>
      <c r="AV238" s="3">
        <v>1.0669999999999999</v>
      </c>
      <c r="AW238" s="3">
        <v>1.028</v>
      </c>
      <c r="AZ238" s="3">
        <v>1</v>
      </c>
      <c r="BA238" s="3">
        <v>56.35</v>
      </c>
      <c r="BB238" s="3">
        <v>14.21</v>
      </c>
      <c r="BC238" s="3">
        <v>10.59</v>
      </c>
      <c r="BD238" s="3" t="s">
        <v>3</v>
      </c>
      <c r="BE238" s="3" t="s">
        <v>3</v>
      </c>
      <c r="BF238" s="3" t="s">
        <v>3</v>
      </c>
      <c r="BG238" s="3" t="s">
        <v>3</v>
      </c>
      <c r="BH238" s="3">
        <v>0</v>
      </c>
      <c r="BI238" s="3">
        <v>2</v>
      </c>
      <c r="BJ238" s="3" t="s">
        <v>130</v>
      </c>
      <c r="BM238" s="3">
        <v>73</v>
      </c>
      <c r="BN238" s="3">
        <v>0</v>
      </c>
      <c r="BO238" s="3" t="s">
        <v>128</v>
      </c>
      <c r="BP238" s="3">
        <v>1</v>
      </c>
      <c r="BQ238" s="3">
        <v>40</v>
      </c>
      <c r="BR238" s="3">
        <v>0</v>
      </c>
      <c r="BS238" s="3">
        <v>56.35</v>
      </c>
      <c r="BT238" s="3">
        <v>1</v>
      </c>
      <c r="BU238" s="3">
        <v>1</v>
      </c>
      <c r="BV238" s="3">
        <v>1</v>
      </c>
      <c r="BW238" s="3">
        <v>1</v>
      </c>
      <c r="BX238" s="3">
        <v>1</v>
      </c>
      <c r="BY238" s="3" t="s">
        <v>3</v>
      </c>
      <c r="BZ238" s="3">
        <v>90</v>
      </c>
      <c r="CA238" s="3">
        <v>46</v>
      </c>
      <c r="CB238" s="3" t="s">
        <v>3</v>
      </c>
      <c r="CE238" s="3">
        <v>1566</v>
      </c>
      <c r="CF238" s="3">
        <v>0</v>
      </c>
      <c r="CG238" s="3">
        <v>0</v>
      </c>
      <c r="CM238" s="3">
        <v>0</v>
      </c>
      <c r="CN238" s="3" t="s">
        <v>677</v>
      </c>
      <c r="CO238" s="3">
        <v>0</v>
      </c>
      <c r="CP238" s="3">
        <f t="shared" si="286"/>
        <v>40886.53</v>
      </c>
      <c r="CQ238" s="3">
        <f t="shared" si="287"/>
        <v>47.13</v>
      </c>
      <c r="CR238" s="3">
        <f>(ROUND((ROUND((((ET238*1.2))*AV238*1),2)*BB238),2)+ROUND((ROUND(((AE238-((EU238*1.2)))*AV238*1),2)*BS238),2))</f>
        <v>146.65</v>
      </c>
      <c r="CS238" s="3">
        <f>(ROUND((ROUND((((EU238*1.2))*AV238*1),2)*BS238),2)+ROUND((ROUND(((AE238-((EU238*1.2)))*AV238*1),2)*BS238),2))</f>
        <v>18.03</v>
      </c>
      <c r="CT238" s="3">
        <f t="shared" si="288"/>
        <v>4917.1000000000004</v>
      </c>
      <c r="CU238" s="3">
        <f t="shared" si="289"/>
        <v>0</v>
      </c>
      <c r="CV238" s="3">
        <f t="shared" si="290"/>
        <v>6.9141599999999999</v>
      </c>
      <c r="CW238" s="3">
        <f t="shared" si="291"/>
        <v>0</v>
      </c>
      <c r="CX238" s="3">
        <f t="shared" si="292"/>
        <v>0</v>
      </c>
      <c r="CY238" s="3">
        <f>(ROUND((((S238+ROUND((ROUND((((EU238*1.2))*AV238*1),2)*BS238),2))*AT238)/100),2)+ROUND(((ROUND((ROUND(((AE238-((EU238*1.2)))*AV238*1),2)*BS238),2)*AT238)/100),2))</f>
        <v>35418.839999999997</v>
      </c>
      <c r="CZ238" s="3">
        <f>(ROUND((((S238+ROUND((ROUND((((EU238*1.2))*AV238*1),2)*BS238),2))*AU238)/100),2)+ROUND(((ROUND((ROUND(((AE238-((EU238*1.2)))*AV238*1),2)*BS238),2)*AU238)/100),2))</f>
        <v>18102.96</v>
      </c>
      <c r="DB238" s="3">
        <v>88</v>
      </c>
      <c r="DC238" s="3" t="s">
        <v>3</v>
      </c>
      <c r="DD238" s="3" t="s">
        <v>35</v>
      </c>
      <c r="DE238" s="3" t="s">
        <v>36</v>
      </c>
      <c r="DF238" s="3" t="s">
        <v>36</v>
      </c>
      <c r="DG238" s="3" t="s">
        <v>36</v>
      </c>
      <c r="DH238" s="3" t="s">
        <v>3</v>
      </c>
      <c r="DI238" s="3" t="s">
        <v>36</v>
      </c>
      <c r="DJ238" s="3" t="s">
        <v>36</v>
      </c>
      <c r="DK238" s="3" t="s">
        <v>3</v>
      </c>
      <c r="DL238" s="3" t="s">
        <v>3</v>
      </c>
      <c r="DM238" s="3" t="s">
        <v>3</v>
      </c>
      <c r="DN238" s="3">
        <v>0</v>
      </c>
      <c r="DO238" s="3">
        <v>0</v>
      </c>
      <c r="DP238" s="3">
        <v>1</v>
      </c>
      <c r="DQ238" s="3">
        <v>1</v>
      </c>
      <c r="DU238" s="3">
        <v>1013</v>
      </c>
      <c r="DV238" s="3" t="s">
        <v>23</v>
      </c>
      <c r="DW238" s="3" t="s">
        <v>23</v>
      </c>
      <c r="DX238" s="3">
        <v>1</v>
      </c>
      <c r="DZ238" s="3" t="s">
        <v>3</v>
      </c>
      <c r="EA238" s="3" t="s">
        <v>3</v>
      </c>
      <c r="EB238" s="3" t="s">
        <v>3</v>
      </c>
      <c r="EC238" s="3" t="s">
        <v>3</v>
      </c>
      <c r="EE238" s="3">
        <v>85133422</v>
      </c>
      <c r="EF238" s="3">
        <v>40</v>
      </c>
      <c r="EG238" s="3" t="s">
        <v>27</v>
      </c>
      <c r="EH238" s="3">
        <v>0</v>
      </c>
      <c r="EI238" s="3" t="s">
        <v>3</v>
      </c>
      <c r="EJ238" s="3">
        <v>2</v>
      </c>
      <c r="EK238" s="3">
        <v>73</v>
      </c>
      <c r="EL238" s="3" t="s">
        <v>62</v>
      </c>
      <c r="EM238" s="3" t="s">
        <v>63</v>
      </c>
      <c r="EO238" s="3" t="s">
        <v>37</v>
      </c>
      <c r="EQ238" s="3">
        <v>0</v>
      </c>
      <c r="ER238" s="3">
        <v>80.540000000000006</v>
      </c>
      <c r="ES238" s="3">
        <v>4.33</v>
      </c>
      <c r="ET238" s="3">
        <v>8.06</v>
      </c>
      <c r="EU238" s="3">
        <v>0.25</v>
      </c>
      <c r="EV238" s="3">
        <v>68.150000000000006</v>
      </c>
      <c r="EW238" s="3">
        <v>5.4</v>
      </c>
      <c r="EX238" s="3">
        <v>0</v>
      </c>
      <c r="EY238" s="3">
        <v>0</v>
      </c>
      <c r="FQ238" s="3">
        <v>0</v>
      </c>
      <c r="FR238" s="3">
        <v>0</v>
      </c>
      <c r="FS238" s="3">
        <v>2</v>
      </c>
      <c r="FX238" s="3">
        <v>90</v>
      </c>
      <c r="FY238" s="3">
        <v>46</v>
      </c>
      <c r="GA238" s="3" t="s">
        <v>3</v>
      </c>
      <c r="GD238" s="3">
        <v>1</v>
      </c>
      <c r="GF238" s="3">
        <v>-914769333</v>
      </c>
      <c r="GG238" s="3">
        <v>2</v>
      </c>
      <c r="GH238" s="3">
        <v>1</v>
      </c>
      <c r="GI238" s="3">
        <v>2</v>
      </c>
      <c r="GJ238" s="3">
        <v>0</v>
      </c>
      <c r="GK238" s="3">
        <v>0</v>
      </c>
      <c r="GL238" s="3">
        <f t="shared" si="293"/>
        <v>0</v>
      </c>
      <c r="GM238" s="3">
        <f t="shared" si="294"/>
        <v>94580.01</v>
      </c>
      <c r="GN238" s="3">
        <f t="shared" si="295"/>
        <v>0</v>
      </c>
      <c r="GO238" s="3">
        <f t="shared" si="296"/>
        <v>94580.01</v>
      </c>
      <c r="GP238" s="3">
        <f t="shared" si="297"/>
        <v>0</v>
      </c>
      <c r="GR238" s="3">
        <v>0</v>
      </c>
      <c r="GS238" s="3">
        <v>3</v>
      </c>
      <c r="GT238" s="3">
        <v>0</v>
      </c>
      <c r="GU238" s="3" t="s">
        <v>3</v>
      </c>
      <c r="GV238" s="3">
        <f t="shared" si="298"/>
        <v>0</v>
      </c>
      <c r="GW238" s="3">
        <v>1</v>
      </c>
      <c r="GX238" s="3">
        <f t="shared" si="299"/>
        <v>0</v>
      </c>
      <c r="HA238" s="3">
        <v>0</v>
      </c>
      <c r="HB238" s="3">
        <v>0</v>
      </c>
      <c r="HC238" s="3">
        <f t="shared" si="300"/>
        <v>0</v>
      </c>
      <c r="HE238" s="3" t="s">
        <v>3</v>
      </c>
      <c r="HF238" s="3" t="s">
        <v>3</v>
      </c>
      <c r="HM238" s="3" t="s">
        <v>3</v>
      </c>
      <c r="HN238" s="3" t="s">
        <v>3</v>
      </c>
      <c r="HO238" s="3" t="s">
        <v>3</v>
      </c>
      <c r="HP238" s="3" t="s">
        <v>3</v>
      </c>
      <c r="HQ238" s="3" t="s">
        <v>3</v>
      </c>
      <c r="HS238" s="3">
        <v>0</v>
      </c>
      <c r="IK238" s="3">
        <v>0</v>
      </c>
    </row>
    <row r="239" spans="1:255" x14ac:dyDescent="0.2">
      <c r="A239" s="2">
        <v>18</v>
      </c>
      <c r="B239" s="2">
        <v>1</v>
      </c>
      <c r="C239" s="2">
        <v>605</v>
      </c>
      <c r="D239" s="2"/>
      <c r="E239" s="2" t="s">
        <v>429</v>
      </c>
      <c r="F239" s="2" t="s">
        <v>132</v>
      </c>
      <c r="G239" s="2" t="s">
        <v>133</v>
      </c>
      <c r="H239" s="2" t="s">
        <v>99</v>
      </c>
      <c r="I239" s="2">
        <f>I237*J239</f>
        <v>16</v>
      </c>
      <c r="J239" s="2">
        <v>2</v>
      </c>
      <c r="K239" s="2">
        <v>2</v>
      </c>
      <c r="L239" s="2"/>
      <c r="M239" s="2"/>
      <c r="N239" s="2"/>
      <c r="O239" s="2">
        <f t="shared" si="276"/>
        <v>1715.68</v>
      </c>
      <c r="P239" s="2">
        <f t="shared" si="277"/>
        <v>1715.68</v>
      </c>
      <c r="Q239" s="2">
        <f>(ROUND((ROUND(((ET239)*AV239*I239),2)*BB239),2)+ROUND((ROUND(((AE239-(EU239))*AV239*I239),2)*BS239),2))</f>
        <v>0</v>
      </c>
      <c r="R239" s="2">
        <f>(ROUND((ROUND(((EU239)*AV239*I239),2)*BS239),2)+ROUND((ROUND(((AE239-(EU239))*AV239*I239),2)*BS239),2))</f>
        <v>0</v>
      </c>
      <c r="S239" s="2">
        <f t="shared" si="278"/>
        <v>0</v>
      </c>
      <c r="T239" s="2">
        <f t="shared" si="279"/>
        <v>0</v>
      </c>
      <c r="U239" s="2">
        <f t="shared" si="280"/>
        <v>0</v>
      </c>
      <c r="V239" s="2">
        <f t="shared" si="281"/>
        <v>0</v>
      </c>
      <c r="W239" s="2">
        <f t="shared" si="282"/>
        <v>0</v>
      </c>
      <c r="X239" s="2">
        <f>(ROUND((((S239+ROUND((ROUND(((EU239)*AV239*I239),2)*BS239),2))*AT239)/100),2)+ROUND(((ROUND((ROUND(((AE239-(EU239))*AV239*I239),2)*BS239),2)*AT239)/100),2))</f>
        <v>0</v>
      </c>
      <c r="Y239" s="2">
        <f>(ROUND((((S239+ROUND((ROUND(((EU239)*AV239*I239),2)*BS239),2))*AU239)/100),2)+ROUND(((ROUND((ROUND(((AE239-(EU239))*AV239*I239),2)*BS239),2)*AU239)/100),2))</f>
        <v>0</v>
      </c>
      <c r="Z239" s="2"/>
      <c r="AA239" s="2">
        <v>85739205</v>
      </c>
      <c r="AB239" s="2">
        <f t="shared" si="283"/>
        <v>107.23</v>
      </c>
      <c r="AC239" s="2">
        <f>ROUND((ES239),6)</f>
        <v>107.23</v>
      </c>
      <c r="AD239" s="2">
        <f>ROUND((((ET239)-(EU239))+AE239),6)</f>
        <v>0</v>
      </c>
      <c r="AE239" s="2">
        <f>ROUND((EU239),6)</f>
        <v>0</v>
      </c>
      <c r="AF239" s="2">
        <f>ROUND((EV239),6)</f>
        <v>0</v>
      </c>
      <c r="AG239" s="2">
        <f t="shared" si="284"/>
        <v>0</v>
      </c>
      <c r="AH239" s="2">
        <f>(EW239)</f>
        <v>0</v>
      </c>
      <c r="AI239" s="2">
        <f>(EX239)</f>
        <v>0</v>
      </c>
      <c r="AJ239" s="2">
        <f t="shared" si="285"/>
        <v>0</v>
      </c>
      <c r="AK239" s="2">
        <v>107.23</v>
      </c>
      <c r="AL239" s="2">
        <v>107.23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90</v>
      </c>
      <c r="AU239" s="2">
        <v>46</v>
      </c>
      <c r="AV239" s="2">
        <v>1</v>
      </c>
      <c r="AW239" s="2">
        <v>1</v>
      </c>
      <c r="AX239" s="2"/>
      <c r="AY239" s="2"/>
      <c r="AZ239" s="2">
        <v>1</v>
      </c>
      <c r="BA239" s="2">
        <v>1</v>
      </c>
      <c r="BB239" s="2">
        <v>1</v>
      </c>
      <c r="BC239" s="2">
        <v>1</v>
      </c>
      <c r="BD239" s="2" t="s">
        <v>3</v>
      </c>
      <c r="BE239" s="2" t="s">
        <v>3</v>
      </c>
      <c r="BF239" s="2" t="s">
        <v>3</v>
      </c>
      <c r="BG239" s="2" t="s">
        <v>3</v>
      </c>
      <c r="BH239" s="2">
        <v>3</v>
      </c>
      <c r="BI239" s="2">
        <v>2</v>
      </c>
      <c r="BJ239" s="2" t="s">
        <v>134</v>
      </c>
      <c r="BK239" s="2"/>
      <c r="BL239" s="2"/>
      <c r="BM239" s="2">
        <v>73</v>
      </c>
      <c r="BN239" s="2">
        <v>0</v>
      </c>
      <c r="BO239" s="2" t="s">
        <v>3</v>
      </c>
      <c r="BP239" s="2">
        <v>0</v>
      </c>
      <c r="BQ239" s="2">
        <v>40</v>
      </c>
      <c r="BR239" s="2">
        <v>0</v>
      </c>
      <c r="BS239" s="2">
        <v>1</v>
      </c>
      <c r="BT239" s="2">
        <v>1</v>
      </c>
      <c r="BU239" s="2">
        <v>1</v>
      </c>
      <c r="BV239" s="2">
        <v>1</v>
      </c>
      <c r="BW239" s="2">
        <v>1</v>
      </c>
      <c r="BX239" s="2">
        <v>1</v>
      </c>
      <c r="BY239" s="2" t="s">
        <v>3</v>
      </c>
      <c r="BZ239" s="2">
        <v>90</v>
      </c>
      <c r="CA239" s="2">
        <v>46</v>
      </c>
      <c r="CB239" s="2" t="s">
        <v>3</v>
      </c>
      <c r="CC239" s="2"/>
      <c r="CD239" s="2"/>
      <c r="CE239" s="2">
        <v>1566</v>
      </c>
      <c r="CF239" s="2">
        <v>0</v>
      </c>
      <c r="CG239" s="2">
        <v>0</v>
      </c>
      <c r="CH239" s="2"/>
      <c r="CI239" s="2"/>
      <c r="CJ239" s="2"/>
      <c r="CK239" s="2"/>
      <c r="CL239" s="2"/>
      <c r="CM239" s="2">
        <v>0</v>
      </c>
      <c r="CN239" s="2" t="s">
        <v>679</v>
      </c>
      <c r="CO239" s="2">
        <v>0</v>
      </c>
      <c r="CP239" s="2">
        <f t="shared" si="286"/>
        <v>1715.68</v>
      </c>
      <c r="CQ239" s="2">
        <f t="shared" si="287"/>
        <v>107.23</v>
      </c>
      <c r="CR239" s="2">
        <f>(ROUND((ROUND(((ET239)*AV239*1),2)*BB239),2)+ROUND((ROUND(((AE239-(EU239))*AV239*1),2)*BS239),2))</f>
        <v>0</v>
      </c>
      <c r="CS239" s="2">
        <f>(ROUND((ROUND(((EU239)*AV239*1),2)*BS239),2)+ROUND((ROUND(((AE239-(EU239))*AV239*1),2)*BS239),2))</f>
        <v>0</v>
      </c>
      <c r="CT239" s="2">
        <f t="shared" si="288"/>
        <v>0</v>
      </c>
      <c r="CU239" s="2">
        <f t="shared" si="289"/>
        <v>0</v>
      </c>
      <c r="CV239" s="2">
        <f t="shared" si="290"/>
        <v>0</v>
      </c>
      <c r="CW239" s="2">
        <f t="shared" si="291"/>
        <v>0</v>
      </c>
      <c r="CX239" s="2">
        <f t="shared" si="292"/>
        <v>0</v>
      </c>
      <c r="CY239" s="2">
        <f>(ROUND((((S239+ROUND((ROUND(((EU239)*AV239*1),2)*BS239),2))*AT239)/100),2)+ROUND(((ROUND((ROUND(((AE239-(EU239))*AV239*1),2)*BS239),2)*AT239)/100),2))</f>
        <v>0</v>
      </c>
      <c r="CZ239" s="2">
        <f>(ROUND((((S239+ROUND((ROUND(((EU239)*AV239*1),2)*BS239),2))*AU239)/100),2)+ROUND(((ROUND((ROUND(((AE239-(EU239))*AV239*1),2)*BS239),2)*AU239)/100),2))</f>
        <v>0</v>
      </c>
      <c r="DA239" s="2"/>
      <c r="DB239" s="2"/>
      <c r="DC239" s="2" t="s">
        <v>3</v>
      </c>
      <c r="DD239" s="2" t="s">
        <v>3</v>
      </c>
      <c r="DE239" s="2" t="s">
        <v>3</v>
      </c>
      <c r="DF239" s="2" t="s">
        <v>3</v>
      </c>
      <c r="DG239" s="2" t="s">
        <v>3</v>
      </c>
      <c r="DH239" s="2" t="s">
        <v>3</v>
      </c>
      <c r="DI239" s="2" t="s">
        <v>3</v>
      </c>
      <c r="DJ239" s="2" t="s">
        <v>3</v>
      </c>
      <c r="DK239" s="2" t="s">
        <v>3</v>
      </c>
      <c r="DL239" s="2" t="s">
        <v>3</v>
      </c>
      <c r="DM239" s="2" t="s">
        <v>3</v>
      </c>
      <c r="DN239" s="2">
        <v>0</v>
      </c>
      <c r="DO239" s="2">
        <v>0</v>
      </c>
      <c r="DP239" s="2">
        <v>1</v>
      </c>
      <c r="DQ239" s="2">
        <v>1</v>
      </c>
      <c r="DR239" s="2"/>
      <c r="DS239" s="2"/>
      <c r="DT239" s="2"/>
      <c r="DU239" s="2">
        <v>1010</v>
      </c>
      <c r="DV239" s="2" t="s">
        <v>99</v>
      </c>
      <c r="DW239" s="2" t="s">
        <v>99</v>
      </c>
      <c r="DX239" s="2">
        <v>1</v>
      </c>
      <c r="DY239" s="2"/>
      <c r="DZ239" s="2" t="s">
        <v>3</v>
      </c>
      <c r="EA239" s="2" t="s">
        <v>3</v>
      </c>
      <c r="EB239" s="2" t="s">
        <v>3</v>
      </c>
      <c r="EC239" s="2" t="s">
        <v>3</v>
      </c>
      <c r="ED239" s="2"/>
      <c r="EE239" s="2">
        <v>85133422</v>
      </c>
      <c r="EF239" s="2">
        <v>40</v>
      </c>
      <c r="EG239" s="2" t="s">
        <v>27</v>
      </c>
      <c r="EH239" s="2">
        <v>0</v>
      </c>
      <c r="EI239" s="2" t="s">
        <v>3</v>
      </c>
      <c r="EJ239" s="2">
        <v>2</v>
      </c>
      <c r="EK239" s="2">
        <v>73</v>
      </c>
      <c r="EL239" s="2" t="s">
        <v>62</v>
      </c>
      <c r="EM239" s="2" t="s">
        <v>63</v>
      </c>
      <c r="EN239" s="2"/>
      <c r="EO239" s="2" t="s">
        <v>37</v>
      </c>
      <c r="EP239" s="2"/>
      <c r="EQ239" s="2">
        <v>0</v>
      </c>
      <c r="ER239" s="2">
        <v>107.23</v>
      </c>
      <c r="ES239" s="2">
        <v>107.23</v>
      </c>
      <c r="ET239" s="2">
        <v>0</v>
      </c>
      <c r="EU239" s="2">
        <v>0</v>
      </c>
      <c r="EV239" s="2">
        <v>0</v>
      </c>
      <c r="EW239" s="2">
        <v>0</v>
      </c>
      <c r="EX239" s="2">
        <v>0</v>
      </c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>
        <v>0</v>
      </c>
      <c r="FR239" s="2">
        <v>0</v>
      </c>
      <c r="FS239" s="2">
        <v>0</v>
      </c>
      <c r="FT239" s="2"/>
      <c r="FU239" s="2"/>
      <c r="FV239" s="2"/>
      <c r="FW239" s="2"/>
      <c r="FX239" s="2">
        <v>90</v>
      </c>
      <c r="FY239" s="2">
        <v>46</v>
      </c>
      <c r="FZ239" s="2"/>
      <c r="GA239" s="2" t="s">
        <v>3</v>
      </c>
      <c r="GB239" s="2"/>
      <c r="GC239" s="2"/>
      <c r="GD239" s="2">
        <v>1</v>
      </c>
      <c r="GE239" s="2"/>
      <c r="GF239" s="2">
        <v>235948314</v>
      </c>
      <c r="GG239" s="2">
        <v>2</v>
      </c>
      <c r="GH239" s="2">
        <v>1</v>
      </c>
      <c r="GI239" s="2">
        <v>-2</v>
      </c>
      <c r="GJ239" s="2">
        <v>0</v>
      </c>
      <c r="GK239" s="2">
        <v>0</v>
      </c>
      <c r="GL239" s="2">
        <f t="shared" si="293"/>
        <v>0</v>
      </c>
      <c r="GM239" s="2">
        <f t="shared" si="294"/>
        <v>1715.68</v>
      </c>
      <c r="GN239" s="2">
        <f t="shared" si="295"/>
        <v>0</v>
      </c>
      <c r="GO239" s="2">
        <f t="shared" si="296"/>
        <v>1715.68</v>
      </c>
      <c r="GP239" s="2">
        <f t="shared" si="297"/>
        <v>0</v>
      </c>
      <c r="GQ239" s="2"/>
      <c r="GR239" s="2">
        <v>0</v>
      </c>
      <c r="GS239" s="2">
        <v>3</v>
      </c>
      <c r="GT239" s="2">
        <v>0</v>
      </c>
      <c r="GU239" s="2" t="s">
        <v>3</v>
      </c>
      <c r="GV239" s="2">
        <f t="shared" si="298"/>
        <v>0</v>
      </c>
      <c r="GW239" s="2">
        <v>1</v>
      </c>
      <c r="GX239" s="2">
        <f t="shared" si="299"/>
        <v>0</v>
      </c>
      <c r="GY239" s="2"/>
      <c r="GZ239" s="2"/>
      <c r="HA239" s="2">
        <v>0</v>
      </c>
      <c r="HB239" s="2">
        <v>0</v>
      </c>
      <c r="HC239" s="2">
        <f t="shared" si="300"/>
        <v>0</v>
      </c>
      <c r="HD239" s="2"/>
      <c r="HE239" s="2" t="s">
        <v>3</v>
      </c>
      <c r="HF239" s="2" t="s">
        <v>3</v>
      </c>
      <c r="HG239" s="2"/>
      <c r="HH239" s="2"/>
      <c r="HI239" s="2"/>
      <c r="HJ239" s="2"/>
      <c r="HK239" s="2"/>
      <c r="HL239" s="2"/>
      <c r="HM239" s="2" t="s">
        <v>35</v>
      </c>
      <c r="HN239" s="2" t="s">
        <v>3</v>
      </c>
      <c r="HO239" s="2" t="s">
        <v>3</v>
      </c>
      <c r="HP239" s="2" t="s">
        <v>3</v>
      </c>
      <c r="HQ239" s="2" t="s">
        <v>3</v>
      </c>
      <c r="HR239" s="2"/>
      <c r="HS239" s="2">
        <v>0</v>
      </c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>
        <v>0</v>
      </c>
      <c r="IL239" s="2"/>
      <c r="IM239" s="2"/>
      <c r="IN239" s="2"/>
      <c r="IO239" s="2"/>
      <c r="IP239" s="2"/>
      <c r="IQ239" s="2"/>
      <c r="IR239" s="2"/>
      <c r="IS239" s="2"/>
      <c r="IT239" s="2"/>
      <c r="IU239" s="2"/>
    </row>
    <row r="240" spans="1:255" x14ac:dyDescent="0.2">
      <c r="A240" s="3">
        <v>18</v>
      </c>
      <c r="B240" s="3">
        <v>1</v>
      </c>
      <c r="C240" s="3">
        <v>612</v>
      </c>
      <c r="E240" s="3" t="s">
        <v>429</v>
      </c>
      <c r="F240" s="3" t="s">
        <v>132</v>
      </c>
      <c r="G240" s="3" t="s">
        <v>133</v>
      </c>
      <c r="H240" s="3" t="s">
        <v>99</v>
      </c>
      <c r="I240" s="3">
        <f>I238*J240</f>
        <v>16</v>
      </c>
      <c r="J240" s="3">
        <v>2</v>
      </c>
      <c r="K240" s="3">
        <v>2</v>
      </c>
      <c r="O240" s="3">
        <f t="shared" si="276"/>
        <v>11906.82</v>
      </c>
      <c r="P240" s="3">
        <f t="shared" si="277"/>
        <v>11906.82</v>
      </c>
      <c r="Q240" s="3">
        <f>(ROUND((ROUND(((ET240)*AV240*I240),2)*BB240),2)+ROUND((ROUND(((AE240-(EU240))*AV240*I240),2)*BS240),2))</f>
        <v>0</v>
      </c>
      <c r="R240" s="3">
        <f>(ROUND((ROUND(((EU240)*AV240*I240),2)*BS240),2)+ROUND((ROUND(((AE240-(EU240))*AV240*I240),2)*BS240),2))</f>
        <v>0</v>
      </c>
      <c r="S240" s="3">
        <f t="shared" si="278"/>
        <v>0</v>
      </c>
      <c r="T240" s="3">
        <f t="shared" si="279"/>
        <v>0</v>
      </c>
      <c r="U240" s="3">
        <f t="shared" si="280"/>
        <v>0</v>
      </c>
      <c r="V240" s="3">
        <f t="shared" si="281"/>
        <v>0</v>
      </c>
      <c r="W240" s="3">
        <f t="shared" si="282"/>
        <v>0</v>
      </c>
      <c r="X240" s="3">
        <f>(ROUND((((S240+ROUND((ROUND(((EU240)*AV240*I240),2)*BS240),2))*AT240)/100),2)+ROUND(((ROUND((ROUND(((AE240-(EU240))*AV240*I240),2)*BS240),2)*AT240)/100),2))</f>
        <v>0</v>
      </c>
      <c r="Y240" s="3">
        <f>(ROUND((((S240+ROUND((ROUND(((EU240)*AV240*I240),2)*BS240),2))*AU240)/100),2)+ROUND(((ROUND((ROUND(((AE240-(EU240))*AV240*I240),2)*BS240),2)*AU240)/100),2))</f>
        <v>0</v>
      </c>
      <c r="AA240" s="3">
        <v>85739207</v>
      </c>
      <c r="AB240" s="3">
        <f t="shared" si="283"/>
        <v>107.23</v>
      </c>
      <c r="AC240" s="3">
        <f>ROUND((ES240),6)</f>
        <v>107.23</v>
      </c>
      <c r="AD240" s="3">
        <f>ROUND((((ET240)-(EU240))+AE240),6)</f>
        <v>0</v>
      </c>
      <c r="AE240" s="3">
        <f>ROUND((EU240),6)</f>
        <v>0</v>
      </c>
      <c r="AF240" s="3">
        <f>ROUND((EV240),6)</f>
        <v>0</v>
      </c>
      <c r="AG240" s="3">
        <f t="shared" si="284"/>
        <v>0</v>
      </c>
      <c r="AH240" s="3">
        <f>(EW240)</f>
        <v>0</v>
      </c>
      <c r="AI240" s="3">
        <f>(EX240)</f>
        <v>0</v>
      </c>
      <c r="AJ240" s="3">
        <f t="shared" si="285"/>
        <v>0</v>
      </c>
      <c r="AK240" s="3">
        <v>107.23</v>
      </c>
      <c r="AL240" s="3">
        <v>107.23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90</v>
      </c>
      <c r="AU240" s="3">
        <v>46</v>
      </c>
      <c r="AV240" s="3">
        <v>1</v>
      </c>
      <c r="AW240" s="3">
        <v>1</v>
      </c>
      <c r="AZ240" s="3">
        <v>1</v>
      </c>
      <c r="BA240" s="3">
        <v>1</v>
      </c>
      <c r="BB240" s="3">
        <v>1</v>
      </c>
      <c r="BC240" s="3">
        <v>6.94</v>
      </c>
      <c r="BD240" s="3" t="s">
        <v>3</v>
      </c>
      <c r="BE240" s="3" t="s">
        <v>3</v>
      </c>
      <c r="BF240" s="3" t="s">
        <v>3</v>
      </c>
      <c r="BG240" s="3" t="s">
        <v>3</v>
      </c>
      <c r="BH240" s="3">
        <v>3</v>
      </c>
      <c r="BI240" s="3">
        <v>2</v>
      </c>
      <c r="BJ240" s="3" t="s">
        <v>134</v>
      </c>
      <c r="BM240" s="3">
        <v>73</v>
      </c>
      <c r="BN240" s="3">
        <v>0</v>
      </c>
      <c r="BO240" s="3" t="s">
        <v>132</v>
      </c>
      <c r="BP240" s="3">
        <v>1</v>
      </c>
      <c r="BQ240" s="3">
        <v>40</v>
      </c>
      <c r="BR240" s="3">
        <v>0</v>
      </c>
      <c r="BS240" s="3">
        <v>1</v>
      </c>
      <c r="BT240" s="3">
        <v>1</v>
      </c>
      <c r="BU240" s="3">
        <v>1</v>
      </c>
      <c r="BV240" s="3">
        <v>1</v>
      </c>
      <c r="BW240" s="3">
        <v>1</v>
      </c>
      <c r="BX240" s="3">
        <v>1</v>
      </c>
      <c r="BY240" s="3" t="s">
        <v>3</v>
      </c>
      <c r="BZ240" s="3">
        <v>90</v>
      </c>
      <c r="CA240" s="3">
        <v>46</v>
      </c>
      <c r="CB240" s="3" t="s">
        <v>3</v>
      </c>
      <c r="CE240" s="3">
        <v>1566</v>
      </c>
      <c r="CF240" s="3">
        <v>0</v>
      </c>
      <c r="CG240" s="3">
        <v>0</v>
      </c>
      <c r="CM240" s="3">
        <v>0</v>
      </c>
      <c r="CN240" s="3" t="s">
        <v>679</v>
      </c>
      <c r="CO240" s="3">
        <v>0</v>
      </c>
      <c r="CP240" s="3">
        <f t="shared" si="286"/>
        <v>11906.82</v>
      </c>
      <c r="CQ240" s="3">
        <f t="shared" si="287"/>
        <v>744.18</v>
      </c>
      <c r="CR240" s="3">
        <f>(ROUND((ROUND(((ET240)*AV240*1),2)*BB240),2)+ROUND((ROUND(((AE240-(EU240))*AV240*1),2)*BS240),2))</f>
        <v>0</v>
      </c>
      <c r="CS240" s="3">
        <f>(ROUND((ROUND(((EU240)*AV240*1),2)*BS240),2)+ROUND((ROUND(((AE240-(EU240))*AV240*1),2)*BS240),2))</f>
        <v>0</v>
      </c>
      <c r="CT240" s="3">
        <f t="shared" si="288"/>
        <v>0</v>
      </c>
      <c r="CU240" s="3">
        <f t="shared" si="289"/>
        <v>0</v>
      </c>
      <c r="CV240" s="3">
        <f t="shared" si="290"/>
        <v>0</v>
      </c>
      <c r="CW240" s="3">
        <f t="shared" si="291"/>
        <v>0</v>
      </c>
      <c r="CX240" s="3">
        <f t="shared" si="292"/>
        <v>0</v>
      </c>
      <c r="CY240" s="3">
        <f>(ROUND((((S240+ROUND((ROUND(((EU240)*AV240*1),2)*BS240),2))*AT240)/100),2)+ROUND(((ROUND((ROUND(((AE240-(EU240))*AV240*1),2)*BS240),2)*AT240)/100),2))</f>
        <v>0</v>
      </c>
      <c r="CZ240" s="3">
        <f>(ROUND((((S240+ROUND((ROUND(((EU240)*AV240*1),2)*BS240),2))*AU240)/100),2)+ROUND(((ROUND((ROUND(((AE240-(EU240))*AV240*1),2)*BS240),2)*AU240)/100),2))</f>
        <v>0</v>
      </c>
      <c r="DC240" s="3" t="s">
        <v>3</v>
      </c>
      <c r="DD240" s="3" t="s">
        <v>3</v>
      </c>
      <c r="DE240" s="3" t="s">
        <v>3</v>
      </c>
      <c r="DF240" s="3" t="s">
        <v>3</v>
      </c>
      <c r="DG240" s="3" t="s">
        <v>3</v>
      </c>
      <c r="DH240" s="3" t="s">
        <v>3</v>
      </c>
      <c r="DI240" s="3" t="s">
        <v>3</v>
      </c>
      <c r="DJ240" s="3" t="s">
        <v>3</v>
      </c>
      <c r="DK240" s="3" t="s">
        <v>3</v>
      </c>
      <c r="DL240" s="3" t="s">
        <v>3</v>
      </c>
      <c r="DM240" s="3" t="s">
        <v>3</v>
      </c>
      <c r="DN240" s="3">
        <v>0</v>
      </c>
      <c r="DO240" s="3">
        <v>0</v>
      </c>
      <c r="DP240" s="3">
        <v>1</v>
      </c>
      <c r="DQ240" s="3">
        <v>1</v>
      </c>
      <c r="DU240" s="3">
        <v>1010</v>
      </c>
      <c r="DV240" s="3" t="s">
        <v>99</v>
      </c>
      <c r="DW240" s="3" t="s">
        <v>99</v>
      </c>
      <c r="DX240" s="3">
        <v>1</v>
      </c>
      <c r="DZ240" s="3" t="s">
        <v>3</v>
      </c>
      <c r="EA240" s="3" t="s">
        <v>3</v>
      </c>
      <c r="EB240" s="3" t="s">
        <v>3</v>
      </c>
      <c r="EC240" s="3" t="s">
        <v>3</v>
      </c>
      <c r="EE240" s="3">
        <v>85133422</v>
      </c>
      <c r="EF240" s="3">
        <v>40</v>
      </c>
      <c r="EG240" s="3" t="s">
        <v>27</v>
      </c>
      <c r="EH240" s="3">
        <v>0</v>
      </c>
      <c r="EI240" s="3" t="s">
        <v>3</v>
      </c>
      <c r="EJ240" s="3">
        <v>2</v>
      </c>
      <c r="EK240" s="3">
        <v>73</v>
      </c>
      <c r="EL240" s="3" t="s">
        <v>62</v>
      </c>
      <c r="EM240" s="3" t="s">
        <v>63</v>
      </c>
      <c r="EO240" s="3" t="s">
        <v>37</v>
      </c>
      <c r="EQ240" s="3">
        <v>0</v>
      </c>
      <c r="ER240" s="3">
        <v>107.23</v>
      </c>
      <c r="ES240" s="3">
        <v>107.23</v>
      </c>
      <c r="ET240" s="3">
        <v>0</v>
      </c>
      <c r="EU240" s="3">
        <v>0</v>
      </c>
      <c r="EV240" s="3">
        <v>0</v>
      </c>
      <c r="EW240" s="3">
        <v>0</v>
      </c>
      <c r="EX240" s="3">
        <v>0</v>
      </c>
      <c r="FQ240" s="3">
        <v>0</v>
      </c>
      <c r="FR240" s="3">
        <v>0</v>
      </c>
      <c r="FS240" s="3">
        <v>0</v>
      </c>
      <c r="FX240" s="3">
        <v>90</v>
      </c>
      <c r="FY240" s="3">
        <v>46</v>
      </c>
      <c r="GA240" s="3" t="s">
        <v>3</v>
      </c>
      <c r="GD240" s="3">
        <v>1</v>
      </c>
      <c r="GF240" s="3">
        <v>235948314</v>
      </c>
      <c r="GG240" s="3">
        <v>2</v>
      </c>
      <c r="GH240" s="3">
        <v>1</v>
      </c>
      <c r="GI240" s="3">
        <v>2</v>
      </c>
      <c r="GJ240" s="3">
        <v>0</v>
      </c>
      <c r="GK240" s="3">
        <v>0</v>
      </c>
      <c r="GL240" s="3">
        <f t="shared" si="293"/>
        <v>0</v>
      </c>
      <c r="GM240" s="3">
        <f t="shared" si="294"/>
        <v>11906.82</v>
      </c>
      <c r="GN240" s="3">
        <f t="shared" si="295"/>
        <v>0</v>
      </c>
      <c r="GO240" s="3">
        <f t="shared" si="296"/>
        <v>11906.82</v>
      </c>
      <c r="GP240" s="3">
        <f t="shared" si="297"/>
        <v>0</v>
      </c>
      <c r="GR240" s="3">
        <v>0</v>
      </c>
      <c r="GS240" s="3">
        <v>3</v>
      </c>
      <c r="GT240" s="3">
        <v>0</v>
      </c>
      <c r="GU240" s="3" t="s">
        <v>3</v>
      </c>
      <c r="GV240" s="3">
        <f t="shared" si="298"/>
        <v>0</v>
      </c>
      <c r="GW240" s="3">
        <v>1</v>
      </c>
      <c r="GX240" s="3">
        <f t="shared" si="299"/>
        <v>0</v>
      </c>
      <c r="HA240" s="3">
        <v>0</v>
      </c>
      <c r="HB240" s="3">
        <v>0</v>
      </c>
      <c r="HC240" s="3">
        <f t="shared" si="300"/>
        <v>0</v>
      </c>
      <c r="HE240" s="3" t="s">
        <v>3</v>
      </c>
      <c r="HF240" s="3" t="s">
        <v>3</v>
      </c>
      <c r="HM240" s="3" t="s">
        <v>35</v>
      </c>
      <c r="HN240" s="3" t="s">
        <v>3</v>
      </c>
      <c r="HO240" s="3" t="s">
        <v>3</v>
      </c>
      <c r="HP240" s="3" t="s">
        <v>3</v>
      </c>
      <c r="HQ240" s="3" t="s">
        <v>3</v>
      </c>
      <c r="HS240" s="3">
        <v>0</v>
      </c>
      <c r="IK240" s="3">
        <v>0</v>
      </c>
    </row>
    <row r="241" spans="1:255" x14ac:dyDescent="0.2">
      <c r="A241" s="2">
        <v>17</v>
      </c>
      <c r="B241" s="2">
        <v>1</v>
      </c>
      <c r="C241" s="2">
        <f>ROW(SmtRes!A616)</f>
        <v>616</v>
      </c>
      <c r="D241" s="2">
        <f>ROW(EtalonRes!A626)</f>
        <v>626</v>
      </c>
      <c r="E241" s="2" t="s">
        <v>430</v>
      </c>
      <c r="F241" s="2" t="s">
        <v>431</v>
      </c>
      <c r="G241" s="2" t="s">
        <v>432</v>
      </c>
      <c r="H241" s="2" t="s">
        <v>23</v>
      </c>
      <c r="I241" s="2">
        <f>ROUND(1,9)</f>
        <v>1</v>
      </c>
      <c r="J241" s="2">
        <v>0</v>
      </c>
      <c r="K241" s="2">
        <f>ROUND(1,9)</f>
        <v>1</v>
      </c>
      <c r="L241" s="2"/>
      <c r="M241" s="2"/>
      <c r="N241" s="2"/>
      <c r="O241" s="2">
        <f t="shared" si="276"/>
        <v>5.71</v>
      </c>
      <c r="P241" s="2">
        <f t="shared" si="277"/>
        <v>0.81</v>
      </c>
      <c r="Q241" s="2">
        <f>(ROUND((ROUND((((ET241*1.2))*AV241*I241),2)*BB241),2)+ROUND((ROUND(((AE241-((EU241*1.2)))*AV241*I241),2)*BS241),2))</f>
        <v>0</v>
      </c>
      <c r="R241" s="2">
        <f>(ROUND((ROUND((((EU241*1.2))*AV241*I241),2)*BS241),2)+ROUND((ROUND(((AE241-((EU241*1.2)))*AV241*I241),2)*BS241),2))</f>
        <v>0</v>
      </c>
      <c r="S241" s="2">
        <f t="shared" si="278"/>
        <v>4.9000000000000004</v>
      </c>
      <c r="T241" s="2">
        <f t="shared" si="279"/>
        <v>0</v>
      </c>
      <c r="U241" s="2">
        <f t="shared" si="280"/>
        <v>0.37691999999999998</v>
      </c>
      <c r="V241" s="2">
        <f t="shared" si="281"/>
        <v>0</v>
      </c>
      <c r="W241" s="2">
        <f t="shared" si="282"/>
        <v>0</v>
      </c>
      <c r="X241" s="2">
        <f>(ROUND((((S241+ROUND((ROUND((((EU241*1.2))*AV241*I241),2)*BS241),2))*AT241)/100),2)+ROUND(((ROUND((ROUND(((AE241-((EU241*1.2)))*AV241*I241),2)*BS241),2)*AT241)/100),2))</f>
        <v>4.41</v>
      </c>
      <c r="Y241" s="2">
        <f>(ROUND((((S241+ROUND((ROUND((((EU241*1.2))*AV241*I241),2)*BS241),2))*AU241)/100),2)+ROUND(((ROUND((ROUND(((AE241-((EU241*1.2)))*AV241*I241),2)*BS241),2)*AU241)/100),2))</f>
        <v>2.25</v>
      </c>
      <c r="Z241" s="2"/>
      <c r="AA241" s="2">
        <v>85739205</v>
      </c>
      <c r="AB241" s="2">
        <f t="shared" si="283"/>
        <v>5.49</v>
      </c>
      <c r="AC241" s="2">
        <f>ROUND(((ES241*1)),6)</f>
        <v>0.81</v>
      </c>
      <c r="AD241" s="2">
        <f>ROUND(((((ET241*1.2))-((EU241*1.2)))+AE241),6)</f>
        <v>0</v>
      </c>
      <c r="AE241" s="2">
        <f>ROUND(((EU241*1.2)),6)</f>
        <v>0</v>
      </c>
      <c r="AF241" s="2">
        <f>ROUND(((EV241*1.2)),6)</f>
        <v>4.68</v>
      </c>
      <c r="AG241" s="2">
        <f t="shared" si="284"/>
        <v>0</v>
      </c>
      <c r="AH241" s="2">
        <f>((EW241*1.2))</f>
        <v>0.36</v>
      </c>
      <c r="AI241" s="2">
        <f>((EX241*1.2))</f>
        <v>0</v>
      </c>
      <c r="AJ241" s="2">
        <f t="shared" si="285"/>
        <v>0</v>
      </c>
      <c r="AK241" s="2">
        <v>4.71</v>
      </c>
      <c r="AL241" s="2">
        <v>0.81</v>
      </c>
      <c r="AM241" s="2">
        <v>0</v>
      </c>
      <c r="AN241" s="2">
        <v>0</v>
      </c>
      <c r="AO241" s="2">
        <v>3.9</v>
      </c>
      <c r="AP241" s="2">
        <v>0</v>
      </c>
      <c r="AQ241" s="2">
        <v>0.3</v>
      </c>
      <c r="AR241" s="2">
        <v>0</v>
      </c>
      <c r="AS241" s="2">
        <v>0</v>
      </c>
      <c r="AT241" s="2">
        <v>90</v>
      </c>
      <c r="AU241" s="2">
        <v>46</v>
      </c>
      <c r="AV241" s="2">
        <v>1.0469999999999999</v>
      </c>
      <c r="AW241" s="2">
        <v>1</v>
      </c>
      <c r="AX241" s="2"/>
      <c r="AY241" s="2"/>
      <c r="AZ241" s="2">
        <v>1</v>
      </c>
      <c r="BA241" s="2">
        <v>1</v>
      </c>
      <c r="BB241" s="2">
        <v>1</v>
      </c>
      <c r="BC241" s="2">
        <v>1</v>
      </c>
      <c r="BD241" s="2" t="s">
        <v>3</v>
      </c>
      <c r="BE241" s="2" t="s">
        <v>3</v>
      </c>
      <c r="BF241" s="2" t="s">
        <v>3</v>
      </c>
      <c r="BG241" s="2" t="s">
        <v>3</v>
      </c>
      <c r="BH241" s="2">
        <v>0</v>
      </c>
      <c r="BI241" s="2">
        <v>2</v>
      </c>
      <c r="BJ241" s="2" t="s">
        <v>433</v>
      </c>
      <c r="BK241" s="2"/>
      <c r="BL241" s="2"/>
      <c r="BM241" s="2">
        <v>72</v>
      </c>
      <c r="BN241" s="2">
        <v>0</v>
      </c>
      <c r="BO241" s="2" t="s">
        <v>431</v>
      </c>
      <c r="BP241" s="2">
        <v>1</v>
      </c>
      <c r="BQ241" s="2">
        <v>40</v>
      </c>
      <c r="BR241" s="2">
        <v>0</v>
      </c>
      <c r="BS241" s="2">
        <v>1</v>
      </c>
      <c r="BT241" s="2">
        <v>1</v>
      </c>
      <c r="BU241" s="2">
        <v>1</v>
      </c>
      <c r="BV241" s="2">
        <v>1</v>
      </c>
      <c r="BW241" s="2">
        <v>1</v>
      </c>
      <c r="BX241" s="2">
        <v>1</v>
      </c>
      <c r="BY241" s="2" t="s">
        <v>3</v>
      </c>
      <c r="BZ241" s="2">
        <v>90</v>
      </c>
      <c r="CA241" s="2">
        <v>46</v>
      </c>
      <c r="CB241" s="2" t="s">
        <v>3</v>
      </c>
      <c r="CC241" s="2"/>
      <c r="CD241" s="2"/>
      <c r="CE241" s="2">
        <v>1566</v>
      </c>
      <c r="CF241" s="2">
        <v>0</v>
      </c>
      <c r="CG241" s="2">
        <v>0</v>
      </c>
      <c r="CH241" s="2"/>
      <c r="CI241" s="2"/>
      <c r="CJ241" s="2"/>
      <c r="CK241" s="2"/>
      <c r="CL241" s="2"/>
      <c r="CM241" s="2">
        <v>0</v>
      </c>
      <c r="CN241" s="2" t="s">
        <v>677</v>
      </c>
      <c r="CO241" s="2">
        <v>0</v>
      </c>
      <c r="CP241" s="2">
        <f t="shared" si="286"/>
        <v>5.7100000000000009</v>
      </c>
      <c r="CQ241" s="2">
        <f t="shared" si="287"/>
        <v>0.81</v>
      </c>
      <c r="CR241" s="2">
        <f>(ROUND((ROUND((((ET241*1.2))*AV241*1),2)*BB241),2)+ROUND((ROUND(((AE241-((EU241*1.2)))*AV241*1),2)*BS241),2))</f>
        <v>0</v>
      </c>
      <c r="CS241" s="2">
        <f>(ROUND((ROUND((((EU241*1.2))*AV241*1),2)*BS241),2)+ROUND((ROUND(((AE241-((EU241*1.2)))*AV241*1),2)*BS241),2))</f>
        <v>0</v>
      </c>
      <c r="CT241" s="2">
        <f t="shared" si="288"/>
        <v>4.9000000000000004</v>
      </c>
      <c r="CU241" s="2">
        <f t="shared" si="289"/>
        <v>0</v>
      </c>
      <c r="CV241" s="2">
        <f t="shared" si="290"/>
        <v>0.37691999999999998</v>
      </c>
      <c r="CW241" s="2">
        <f t="shared" si="291"/>
        <v>0</v>
      </c>
      <c r="CX241" s="2">
        <f t="shared" si="292"/>
        <v>0</v>
      </c>
      <c r="CY241" s="2">
        <f>(ROUND((((S241+ROUND((ROUND((((EU241*1.2))*AV241*1),2)*BS241),2))*AT241)/100),2)+ROUND(((ROUND((ROUND(((AE241-((EU241*1.2)))*AV241*1),2)*BS241),2)*AT241)/100),2))</f>
        <v>4.41</v>
      </c>
      <c r="CZ241" s="2">
        <f>(ROUND((((S241+ROUND((ROUND((((EU241*1.2))*AV241*1),2)*BS241),2))*AU241)/100),2)+ROUND(((ROUND((ROUND(((AE241-((EU241*1.2)))*AV241*1),2)*BS241),2)*AU241)/100),2))</f>
        <v>2.25</v>
      </c>
      <c r="DA241" s="2"/>
      <c r="DB241" s="2">
        <v>89</v>
      </c>
      <c r="DC241" s="2" t="s">
        <v>3</v>
      </c>
      <c r="DD241" s="2" t="s">
        <v>35</v>
      </c>
      <c r="DE241" s="2" t="s">
        <v>36</v>
      </c>
      <c r="DF241" s="2" t="s">
        <v>36</v>
      </c>
      <c r="DG241" s="2" t="s">
        <v>36</v>
      </c>
      <c r="DH241" s="2" t="s">
        <v>3</v>
      </c>
      <c r="DI241" s="2" t="s">
        <v>36</v>
      </c>
      <c r="DJ241" s="2" t="s">
        <v>36</v>
      </c>
      <c r="DK241" s="2" t="s">
        <v>3</v>
      </c>
      <c r="DL241" s="2" t="s">
        <v>3</v>
      </c>
      <c r="DM241" s="2" t="s">
        <v>3</v>
      </c>
      <c r="DN241" s="2">
        <v>0</v>
      </c>
      <c r="DO241" s="2">
        <v>0</v>
      </c>
      <c r="DP241" s="2">
        <v>1</v>
      </c>
      <c r="DQ241" s="2">
        <v>1</v>
      </c>
      <c r="DR241" s="2"/>
      <c r="DS241" s="2"/>
      <c r="DT241" s="2"/>
      <c r="DU241" s="2">
        <v>1013</v>
      </c>
      <c r="DV241" s="2" t="s">
        <v>23</v>
      </c>
      <c r="DW241" s="2" t="s">
        <v>23</v>
      </c>
      <c r="DX241" s="2">
        <v>1</v>
      </c>
      <c r="DY241" s="2"/>
      <c r="DZ241" s="2" t="s">
        <v>3</v>
      </c>
      <c r="EA241" s="2" t="s">
        <v>3</v>
      </c>
      <c r="EB241" s="2" t="s">
        <v>3</v>
      </c>
      <c r="EC241" s="2" t="s">
        <v>3</v>
      </c>
      <c r="ED241" s="2"/>
      <c r="EE241" s="2">
        <v>85133421</v>
      </c>
      <c r="EF241" s="2">
        <v>40</v>
      </c>
      <c r="EG241" s="2" t="s">
        <v>27</v>
      </c>
      <c r="EH241" s="2">
        <v>0</v>
      </c>
      <c r="EI241" s="2" t="s">
        <v>3</v>
      </c>
      <c r="EJ241" s="2">
        <v>2</v>
      </c>
      <c r="EK241" s="2">
        <v>72</v>
      </c>
      <c r="EL241" s="2" t="s">
        <v>434</v>
      </c>
      <c r="EM241" s="2" t="s">
        <v>435</v>
      </c>
      <c r="EN241" s="2"/>
      <c r="EO241" s="2" t="s">
        <v>37</v>
      </c>
      <c r="EP241" s="2"/>
      <c r="EQ241" s="2">
        <v>0</v>
      </c>
      <c r="ER241" s="2">
        <v>4.71</v>
      </c>
      <c r="ES241" s="2">
        <v>0.81</v>
      </c>
      <c r="ET241" s="2">
        <v>0</v>
      </c>
      <c r="EU241" s="2">
        <v>0</v>
      </c>
      <c r="EV241" s="2">
        <v>3.9</v>
      </c>
      <c r="EW241" s="2">
        <v>0.3</v>
      </c>
      <c r="EX241" s="2">
        <v>0</v>
      </c>
      <c r="EY241" s="2">
        <v>0</v>
      </c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>
        <v>0</v>
      </c>
      <c r="FR241" s="2">
        <v>0</v>
      </c>
      <c r="FS241" s="2">
        <v>0</v>
      </c>
      <c r="FT241" s="2"/>
      <c r="FU241" s="2"/>
      <c r="FV241" s="2"/>
      <c r="FW241" s="2"/>
      <c r="FX241" s="2">
        <v>90</v>
      </c>
      <c r="FY241" s="2">
        <v>46</v>
      </c>
      <c r="FZ241" s="2"/>
      <c r="GA241" s="2" t="s">
        <v>3</v>
      </c>
      <c r="GB241" s="2"/>
      <c r="GC241" s="2"/>
      <c r="GD241" s="2">
        <v>1</v>
      </c>
      <c r="GE241" s="2"/>
      <c r="GF241" s="2">
        <v>543968639</v>
      </c>
      <c r="GG241" s="2">
        <v>2</v>
      </c>
      <c r="GH241" s="2">
        <v>1</v>
      </c>
      <c r="GI241" s="2">
        <v>2</v>
      </c>
      <c r="GJ241" s="2">
        <v>0</v>
      </c>
      <c r="GK241" s="2">
        <v>0</v>
      </c>
      <c r="GL241" s="2">
        <f t="shared" si="293"/>
        <v>0</v>
      </c>
      <c r="GM241" s="2">
        <f t="shared" si="294"/>
        <v>12.37</v>
      </c>
      <c r="GN241" s="2">
        <f t="shared" si="295"/>
        <v>0</v>
      </c>
      <c r="GO241" s="2">
        <f t="shared" si="296"/>
        <v>12.37</v>
      </c>
      <c r="GP241" s="2">
        <f t="shared" si="297"/>
        <v>0</v>
      </c>
      <c r="GQ241" s="2"/>
      <c r="GR241" s="2">
        <v>0</v>
      </c>
      <c r="GS241" s="2">
        <v>3</v>
      </c>
      <c r="GT241" s="2">
        <v>0</v>
      </c>
      <c r="GU241" s="2" t="s">
        <v>3</v>
      </c>
      <c r="GV241" s="2">
        <f t="shared" si="298"/>
        <v>0</v>
      </c>
      <c r="GW241" s="2">
        <v>1</v>
      </c>
      <c r="GX241" s="2">
        <f t="shared" si="299"/>
        <v>0</v>
      </c>
      <c r="GY241" s="2"/>
      <c r="GZ241" s="2"/>
      <c r="HA241" s="2">
        <v>0</v>
      </c>
      <c r="HB241" s="2">
        <v>0</v>
      </c>
      <c r="HC241" s="2">
        <f t="shared" si="300"/>
        <v>0</v>
      </c>
      <c r="HD241" s="2"/>
      <c r="HE241" s="2" t="s">
        <v>3</v>
      </c>
      <c r="HF241" s="2" t="s">
        <v>3</v>
      </c>
      <c r="HG241" s="2"/>
      <c r="HH241" s="2"/>
      <c r="HI241" s="2"/>
      <c r="HJ241" s="2"/>
      <c r="HK241" s="2"/>
      <c r="HL241" s="2"/>
      <c r="HM241" s="2" t="s">
        <v>3</v>
      </c>
      <c r="HN241" s="2" t="s">
        <v>3</v>
      </c>
      <c r="HO241" s="2" t="s">
        <v>3</v>
      </c>
      <c r="HP241" s="2" t="s">
        <v>3</v>
      </c>
      <c r="HQ241" s="2" t="s">
        <v>3</v>
      </c>
      <c r="HR241" s="2"/>
      <c r="HS241" s="2">
        <v>0</v>
      </c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>
        <v>0</v>
      </c>
      <c r="IL241" s="2"/>
      <c r="IM241" s="2"/>
      <c r="IN241" s="2"/>
      <c r="IO241" s="2"/>
      <c r="IP241" s="2"/>
      <c r="IQ241" s="2"/>
      <c r="IR241" s="2"/>
      <c r="IS241" s="2"/>
      <c r="IT241" s="2"/>
      <c r="IU241" s="2"/>
    </row>
    <row r="242" spans="1:255" x14ac:dyDescent="0.2">
      <c r="A242" s="3">
        <v>17</v>
      </c>
      <c r="B242" s="3">
        <v>1</v>
      </c>
      <c r="C242" s="3">
        <f>ROW(SmtRes!A620)</f>
        <v>620</v>
      </c>
      <c r="D242" s="3">
        <f>ROW(EtalonRes!A630)</f>
        <v>630</v>
      </c>
      <c r="E242" s="3" t="s">
        <v>430</v>
      </c>
      <c r="F242" s="3" t="s">
        <v>431</v>
      </c>
      <c r="G242" s="3" t="s">
        <v>432</v>
      </c>
      <c r="H242" s="3" t="s">
        <v>23</v>
      </c>
      <c r="I242" s="3">
        <f>ROUND(1,9)</f>
        <v>1</v>
      </c>
      <c r="J242" s="3">
        <v>0</v>
      </c>
      <c r="K242" s="3">
        <f>ROUND(1,9)</f>
        <v>1</v>
      </c>
      <c r="O242" s="3">
        <f t="shared" si="276"/>
        <v>290.11</v>
      </c>
      <c r="P242" s="3">
        <f t="shared" si="277"/>
        <v>13.99</v>
      </c>
      <c r="Q242" s="3">
        <f>(ROUND((ROUND((((ET242*1.2))*AV242*I242),2)*BB242),2)+ROUND((ROUND(((AE242-((EU242*1.2)))*AV242*I242),2)*BS242),2))</f>
        <v>0</v>
      </c>
      <c r="R242" s="3">
        <f>(ROUND((ROUND((((EU242*1.2))*AV242*I242),2)*BS242),2)+ROUND((ROUND(((AE242-((EU242*1.2)))*AV242*I242),2)*BS242),2))</f>
        <v>0</v>
      </c>
      <c r="S242" s="3">
        <f t="shared" si="278"/>
        <v>276.12</v>
      </c>
      <c r="T242" s="3">
        <f t="shared" si="279"/>
        <v>0</v>
      </c>
      <c r="U242" s="3">
        <f t="shared" si="280"/>
        <v>0.37691999999999998</v>
      </c>
      <c r="V242" s="3">
        <f t="shared" si="281"/>
        <v>0</v>
      </c>
      <c r="W242" s="3">
        <f t="shared" si="282"/>
        <v>0</v>
      </c>
      <c r="X242" s="3">
        <f>(ROUND((((S242+ROUND((ROUND((((EU242*1.2))*AV242*I242),2)*BS242),2))*AT242)/100),2)+ROUND(((ROUND((ROUND(((AE242-((EU242*1.2)))*AV242*I242),2)*BS242),2)*AT242)/100),2))</f>
        <v>248.51</v>
      </c>
      <c r="Y242" s="3">
        <f>(ROUND((((S242+ROUND((ROUND((((EU242*1.2))*AV242*I242),2)*BS242),2))*AU242)/100),2)+ROUND(((ROUND((ROUND(((AE242-((EU242*1.2)))*AV242*I242),2)*BS242),2)*AU242)/100),2))</f>
        <v>127.02</v>
      </c>
      <c r="AA242" s="3">
        <v>85739207</v>
      </c>
      <c r="AB242" s="3">
        <f t="shared" si="283"/>
        <v>5.49</v>
      </c>
      <c r="AC242" s="3">
        <f>ROUND(((ES242*1)),6)</f>
        <v>0.81</v>
      </c>
      <c r="AD242" s="3">
        <f>ROUND(((((ET242*1.2))-((EU242*1.2)))+AE242),6)</f>
        <v>0</v>
      </c>
      <c r="AE242" s="3">
        <f>ROUND(((EU242*1.2)),6)</f>
        <v>0</v>
      </c>
      <c r="AF242" s="3">
        <f>ROUND(((EV242*1.2)),6)</f>
        <v>4.68</v>
      </c>
      <c r="AG242" s="3">
        <f t="shared" si="284"/>
        <v>0</v>
      </c>
      <c r="AH242" s="3">
        <f>((EW242*1.2))</f>
        <v>0.36</v>
      </c>
      <c r="AI242" s="3">
        <f>((EX242*1.2))</f>
        <v>0</v>
      </c>
      <c r="AJ242" s="3">
        <f t="shared" si="285"/>
        <v>0</v>
      </c>
      <c r="AK242" s="3">
        <v>4.71</v>
      </c>
      <c r="AL242" s="3">
        <v>0.81</v>
      </c>
      <c r="AM242" s="3">
        <v>0</v>
      </c>
      <c r="AN242" s="3">
        <v>0</v>
      </c>
      <c r="AO242" s="3">
        <v>3.9</v>
      </c>
      <c r="AP242" s="3">
        <v>0</v>
      </c>
      <c r="AQ242" s="3">
        <v>0.3</v>
      </c>
      <c r="AR242" s="3">
        <v>0</v>
      </c>
      <c r="AS242" s="3">
        <v>0</v>
      </c>
      <c r="AT242" s="3">
        <v>90</v>
      </c>
      <c r="AU242" s="3">
        <v>46</v>
      </c>
      <c r="AV242" s="3">
        <v>1.0469999999999999</v>
      </c>
      <c r="AW242" s="3">
        <v>1</v>
      </c>
      <c r="AZ242" s="3">
        <v>1</v>
      </c>
      <c r="BA242" s="3">
        <v>56.35</v>
      </c>
      <c r="BB242" s="3">
        <v>1</v>
      </c>
      <c r="BC242" s="3">
        <v>17.27</v>
      </c>
      <c r="BD242" s="3" t="s">
        <v>3</v>
      </c>
      <c r="BE242" s="3" t="s">
        <v>3</v>
      </c>
      <c r="BF242" s="3" t="s">
        <v>3</v>
      </c>
      <c r="BG242" s="3" t="s">
        <v>3</v>
      </c>
      <c r="BH242" s="3">
        <v>0</v>
      </c>
      <c r="BI242" s="3">
        <v>2</v>
      </c>
      <c r="BJ242" s="3" t="s">
        <v>433</v>
      </c>
      <c r="BM242" s="3">
        <v>72</v>
      </c>
      <c r="BN242" s="3">
        <v>0</v>
      </c>
      <c r="BO242" s="3" t="s">
        <v>431</v>
      </c>
      <c r="BP242" s="3">
        <v>1</v>
      </c>
      <c r="BQ242" s="3">
        <v>40</v>
      </c>
      <c r="BR242" s="3">
        <v>0</v>
      </c>
      <c r="BS242" s="3">
        <v>56.35</v>
      </c>
      <c r="BT242" s="3">
        <v>1</v>
      </c>
      <c r="BU242" s="3">
        <v>1</v>
      </c>
      <c r="BV242" s="3">
        <v>1</v>
      </c>
      <c r="BW242" s="3">
        <v>1</v>
      </c>
      <c r="BX242" s="3">
        <v>1</v>
      </c>
      <c r="BY242" s="3" t="s">
        <v>3</v>
      </c>
      <c r="BZ242" s="3">
        <v>90</v>
      </c>
      <c r="CA242" s="3">
        <v>46</v>
      </c>
      <c r="CB242" s="3" t="s">
        <v>3</v>
      </c>
      <c r="CE242" s="3">
        <v>1566</v>
      </c>
      <c r="CF242" s="3">
        <v>0</v>
      </c>
      <c r="CG242" s="3">
        <v>0</v>
      </c>
      <c r="CM242" s="3">
        <v>0</v>
      </c>
      <c r="CN242" s="3" t="s">
        <v>677</v>
      </c>
      <c r="CO242" s="3">
        <v>0</v>
      </c>
      <c r="CP242" s="3">
        <f t="shared" si="286"/>
        <v>290.11</v>
      </c>
      <c r="CQ242" s="3">
        <f t="shared" si="287"/>
        <v>13.99</v>
      </c>
      <c r="CR242" s="3">
        <f>(ROUND((ROUND((((ET242*1.2))*AV242*1),2)*BB242),2)+ROUND((ROUND(((AE242-((EU242*1.2)))*AV242*1),2)*BS242),2))</f>
        <v>0</v>
      </c>
      <c r="CS242" s="3">
        <f>(ROUND((ROUND((((EU242*1.2))*AV242*1),2)*BS242),2)+ROUND((ROUND(((AE242-((EU242*1.2)))*AV242*1),2)*BS242),2))</f>
        <v>0</v>
      </c>
      <c r="CT242" s="3">
        <f t="shared" si="288"/>
        <v>276.12</v>
      </c>
      <c r="CU242" s="3">
        <f t="shared" si="289"/>
        <v>0</v>
      </c>
      <c r="CV242" s="3">
        <f t="shared" si="290"/>
        <v>0.37691999999999998</v>
      </c>
      <c r="CW242" s="3">
        <f t="shared" si="291"/>
        <v>0</v>
      </c>
      <c r="CX242" s="3">
        <f t="shared" si="292"/>
        <v>0</v>
      </c>
      <c r="CY242" s="3">
        <f>(ROUND((((S242+ROUND((ROUND((((EU242*1.2))*AV242*1),2)*BS242),2))*AT242)/100),2)+ROUND(((ROUND((ROUND(((AE242-((EU242*1.2)))*AV242*1),2)*BS242),2)*AT242)/100),2))</f>
        <v>248.51</v>
      </c>
      <c r="CZ242" s="3">
        <f>(ROUND((((S242+ROUND((ROUND((((EU242*1.2))*AV242*1),2)*BS242),2))*AU242)/100),2)+ROUND(((ROUND((ROUND(((AE242-((EU242*1.2)))*AV242*1),2)*BS242),2)*AU242)/100),2))</f>
        <v>127.02</v>
      </c>
      <c r="DB242" s="3">
        <v>90</v>
      </c>
      <c r="DC242" s="3" t="s">
        <v>3</v>
      </c>
      <c r="DD242" s="3" t="s">
        <v>35</v>
      </c>
      <c r="DE242" s="3" t="s">
        <v>36</v>
      </c>
      <c r="DF242" s="3" t="s">
        <v>36</v>
      </c>
      <c r="DG242" s="3" t="s">
        <v>36</v>
      </c>
      <c r="DH242" s="3" t="s">
        <v>3</v>
      </c>
      <c r="DI242" s="3" t="s">
        <v>36</v>
      </c>
      <c r="DJ242" s="3" t="s">
        <v>36</v>
      </c>
      <c r="DK242" s="3" t="s">
        <v>3</v>
      </c>
      <c r="DL242" s="3" t="s">
        <v>3</v>
      </c>
      <c r="DM242" s="3" t="s">
        <v>3</v>
      </c>
      <c r="DN242" s="3">
        <v>0</v>
      </c>
      <c r="DO242" s="3">
        <v>0</v>
      </c>
      <c r="DP242" s="3">
        <v>1</v>
      </c>
      <c r="DQ242" s="3">
        <v>1</v>
      </c>
      <c r="DU242" s="3">
        <v>1013</v>
      </c>
      <c r="DV242" s="3" t="s">
        <v>23</v>
      </c>
      <c r="DW242" s="3" t="s">
        <v>23</v>
      </c>
      <c r="DX242" s="3">
        <v>1</v>
      </c>
      <c r="DZ242" s="3" t="s">
        <v>3</v>
      </c>
      <c r="EA242" s="3" t="s">
        <v>3</v>
      </c>
      <c r="EB242" s="3" t="s">
        <v>3</v>
      </c>
      <c r="EC242" s="3" t="s">
        <v>3</v>
      </c>
      <c r="EE242" s="3">
        <v>85133421</v>
      </c>
      <c r="EF242" s="3">
        <v>40</v>
      </c>
      <c r="EG242" s="3" t="s">
        <v>27</v>
      </c>
      <c r="EH242" s="3">
        <v>0</v>
      </c>
      <c r="EI242" s="3" t="s">
        <v>3</v>
      </c>
      <c r="EJ242" s="3">
        <v>2</v>
      </c>
      <c r="EK242" s="3">
        <v>72</v>
      </c>
      <c r="EL242" s="3" t="s">
        <v>434</v>
      </c>
      <c r="EM242" s="3" t="s">
        <v>435</v>
      </c>
      <c r="EO242" s="3" t="s">
        <v>37</v>
      </c>
      <c r="EQ242" s="3">
        <v>0</v>
      </c>
      <c r="ER242" s="3">
        <v>4.71</v>
      </c>
      <c r="ES242" s="3">
        <v>0.81</v>
      </c>
      <c r="ET242" s="3">
        <v>0</v>
      </c>
      <c r="EU242" s="3">
        <v>0</v>
      </c>
      <c r="EV242" s="3">
        <v>3.9</v>
      </c>
      <c r="EW242" s="3">
        <v>0.3</v>
      </c>
      <c r="EX242" s="3">
        <v>0</v>
      </c>
      <c r="EY242" s="3">
        <v>0</v>
      </c>
      <c r="FQ242" s="3">
        <v>0</v>
      </c>
      <c r="FR242" s="3">
        <v>0</v>
      </c>
      <c r="FS242" s="3">
        <v>0</v>
      </c>
      <c r="FX242" s="3">
        <v>90</v>
      </c>
      <c r="FY242" s="3">
        <v>46</v>
      </c>
      <c r="GA242" s="3" t="s">
        <v>3</v>
      </c>
      <c r="GD242" s="3">
        <v>1</v>
      </c>
      <c r="GF242" s="3">
        <v>543968639</v>
      </c>
      <c r="GG242" s="3">
        <v>2</v>
      </c>
      <c r="GH242" s="3">
        <v>1</v>
      </c>
      <c r="GI242" s="3">
        <v>2</v>
      </c>
      <c r="GJ242" s="3">
        <v>0</v>
      </c>
      <c r="GK242" s="3">
        <v>0</v>
      </c>
      <c r="GL242" s="3">
        <f t="shared" si="293"/>
        <v>0</v>
      </c>
      <c r="GM242" s="3">
        <f t="shared" si="294"/>
        <v>665.64</v>
      </c>
      <c r="GN242" s="3">
        <f t="shared" si="295"/>
        <v>0</v>
      </c>
      <c r="GO242" s="3">
        <f t="shared" si="296"/>
        <v>665.64</v>
      </c>
      <c r="GP242" s="3">
        <f t="shared" si="297"/>
        <v>0</v>
      </c>
      <c r="GR242" s="3">
        <v>0</v>
      </c>
      <c r="GS242" s="3">
        <v>3</v>
      </c>
      <c r="GT242" s="3">
        <v>0</v>
      </c>
      <c r="GU242" s="3" t="s">
        <v>3</v>
      </c>
      <c r="GV242" s="3">
        <f t="shared" si="298"/>
        <v>0</v>
      </c>
      <c r="GW242" s="3">
        <v>1</v>
      </c>
      <c r="GX242" s="3">
        <f t="shared" si="299"/>
        <v>0</v>
      </c>
      <c r="HA242" s="3">
        <v>0</v>
      </c>
      <c r="HB242" s="3">
        <v>0</v>
      </c>
      <c r="HC242" s="3">
        <f t="shared" si="300"/>
        <v>0</v>
      </c>
      <c r="HE242" s="3" t="s">
        <v>3</v>
      </c>
      <c r="HF242" s="3" t="s">
        <v>3</v>
      </c>
      <c r="HM242" s="3" t="s">
        <v>3</v>
      </c>
      <c r="HN242" s="3" t="s">
        <v>3</v>
      </c>
      <c r="HO242" s="3" t="s">
        <v>3</v>
      </c>
      <c r="HP242" s="3" t="s">
        <v>3</v>
      </c>
      <c r="HQ242" s="3" t="s">
        <v>3</v>
      </c>
      <c r="HS242" s="3">
        <v>0</v>
      </c>
      <c r="IK242" s="3">
        <v>0</v>
      </c>
    </row>
    <row r="243" spans="1:255" x14ac:dyDescent="0.2">
      <c r="A243" s="2">
        <v>18</v>
      </c>
      <c r="B243" s="2">
        <v>1</v>
      </c>
      <c r="C243" s="2">
        <v>616</v>
      </c>
      <c r="D243" s="2"/>
      <c r="E243" s="2" t="s">
        <v>436</v>
      </c>
      <c r="F243" s="2" t="s">
        <v>437</v>
      </c>
      <c r="G243" s="2" t="s">
        <v>438</v>
      </c>
      <c r="H243" s="2" t="s">
        <v>99</v>
      </c>
      <c r="I243" s="2">
        <f>I241*J243</f>
        <v>1</v>
      </c>
      <c r="J243" s="2">
        <v>1</v>
      </c>
      <c r="K243" s="2">
        <v>1</v>
      </c>
      <c r="L243" s="2"/>
      <c r="M243" s="2"/>
      <c r="N243" s="2"/>
      <c r="O243" s="2">
        <f t="shared" si="276"/>
        <v>1798.97</v>
      </c>
      <c r="P243" s="2">
        <f>ROUND((ROUND((AC243*I243),2)*BC243),2)</f>
        <v>1798.97</v>
      </c>
      <c r="Q243" s="2">
        <f t="shared" ref="Q243:Q248" si="301">(ROUND((ROUND(((ET243)*AV243*I243),2)*BB243),2)+ROUND((ROUND(((AE243-(EU243))*AV243*I243),2)*BS243),2))</f>
        <v>0</v>
      </c>
      <c r="R243" s="2">
        <f t="shared" ref="R243:R248" si="302">(ROUND((ROUND(((EU243)*AV243*I243),2)*BS243),2)+ROUND((ROUND(((AE243-(EU243))*AV243*I243),2)*BS243),2))</f>
        <v>0</v>
      </c>
      <c r="S243" s="2">
        <f t="shared" si="278"/>
        <v>0</v>
      </c>
      <c r="T243" s="2">
        <f t="shared" si="279"/>
        <v>0</v>
      </c>
      <c r="U243" s="2">
        <f t="shared" si="280"/>
        <v>0</v>
      </c>
      <c r="V243" s="2">
        <f t="shared" si="281"/>
        <v>0</v>
      </c>
      <c r="W243" s="2">
        <f t="shared" si="282"/>
        <v>0</v>
      </c>
      <c r="X243" s="2">
        <f t="shared" ref="X243:X248" si="303">(ROUND((((S243+ROUND((ROUND(((EU243)*AV243*I243),2)*BS243),2))*AT243)/100),2)+ROUND(((ROUND((ROUND(((AE243-(EU243))*AV243*I243),2)*BS243),2)*AT243)/100),2))</f>
        <v>0</v>
      </c>
      <c r="Y243" s="2">
        <f t="shared" ref="Y243:Y248" si="304">(ROUND((((S243+ROUND((ROUND(((EU243)*AV243*I243),2)*BS243),2))*AU243)/100),2)+ROUND(((ROUND((ROUND(((AE243-(EU243))*AV243*I243),2)*BS243),2)*AU243)/100),2))</f>
        <v>0</v>
      </c>
      <c r="Z243" s="2"/>
      <c r="AA243" s="2">
        <v>85739205</v>
      </c>
      <c r="AB243" s="2">
        <f t="shared" si="283"/>
        <v>1798.97</v>
      </c>
      <c r="AC243" s="2">
        <f t="shared" ref="AC243:AC248" si="305">ROUND((ES243),6)</f>
        <v>1798.97</v>
      </c>
      <c r="AD243" s="2">
        <f t="shared" ref="AD243:AD248" si="306">ROUND((((ET243)-(EU243))+AE243),6)</f>
        <v>0</v>
      </c>
      <c r="AE243" s="2">
        <f t="shared" ref="AE243:AF248" si="307">ROUND((EU243),6)</f>
        <v>0</v>
      </c>
      <c r="AF243" s="2">
        <f t="shared" si="307"/>
        <v>0</v>
      </c>
      <c r="AG243" s="2">
        <f t="shared" si="284"/>
        <v>0</v>
      </c>
      <c r="AH243" s="2">
        <f t="shared" ref="AH243:AI248" si="308">(EW243)</f>
        <v>0</v>
      </c>
      <c r="AI243" s="2">
        <f t="shared" si="308"/>
        <v>0</v>
      </c>
      <c r="AJ243" s="2">
        <f t="shared" si="285"/>
        <v>0</v>
      </c>
      <c r="AK243" s="2">
        <v>1798.9699999999998</v>
      </c>
      <c r="AL243" s="2">
        <v>1798.9699999999998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1</v>
      </c>
      <c r="AW243" s="2">
        <v>1</v>
      </c>
      <c r="AX243" s="2"/>
      <c r="AY243" s="2"/>
      <c r="AZ243" s="2">
        <v>1</v>
      </c>
      <c r="BA243" s="2">
        <v>1</v>
      </c>
      <c r="BB243" s="2">
        <v>1</v>
      </c>
      <c r="BC243" s="2">
        <v>1</v>
      </c>
      <c r="BD243" s="2" t="s">
        <v>3</v>
      </c>
      <c r="BE243" s="2" t="s">
        <v>3</v>
      </c>
      <c r="BF243" s="2" t="s">
        <v>3</v>
      </c>
      <c r="BG243" s="2" t="s">
        <v>3</v>
      </c>
      <c r="BH243" s="2">
        <v>3</v>
      </c>
      <c r="BI243" s="2">
        <v>3</v>
      </c>
      <c r="BJ243" s="2" t="s">
        <v>3</v>
      </c>
      <c r="BK243" s="2"/>
      <c r="BL243" s="2"/>
      <c r="BM243" s="2">
        <v>746</v>
      </c>
      <c r="BN243" s="2">
        <v>0</v>
      </c>
      <c r="BO243" s="2" t="s">
        <v>3</v>
      </c>
      <c r="BP243" s="2">
        <v>0</v>
      </c>
      <c r="BQ243" s="2">
        <v>130</v>
      </c>
      <c r="BR243" s="2">
        <v>0</v>
      </c>
      <c r="BS243" s="2">
        <v>1</v>
      </c>
      <c r="BT243" s="2">
        <v>1</v>
      </c>
      <c r="BU243" s="2">
        <v>1</v>
      </c>
      <c r="BV243" s="2">
        <v>1</v>
      </c>
      <c r="BW243" s="2">
        <v>1</v>
      </c>
      <c r="BX243" s="2">
        <v>1</v>
      </c>
      <c r="BY243" s="2" t="s">
        <v>3</v>
      </c>
      <c r="BZ243" s="2">
        <v>90</v>
      </c>
      <c r="CA243" s="2">
        <v>46</v>
      </c>
      <c r="CB243" s="2" t="s">
        <v>3</v>
      </c>
      <c r="CC243" s="2"/>
      <c r="CD243" s="2"/>
      <c r="CE243" s="2">
        <v>1566</v>
      </c>
      <c r="CF243" s="2">
        <v>0</v>
      </c>
      <c r="CG243" s="2">
        <v>0</v>
      </c>
      <c r="CH243" s="2"/>
      <c r="CI243" s="2"/>
      <c r="CJ243" s="2"/>
      <c r="CK243" s="2"/>
      <c r="CL243" s="2"/>
      <c r="CM243" s="2">
        <v>0</v>
      </c>
      <c r="CN243" s="2" t="s">
        <v>679</v>
      </c>
      <c r="CO243" s="2">
        <v>0</v>
      </c>
      <c r="CP243" s="2">
        <f t="shared" si="286"/>
        <v>1798.97</v>
      </c>
      <c r="CQ243" s="2">
        <f>ROUND((ROUND((AC243*1),2)*BC243),2)</f>
        <v>1798.97</v>
      </c>
      <c r="CR243" s="2">
        <f t="shared" ref="CR243:CR248" si="309">(ROUND((ROUND(((ET243)*AV243*1),2)*BB243),2)+ROUND((ROUND(((AE243-(EU243))*AV243*1),2)*BS243),2))</f>
        <v>0</v>
      </c>
      <c r="CS243" s="2">
        <f t="shared" ref="CS243:CS248" si="310">(ROUND((ROUND(((EU243)*AV243*1),2)*BS243),2)+ROUND((ROUND(((AE243-(EU243))*AV243*1),2)*BS243),2))</f>
        <v>0</v>
      </c>
      <c r="CT243" s="2">
        <f t="shared" si="288"/>
        <v>0</v>
      </c>
      <c r="CU243" s="2">
        <f t="shared" si="289"/>
        <v>0</v>
      </c>
      <c r="CV243" s="2">
        <f t="shared" si="290"/>
        <v>0</v>
      </c>
      <c r="CW243" s="2">
        <f t="shared" si="291"/>
        <v>0</v>
      </c>
      <c r="CX243" s="2">
        <f t="shared" si="292"/>
        <v>0</v>
      </c>
      <c r="CY243" s="2">
        <f t="shared" ref="CY243:CY248" si="311">(ROUND((((S243+ROUND((ROUND(((EU243)*AV243*1),2)*BS243),2))*AT243)/100),2)+ROUND(((ROUND((ROUND(((AE243-(EU243))*AV243*1),2)*BS243),2)*AT243)/100),2))</f>
        <v>0</v>
      </c>
      <c r="CZ243" s="2">
        <f t="shared" ref="CZ243:CZ248" si="312">(ROUND((((S243+ROUND((ROUND(((EU243)*AV243*1),2)*BS243),2))*AU243)/100),2)+ROUND(((ROUND((ROUND(((AE243-(EU243))*AV243*1),2)*BS243),2)*AU243)/100),2))</f>
        <v>0</v>
      </c>
      <c r="DA243" s="2"/>
      <c r="DB243" s="2"/>
      <c r="DC243" s="2" t="s">
        <v>3</v>
      </c>
      <c r="DD243" s="2" t="s">
        <v>3</v>
      </c>
      <c r="DE243" s="2" t="s">
        <v>3</v>
      </c>
      <c r="DF243" s="2" t="s">
        <v>3</v>
      </c>
      <c r="DG243" s="2" t="s">
        <v>3</v>
      </c>
      <c r="DH243" s="2" t="s">
        <v>3</v>
      </c>
      <c r="DI243" s="2" t="s">
        <v>3</v>
      </c>
      <c r="DJ243" s="2" t="s">
        <v>3</v>
      </c>
      <c r="DK243" s="2" t="s">
        <v>3</v>
      </c>
      <c r="DL243" s="2" t="s">
        <v>3</v>
      </c>
      <c r="DM243" s="2" t="s">
        <v>3</v>
      </c>
      <c r="DN243" s="2">
        <v>0</v>
      </c>
      <c r="DO243" s="2">
        <v>0</v>
      </c>
      <c r="DP243" s="2">
        <v>1</v>
      </c>
      <c r="DQ243" s="2">
        <v>1</v>
      </c>
      <c r="DR243" s="2"/>
      <c r="DS243" s="2"/>
      <c r="DT243" s="2"/>
      <c r="DU243" s="2">
        <v>1010</v>
      </c>
      <c r="DV243" s="2" t="s">
        <v>99</v>
      </c>
      <c r="DW243" s="2" t="s">
        <v>99</v>
      </c>
      <c r="DX243" s="2">
        <v>1</v>
      </c>
      <c r="DY243" s="2"/>
      <c r="DZ243" s="2" t="s">
        <v>3</v>
      </c>
      <c r="EA243" s="2" t="s">
        <v>3</v>
      </c>
      <c r="EB243" s="2" t="s">
        <v>3</v>
      </c>
      <c r="EC243" s="2" t="s">
        <v>3</v>
      </c>
      <c r="ED243" s="2"/>
      <c r="EE243" s="2">
        <v>85133523</v>
      </c>
      <c r="EF243" s="2">
        <v>130</v>
      </c>
      <c r="EG243" s="2" t="s">
        <v>86</v>
      </c>
      <c r="EH243" s="2">
        <v>0</v>
      </c>
      <c r="EI243" s="2" t="s">
        <v>3</v>
      </c>
      <c r="EJ243" s="2">
        <v>3</v>
      </c>
      <c r="EK243" s="2">
        <v>746</v>
      </c>
      <c r="EL243" s="2" t="s">
        <v>87</v>
      </c>
      <c r="EM243" s="2" t="s">
        <v>88</v>
      </c>
      <c r="EN243" s="2"/>
      <c r="EO243" s="2" t="s">
        <v>37</v>
      </c>
      <c r="EP243" s="2"/>
      <c r="EQ243" s="2">
        <v>2097152</v>
      </c>
      <c r="ER243" s="2">
        <v>0</v>
      </c>
      <c r="ES243" s="2">
        <v>1798.9699999999998</v>
      </c>
      <c r="ET243" s="2">
        <v>0</v>
      </c>
      <c r="EU243" s="2">
        <v>0</v>
      </c>
      <c r="EV243" s="2">
        <v>0</v>
      </c>
      <c r="EW243" s="2">
        <v>0</v>
      </c>
      <c r="EX243" s="2">
        <v>0</v>
      </c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>
        <v>0</v>
      </c>
      <c r="FR243" s="2">
        <f>P243</f>
        <v>1798.97</v>
      </c>
      <c r="FS243" s="2">
        <v>0</v>
      </c>
      <c r="FT243" s="2"/>
      <c r="FU243" s="2"/>
      <c r="FV243" s="2"/>
      <c r="FW243" s="2"/>
      <c r="FX243" s="2">
        <v>90</v>
      </c>
      <c r="FY243" s="2">
        <v>46</v>
      </c>
      <c r="FZ243" s="2"/>
      <c r="GA243" s="2" t="s">
        <v>439</v>
      </c>
      <c r="GB243" s="2"/>
      <c r="GC243" s="2"/>
      <c r="GD243" s="2">
        <v>1</v>
      </c>
      <c r="GE243" s="2"/>
      <c r="GF243" s="2">
        <v>-1856623460</v>
      </c>
      <c r="GG243" s="2">
        <v>2</v>
      </c>
      <c r="GH243" s="2">
        <v>4</v>
      </c>
      <c r="GI243" s="2">
        <v>-2</v>
      </c>
      <c r="GJ243" s="2">
        <v>0</v>
      </c>
      <c r="GK243" s="2">
        <v>0</v>
      </c>
      <c r="GL243" s="2">
        <f t="shared" si="293"/>
        <v>0</v>
      </c>
      <c r="GM243" s="2">
        <f t="shared" si="294"/>
        <v>1798.97</v>
      </c>
      <c r="GN243" s="2">
        <f t="shared" si="295"/>
        <v>0</v>
      </c>
      <c r="GO243" s="2">
        <f t="shared" si="296"/>
        <v>0</v>
      </c>
      <c r="GP243" s="2">
        <f t="shared" si="297"/>
        <v>0</v>
      </c>
      <c r="GQ243" s="2"/>
      <c r="GR243" s="2">
        <v>0</v>
      </c>
      <c r="GS243" s="2">
        <v>2</v>
      </c>
      <c r="GT243" s="2">
        <v>0</v>
      </c>
      <c r="GU243" s="2" t="s">
        <v>3</v>
      </c>
      <c r="GV243" s="2">
        <f t="shared" si="298"/>
        <v>0</v>
      </c>
      <c r="GW243" s="2">
        <v>1</v>
      </c>
      <c r="GX243" s="2">
        <f t="shared" si="299"/>
        <v>0</v>
      </c>
      <c r="GY243" s="2"/>
      <c r="GZ243" s="2"/>
      <c r="HA243" s="2">
        <v>0</v>
      </c>
      <c r="HB243" s="2">
        <v>0</v>
      </c>
      <c r="HC243" s="2">
        <f t="shared" si="300"/>
        <v>0</v>
      </c>
      <c r="HD243" s="2"/>
      <c r="HE243" s="2" t="s">
        <v>38</v>
      </c>
      <c r="HF243" s="2" t="s">
        <v>91</v>
      </c>
      <c r="HG243" s="2"/>
      <c r="HH243" s="2"/>
      <c r="HI243" s="2"/>
      <c r="HJ243" s="2"/>
      <c r="HK243" s="2"/>
      <c r="HL243" s="2"/>
      <c r="HM243" s="2" t="s">
        <v>35</v>
      </c>
      <c r="HN243" s="2" t="s">
        <v>3</v>
      </c>
      <c r="HO243" s="2" t="s">
        <v>3</v>
      </c>
      <c r="HP243" s="2" t="s">
        <v>3</v>
      </c>
      <c r="HQ243" s="2" t="s">
        <v>3</v>
      </c>
      <c r="HR243" s="2"/>
      <c r="HS243" s="2">
        <v>0</v>
      </c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>
        <v>0</v>
      </c>
      <c r="IL243" s="2"/>
      <c r="IM243" s="2"/>
      <c r="IN243" s="2"/>
      <c r="IO243" s="2"/>
      <c r="IP243" s="2"/>
      <c r="IQ243" s="2"/>
      <c r="IR243" s="2"/>
      <c r="IS243" s="2"/>
      <c r="IT243" s="2"/>
      <c r="IU243" s="2"/>
    </row>
    <row r="244" spans="1:255" x14ac:dyDescent="0.2">
      <c r="A244" s="3">
        <v>18</v>
      </c>
      <c r="B244" s="3">
        <v>1</v>
      </c>
      <c r="C244" s="3">
        <v>620</v>
      </c>
      <c r="E244" s="3" t="s">
        <v>436</v>
      </c>
      <c r="F244" s="3" t="s">
        <v>437</v>
      </c>
      <c r="G244" s="3" t="s">
        <v>438</v>
      </c>
      <c r="H244" s="3" t="s">
        <v>99</v>
      </c>
      <c r="I244" s="3">
        <f>I242*J244</f>
        <v>1</v>
      </c>
      <c r="J244" s="3">
        <v>1</v>
      </c>
      <c r="K244" s="3">
        <v>1</v>
      </c>
      <c r="O244" s="3">
        <f t="shared" si="276"/>
        <v>13618.2</v>
      </c>
      <c r="P244" s="3">
        <f>ROUND((ROUND((AC244*I244),2)*BC244),2)</f>
        <v>13618.2</v>
      </c>
      <c r="Q244" s="3">
        <f t="shared" si="301"/>
        <v>0</v>
      </c>
      <c r="R244" s="3">
        <f t="shared" si="302"/>
        <v>0</v>
      </c>
      <c r="S244" s="3">
        <f t="shared" si="278"/>
        <v>0</v>
      </c>
      <c r="T244" s="3">
        <f t="shared" si="279"/>
        <v>0</v>
      </c>
      <c r="U244" s="3">
        <f t="shared" si="280"/>
        <v>0</v>
      </c>
      <c r="V244" s="3">
        <f t="shared" si="281"/>
        <v>0</v>
      </c>
      <c r="W244" s="3">
        <f t="shared" si="282"/>
        <v>0</v>
      </c>
      <c r="X244" s="3">
        <f t="shared" si="303"/>
        <v>0</v>
      </c>
      <c r="Y244" s="3">
        <f t="shared" si="304"/>
        <v>0</v>
      </c>
      <c r="AA244" s="3">
        <v>85739207</v>
      </c>
      <c r="AB244" s="3">
        <f t="shared" si="283"/>
        <v>1798.97</v>
      </c>
      <c r="AC244" s="3">
        <f t="shared" si="305"/>
        <v>1798.97</v>
      </c>
      <c r="AD244" s="3">
        <f t="shared" si="306"/>
        <v>0</v>
      </c>
      <c r="AE244" s="3">
        <f t="shared" si="307"/>
        <v>0</v>
      </c>
      <c r="AF244" s="3">
        <f t="shared" si="307"/>
        <v>0</v>
      </c>
      <c r="AG244" s="3">
        <f t="shared" si="284"/>
        <v>0</v>
      </c>
      <c r="AH244" s="3">
        <f t="shared" si="308"/>
        <v>0</v>
      </c>
      <c r="AI244" s="3">
        <f t="shared" si="308"/>
        <v>0</v>
      </c>
      <c r="AJ244" s="3">
        <f t="shared" si="285"/>
        <v>0</v>
      </c>
      <c r="AK244" s="3">
        <v>1798.9699999999998</v>
      </c>
      <c r="AL244" s="3">
        <v>1798.9699999999998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1</v>
      </c>
      <c r="AW244" s="3">
        <v>1</v>
      </c>
      <c r="AZ244" s="3">
        <v>1</v>
      </c>
      <c r="BA244" s="3">
        <v>1</v>
      </c>
      <c r="BB244" s="3">
        <v>1</v>
      </c>
      <c r="BC244" s="3">
        <v>7.57</v>
      </c>
      <c r="BD244" s="3" t="s">
        <v>3</v>
      </c>
      <c r="BE244" s="3" t="s">
        <v>3</v>
      </c>
      <c r="BF244" s="3" t="s">
        <v>3</v>
      </c>
      <c r="BG244" s="3" t="s">
        <v>3</v>
      </c>
      <c r="BH244" s="3">
        <v>3</v>
      </c>
      <c r="BI244" s="3">
        <v>3</v>
      </c>
      <c r="BJ244" s="3" t="s">
        <v>3</v>
      </c>
      <c r="BM244" s="3">
        <v>746</v>
      </c>
      <c r="BN244" s="3">
        <v>0</v>
      </c>
      <c r="BO244" s="3" t="s">
        <v>3</v>
      </c>
      <c r="BP244" s="3">
        <v>0</v>
      </c>
      <c r="BQ244" s="3">
        <v>130</v>
      </c>
      <c r="BR244" s="3">
        <v>0</v>
      </c>
      <c r="BS244" s="3">
        <v>1</v>
      </c>
      <c r="BT244" s="3">
        <v>1</v>
      </c>
      <c r="BU244" s="3">
        <v>1</v>
      </c>
      <c r="BV244" s="3">
        <v>1</v>
      </c>
      <c r="BW244" s="3">
        <v>1</v>
      </c>
      <c r="BX244" s="3">
        <v>1</v>
      </c>
      <c r="BY244" s="3" t="s">
        <v>3</v>
      </c>
      <c r="BZ244" s="3">
        <v>90</v>
      </c>
      <c r="CA244" s="3">
        <v>46</v>
      </c>
      <c r="CB244" s="3" t="s">
        <v>3</v>
      </c>
      <c r="CE244" s="3">
        <v>1566</v>
      </c>
      <c r="CF244" s="3">
        <v>0</v>
      </c>
      <c r="CG244" s="3">
        <v>0</v>
      </c>
      <c r="CM244" s="3">
        <v>0</v>
      </c>
      <c r="CN244" s="3" t="s">
        <v>679</v>
      </c>
      <c r="CO244" s="3">
        <v>0</v>
      </c>
      <c r="CP244" s="3">
        <f t="shared" si="286"/>
        <v>13618.2</v>
      </c>
      <c r="CQ244" s="3">
        <f>ROUND((ROUND((AC244*1),2)*BC244),2)</f>
        <v>13618.2</v>
      </c>
      <c r="CR244" s="3">
        <f t="shared" si="309"/>
        <v>0</v>
      </c>
      <c r="CS244" s="3">
        <f t="shared" si="310"/>
        <v>0</v>
      </c>
      <c r="CT244" s="3">
        <f t="shared" si="288"/>
        <v>0</v>
      </c>
      <c r="CU244" s="3">
        <f t="shared" si="289"/>
        <v>0</v>
      </c>
      <c r="CV244" s="3">
        <f t="shared" si="290"/>
        <v>0</v>
      </c>
      <c r="CW244" s="3">
        <f t="shared" si="291"/>
        <v>0</v>
      </c>
      <c r="CX244" s="3">
        <f t="shared" si="292"/>
        <v>0</v>
      </c>
      <c r="CY244" s="3">
        <f t="shared" si="311"/>
        <v>0</v>
      </c>
      <c r="CZ244" s="3">
        <f t="shared" si="312"/>
        <v>0</v>
      </c>
      <c r="DC244" s="3" t="s">
        <v>3</v>
      </c>
      <c r="DD244" s="3" t="s">
        <v>3</v>
      </c>
      <c r="DE244" s="3" t="s">
        <v>3</v>
      </c>
      <c r="DF244" s="3" t="s">
        <v>3</v>
      </c>
      <c r="DG244" s="3" t="s">
        <v>3</v>
      </c>
      <c r="DH244" s="3" t="s">
        <v>3</v>
      </c>
      <c r="DI244" s="3" t="s">
        <v>3</v>
      </c>
      <c r="DJ244" s="3" t="s">
        <v>3</v>
      </c>
      <c r="DK244" s="3" t="s">
        <v>3</v>
      </c>
      <c r="DL244" s="3" t="s">
        <v>3</v>
      </c>
      <c r="DM244" s="3" t="s">
        <v>3</v>
      </c>
      <c r="DN244" s="3">
        <v>0</v>
      </c>
      <c r="DO244" s="3">
        <v>0</v>
      </c>
      <c r="DP244" s="3">
        <v>1</v>
      </c>
      <c r="DQ244" s="3">
        <v>1</v>
      </c>
      <c r="DU244" s="3">
        <v>1010</v>
      </c>
      <c r="DV244" s="3" t="s">
        <v>99</v>
      </c>
      <c r="DW244" s="3" t="s">
        <v>99</v>
      </c>
      <c r="DX244" s="3">
        <v>1</v>
      </c>
      <c r="DZ244" s="3" t="s">
        <v>3</v>
      </c>
      <c r="EA244" s="3" t="s">
        <v>3</v>
      </c>
      <c r="EB244" s="3" t="s">
        <v>3</v>
      </c>
      <c r="EC244" s="3" t="s">
        <v>3</v>
      </c>
      <c r="EE244" s="3">
        <v>85133523</v>
      </c>
      <c r="EF244" s="3">
        <v>130</v>
      </c>
      <c r="EG244" s="3" t="s">
        <v>86</v>
      </c>
      <c r="EH244" s="3">
        <v>0</v>
      </c>
      <c r="EI244" s="3" t="s">
        <v>3</v>
      </c>
      <c r="EJ244" s="3">
        <v>3</v>
      </c>
      <c r="EK244" s="3">
        <v>746</v>
      </c>
      <c r="EL244" s="3" t="s">
        <v>87</v>
      </c>
      <c r="EM244" s="3" t="s">
        <v>88</v>
      </c>
      <c r="EO244" s="3" t="s">
        <v>37</v>
      </c>
      <c r="EQ244" s="3">
        <v>2097152</v>
      </c>
      <c r="ER244" s="3">
        <v>1354.27</v>
      </c>
      <c r="ES244" s="3">
        <v>1798.9699999999998</v>
      </c>
      <c r="ET244" s="3">
        <v>0</v>
      </c>
      <c r="EU244" s="3">
        <v>0</v>
      </c>
      <c r="EV244" s="3">
        <v>0</v>
      </c>
      <c r="EW244" s="3">
        <v>0</v>
      </c>
      <c r="EX244" s="3">
        <v>0</v>
      </c>
      <c r="EZ244" s="3">
        <v>5</v>
      </c>
      <c r="FC244" s="3">
        <v>1</v>
      </c>
      <c r="FD244" s="3">
        <v>18</v>
      </c>
      <c r="FF244" s="3">
        <v>15939</v>
      </c>
      <c r="FQ244" s="3">
        <v>0</v>
      </c>
      <c r="FR244" s="3">
        <f>P244</f>
        <v>13618.2</v>
      </c>
      <c r="FS244" s="3">
        <v>0</v>
      </c>
      <c r="FX244" s="3">
        <v>90</v>
      </c>
      <c r="FY244" s="3">
        <v>46</v>
      </c>
      <c r="GA244" s="3" t="s">
        <v>439</v>
      </c>
      <c r="GD244" s="3">
        <v>1</v>
      </c>
      <c r="GF244" s="3">
        <v>-1856623460</v>
      </c>
      <c r="GG244" s="3">
        <v>2</v>
      </c>
      <c r="GH244" s="3">
        <v>3</v>
      </c>
      <c r="GI244" s="3">
        <v>5</v>
      </c>
      <c r="GJ244" s="3">
        <v>0</v>
      </c>
      <c r="GK244" s="3">
        <v>0</v>
      </c>
      <c r="GL244" s="3">
        <f t="shared" si="293"/>
        <v>0</v>
      </c>
      <c r="GM244" s="3">
        <f t="shared" si="294"/>
        <v>13618.2</v>
      </c>
      <c r="GN244" s="3">
        <f t="shared" si="295"/>
        <v>0</v>
      </c>
      <c r="GO244" s="3">
        <f t="shared" si="296"/>
        <v>0</v>
      </c>
      <c r="GP244" s="3">
        <f t="shared" si="297"/>
        <v>0</v>
      </c>
      <c r="GR244" s="3">
        <v>1</v>
      </c>
      <c r="GS244" s="3">
        <v>1</v>
      </c>
      <c r="GT244" s="3">
        <v>0</v>
      </c>
      <c r="GU244" s="3" t="s">
        <v>3</v>
      </c>
      <c r="GV244" s="3">
        <f t="shared" si="298"/>
        <v>0</v>
      </c>
      <c r="GW244" s="3">
        <v>1</v>
      </c>
      <c r="GX244" s="3">
        <f t="shared" si="299"/>
        <v>0</v>
      </c>
      <c r="HA244" s="3">
        <v>0</v>
      </c>
      <c r="HB244" s="3">
        <v>0</v>
      </c>
      <c r="HC244" s="3">
        <f t="shared" si="300"/>
        <v>0</v>
      </c>
      <c r="HE244" s="3" t="s">
        <v>38</v>
      </c>
      <c r="HF244" s="3" t="s">
        <v>91</v>
      </c>
      <c r="HM244" s="3" t="s">
        <v>35</v>
      </c>
      <c r="HN244" s="3" t="s">
        <v>3</v>
      </c>
      <c r="HO244" s="3" t="s">
        <v>3</v>
      </c>
      <c r="HP244" s="3" t="s">
        <v>3</v>
      </c>
      <c r="HQ244" s="3" t="s">
        <v>3</v>
      </c>
      <c r="HS244" s="3">
        <v>0</v>
      </c>
      <c r="IK244" s="3">
        <v>0</v>
      </c>
    </row>
    <row r="245" spans="1:255" x14ac:dyDescent="0.2">
      <c r="A245" s="2">
        <v>17</v>
      </c>
      <c r="B245" s="2">
        <v>1</v>
      </c>
      <c r="C245" s="2"/>
      <c r="D245" s="2"/>
      <c r="E245" s="2" t="s">
        <v>440</v>
      </c>
      <c r="F245" s="2" t="s">
        <v>226</v>
      </c>
      <c r="G245" s="2" t="s">
        <v>227</v>
      </c>
      <c r="H245" s="2" t="s">
        <v>99</v>
      </c>
      <c r="I245" s="2">
        <v>90</v>
      </c>
      <c r="J245" s="2">
        <v>0</v>
      </c>
      <c r="K245" s="2">
        <v>90</v>
      </c>
      <c r="L245" s="2"/>
      <c r="M245" s="2"/>
      <c r="N245" s="2"/>
      <c r="O245" s="2">
        <f t="shared" si="276"/>
        <v>582.29999999999995</v>
      </c>
      <c r="P245" s="2">
        <f t="shared" ref="P245:P254" si="313">ROUND((ROUND((AC245*AW245*I245),2)*BC245),2)</f>
        <v>582.29999999999995</v>
      </c>
      <c r="Q245" s="2">
        <f t="shared" si="301"/>
        <v>0</v>
      </c>
      <c r="R245" s="2">
        <f t="shared" si="302"/>
        <v>0</v>
      </c>
      <c r="S245" s="2">
        <f t="shared" si="278"/>
        <v>0</v>
      </c>
      <c r="T245" s="2">
        <f t="shared" si="279"/>
        <v>0</v>
      </c>
      <c r="U245" s="2">
        <f t="shared" si="280"/>
        <v>0</v>
      </c>
      <c r="V245" s="2">
        <f t="shared" si="281"/>
        <v>0</v>
      </c>
      <c r="W245" s="2">
        <f t="shared" si="282"/>
        <v>0</v>
      </c>
      <c r="X245" s="2">
        <f t="shared" si="303"/>
        <v>0</v>
      </c>
      <c r="Y245" s="2">
        <f t="shared" si="304"/>
        <v>0</v>
      </c>
      <c r="Z245" s="2"/>
      <c r="AA245" s="2">
        <v>85739205</v>
      </c>
      <c r="AB245" s="2">
        <f t="shared" si="283"/>
        <v>6.47</v>
      </c>
      <c r="AC245" s="2">
        <f t="shared" si="305"/>
        <v>6.47</v>
      </c>
      <c r="AD245" s="2">
        <f t="shared" si="306"/>
        <v>0</v>
      </c>
      <c r="AE245" s="2">
        <f t="shared" si="307"/>
        <v>0</v>
      </c>
      <c r="AF245" s="2">
        <f t="shared" si="307"/>
        <v>0</v>
      </c>
      <c r="AG245" s="2">
        <f t="shared" si="284"/>
        <v>0</v>
      </c>
      <c r="AH245" s="2">
        <f t="shared" si="308"/>
        <v>0</v>
      </c>
      <c r="AI245" s="2">
        <f t="shared" si="308"/>
        <v>0</v>
      </c>
      <c r="AJ245" s="2">
        <f t="shared" si="285"/>
        <v>0</v>
      </c>
      <c r="AK245" s="2">
        <v>6.47</v>
      </c>
      <c r="AL245" s="2">
        <v>6.47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1</v>
      </c>
      <c r="AW245" s="2">
        <v>1</v>
      </c>
      <c r="AX245" s="2"/>
      <c r="AY245" s="2"/>
      <c r="AZ245" s="2">
        <v>1</v>
      </c>
      <c r="BA245" s="2">
        <v>1</v>
      </c>
      <c r="BB245" s="2">
        <v>1</v>
      </c>
      <c r="BC245" s="2">
        <v>1</v>
      </c>
      <c r="BD245" s="2" t="s">
        <v>3</v>
      </c>
      <c r="BE245" s="2" t="s">
        <v>3</v>
      </c>
      <c r="BF245" s="2" t="s">
        <v>3</v>
      </c>
      <c r="BG245" s="2" t="s">
        <v>3</v>
      </c>
      <c r="BH245" s="2">
        <v>3</v>
      </c>
      <c r="BI245" s="2">
        <v>1</v>
      </c>
      <c r="BJ245" s="2" t="s">
        <v>228</v>
      </c>
      <c r="BK245" s="2"/>
      <c r="BL245" s="2"/>
      <c r="BM245" s="2">
        <v>1617</v>
      </c>
      <c r="BN245" s="2">
        <v>0</v>
      </c>
      <c r="BO245" s="2" t="s">
        <v>3</v>
      </c>
      <c r="BP245" s="2">
        <v>0</v>
      </c>
      <c r="BQ245" s="2">
        <v>200</v>
      </c>
      <c r="BR245" s="2">
        <v>0</v>
      </c>
      <c r="BS245" s="2">
        <v>1</v>
      </c>
      <c r="BT245" s="2">
        <v>1</v>
      </c>
      <c r="BU245" s="2">
        <v>1</v>
      </c>
      <c r="BV245" s="2">
        <v>1</v>
      </c>
      <c r="BW245" s="2">
        <v>1</v>
      </c>
      <c r="BX245" s="2">
        <v>1</v>
      </c>
      <c r="BY245" s="2" t="s">
        <v>3</v>
      </c>
      <c r="BZ245" s="2">
        <v>0</v>
      </c>
      <c r="CA245" s="2">
        <v>0</v>
      </c>
      <c r="CB245" s="2" t="s">
        <v>3</v>
      </c>
      <c r="CC245" s="2"/>
      <c r="CD245" s="2"/>
      <c r="CE245" s="2">
        <v>1566</v>
      </c>
      <c r="CF245" s="2">
        <v>0</v>
      </c>
      <c r="CG245" s="2">
        <v>0</v>
      </c>
      <c r="CH245" s="2"/>
      <c r="CI245" s="2"/>
      <c r="CJ245" s="2"/>
      <c r="CK245" s="2"/>
      <c r="CL245" s="2"/>
      <c r="CM245" s="2">
        <v>0</v>
      </c>
      <c r="CN245" s="2" t="s">
        <v>3</v>
      </c>
      <c r="CO245" s="2">
        <v>0</v>
      </c>
      <c r="CP245" s="2">
        <f t="shared" si="286"/>
        <v>582.29999999999995</v>
      </c>
      <c r="CQ245" s="2">
        <f t="shared" ref="CQ245:CQ254" si="314">ROUND((ROUND((AC245*AW245*1),2)*BC245),2)</f>
        <v>6.47</v>
      </c>
      <c r="CR245" s="2">
        <f t="shared" si="309"/>
        <v>0</v>
      </c>
      <c r="CS245" s="2">
        <f t="shared" si="310"/>
        <v>0</v>
      </c>
      <c r="CT245" s="2">
        <f t="shared" si="288"/>
        <v>0</v>
      </c>
      <c r="CU245" s="2">
        <f t="shared" si="289"/>
        <v>0</v>
      </c>
      <c r="CV245" s="2">
        <f t="shared" si="290"/>
        <v>0</v>
      </c>
      <c r="CW245" s="2">
        <f t="shared" si="291"/>
        <v>0</v>
      </c>
      <c r="CX245" s="2">
        <f t="shared" si="292"/>
        <v>0</v>
      </c>
      <c r="CY245" s="2">
        <f t="shared" si="311"/>
        <v>0</v>
      </c>
      <c r="CZ245" s="2">
        <f t="shared" si="312"/>
        <v>0</v>
      </c>
      <c r="DA245" s="2"/>
      <c r="DB245" s="2"/>
      <c r="DC245" s="2" t="s">
        <v>3</v>
      </c>
      <c r="DD245" s="2" t="s">
        <v>3</v>
      </c>
      <c r="DE245" s="2" t="s">
        <v>3</v>
      </c>
      <c r="DF245" s="2" t="s">
        <v>3</v>
      </c>
      <c r="DG245" s="2" t="s">
        <v>3</v>
      </c>
      <c r="DH245" s="2" t="s">
        <v>3</v>
      </c>
      <c r="DI245" s="2" t="s">
        <v>3</v>
      </c>
      <c r="DJ245" s="2" t="s">
        <v>3</v>
      </c>
      <c r="DK245" s="2" t="s">
        <v>3</v>
      </c>
      <c r="DL245" s="2" t="s">
        <v>3</v>
      </c>
      <c r="DM245" s="2" t="s">
        <v>3</v>
      </c>
      <c r="DN245" s="2">
        <v>0</v>
      </c>
      <c r="DO245" s="2">
        <v>0</v>
      </c>
      <c r="DP245" s="2">
        <v>1</v>
      </c>
      <c r="DQ245" s="2">
        <v>1</v>
      </c>
      <c r="DR245" s="2"/>
      <c r="DS245" s="2"/>
      <c r="DT245" s="2"/>
      <c r="DU245" s="2">
        <v>1010</v>
      </c>
      <c r="DV245" s="2" t="s">
        <v>99</v>
      </c>
      <c r="DW245" s="2" t="s">
        <v>99</v>
      </c>
      <c r="DX245" s="2">
        <v>1</v>
      </c>
      <c r="DY245" s="2"/>
      <c r="DZ245" s="2" t="s">
        <v>3</v>
      </c>
      <c r="EA245" s="2" t="s">
        <v>3</v>
      </c>
      <c r="EB245" s="2" t="s">
        <v>3</v>
      </c>
      <c r="EC245" s="2" t="s">
        <v>3</v>
      </c>
      <c r="ED245" s="2"/>
      <c r="EE245" s="2">
        <v>85133445</v>
      </c>
      <c r="EF245" s="2">
        <v>200</v>
      </c>
      <c r="EG245" s="2" t="s">
        <v>222</v>
      </c>
      <c r="EH245" s="2">
        <v>0</v>
      </c>
      <c r="EI245" s="2" t="s">
        <v>3</v>
      </c>
      <c r="EJ245" s="2">
        <v>1</v>
      </c>
      <c r="EK245" s="2">
        <v>1617</v>
      </c>
      <c r="EL245" s="2" t="s">
        <v>223</v>
      </c>
      <c r="EM245" s="2" t="s">
        <v>224</v>
      </c>
      <c r="EN245" s="2"/>
      <c r="EO245" s="2" t="s">
        <v>3</v>
      </c>
      <c r="EP245" s="2"/>
      <c r="EQ245" s="2">
        <v>0</v>
      </c>
      <c r="ER245" s="2">
        <v>6.47</v>
      </c>
      <c r="ES245" s="2">
        <v>6.47</v>
      </c>
      <c r="ET245" s="2">
        <v>0</v>
      </c>
      <c r="EU245" s="2">
        <v>0</v>
      </c>
      <c r="EV245" s="2">
        <v>0</v>
      </c>
      <c r="EW245" s="2">
        <v>0</v>
      </c>
      <c r="EX245" s="2">
        <v>0</v>
      </c>
      <c r="EY245" s="2">
        <v>0</v>
      </c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>
        <v>0</v>
      </c>
      <c r="FR245" s="2">
        <v>0</v>
      </c>
      <c r="FS245" s="2">
        <v>0</v>
      </c>
      <c r="FT245" s="2"/>
      <c r="FU245" s="2"/>
      <c r="FV245" s="2"/>
      <c r="FW245" s="2"/>
      <c r="FX245" s="2">
        <v>0</v>
      </c>
      <c r="FY245" s="2">
        <v>0</v>
      </c>
      <c r="FZ245" s="2"/>
      <c r="GA245" s="2" t="s">
        <v>3</v>
      </c>
      <c r="GB245" s="2"/>
      <c r="GC245" s="2"/>
      <c r="GD245" s="2">
        <v>1</v>
      </c>
      <c r="GE245" s="2"/>
      <c r="GF245" s="2">
        <v>1651073840</v>
      </c>
      <c r="GG245" s="2">
        <v>2</v>
      </c>
      <c r="GH245" s="2">
        <v>1</v>
      </c>
      <c r="GI245" s="2">
        <v>-2</v>
      </c>
      <c r="GJ245" s="2">
        <v>0</v>
      </c>
      <c r="GK245" s="2">
        <v>0</v>
      </c>
      <c r="GL245" s="2">
        <f t="shared" si="293"/>
        <v>0</v>
      </c>
      <c r="GM245" s="2">
        <f t="shared" si="294"/>
        <v>582.29999999999995</v>
      </c>
      <c r="GN245" s="2">
        <f t="shared" si="295"/>
        <v>582.29999999999995</v>
      </c>
      <c r="GO245" s="2">
        <f t="shared" si="296"/>
        <v>0</v>
      </c>
      <c r="GP245" s="2">
        <f t="shared" si="297"/>
        <v>0</v>
      </c>
      <c r="GQ245" s="2"/>
      <c r="GR245" s="2">
        <v>0</v>
      </c>
      <c r="GS245" s="2">
        <v>3</v>
      </c>
      <c r="GT245" s="2">
        <v>0</v>
      </c>
      <c r="GU245" s="2" t="s">
        <v>3</v>
      </c>
      <c r="GV245" s="2">
        <f t="shared" si="298"/>
        <v>0</v>
      </c>
      <c r="GW245" s="2">
        <v>1</v>
      </c>
      <c r="GX245" s="2">
        <f t="shared" si="299"/>
        <v>0</v>
      </c>
      <c r="GY245" s="2"/>
      <c r="GZ245" s="2"/>
      <c r="HA245" s="2">
        <v>0</v>
      </c>
      <c r="HB245" s="2">
        <v>0</v>
      </c>
      <c r="HC245" s="2">
        <f t="shared" si="300"/>
        <v>0</v>
      </c>
      <c r="HD245" s="2"/>
      <c r="HE245" s="2" t="s">
        <v>3</v>
      </c>
      <c r="HF245" s="2" t="s">
        <v>3</v>
      </c>
      <c r="HG245" s="2"/>
      <c r="HH245" s="2"/>
      <c r="HI245" s="2"/>
      <c r="HJ245" s="2"/>
      <c r="HK245" s="2"/>
      <c r="HL245" s="2"/>
      <c r="HM245" s="2" t="s">
        <v>3</v>
      </c>
      <c r="HN245" s="2" t="s">
        <v>3</v>
      </c>
      <c r="HO245" s="2" t="s">
        <v>3</v>
      </c>
      <c r="HP245" s="2" t="s">
        <v>3</v>
      </c>
      <c r="HQ245" s="2" t="s">
        <v>3</v>
      </c>
      <c r="HR245" s="2"/>
      <c r="HS245" s="2">
        <v>0</v>
      </c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>
        <v>0</v>
      </c>
      <c r="IL245" s="2"/>
      <c r="IM245" s="2"/>
      <c r="IN245" s="2"/>
      <c r="IO245" s="2"/>
      <c r="IP245" s="2"/>
      <c r="IQ245" s="2"/>
      <c r="IR245" s="2"/>
      <c r="IS245" s="2"/>
      <c r="IT245" s="2"/>
      <c r="IU245" s="2"/>
    </row>
    <row r="246" spans="1:255" x14ac:dyDescent="0.2">
      <c r="A246" s="3">
        <v>17</v>
      </c>
      <c r="B246" s="3">
        <v>1</v>
      </c>
      <c r="E246" s="3" t="s">
        <v>440</v>
      </c>
      <c r="F246" s="3" t="s">
        <v>226</v>
      </c>
      <c r="G246" s="3" t="s">
        <v>227</v>
      </c>
      <c r="H246" s="3" t="s">
        <v>99</v>
      </c>
      <c r="I246" s="3">
        <v>90</v>
      </c>
      <c r="J246" s="3">
        <v>0</v>
      </c>
      <c r="K246" s="3">
        <v>90</v>
      </c>
      <c r="O246" s="3">
        <f t="shared" si="276"/>
        <v>6574.17</v>
      </c>
      <c r="P246" s="3">
        <f t="shared" si="313"/>
        <v>6574.17</v>
      </c>
      <c r="Q246" s="3">
        <f t="shared" si="301"/>
        <v>0</v>
      </c>
      <c r="R246" s="3">
        <f t="shared" si="302"/>
        <v>0</v>
      </c>
      <c r="S246" s="3">
        <f t="shared" si="278"/>
        <v>0</v>
      </c>
      <c r="T246" s="3">
        <f t="shared" si="279"/>
        <v>0</v>
      </c>
      <c r="U246" s="3">
        <f t="shared" si="280"/>
        <v>0</v>
      </c>
      <c r="V246" s="3">
        <f t="shared" si="281"/>
        <v>0</v>
      </c>
      <c r="W246" s="3">
        <f t="shared" si="282"/>
        <v>0</v>
      </c>
      <c r="X246" s="3">
        <f t="shared" si="303"/>
        <v>0</v>
      </c>
      <c r="Y246" s="3">
        <f t="shared" si="304"/>
        <v>0</v>
      </c>
      <c r="AA246" s="3">
        <v>85739207</v>
      </c>
      <c r="AB246" s="3">
        <f t="shared" si="283"/>
        <v>6.47</v>
      </c>
      <c r="AC246" s="3">
        <f t="shared" si="305"/>
        <v>6.47</v>
      </c>
      <c r="AD246" s="3">
        <f t="shared" si="306"/>
        <v>0</v>
      </c>
      <c r="AE246" s="3">
        <f t="shared" si="307"/>
        <v>0</v>
      </c>
      <c r="AF246" s="3">
        <f t="shared" si="307"/>
        <v>0</v>
      </c>
      <c r="AG246" s="3">
        <f t="shared" si="284"/>
        <v>0</v>
      </c>
      <c r="AH246" s="3">
        <f t="shared" si="308"/>
        <v>0</v>
      </c>
      <c r="AI246" s="3">
        <f t="shared" si="308"/>
        <v>0</v>
      </c>
      <c r="AJ246" s="3">
        <f t="shared" si="285"/>
        <v>0</v>
      </c>
      <c r="AK246" s="3">
        <v>6.47</v>
      </c>
      <c r="AL246" s="3">
        <v>6.47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1</v>
      </c>
      <c r="AW246" s="3">
        <v>1</v>
      </c>
      <c r="AZ246" s="3">
        <v>1</v>
      </c>
      <c r="BA246" s="3">
        <v>1</v>
      </c>
      <c r="BB246" s="3">
        <v>1</v>
      </c>
      <c r="BC246" s="3">
        <v>11.29</v>
      </c>
      <c r="BD246" s="3" t="s">
        <v>3</v>
      </c>
      <c r="BE246" s="3" t="s">
        <v>3</v>
      </c>
      <c r="BF246" s="3" t="s">
        <v>3</v>
      </c>
      <c r="BG246" s="3" t="s">
        <v>3</v>
      </c>
      <c r="BH246" s="3">
        <v>3</v>
      </c>
      <c r="BI246" s="3">
        <v>1</v>
      </c>
      <c r="BJ246" s="3" t="s">
        <v>228</v>
      </c>
      <c r="BM246" s="3">
        <v>1617</v>
      </c>
      <c r="BN246" s="3">
        <v>0</v>
      </c>
      <c r="BO246" s="3" t="s">
        <v>226</v>
      </c>
      <c r="BP246" s="3">
        <v>1</v>
      </c>
      <c r="BQ246" s="3">
        <v>200</v>
      </c>
      <c r="BR246" s="3">
        <v>0</v>
      </c>
      <c r="BS246" s="3">
        <v>1</v>
      </c>
      <c r="BT246" s="3">
        <v>1</v>
      </c>
      <c r="BU246" s="3">
        <v>1</v>
      </c>
      <c r="BV246" s="3">
        <v>1</v>
      </c>
      <c r="BW246" s="3">
        <v>1</v>
      </c>
      <c r="BX246" s="3">
        <v>1</v>
      </c>
      <c r="BY246" s="3" t="s">
        <v>3</v>
      </c>
      <c r="BZ246" s="3">
        <v>0</v>
      </c>
      <c r="CA246" s="3">
        <v>0</v>
      </c>
      <c r="CB246" s="3" t="s">
        <v>3</v>
      </c>
      <c r="CE246" s="3">
        <v>1566</v>
      </c>
      <c r="CF246" s="3">
        <v>0</v>
      </c>
      <c r="CG246" s="3">
        <v>0</v>
      </c>
      <c r="CM246" s="3">
        <v>0</v>
      </c>
      <c r="CN246" s="3" t="s">
        <v>3</v>
      </c>
      <c r="CO246" s="3">
        <v>0</v>
      </c>
      <c r="CP246" s="3">
        <f t="shared" si="286"/>
        <v>6574.17</v>
      </c>
      <c r="CQ246" s="3">
        <f t="shared" si="314"/>
        <v>73.05</v>
      </c>
      <c r="CR246" s="3">
        <f t="shared" si="309"/>
        <v>0</v>
      </c>
      <c r="CS246" s="3">
        <f t="shared" si="310"/>
        <v>0</v>
      </c>
      <c r="CT246" s="3">
        <f t="shared" si="288"/>
        <v>0</v>
      </c>
      <c r="CU246" s="3">
        <f t="shared" si="289"/>
        <v>0</v>
      </c>
      <c r="CV246" s="3">
        <f t="shared" si="290"/>
        <v>0</v>
      </c>
      <c r="CW246" s="3">
        <f t="shared" si="291"/>
        <v>0</v>
      </c>
      <c r="CX246" s="3">
        <f t="shared" si="292"/>
        <v>0</v>
      </c>
      <c r="CY246" s="3">
        <f t="shared" si="311"/>
        <v>0</v>
      </c>
      <c r="CZ246" s="3">
        <f t="shared" si="312"/>
        <v>0</v>
      </c>
      <c r="DC246" s="3" t="s">
        <v>3</v>
      </c>
      <c r="DD246" s="3" t="s">
        <v>3</v>
      </c>
      <c r="DE246" s="3" t="s">
        <v>3</v>
      </c>
      <c r="DF246" s="3" t="s">
        <v>3</v>
      </c>
      <c r="DG246" s="3" t="s">
        <v>3</v>
      </c>
      <c r="DH246" s="3" t="s">
        <v>3</v>
      </c>
      <c r="DI246" s="3" t="s">
        <v>3</v>
      </c>
      <c r="DJ246" s="3" t="s">
        <v>3</v>
      </c>
      <c r="DK246" s="3" t="s">
        <v>3</v>
      </c>
      <c r="DL246" s="3" t="s">
        <v>3</v>
      </c>
      <c r="DM246" s="3" t="s">
        <v>3</v>
      </c>
      <c r="DN246" s="3">
        <v>0</v>
      </c>
      <c r="DO246" s="3">
        <v>0</v>
      </c>
      <c r="DP246" s="3">
        <v>1</v>
      </c>
      <c r="DQ246" s="3">
        <v>1</v>
      </c>
      <c r="DU246" s="3">
        <v>1010</v>
      </c>
      <c r="DV246" s="3" t="s">
        <v>99</v>
      </c>
      <c r="DW246" s="3" t="s">
        <v>99</v>
      </c>
      <c r="DX246" s="3">
        <v>1</v>
      </c>
      <c r="DZ246" s="3" t="s">
        <v>3</v>
      </c>
      <c r="EA246" s="3" t="s">
        <v>3</v>
      </c>
      <c r="EB246" s="3" t="s">
        <v>3</v>
      </c>
      <c r="EC246" s="3" t="s">
        <v>3</v>
      </c>
      <c r="EE246" s="3">
        <v>85133445</v>
      </c>
      <c r="EF246" s="3">
        <v>200</v>
      </c>
      <c r="EG246" s="3" t="s">
        <v>222</v>
      </c>
      <c r="EH246" s="3">
        <v>0</v>
      </c>
      <c r="EI246" s="3" t="s">
        <v>3</v>
      </c>
      <c r="EJ246" s="3">
        <v>1</v>
      </c>
      <c r="EK246" s="3">
        <v>1617</v>
      </c>
      <c r="EL246" s="3" t="s">
        <v>223</v>
      </c>
      <c r="EM246" s="3" t="s">
        <v>224</v>
      </c>
      <c r="EO246" s="3" t="s">
        <v>3</v>
      </c>
      <c r="EQ246" s="3">
        <v>0</v>
      </c>
      <c r="ER246" s="3">
        <v>6.47</v>
      </c>
      <c r="ES246" s="3">
        <v>6.47</v>
      </c>
      <c r="ET246" s="3">
        <v>0</v>
      </c>
      <c r="EU246" s="3">
        <v>0</v>
      </c>
      <c r="EV246" s="3">
        <v>0</v>
      </c>
      <c r="EW246" s="3">
        <v>0</v>
      </c>
      <c r="EX246" s="3">
        <v>0</v>
      </c>
      <c r="EY246" s="3">
        <v>0</v>
      </c>
      <c r="FQ246" s="3">
        <v>0</v>
      </c>
      <c r="FR246" s="3">
        <v>0</v>
      </c>
      <c r="FS246" s="3">
        <v>0</v>
      </c>
      <c r="FX246" s="3">
        <v>0</v>
      </c>
      <c r="FY246" s="3">
        <v>0</v>
      </c>
      <c r="GA246" s="3" t="s">
        <v>3</v>
      </c>
      <c r="GD246" s="3">
        <v>1</v>
      </c>
      <c r="GF246" s="3">
        <v>1651073840</v>
      </c>
      <c r="GG246" s="3">
        <v>2</v>
      </c>
      <c r="GH246" s="3">
        <v>1</v>
      </c>
      <c r="GI246" s="3">
        <v>2</v>
      </c>
      <c r="GJ246" s="3">
        <v>0</v>
      </c>
      <c r="GK246" s="3">
        <v>0</v>
      </c>
      <c r="GL246" s="3">
        <f t="shared" si="293"/>
        <v>0</v>
      </c>
      <c r="GM246" s="3">
        <f t="shared" si="294"/>
        <v>6574.17</v>
      </c>
      <c r="GN246" s="3">
        <f t="shared" si="295"/>
        <v>6574.17</v>
      </c>
      <c r="GO246" s="3">
        <f t="shared" si="296"/>
        <v>0</v>
      </c>
      <c r="GP246" s="3">
        <f t="shared" si="297"/>
        <v>0</v>
      </c>
      <c r="GR246" s="3">
        <v>0</v>
      </c>
      <c r="GS246" s="3">
        <v>3</v>
      </c>
      <c r="GT246" s="3">
        <v>0</v>
      </c>
      <c r="GU246" s="3" t="s">
        <v>3</v>
      </c>
      <c r="GV246" s="3">
        <f t="shared" si="298"/>
        <v>0</v>
      </c>
      <c r="GW246" s="3">
        <v>1</v>
      </c>
      <c r="GX246" s="3">
        <f t="shared" si="299"/>
        <v>0</v>
      </c>
      <c r="HA246" s="3">
        <v>0</v>
      </c>
      <c r="HB246" s="3">
        <v>0</v>
      </c>
      <c r="HC246" s="3">
        <f t="shared" si="300"/>
        <v>0</v>
      </c>
      <c r="HE246" s="3" t="s">
        <v>3</v>
      </c>
      <c r="HF246" s="3" t="s">
        <v>3</v>
      </c>
      <c r="HM246" s="3" t="s">
        <v>3</v>
      </c>
      <c r="HN246" s="3" t="s">
        <v>3</v>
      </c>
      <c r="HO246" s="3" t="s">
        <v>3</v>
      </c>
      <c r="HP246" s="3" t="s">
        <v>3</v>
      </c>
      <c r="HQ246" s="3" t="s">
        <v>3</v>
      </c>
      <c r="HS246" s="3">
        <v>0</v>
      </c>
      <c r="IK246" s="3">
        <v>0</v>
      </c>
    </row>
    <row r="247" spans="1:255" x14ac:dyDescent="0.2">
      <c r="A247" s="2">
        <v>17</v>
      </c>
      <c r="B247" s="2">
        <v>1</v>
      </c>
      <c r="C247" s="2"/>
      <c r="D247" s="2"/>
      <c r="E247" s="2" t="s">
        <v>441</v>
      </c>
      <c r="F247" s="2" t="s">
        <v>442</v>
      </c>
      <c r="G247" s="2" t="s">
        <v>443</v>
      </c>
      <c r="H247" s="2" t="s">
        <v>99</v>
      </c>
      <c r="I247" s="2">
        <v>430</v>
      </c>
      <c r="J247" s="2">
        <v>0</v>
      </c>
      <c r="K247" s="2">
        <v>430</v>
      </c>
      <c r="L247" s="2"/>
      <c r="M247" s="2"/>
      <c r="N247" s="2"/>
      <c r="O247" s="2">
        <f t="shared" si="276"/>
        <v>709.5</v>
      </c>
      <c r="P247" s="2">
        <f t="shared" si="313"/>
        <v>709.5</v>
      </c>
      <c r="Q247" s="2">
        <f t="shared" si="301"/>
        <v>0</v>
      </c>
      <c r="R247" s="2">
        <f t="shared" si="302"/>
        <v>0</v>
      </c>
      <c r="S247" s="2">
        <f t="shared" si="278"/>
        <v>0</v>
      </c>
      <c r="T247" s="2">
        <f t="shared" si="279"/>
        <v>0</v>
      </c>
      <c r="U247" s="2">
        <f t="shared" si="280"/>
        <v>0</v>
      </c>
      <c r="V247" s="2">
        <f t="shared" si="281"/>
        <v>0</v>
      </c>
      <c r="W247" s="2">
        <f t="shared" si="282"/>
        <v>0</v>
      </c>
      <c r="X247" s="2">
        <f t="shared" si="303"/>
        <v>0</v>
      </c>
      <c r="Y247" s="2">
        <f t="shared" si="304"/>
        <v>0</v>
      </c>
      <c r="Z247" s="2"/>
      <c r="AA247" s="2">
        <v>85739205</v>
      </c>
      <c r="AB247" s="2">
        <f t="shared" si="283"/>
        <v>1.65</v>
      </c>
      <c r="AC247" s="2">
        <f t="shared" si="305"/>
        <v>1.65</v>
      </c>
      <c r="AD247" s="2">
        <f t="shared" si="306"/>
        <v>0</v>
      </c>
      <c r="AE247" s="2">
        <f t="shared" si="307"/>
        <v>0</v>
      </c>
      <c r="AF247" s="2">
        <f t="shared" si="307"/>
        <v>0</v>
      </c>
      <c r="AG247" s="2">
        <f t="shared" si="284"/>
        <v>0</v>
      </c>
      <c r="AH247" s="2">
        <f t="shared" si="308"/>
        <v>0</v>
      </c>
      <c r="AI247" s="2">
        <f t="shared" si="308"/>
        <v>0</v>
      </c>
      <c r="AJ247" s="2">
        <f t="shared" si="285"/>
        <v>0</v>
      </c>
      <c r="AK247" s="2">
        <v>1.65</v>
      </c>
      <c r="AL247" s="2">
        <v>1.65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1</v>
      </c>
      <c r="AW247" s="2">
        <v>1</v>
      </c>
      <c r="AX247" s="2"/>
      <c r="AY247" s="2"/>
      <c r="AZ247" s="2">
        <v>1</v>
      </c>
      <c r="BA247" s="2">
        <v>1</v>
      </c>
      <c r="BB247" s="2">
        <v>1</v>
      </c>
      <c r="BC247" s="2">
        <v>1</v>
      </c>
      <c r="BD247" s="2" t="s">
        <v>3</v>
      </c>
      <c r="BE247" s="2" t="s">
        <v>3</v>
      </c>
      <c r="BF247" s="2" t="s">
        <v>3</v>
      </c>
      <c r="BG247" s="2" t="s">
        <v>3</v>
      </c>
      <c r="BH247" s="2">
        <v>3</v>
      </c>
      <c r="BI247" s="2">
        <v>1</v>
      </c>
      <c r="BJ247" s="2" t="s">
        <v>444</v>
      </c>
      <c r="BK247" s="2"/>
      <c r="BL247" s="2"/>
      <c r="BM247" s="2">
        <v>1617</v>
      </c>
      <c r="BN247" s="2">
        <v>0</v>
      </c>
      <c r="BO247" s="2" t="s">
        <v>3</v>
      </c>
      <c r="BP247" s="2">
        <v>0</v>
      </c>
      <c r="BQ247" s="2">
        <v>200</v>
      </c>
      <c r="BR247" s="2">
        <v>0</v>
      </c>
      <c r="BS247" s="2">
        <v>1</v>
      </c>
      <c r="BT247" s="2">
        <v>1</v>
      </c>
      <c r="BU247" s="2">
        <v>1</v>
      </c>
      <c r="BV247" s="2">
        <v>1</v>
      </c>
      <c r="BW247" s="2">
        <v>1</v>
      </c>
      <c r="BX247" s="2">
        <v>1</v>
      </c>
      <c r="BY247" s="2" t="s">
        <v>3</v>
      </c>
      <c r="BZ247" s="2">
        <v>0</v>
      </c>
      <c r="CA247" s="2">
        <v>0</v>
      </c>
      <c r="CB247" s="2" t="s">
        <v>3</v>
      </c>
      <c r="CC247" s="2"/>
      <c r="CD247" s="2"/>
      <c r="CE247" s="2">
        <v>1566</v>
      </c>
      <c r="CF247" s="2">
        <v>0</v>
      </c>
      <c r="CG247" s="2">
        <v>0</v>
      </c>
      <c r="CH247" s="2"/>
      <c r="CI247" s="2"/>
      <c r="CJ247" s="2"/>
      <c r="CK247" s="2"/>
      <c r="CL247" s="2"/>
      <c r="CM247" s="2">
        <v>0</v>
      </c>
      <c r="CN247" s="2" t="s">
        <v>3</v>
      </c>
      <c r="CO247" s="2">
        <v>0</v>
      </c>
      <c r="CP247" s="2">
        <f t="shared" si="286"/>
        <v>709.5</v>
      </c>
      <c r="CQ247" s="2">
        <f t="shared" si="314"/>
        <v>1.65</v>
      </c>
      <c r="CR247" s="2">
        <f t="shared" si="309"/>
        <v>0</v>
      </c>
      <c r="CS247" s="2">
        <f t="shared" si="310"/>
        <v>0</v>
      </c>
      <c r="CT247" s="2">
        <f t="shared" si="288"/>
        <v>0</v>
      </c>
      <c r="CU247" s="2">
        <f t="shared" si="289"/>
        <v>0</v>
      </c>
      <c r="CV247" s="2">
        <f t="shared" si="290"/>
        <v>0</v>
      </c>
      <c r="CW247" s="2">
        <f t="shared" si="291"/>
        <v>0</v>
      </c>
      <c r="CX247" s="2">
        <f t="shared" si="292"/>
        <v>0</v>
      </c>
      <c r="CY247" s="2">
        <f t="shared" si="311"/>
        <v>0</v>
      </c>
      <c r="CZ247" s="2">
        <f t="shared" si="312"/>
        <v>0</v>
      </c>
      <c r="DA247" s="2"/>
      <c r="DB247" s="2"/>
      <c r="DC247" s="2" t="s">
        <v>3</v>
      </c>
      <c r="DD247" s="2" t="s">
        <v>3</v>
      </c>
      <c r="DE247" s="2" t="s">
        <v>3</v>
      </c>
      <c r="DF247" s="2" t="s">
        <v>3</v>
      </c>
      <c r="DG247" s="2" t="s">
        <v>3</v>
      </c>
      <c r="DH247" s="2" t="s">
        <v>3</v>
      </c>
      <c r="DI247" s="2" t="s">
        <v>3</v>
      </c>
      <c r="DJ247" s="2" t="s">
        <v>3</v>
      </c>
      <c r="DK247" s="2" t="s">
        <v>3</v>
      </c>
      <c r="DL247" s="2" t="s">
        <v>3</v>
      </c>
      <c r="DM247" s="2" t="s">
        <v>3</v>
      </c>
      <c r="DN247" s="2">
        <v>0</v>
      </c>
      <c r="DO247" s="2">
        <v>0</v>
      </c>
      <c r="DP247" s="2">
        <v>1</v>
      </c>
      <c r="DQ247" s="2">
        <v>1</v>
      </c>
      <c r="DR247" s="2"/>
      <c r="DS247" s="2"/>
      <c r="DT247" s="2"/>
      <c r="DU247" s="2">
        <v>1010</v>
      </c>
      <c r="DV247" s="2" t="s">
        <v>99</v>
      </c>
      <c r="DW247" s="2" t="s">
        <v>99</v>
      </c>
      <c r="DX247" s="2">
        <v>1</v>
      </c>
      <c r="DY247" s="2"/>
      <c r="DZ247" s="2" t="s">
        <v>3</v>
      </c>
      <c r="EA247" s="2" t="s">
        <v>3</v>
      </c>
      <c r="EB247" s="2" t="s">
        <v>3</v>
      </c>
      <c r="EC247" s="2" t="s">
        <v>3</v>
      </c>
      <c r="ED247" s="2"/>
      <c r="EE247" s="2">
        <v>85133445</v>
      </c>
      <c r="EF247" s="2">
        <v>200</v>
      </c>
      <c r="EG247" s="2" t="s">
        <v>222</v>
      </c>
      <c r="EH247" s="2">
        <v>0</v>
      </c>
      <c r="EI247" s="2" t="s">
        <v>3</v>
      </c>
      <c r="EJ247" s="2">
        <v>1</v>
      </c>
      <c r="EK247" s="2">
        <v>1617</v>
      </c>
      <c r="EL247" s="2" t="s">
        <v>223</v>
      </c>
      <c r="EM247" s="2" t="s">
        <v>224</v>
      </c>
      <c r="EN247" s="2"/>
      <c r="EO247" s="2" t="s">
        <v>3</v>
      </c>
      <c r="EP247" s="2"/>
      <c r="EQ247" s="2">
        <v>0</v>
      </c>
      <c r="ER247" s="2">
        <v>1.65</v>
      </c>
      <c r="ES247" s="2">
        <v>1.65</v>
      </c>
      <c r="ET247" s="2">
        <v>0</v>
      </c>
      <c r="EU247" s="2">
        <v>0</v>
      </c>
      <c r="EV247" s="2">
        <v>0</v>
      </c>
      <c r="EW247" s="2">
        <v>0</v>
      </c>
      <c r="EX247" s="2">
        <v>0</v>
      </c>
      <c r="EY247" s="2">
        <v>0</v>
      </c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>
        <v>0</v>
      </c>
      <c r="FR247" s="2">
        <v>0</v>
      </c>
      <c r="FS247" s="2">
        <v>0</v>
      </c>
      <c r="FT247" s="2"/>
      <c r="FU247" s="2"/>
      <c r="FV247" s="2"/>
      <c r="FW247" s="2"/>
      <c r="FX247" s="2">
        <v>0</v>
      </c>
      <c r="FY247" s="2">
        <v>0</v>
      </c>
      <c r="FZ247" s="2"/>
      <c r="GA247" s="2" t="s">
        <v>3</v>
      </c>
      <c r="GB247" s="2"/>
      <c r="GC247" s="2"/>
      <c r="GD247" s="2">
        <v>1</v>
      </c>
      <c r="GE247" s="2"/>
      <c r="GF247" s="2">
        <v>-986595589</v>
      </c>
      <c r="GG247" s="2">
        <v>2</v>
      </c>
      <c r="GH247" s="2">
        <v>1</v>
      </c>
      <c r="GI247" s="2">
        <v>-2</v>
      </c>
      <c r="GJ247" s="2">
        <v>0</v>
      </c>
      <c r="GK247" s="2">
        <v>0</v>
      </c>
      <c r="GL247" s="2">
        <f t="shared" si="293"/>
        <v>0</v>
      </c>
      <c r="GM247" s="2">
        <f t="shared" si="294"/>
        <v>709.5</v>
      </c>
      <c r="GN247" s="2">
        <f t="shared" si="295"/>
        <v>709.5</v>
      </c>
      <c r="GO247" s="2">
        <f t="shared" si="296"/>
        <v>0</v>
      </c>
      <c r="GP247" s="2">
        <f t="shared" si="297"/>
        <v>0</v>
      </c>
      <c r="GQ247" s="2"/>
      <c r="GR247" s="2">
        <v>0</v>
      </c>
      <c r="GS247" s="2">
        <v>3</v>
      </c>
      <c r="GT247" s="2">
        <v>0</v>
      </c>
      <c r="GU247" s="2" t="s">
        <v>3</v>
      </c>
      <c r="GV247" s="2">
        <f t="shared" si="298"/>
        <v>0</v>
      </c>
      <c r="GW247" s="2">
        <v>1</v>
      </c>
      <c r="GX247" s="2">
        <f t="shared" si="299"/>
        <v>0</v>
      </c>
      <c r="GY247" s="2"/>
      <c r="GZ247" s="2"/>
      <c r="HA247" s="2">
        <v>0</v>
      </c>
      <c r="HB247" s="2">
        <v>0</v>
      </c>
      <c r="HC247" s="2">
        <f t="shared" si="300"/>
        <v>0</v>
      </c>
      <c r="HD247" s="2"/>
      <c r="HE247" s="2" t="s">
        <v>3</v>
      </c>
      <c r="HF247" s="2" t="s">
        <v>3</v>
      </c>
      <c r="HG247" s="2"/>
      <c r="HH247" s="2"/>
      <c r="HI247" s="2"/>
      <c r="HJ247" s="2"/>
      <c r="HK247" s="2"/>
      <c r="HL247" s="2"/>
      <c r="HM247" s="2" t="s">
        <v>3</v>
      </c>
      <c r="HN247" s="2" t="s">
        <v>3</v>
      </c>
      <c r="HO247" s="2" t="s">
        <v>3</v>
      </c>
      <c r="HP247" s="2" t="s">
        <v>3</v>
      </c>
      <c r="HQ247" s="2" t="s">
        <v>3</v>
      </c>
      <c r="HR247" s="2"/>
      <c r="HS247" s="2">
        <v>0</v>
      </c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>
        <v>0</v>
      </c>
      <c r="IL247" s="2"/>
      <c r="IM247" s="2"/>
      <c r="IN247" s="2"/>
      <c r="IO247" s="2"/>
      <c r="IP247" s="2"/>
      <c r="IQ247" s="2"/>
      <c r="IR247" s="2"/>
      <c r="IS247" s="2"/>
      <c r="IT247" s="2"/>
      <c r="IU247" s="2"/>
    </row>
    <row r="248" spans="1:255" x14ac:dyDescent="0.2">
      <c r="A248" s="3">
        <v>17</v>
      </c>
      <c r="B248" s="3">
        <v>1</v>
      </c>
      <c r="E248" s="3" t="s">
        <v>441</v>
      </c>
      <c r="F248" s="3" t="s">
        <v>442</v>
      </c>
      <c r="G248" s="3" t="s">
        <v>443</v>
      </c>
      <c r="H248" s="3" t="s">
        <v>99</v>
      </c>
      <c r="I248" s="3">
        <v>430</v>
      </c>
      <c r="J248" s="3">
        <v>0</v>
      </c>
      <c r="K248" s="3">
        <v>430</v>
      </c>
      <c r="O248" s="3">
        <f t="shared" si="276"/>
        <v>7996.07</v>
      </c>
      <c r="P248" s="3">
        <f t="shared" si="313"/>
        <v>7996.07</v>
      </c>
      <c r="Q248" s="3">
        <f t="shared" si="301"/>
        <v>0</v>
      </c>
      <c r="R248" s="3">
        <f t="shared" si="302"/>
        <v>0</v>
      </c>
      <c r="S248" s="3">
        <f t="shared" si="278"/>
        <v>0</v>
      </c>
      <c r="T248" s="3">
        <f t="shared" si="279"/>
        <v>0</v>
      </c>
      <c r="U248" s="3">
        <f t="shared" si="280"/>
        <v>0</v>
      </c>
      <c r="V248" s="3">
        <f t="shared" si="281"/>
        <v>0</v>
      </c>
      <c r="W248" s="3">
        <f t="shared" si="282"/>
        <v>0</v>
      </c>
      <c r="X248" s="3">
        <f t="shared" si="303"/>
        <v>0</v>
      </c>
      <c r="Y248" s="3">
        <f t="shared" si="304"/>
        <v>0</v>
      </c>
      <c r="AA248" s="3">
        <v>85739207</v>
      </c>
      <c r="AB248" s="3">
        <f t="shared" si="283"/>
        <v>1.65</v>
      </c>
      <c r="AC248" s="3">
        <f t="shared" si="305"/>
        <v>1.65</v>
      </c>
      <c r="AD248" s="3">
        <f t="shared" si="306"/>
        <v>0</v>
      </c>
      <c r="AE248" s="3">
        <f t="shared" si="307"/>
        <v>0</v>
      </c>
      <c r="AF248" s="3">
        <f t="shared" si="307"/>
        <v>0</v>
      </c>
      <c r="AG248" s="3">
        <f t="shared" si="284"/>
        <v>0</v>
      </c>
      <c r="AH248" s="3">
        <f t="shared" si="308"/>
        <v>0</v>
      </c>
      <c r="AI248" s="3">
        <f t="shared" si="308"/>
        <v>0</v>
      </c>
      <c r="AJ248" s="3">
        <f t="shared" si="285"/>
        <v>0</v>
      </c>
      <c r="AK248" s="3">
        <v>1.65</v>
      </c>
      <c r="AL248" s="3">
        <v>1.65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1</v>
      </c>
      <c r="AW248" s="3">
        <v>1</v>
      </c>
      <c r="AZ248" s="3">
        <v>1</v>
      </c>
      <c r="BA248" s="3">
        <v>1</v>
      </c>
      <c r="BB248" s="3">
        <v>1</v>
      </c>
      <c r="BC248" s="3">
        <v>11.27</v>
      </c>
      <c r="BD248" s="3" t="s">
        <v>3</v>
      </c>
      <c r="BE248" s="3" t="s">
        <v>3</v>
      </c>
      <c r="BF248" s="3" t="s">
        <v>3</v>
      </c>
      <c r="BG248" s="3" t="s">
        <v>3</v>
      </c>
      <c r="BH248" s="3">
        <v>3</v>
      </c>
      <c r="BI248" s="3">
        <v>1</v>
      </c>
      <c r="BJ248" s="3" t="s">
        <v>444</v>
      </c>
      <c r="BM248" s="3">
        <v>1617</v>
      </c>
      <c r="BN248" s="3">
        <v>0</v>
      </c>
      <c r="BO248" s="3" t="s">
        <v>442</v>
      </c>
      <c r="BP248" s="3">
        <v>1</v>
      </c>
      <c r="BQ248" s="3">
        <v>200</v>
      </c>
      <c r="BR248" s="3">
        <v>0</v>
      </c>
      <c r="BS248" s="3">
        <v>1</v>
      </c>
      <c r="BT248" s="3">
        <v>1</v>
      </c>
      <c r="BU248" s="3">
        <v>1</v>
      </c>
      <c r="BV248" s="3">
        <v>1</v>
      </c>
      <c r="BW248" s="3">
        <v>1</v>
      </c>
      <c r="BX248" s="3">
        <v>1</v>
      </c>
      <c r="BY248" s="3" t="s">
        <v>3</v>
      </c>
      <c r="BZ248" s="3">
        <v>0</v>
      </c>
      <c r="CA248" s="3">
        <v>0</v>
      </c>
      <c r="CB248" s="3" t="s">
        <v>3</v>
      </c>
      <c r="CE248" s="3">
        <v>1566</v>
      </c>
      <c r="CF248" s="3">
        <v>0</v>
      </c>
      <c r="CG248" s="3">
        <v>0</v>
      </c>
      <c r="CM248" s="3">
        <v>0</v>
      </c>
      <c r="CN248" s="3" t="s">
        <v>3</v>
      </c>
      <c r="CO248" s="3">
        <v>0</v>
      </c>
      <c r="CP248" s="3">
        <f t="shared" si="286"/>
        <v>7996.07</v>
      </c>
      <c r="CQ248" s="3">
        <f t="shared" si="314"/>
        <v>18.600000000000001</v>
      </c>
      <c r="CR248" s="3">
        <f t="shared" si="309"/>
        <v>0</v>
      </c>
      <c r="CS248" s="3">
        <f t="shared" si="310"/>
        <v>0</v>
      </c>
      <c r="CT248" s="3">
        <f t="shared" si="288"/>
        <v>0</v>
      </c>
      <c r="CU248" s="3">
        <f t="shared" si="289"/>
        <v>0</v>
      </c>
      <c r="CV248" s="3">
        <f t="shared" si="290"/>
        <v>0</v>
      </c>
      <c r="CW248" s="3">
        <f t="shared" si="291"/>
        <v>0</v>
      </c>
      <c r="CX248" s="3">
        <f t="shared" si="292"/>
        <v>0</v>
      </c>
      <c r="CY248" s="3">
        <f t="shared" si="311"/>
        <v>0</v>
      </c>
      <c r="CZ248" s="3">
        <f t="shared" si="312"/>
        <v>0</v>
      </c>
      <c r="DC248" s="3" t="s">
        <v>3</v>
      </c>
      <c r="DD248" s="3" t="s">
        <v>3</v>
      </c>
      <c r="DE248" s="3" t="s">
        <v>3</v>
      </c>
      <c r="DF248" s="3" t="s">
        <v>3</v>
      </c>
      <c r="DG248" s="3" t="s">
        <v>3</v>
      </c>
      <c r="DH248" s="3" t="s">
        <v>3</v>
      </c>
      <c r="DI248" s="3" t="s">
        <v>3</v>
      </c>
      <c r="DJ248" s="3" t="s">
        <v>3</v>
      </c>
      <c r="DK248" s="3" t="s">
        <v>3</v>
      </c>
      <c r="DL248" s="3" t="s">
        <v>3</v>
      </c>
      <c r="DM248" s="3" t="s">
        <v>3</v>
      </c>
      <c r="DN248" s="3">
        <v>0</v>
      </c>
      <c r="DO248" s="3">
        <v>0</v>
      </c>
      <c r="DP248" s="3">
        <v>1</v>
      </c>
      <c r="DQ248" s="3">
        <v>1</v>
      </c>
      <c r="DU248" s="3">
        <v>1010</v>
      </c>
      <c r="DV248" s="3" t="s">
        <v>99</v>
      </c>
      <c r="DW248" s="3" t="s">
        <v>99</v>
      </c>
      <c r="DX248" s="3">
        <v>1</v>
      </c>
      <c r="DZ248" s="3" t="s">
        <v>3</v>
      </c>
      <c r="EA248" s="3" t="s">
        <v>3</v>
      </c>
      <c r="EB248" s="3" t="s">
        <v>3</v>
      </c>
      <c r="EC248" s="3" t="s">
        <v>3</v>
      </c>
      <c r="EE248" s="3">
        <v>85133445</v>
      </c>
      <c r="EF248" s="3">
        <v>200</v>
      </c>
      <c r="EG248" s="3" t="s">
        <v>222</v>
      </c>
      <c r="EH248" s="3">
        <v>0</v>
      </c>
      <c r="EI248" s="3" t="s">
        <v>3</v>
      </c>
      <c r="EJ248" s="3">
        <v>1</v>
      </c>
      <c r="EK248" s="3">
        <v>1617</v>
      </c>
      <c r="EL248" s="3" t="s">
        <v>223</v>
      </c>
      <c r="EM248" s="3" t="s">
        <v>224</v>
      </c>
      <c r="EO248" s="3" t="s">
        <v>3</v>
      </c>
      <c r="EQ248" s="3">
        <v>0</v>
      </c>
      <c r="ER248" s="3">
        <v>1.65</v>
      </c>
      <c r="ES248" s="3">
        <v>1.65</v>
      </c>
      <c r="ET248" s="3">
        <v>0</v>
      </c>
      <c r="EU248" s="3">
        <v>0</v>
      </c>
      <c r="EV248" s="3">
        <v>0</v>
      </c>
      <c r="EW248" s="3">
        <v>0</v>
      </c>
      <c r="EX248" s="3">
        <v>0</v>
      </c>
      <c r="EY248" s="3">
        <v>0</v>
      </c>
      <c r="FQ248" s="3">
        <v>0</v>
      </c>
      <c r="FR248" s="3">
        <v>0</v>
      </c>
      <c r="FS248" s="3">
        <v>0</v>
      </c>
      <c r="FX248" s="3">
        <v>0</v>
      </c>
      <c r="FY248" s="3">
        <v>0</v>
      </c>
      <c r="GA248" s="3" t="s">
        <v>3</v>
      </c>
      <c r="GD248" s="3">
        <v>1</v>
      </c>
      <c r="GF248" s="3">
        <v>-986595589</v>
      </c>
      <c r="GG248" s="3">
        <v>2</v>
      </c>
      <c r="GH248" s="3">
        <v>1</v>
      </c>
      <c r="GI248" s="3">
        <v>2</v>
      </c>
      <c r="GJ248" s="3">
        <v>0</v>
      </c>
      <c r="GK248" s="3">
        <v>0</v>
      </c>
      <c r="GL248" s="3">
        <f t="shared" si="293"/>
        <v>0</v>
      </c>
      <c r="GM248" s="3">
        <f t="shared" si="294"/>
        <v>7996.07</v>
      </c>
      <c r="GN248" s="3">
        <f t="shared" si="295"/>
        <v>7996.07</v>
      </c>
      <c r="GO248" s="3">
        <f t="shared" si="296"/>
        <v>0</v>
      </c>
      <c r="GP248" s="3">
        <f t="shared" si="297"/>
        <v>0</v>
      </c>
      <c r="GR248" s="3">
        <v>0</v>
      </c>
      <c r="GS248" s="3">
        <v>3</v>
      </c>
      <c r="GT248" s="3">
        <v>0</v>
      </c>
      <c r="GU248" s="3" t="s">
        <v>3</v>
      </c>
      <c r="GV248" s="3">
        <f t="shared" si="298"/>
        <v>0</v>
      </c>
      <c r="GW248" s="3">
        <v>1</v>
      </c>
      <c r="GX248" s="3">
        <f t="shared" si="299"/>
        <v>0</v>
      </c>
      <c r="HA248" s="3">
        <v>0</v>
      </c>
      <c r="HB248" s="3">
        <v>0</v>
      </c>
      <c r="HC248" s="3">
        <f t="shared" si="300"/>
        <v>0</v>
      </c>
      <c r="HE248" s="3" t="s">
        <v>3</v>
      </c>
      <c r="HF248" s="3" t="s">
        <v>3</v>
      </c>
      <c r="HM248" s="3" t="s">
        <v>3</v>
      </c>
      <c r="HN248" s="3" t="s">
        <v>3</v>
      </c>
      <c r="HO248" s="3" t="s">
        <v>3</v>
      </c>
      <c r="HP248" s="3" t="s">
        <v>3</v>
      </c>
      <c r="HQ248" s="3" t="s">
        <v>3</v>
      </c>
      <c r="HS248" s="3">
        <v>0</v>
      </c>
      <c r="IK248" s="3">
        <v>0</v>
      </c>
    </row>
    <row r="249" spans="1:255" x14ac:dyDescent="0.2">
      <c r="A249" s="2">
        <v>17</v>
      </c>
      <c r="B249" s="2">
        <v>1</v>
      </c>
      <c r="C249" s="2">
        <f>ROW(SmtRes!A627)</f>
        <v>627</v>
      </c>
      <c r="D249" s="2">
        <f>ROW(EtalonRes!A637)</f>
        <v>637</v>
      </c>
      <c r="E249" s="2" t="s">
        <v>445</v>
      </c>
      <c r="F249" s="2" t="s">
        <v>254</v>
      </c>
      <c r="G249" s="2" t="s">
        <v>255</v>
      </c>
      <c r="H249" s="2" t="s">
        <v>256</v>
      </c>
      <c r="I249" s="2">
        <f>ROUND((590*0.48+800*0.21+900*0.18+200*0.13)/100,9)</f>
        <v>6.3920000000000003</v>
      </c>
      <c r="J249" s="2">
        <v>0</v>
      </c>
      <c r="K249" s="2">
        <f>ROUND((590*0.48+800*0.21+900*0.18+200*0.13)/100,9)</f>
        <v>6.3920000000000003</v>
      </c>
      <c r="L249" s="2"/>
      <c r="M249" s="2"/>
      <c r="N249" s="2"/>
      <c r="O249" s="2">
        <f t="shared" si="276"/>
        <v>2229.2600000000002</v>
      </c>
      <c r="P249" s="2">
        <f t="shared" si="313"/>
        <v>120.68</v>
      </c>
      <c r="Q249" s="2">
        <f>(ROUND((ROUND((((((ET249*2)*1.25)*1.2))*AV249*I249),2)*BB249),2)+ROUND((ROUND(((AE249-((((EU249*2)*1.25)*1.2)))*AV249*I249),2)*BS249),2))</f>
        <v>273.85000000000002</v>
      </c>
      <c r="R249" s="2">
        <f>(ROUND((ROUND((((((EU249*2)*1.25)*1.2))*AV249*I249),2)*BS249),2)+ROUND((ROUND(((AE249-((((EU249*2)*1.25)*1.2)))*AV249*I249),2)*BS249),2))</f>
        <v>5.0199999999999996</v>
      </c>
      <c r="S249" s="2">
        <f t="shared" si="278"/>
        <v>1834.73</v>
      </c>
      <c r="T249" s="2">
        <f t="shared" si="279"/>
        <v>0</v>
      </c>
      <c r="U249" s="2">
        <f t="shared" si="280"/>
        <v>98.081489174399977</v>
      </c>
      <c r="V249" s="2">
        <f t="shared" si="281"/>
        <v>0</v>
      </c>
      <c r="W249" s="2">
        <f t="shared" si="282"/>
        <v>0</v>
      </c>
      <c r="X249" s="2">
        <f>(ROUND((((S249+ROUND((ROUND((((((EU249*2)*1.25)*1.2))*AV249*I249),2)*BS249),2))*AT249)/100),2)+ROUND(((ROUND((ROUND(((AE249-((((EU249*2)*1.25)*1.2)))*AV249*I249),2)*BS249),2)*AT249)/100),2))</f>
        <v>1729.37</v>
      </c>
      <c r="Y249" s="2">
        <f>(ROUND((((S249+ROUND((ROUND((((((EU249*2)*1.25)*1.2))*AV249*I249),2)*BS249),2))*AU249)/100),2)+ROUND(((ROUND((ROUND(((AE249-((((EU249*2)*1.25)*1.2)))*AV249*I249),2)*BS249),2)*AU249)/100),2))</f>
        <v>938.27</v>
      </c>
      <c r="Z249" s="2"/>
      <c r="AA249" s="2">
        <v>85739205</v>
      </c>
      <c r="AB249" s="2">
        <f t="shared" si="283"/>
        <v>333.95080000000002</v>
      </c>
      <c r="AC249" s="2">
        <f>ROUND(((((ES249*2)*1)*1)),6)</f>
        <v>18.88</v>
      </c>
      <c r="AD249" s="2">
        <f>ROUND(((((((ET249*2)*1.25)*1.2))-((((EU249*2)*1.25)*1.2)))+AE249),6)</f>
        <v>40.92</v>
      </c>
      <c r="AE249" s="2">
        <f>ROUND(((((EU249*2)*1.25)*1.2)),6)</f>
        <v>0.75</v>
      </c>
      <c r="AF249" s="2">
        <f>ROUND(((((EV249*2)*1.15)*1.2)),6)</f>
        <v>274.1508</v>
      </c>
      <c r="AG249" s="2">
        <f t="shared" si="284"/>
        <v>0</v>
      </c>
      <c r="AH249" s="2">
        <f>((((EW249*2)*1.15)*1.2))</f>
        <v>14.655599999999996</v>
      </c>
      <c r="AI249" s="2">
        <f>((((EX249*2)*1.25)*1.2))</f>
        <v>0</v>
      </c>
      <c r="AJ249" s="2">
        <f t="shared" si="285"/>
        <v>0</v>
      </c>
      <c r="AK249" s="2">
        <v>122.41</v>
      </c>
      <c r="AL249" s="2">
        <v>9.44</v>
      </c>
      <c r="AM249" s="2">
        <v>13.64</v>
      </c>
      <c r="AN249" s="2">
        <v>0.25</v>
      </c>
      <c r="AO249" s="2">
        <v>99.33</v>
      </c>
      <c r="AP249" s="2">
        <v>0</v>
      </c>
      <c r="AQ249" s="2">
        <v>5.31</v>
      </c>
      <c r="AR249" s="2">
        <v>0</v>
      </c>
      <c r="AS249" s="2">
        <v>0</v>
      </c>
      <c r="AT249" s="2">
        <v>94</v>
      </c>
      <c r="AU249" s="2">
        <v>51</v>
      </c>
      <c r="AV249" s="2">
        <v>1.0469999999999999</v>
      </c>
      <c r="AW249" s="2">
        <v>1</v>
      </c>
      <c r="AX249" s="2"/>
      <c r="AY249" s="2"/>
      <c r="AZ249" s="2">
        <v>1</v>
      </c>
      <c r="BA249" s="2">
        <v>1</v>
      </c>
      <c r="BB249" s="2">
        <v>1</v>
      </c>
      <c r="BC249" s="2">
        <v>1</v>
      </c>
      <c r="BD249" s="2" t="s">
        <v>3</v>
      </c>
      <c r="BE249" s="2" t="s">
        <v>3</v>
      </c>
      <c r="BF249" s="2" t="s">
        <v>3</v>
      </c>
      <c r="BG249" s="2" t="s">
        <v>3</v>
      </c>
      <c r="BH249" s="2">
        <v>0</v>
      </c>
      <c r="BI249" s="2">
        <v>1</v>
      </c>
      <c r="BJ249" s="2" t="s">
        <v>257</v>
      </c>
      <c r="BK249" s="2"/>
      <c r="BL249" s="2"/>
      <c r="BM249" s="2">
        <v>59</v>
      </c>
      <c r="BN249" s="2">
        <v>0</v>
      </c>
      <c r="BO249" s="2" t="s">
        <v>254</v>
      </c>
      <c r="BP249" s="2">
        <v>1</v>
      </c>
      <c r="BQ249" s="2">
        <v>30</v>
      </c>
      <c r="BR249" s="2">
        <v>0</v>
      </c>
      <c r="BS249" s="2">
        <v>1</v>
      </c>
      <c r="BT249" s="2">
        <v>1</v>
      </c>
      <c r="BU249" s="2">
        <v>1</v>
      </c>
      <c r="BV249" s="2">
        <v>1</v>
      </c>
      <c r="BW249" s="2">
        <v>1</v>
      </c>
      <c r="BX249" s="2">
        <v>1</v>
      </c>
      <c r="BY249" s="2" t="s">
        <v>3</v>
      </c>
      <c r="BZ249" s="2">
        <v>94</v>
      </c>
      <c r="CA249" s="2">
        <v>51</v>
      </c>
      <c r="CB249" s="2" t="s">
        <v>3</v>
      </c>
      <c r="CC249" s="2"/>
      <c r="CD249" s="2"/>
      <c r="CE249" s="2">
        <v>1566</v>
      </c>
      <c r="CF249" s="2">
        <v>0</v>
      </c>
      <c r="CG249" s="2">
        <v>0</v>
      </c>
      <c r="CH249" s="2"/>
      <c r="CI249" s="2"/>
      <c r="CJ249" s="2"/>
      <c r="CK249" s="2"/>
      <c r="CL249" s="2"/>
      <c r="CM249" s="2">
        <v>0</v>
      </c>
      <c r="CN249" s="2" t="s">
        <v>678</v>
      </c>
      <c r="CO249" s="2">
        <v>0</v>
      </c>
      <c r="CP249" s="2">
        <f t="shared" si="286"/>
        <v>2229.2600000000002</v>
      </c>
      <c r="CQ249" s="2">
        <f t="shared" si="314"/>
        <v>18.88</v>
      </c>
      <c r="CR249" s="2">
        <f>(ROUND((ROUND((((((ET249*2)*1.25)*1.2))*AV249*1),2)*BB249),2)+ROUND((ROUND(((AE249-((((EU249*2)*1.25)*1.2)))*AV249*1),2)*BS249),2))</f>
        <v>42.84</v>
      </c>
      <c r="CS249" s="2">
        <f>(ROUND((ROUND((((((EU249*2)*1.25)*1.2))*AV249*1),2)*BS249),2)+ROUND((ROUND(((AE249-((((EU249*2)*1.25)*1.2)))*AV249*1),2)*BS249),2))</f>
        <v>0.79</v>
      </c>
      <c r="CT249" s="2">
        <f t="shared" si="288"/>
        <v>287.04000000000002</v>
      </c>
      <c r="CU249" s="2">
        <f t="shared" si="289"/>
        <v>0</v>
      </c>
      <c r="CV249" s="2">
        <f t="shared" si="290"/>
        <v>15.344413199999995</v>
      </c>
      <c r="CW249" s="2">
        <f t="shared" si="291"/>
        <v>0</v>
      </c>
      <c r="CX249" s="2">
        <f t="shared" si="292"/>
        <v>0</v>
      </c>
      <c r="CY249" s="2">
        <f>(ROUND((((S249+ROUND((ROUND((((((EU249*2)*1.25)*1.2))*AV249*1),2)*BS249),2))*AT249)/100),2)+ROUND(((ROUND((ROUND(((AE249-((((EU249*2)*1.25)*1.2)))*AV249*1),2)*BS249),2)*AT249)/100),2))</f>
        <v>1725.39</v>
      </c>
      <c r="CZ249" s="2">
        <f>(ROUND((((S249+ROUND((ROUND((((((EU249*2)*1.25)*1.2))*AV249*1),2)*BS249),2))*AU249)/100),2)+ROUND(((ROUND((ROUND(((AE249-((((EU249*2)*1.25)*1.2)))*AV249*1),2)*BS249),2)*AU249)/100),2))</f>
        <v>936.12</v>
      </c>
      <c r="DA249" s="2"/>
      <c r="DB249" s="2">
        <v>91</v>
      </c>
      <c r="DC249" s="2" t="s">
        <v>3</v>
      </c>
      <c r="DD249" s="2" t="s">
        <v>258</v>
      </c>
      <c r="DE249" s="2" t="s">
        <v>259</v>
      </c>
      <c r="DF249" s="2" t="s">
        <v>259</v>
      </c>
      <c r="DG249" s="2" t="s">
        <v>260</v>
      </c>
      <c r="DH249" s="2" t="s">
        <v>3</v>
      </c>
      <c r="DI249" s="2" t="s">
        <v>260</v>
      </c>
      <c r="DJ249" s="2" t="s">
        <v>259</v>
      </c>
      <c r="DK249" s="2" t="s">
        <v>3</v>
      </c>
      <c r="DL249" s="2" t="s">
        <v>3</v>
      </c>
      <c r="DM249" s="2" t="s">
        <v>3</v>
      </c>
      <c r="DN249" s="2">
        <v>0</v>
      </c>
      <c r="DO249" s="2">
        <v>0</v>
      </c>
      <c r="DP249" s="2">
        <v>1</v>
      </c>
      <c r="DQ249" s="2">
        <v>1</v>
      </c>
      <c r="DR249" s="2"/>
      <c r="DS249" s="2"/>
      <c r="DT249" s="2"/>
      <c r="DU249" s="2">
        <v>1005</v>
      </c>
      <c r="DV249" s="2" t="s">
        <v>256</v>
      </c>
      <c r="DW249" s="2" t="s">
        <v>256</v>
      </c>
      <c r="DX249" s="2">
        <v>100</v>
      </c>
      <c r="DY249" s="2"/>
      <c r="DZ249" s="2" t="s">
        <v>3</v>
      </c>
      <c r="EA249" s="2" t="s">
        <v>3</v>
      </c>
      <c r="EB249" s="2" t="s">
        <v>3</v>
      </c>
      <c r="EC249" s="2" t="s">
        <v>3</v>
      </c>
      <c r="ED249" s="2"/>
      <c r="EE249" s="2">
        <v>85133409</v>
      </c>
      <c r="EF249" s="2">
        <v>30</v>
      </c>
      <c r="EG249" s="2" t="s">
        <v>49</v>
      </c>
      <c r="EH249" s="2">
        <v>0</v>
      </c>
      <c r="EI249" s="2" t="s">
        <v>3</v>
      </c>
      <c r="EJ249" s="2">
        <v>1</v>
      </c>
      <c r="EK249" s="2">
        <v>59</v>
      </c>
      <c r="EL249" s="2" t="s">
        <v>261</v>
      </c>
      <c r="EM249" s="2" t="s">
        <v>262</v>
      </c>
      <c r="EN249" s="2"/>
      <c r="EO249" s="2" t="s">
        <v>80</v>
      </c>
      <c r="EP249" s="2"/>
      <c r="EQ249" s="2">
        <v>0</v>
      </c>
      <c r="ER249" s="2">
        <v>122.41</v>
      </c>
      <c r="ES249" s="2">
        <v>9.44</v>
      </c>
      <c r="ET249" s="2">
        <v>13.64</v>
      </c>
      <c r="EU249" s="2">
        <v>0.25</v>
      </c>
      <c r="EV249" s="2">
        <v>99.33</v>
      </c>
      <c r="EW249" s="2">
        <v>5.31</v>
      </c>
      <c r="EX249" s="2">
        <v>0</v>
      </c>
      <c r="EY249" s="2">
        <v>0</v>
      </c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>
        <v>0</v>
      </c>
      <c r="FR249" s="2">
        <v>0</v>
      </c>
      <c r="FS249" s="2">
        <v>0</v>
      </c>
      <c r="FT249" s="2"/>
      <c r="FU249" s="2"/>
      <c r="FV249" s="2"/>
      <c r="FW249" s="2"/>
      <c r="FX249" s="2">
        <v>94</v>
      </c>
      <c r="FY249" s="2">
        <v>51</v>
      </c>
      <c r="FZ249" s="2"/>
      <c r="GA249" s="2" t="s">
        <v>3</v>
      </c>
      <c r="GB249" s="2"/>
      <c r="GC249" s="2"/>
      <c r="GD249" s="2">
        <v>1</v>
      </c>
      <c r="GE249" s="2"/>
      <c r="GF249" s="2">
        <v>1042934724</v>
      </c>
      <c r="GG249" s="2">
        <v>2</v>
      </c>
      <c r="GH249" s="2">
        <v>1</v>
      </c>
      <c r="GI249" s="2">
        <v>2</v>
      </c>
      <c r="GJ249" s="2">
        <v>0</v>
      </c>
      <c r="GK249" s="2">
        <v>0</v>
      </c>
      <c r="GL249" s="2">
        <f t="shared" si="293"/>
        <v>0</v>
      </c>
      <c r="GM249" s="2">
        <f t="shared" si="294"/>
        <v>4896.8999999999996</v>
      </c>
      <c r="GN249" s="2">
        <f t="shared" si="295"/>
        <v>4896.8999999999996</v>
      </c>
      <c r="GO249" s="2">
        <f t="shared" si="296"/>
        <v>0</v>
      </c>
      <c r="GP249" s="2">
        <f t="shared" si="297"/>
        <v>0</v>
      </c>
      <c r="GQ249" s="2"/>
      <c r="GR249" s="2">
        <v>0</v>
      </c>
      <c r="GS249" s="2">
        <v>3</v>
      </c>
      <c r="GT249" s="2">
        <v>0</v>
      </c>
      <c r="GU249" s="2" t="s">
        <v>3</v>
      </c>
      <c r="GV249" s="2">
        <f t="shared" si="298"/>
        <v>0</v>
      </c>
      <c r="GW249" s="2">
        <v>1</v>
      </c>
      <c r="GX249" s="2">
        <f t="shared" si="299"/>
        <v>0</v>
      </c>
      <c r="GY249" s="2"/>
      <c r="GZ249" s="2"/>
      <c r="HA249" s="2">
        <v>0</v>
      </c>
      <c r="HB249" s="2">
        <v>0</v>
      </c>
      <c r="HC249" s="2">
        <f t="shared" si="300"/>
        <v>0</v>
      </c>
      <c r="HD249" s="2"/>
      <c r="HE249" s="2" t="s">
        <v>3</v>
      </c>
      <c r="HF249" s="2" t="s">
        <v>3</v>
      </c>
      <c r="HG249" s="2"/>
      <c r="HH249" s="2"/>
      <c r="HI249" s="2"/>
      <c r="HJ249" s="2"/>
      <c r="HK249" s="2"/>
      <c r="HL249" s="2"/>
      <c r="HM249" s="2" t="s">
        <v>3</v>
      </c>
      <c r="HN249" s="2" t="s">
        <v>3</v>
      </c>
      <c r="HO249" s="2" t="s">
        <v>3</v>
      </c>
      <c r="HP249" s="2" t="s">
        <v>3</v>
      </c>
      <c r="HQ249" s="2" t="s">
        <v>3</v>
      </c>
      <c r="HR249" s="2"/>
      <c r="HS249" s="2">
        <v>0</v>
      </c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>
        <v>0</v>
      </c>
      <c r="IL249" s="2"/>
      <c r="IM249" s="2"/>
      <c r="IN249" s="2"/>
      <c r="IO249" s="2"/>
      <c r="IP249" s="2"/>
      <c r="IQ249" s="2"/>
      <c r="IR249" s="2"/>
      <c r="IS249" s="2"/>
      <c r="IT249" s="2"/>
      <c r="IU249" s="2"/>
    </row>
    <row r="250" spans="1:255" x14ac:dyDescent="0.2">
      <c r="A250" s="3">
        <v>17</v>
      </c>
      <c r="B250" s="3">
        <v>1</v>
      </c>
      <c r="C250" s="3">
        <f>ROW(SmtRes!A634)</f>
        <v>634</v>
      </c>
      <c r="D250" s="3">
        <f>ROW(EtalonRes!A644)</f>
        <v>644</v>
      </c>
      <c r="E250" s="3" t="s">
        <v>445</v>
      </c>
      <c r="F250" s="3" t="s">
        <v>254</v>
      </c>
      <c r="G250" s="3" t="s">
        <v>255</v>
      </c>
      <c r="H250" s="3" t="s">
        <v>256</v>
      </c>
      <c r="I250" s="3">
        <f>ROUND((590*0.48+800*0.21+900*0.18+200*0.13)/100,9)</f>
        <v>6.3920000000000003</v>
      </c>
      <c r="J250" s="3">
        <v>0</v>
      </c>
      <c r="K250" s="3">
        <f>ROUND((590*0.48+800*0.21+900*0.18+200*0.13)/100,9)</f>
        <v>6.3920000000000003</v>
      </c>
      <c r="O250" s="3">
        <f t="shared" si="276"/>
        <v>110835.77</v>
      </c>
      <c r="P250" s="3">
        <f t="shared" si="313"/>
        <v>4200.87</v>
      </c>
      <c r="Q250" s="3">
        <f>(ROUND((ROUND((((((ET250*2)*1.25)*1.2))*AV250*I250),2)*BB250),2)+ROUND((ROUND(((AE250-((((EU250*2)*1.25)*1.2)))*AV250*I250),2)*BS250),2))</f>
        <v>3247.86</v>
      </c>
      <c r="R250" s="3">
        <f>(ROUND((ROUND((((((EU250*2)*1.25)*1.2))*AV250*I250),2)*BS250),2)+ROUND((ROUND(((AE250-((((EU250*2)*1.25)*1.2)))*AV250*I250),2)*BS250),2))</f>
        <v>282.88</v>
      </c>
      <c r="S250" s="3">
        <f t="shared" si="278"/>
        <v>103387.04</v>
      </c>
      <c r="T250" s="3">
        <f t="shared" si="279"/>
        <v>0</v>
      </c>
      <c r="U250" s="3">
        <f t="shared" si="280"/>
        <v>98.081489174399977</v>
      </c>
      <c r="V250" s="3">
        <f t="shared" si="281"/>
        <v>0</v>
      </c>
      <c r="W250" s="3">
        <f t="shared" si="282"/>
        <v>0</v>
      </c>
      <c r="X250" s="3">
        <f>(ROUND((((S250+ROUND((ROUND((((((EU250*2)*1.25)*1.2))*AV250*I250),2)*BS250),2))*AT250)/100),2)+ROUND(((ROUND((ROUND(((AE250-((((EU250*2)*1.25)*1.2)))*AV250*I250),2)*BS250),2)*AT250)/100),2))</f>
        <v>97449.72</v>
      </c>
      <c r="Y250" s="3">
        <f>(ROUND((((S250+ROUND((ROUND((((((EU250*2)*1.25)*1.2))*AV250*I250),2)*BS250),2))*AU250)/100),2)+ROUND(((ROUND((ROUND(((AE250-((((EU250*2)*1.25)*1.2)))*AV250*I250),2)*BS250),2)*AU250)/100),2))</f>
        <v>52871.66</v>
      </c>
      <c r="AA250" s="3">
        <v>85739207</v>
      </c>
      <c r="AB250" s="3">
        <f t="shared" si="283"/>
        <v>333.95080000000002</v>
      </c>
      <c r="AC250" s="3">
        <f>ROUND(((((ES250*2)*1)*1)),6)</f>
        <v>18.88</v>
      </c>
      <c r="AD250" s="3">
        <f>ROUND(((((((ET250*2)*1.25)*1.2))-((((EU250*2)*1.25)*1.2)))+AE250),6)</f>
        <v>40.92</v>
      </c>
      <c r="AE250" s="3">
        <f>ROUND(((((EU250*2)*1.25)*1.2)),6)</f>
        <v>0.75</v>
      </c>
      <c r="AF250" s="3">
        <f>ROUND(((((EV250*2)*1.15)*1.2)),6)</f>
        <v>274.1508</v>
      </c>
      <c r="AG250" s="3">
        <f t="shared" si="284"/>
        <v>0</v>
      </c>
      <c r="AH250" s="3">
        <f>((((EW250*2)*1.15)*1.2))</f>
        <v>14.655599999999996</v>
      </c>
      <c r="AI250" s="3">
        <f>((((EX250*2)*1.25)*1.2))</f>
        <v>0</v>
      </c>
      <c r="AJ250" s="3">
        <f t="shared" si="285"/>
        <v>0</v>
      </c>
      <c r="AK250" s="3">
        <v>122.41</v>
      </c>
      <c r="AL250" s="3">
        <v>9.44</v>
      </c>
      <c r="AM250" s="3">
        <v>13.64</v>
      </c>
      <c r="AN250" s="3">
        <v>0.25</v>
      </c>
      <c r="AO250" s="3">
        <v>99.33</v>
      </c>
      <c r="AP250" s="3">
        <v>0</v>
      </c>
      <c r="AQ250" s="3">
        <v>5.31</v>
      </c>
      <c r="AR250" s="3">
        <v>0</v>
      </c>
      <c r="AS250" s="3">
        <v>0</v>
      </c>
      <c r="AT250" s="3">
        <v>94</v>
      </c>
      <c r="AU250" s="3">
        <v>51</v>
      </c>
      <c r="AV250" s="3">
        <v>1.0469999999999999</v>
      </c>
      <c r="AW250" s="3">
        <v>1</v>
      </c>
      <c r="AZ250" s="3">
        <v>1</v>
      </c>
      <c r="BA250" s="3">
        <v>56.35</v>
      </c>
      <c r="BB250" s="3">
        <v>11.86</v>
      </c>
      <c r="BC250" s="3">
        <v>34.81</v>
      </c>
      <c r="BD250" s="3" t="s">
        <v>3</v>
      </c>
      <c r="BE250" s="3" t="s">
        <v>3</v>
      </c>
      <c r="BF250" s="3" t="s">
        <v>3</v>
      </c>
      <c r="BG250" s="3" t="s">
        <v>3</v>
      </c>
      <c r="BH250" s="3">
        <v>0</v>
      </c>
      <c r="BI250" s="3">
        <v>1</v>
      </c>
      <c r="BJ250" s="3" t="s">
        <v>257</v>
      </c>
      <c r="BM250" s="3">
        <v>59</v>
      </c>
      <c r="BN250" s="3">
        <v>0</v>
      </c>
      <c r="BO250" s="3" t="s">
        <v>254</v>
      </c>
      <c r="BP250" s="3">
        <v>1</v>
      </c>
      <c r="BQ250" s="3">
        <v>30</v>
      </c>
      <c r="BR250" s="3">
        <v>0</v>
      </c>
      <c r="BS250" s="3">
        <v>56.35</v>
      </c>
      <c r="BT250" s="3">
        <v>1</v>
      </c>
      <c r="BU250" s="3">
        <v>1</v>
      </c>
      <c r="BV250" s="3">
        <v>1</v>
      </c>
      <c r="BW250" s="3">
        <v>1</v>
      </c>
      <c r="BX250" s="3">
        <v>1</v>
      </c>
      <c r="BY250" s="3" t="s">
        <v>3</v>
      </c>
      <c r="BZ250" s="3">
        <v>94</v>
      </c>
      <c r="CA250" s="3">
        <v>51</v>
      </c>
      <c r="CB250" s="3" t="s">
        <v>3</v>
      </c>
      <c r="CE250" s="3">
        <v>1566</v>
      </c>
      <c r="CF250" s="3">
        <v>0</v>
      </c>
      <c r="CG250" s="3">
        <v>0</v>
      </c>
      <c r="CM250" s="3">
        <v>0</v>
      </c>
      <c r="CN250" s="3" t="s">
        <v>678</v>
      </c>
      <c r="CO250" s="3">
        <v>0</v>
      </c>
      <c r="CP250" s="3">
        <f t="shared" si="286"/>
        <v>110835.76999999999</v>
      </c>
      <c r="CQ250" s="3">
        <f t="shared" si="314"/>
        <v>657.21</v>
      </c>
      <c r="CR250" s="3">
        <f>(ROUND((ROUND((((((ET250*2)*1.25)*1.2))*AV250*1),2)*BB250),2)+ROUND((ROUND(((AE250-((((EU250*2)*1.25)*1.2)))*AV250*1),2)*BS250),2))</f>
        <v>508.08</v>
      </c>
      <c r="CS250" s="3">
        <f>(ROUND((ROUND((((((EU250*2)*1.25)*1.2))*AV250*1),2)*BS250),2)+ROUND((ROUND(((AE250-((((EU250*2)*1.25)*1.2)))*AV250*1),2)*BS250),2))</f>
        <v>44.52</v>
      </c>
      <c r="CT250" s="3">
        <f t="shared" si="288"/>
        <v>16174.7</v>
      </c>
      <c r="CU250" s="3">
        <f t="shared" si="289"/>
        <v>0</v>
      </c>
      <c r="CV250" s="3">
        <f t="shared" si="290"/>
        <v>15.344413199999995</v>
      </c>
      <c r="CW250" s="3">
        <f t="shared" si="291"/>
        <v>0</v>
      </c>
      <c r="CX250" s="3">
        <f t="shared" si="292"/>
        <v>0</v>
      </c>
      <c r="CY250" s="3">
        <f>(ROUND((((S250+ROUND((ROUND((((((EU250*2)*1.25)*1.2))*AV250*1),2)*BS250),2))*AT250)/100),2)+ROUND(((ROUND((ROUND(((AE250-((((EU250*2)*1.25)*1.2)))*AV250*1),2)*BS250),2)*AT250)/100),2))</f>
        <v>97225.67</v>
      </c>
      <c r="CZ250" s="3">
        <f>(ROUND((((S250+ROUND((ROUND((((((EU250*2)*1.25)*1.2))*AV250*1),2)*BS250),2))*AU250)/100),2)+ROUND(((ROUND((ROUND(((AE250-((((EU250*2)*1.25)*1.2)))*AV250*1),2)*BS250),2)*AU250)/100),2))</f>
        <v>52750.1</v>
      </c>
      <c r="DB250" s="3">
        <v>94</v>
      </c>
      <c r="DC250" s="3" t="s">
        <v>3</v>
      </c>
      <c r="DD250" s="3" t="s">
        <v>258</v>
      </c>
      <c r="DE250" s="3" t="s">
        <v>259</v>
      </c>
      <c r="DF250" s="3" t="s">
        <v>259</v>
      </c>
      <c r="DG250" s="3" t="s">
        <v>260</v>
      </c>
      <c r="DH250" s="3" t="s">
        <v>3</v>
      </c>
      <c r="DI250" s="3" t="s">
        <v>260</v>
      </c>
      <c r="DJ250" s="3" t="s">
        <v>259</v>
      </c>
      <c r="DK250" s="3" t="s">
        <v>3</v>
      </c>
      <c r="DL250" s="3" t="s">
        <v>3</v>
      </c>
      <c r="DM250" s="3" t="s">
        <v>3</v>
      </c>
      <c r="DN250" s="3">
        <v>0</v>
      </c>
      <c r="DO250" s="3">
        <v>0</v>
      </c>
      <c r="DP250" s="3">
        <v>1</v>
      </c>
      <c r="DQ250" s="3">
        <v>1</v>
      </c>
      <c r="DU250" s="3">
        <v>1005</v>
      </c>
      <c r="DV250" s="3" t="s">
        <v>256</v>
      </c>
      <c r="DW250" s="3" t="s">
        <v>256</v>
      </c>
      <c r="DX250" s="3">
        <v>100</v>
      </c>
      <c r="DZ250" s="3" t="s">
        <v>3</v>
      </c>
      <c r="EA250" s="3" t="s">
        <v>3</v>
      </c>
      <c r="EB250" s="3" t="s">
        <v>3</v>
      </c>
      <c r="EC250" s="3" t="s">
        <v>3</v>
      </c>
      <c r="EE250" s="3">
        <v>85133409</v>
      </c>
      <c r="EF250" s="3">
        <v>30</v>
      </c>
      <c r="EG250" s="3" t="s">
        <v>49</v>
      </c>
      <c r="EH250" s="3">
        <v>0</v>
      </c>
      <c r="EI250" s="3" t="s">
        <v>3</v>
      </c>
      <c r="EJ250" s="3">
        <v>1</v>
      </c>
      <c r="EK250" s="3">
        <v>59</v>
      </c>
      <c r="EL250" s="3" t="s">
        <v>261</v>
      </c>
      <c r="EM250" s="3" t="s">
        <v>262</v>
      </c>
      <c r="EO250" s="3" t="s">
        <v>80</v>
      </c>
      <c r="EQ250" s="3">
        <v>0</v>
      </c>
      <c r="ER250" s="3">
        <v>122.41</v>
      </c>
      <c r="ES250" s="3">
        <v>9.44</v>
      </c>
      <c r="ET250" s="3">
        <v>13.64</v>
      </c>
      <c r="EU250" s="3">
        <v>0.25</v>
      </c>
      <c r="EV250" s="3">
        <v>99.33</v>
      </c>
      <c r="EW250" s="3">
        <v>5.31</v>
      </c>
      <c r="EX250" s="3">
        <v>0</v>
      </c>
      <c r="EY250" s="3">
        <v>0</v>
      </c>
      <c r="FQ250" s="3">
        <v>0</v>
      </c>
      <c r="FR250" s="3">
        <v>0</v>
      </c>
      <c r="FS250" s="3">
        <v>0</v>
      </c>
      <c r="FX250" s="3">
        <v>94</v>
      </c>
      <c r="FY250" s="3">
        <v>51</v>
      </c>
      <c r="GA250" s="3" t="s">
        <v>3</v>
      </c>
      <c r="GD250" s="3">
        <v>1</v>
      </c>
      <c r="GF250" s="3">
        <v>1042934724</v>
      </c>
      <c r="GG250" s="3">
        <v>2</v>
      </c>
      <c r="GH250" s="3">
        <v>1</v>
      </c>
      <c r="GI250" s="3">
        <v>2</v>
      </c>
      <c r="GJ250" s="3">
        <v>0</v>
      </c>
      <c r="GK250" s="3">
        <v>0</v>
      </c>
      <c r="GL250" s="3">
        <f t="shared" si="293"/>
        <v>0</v>
      </c>
      <c r="GM250" s="3">
        <f t="shared" si="294"/>
        <v>261157.15</v>
      </c>
      <c r="GN250" s="3">
        <f t="shared" si="295"/>
        <v>261157.15</v>
      </c>
      <c r="GO250" s="3">
        <f t="shared" si="296"/>
        <v>0</v>
      </c>
      <c r="GP250" s="3">
        <f t="shared" si="297"/>
        <v>0</v>
      </c>
      <c r="GR250" s="3">
        <v>0</v>
      </c>
      <c r="GS250" s="3">
        <v>3</v>
      </c>
      <c r="GT250" s="3">
        <v>0</v>
      </c>
      <c r="GU250" s="3" t="s">
        <v>3</v>
      </c>
      <c r="GV250" s="3">
        <f t="shared" si="298"/>
        <v>0</v>
      </c>
      <c r="GW250" s="3">
        <v>1</v>
      </c>
      <c r="GX250" s="3">
        <f t="shared" si="299"/>
        <v>0</v>
      </c>
      <c r="HA250" s="3">
        <v>0</v>
      </c>
      <c r="HB250" s="3">
        <v>0</v>
      </c>
      <c r="HC250" s="3">
        <f t="shared" si="300"/>
        <v>0</v>
      </c>
      <c r="HE250" s="3" t="s">
        <v>3</v>
      </c>
      <c r="HF250" s="3" t="s">
        <v>3</v>
      </c>
      <c r="HM250" s="3" t="s">
        <v>3</v>
      </c>
      <c r="HN250" s="3" t="s">
        <v>3</v>
      </c>
      <c r="HO250" s="3" t="s">
        <v>3</v>
      </c>
      <c r="HP250" s="3" t="s">
        <v>3</v>
      </c>
      <c r="HQ250" s="3" t="s">
        <v>3</v>
      </c>
      <c r="HS250" s="3">
        <v>0</v>
      </c>
      <c r="IK250" s="3">
        <v>0</v>
      </c>
    </row>
    <row r="251" spans="1:255" x14ac:dyDescent="0.2">
      <c r="A251" s="2">
        <v>18</v>
      </c>
      <c r="B251" s="2">
        <v>1</v>
      </c>
      <c r="C251" s="2">
        <v>626</v>
      </c>
      <c r="D251" s="2"/>
      <c r="E251" s="2" t="s">
        <v>446</v>
      </c>
      <c r="F251" s="2" t="s">
        <v>264</v>
      </c>
      <c r="G251" s="2" t="s">
        <v>265</v>
      </c>
      <c r="H251" s="2" t="s">
        <v>266</v>
      </c>
      <c r="I251" s="2">
        <f>I249*J251</f>
        <v>0.11505599999999999</v>
      </c>
      <c r="J251" s="2">
        <v>1.7999999999999999E-2</v>
      </c>
      <c r="K251" s="2">
        <v>8.9999999999999993E-3</v>
      </c>
      <c r="L251" s="2"/>
      <c r="M251" s="2"/>
      <c r="N251" s="2"/>
      <c r="O251" s="2">
        <f t="shared" si="276"/>
        <v>2146.15</v>
      </c>
      <c r="P251" s="2">
        <f t="shared" si="313"/>
        <v>2146.15</v>
      </c>
      <c r="Q251" s="2">
        <f>(ROUND((ROUND(((ET251)*AV251*I251),2)*BB251),2)+ROUND((ROUND(((AE251-(EU251))*AV251*I251),2)*BS251),2))</f>
        <v>0</v>
      </c>
      <c r="R251" s="2">
        <f>(ROUND((ROUND(((EU251)*AV251*I251),2)*BS251),2)+ROUND((ROUND(((AE251-(EU251))*AV251*I251),2)*BS251),2))</f>
        <v>0</v>
      </c>
      <c r="S251" s="2">
        <f t="shared" si="278"/>
        <v>0</v>
      </c>
      <c r="T251" s="2">
        <f t="shared" si="279"/>
        <v>0</v>
      </c>
      <c r="U251" s="2">
        <f t="shared" si="280"/>
        <v>0</v>
      </c>
      <c r="V251" s="2">
        <f t="shared" si="281"/>
        <v>0</v>
      </c>
      <c r="W251" s="2">
        <f t="shared" si="282"/>
        <v>0</v>
      </c>
      <c r="X251" s="2">
        <f>(ROUND((((S251+ROUND((ROUND(((EU251)*AV251*I251),2)*BS251),2))*AT251)/100),2)+ROUND(((ROUND((ROUND(((AE251-(EU251))*AV251*I251),2)*BS251),2)*AT251)/100),2))</f>
        <v>0</v>
      </c>
      <c r="Y251" s="2">
        <f>(ROUND((((S251+ROUND((ROUND(((EU251)*AV251*I251),2)*BS251),2))*AU251)/100),2)+ROUND(((ROUND((ROUND(((AE251-(EU251))*AV251*I251),2)*BS251),2)*AU251)/100),2))</f>
        <v>0</v>
      </c>
      <c r="Z251" s="2"/>
      <c r="AA251" s="2">
        <v>85739205</v>
      </c>
      <c r="AB251" s="2">
        <f t="shared" si="283"/>
        <v>18653.07</v>
      </c>
      <c r="AC251" s="2">
        <f>ROUND((ES251),6)</f>
        <v>18653.07</v>
      </c>
      <c r="AD251" s="2">
        <f>ROUND((((ET251)-(EU251))+AE251),6)</f>
        <v>0</v>
      </c>
      <c r="AE251" s="2">
        <f>ROUND((EU251),6)</f>
        <v>0</v>
      </c>
      <c r="AF251" s="2">
        <f>ROUND((EV251),6)</f>
        <v>0</v>
      </c>
      <c r="AG251" s="2">
        <f t="shared" si="284"/>
        <v>0</v>
      </c>
      <c r="AH251" s="2">
        <f>(EW251)</f>
        <v>0</v>
      </c>
      <c r="AI251" s="2">
        <f>(EX251)</f>
        <v>0</v>
      </c>
      <c r="AJ251" s="2">
        <f t="shared" si="285"/>
        <v>0</v>
      </c>
      <c r="AK251" s="2">
        <v>18653.07</v>
      </c>
      <c r="AL251" s="2">
        <v>18653.07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94</v>
      </c>
      <c r="AU251" s="2">
        <v>51</v>
      </c>
      <c r="AV251" s="2">
        <v>1</v>
      </c>
      <c r="AW251" s="2">
        <v>1</v>
      </c>
      <c r="AX251" s="2"/>
      <c r="AY251" s="2"/>
      <c r="AZ251" s="2">
        <v>1</v>
      </c>
      <c r="BA251" s="2">
        <v>1</v>
      </c>
      <c r="BB251" s="2">
        <v>1</v>
      </c>
      <c r="BC251" s="2">
        <v>1</v>
      </c>
      <c r="BD251" s="2" t="s">
        <v>3</v>
      </c>
      <c r="BE251" s="2" t="s">
        <v>3</v>
      </c>
      <c r="BF251" s="2" t="s">
        <v>3</v>
      </c>
      <c r="BG251" s="2" t="s">
        <v>3</v>
      </c>
      <c r="BH251" s="2">
        <v>3</v>
      </c>
      <c r="BI251" s="2">
        <v>1</v>
      </c>
      <c r="BJ251" s="2" t="s">
        <v>267</v>
      </c>
      <c r="BK251" s="2"/>
      <c r="BL251" s="2"/>
      <c r="BM251" s="2">
        <v>59</v>
      </c>
      <c r="BN251" s="2">
        <v>0</v>
      </c>
      <c r="BO251" s="2" t="s">
        <v>3</v>
      </c>
      <c r="BP251" s="2">
        <v>0</v>
      </c>
      <c r="BQ251" s="2">
        <v>30</v>
      </c>
      <c r="BR251" s="2">
        <v>0</v>
      </c>
      <c r="BS251" s="2">
        <v>1</v>
      </c>
      <c r="BT251" s="2">
        <v>1</v>
      </c>
      <c r="BU251" s="2">
        <v>1</v>
      </c>
      <c r="BV251" s="2">
        <v>1</v>
      </c>
      <c r="BW251" s="2">
        <v>1</v>
      </c>
      <c r="BX251" s="2">
        <v>1</v>
      </c>
      <c r="BY251" s="2" t="s">
        <v>3</v>
      </c>
      <c r="BZ251" s="2">
        <v>94</v>
      </c>
      <c r="CA251" s="2">
        <v>51</v>
      </c>
      <c r="CB251" s="2" t="s">
        <v>3</v>
      </c>
      <c r="CC251" s="2"/>
      <c r="CD251" s="2"/>
      <c r="CE251" s="2">
        <v>1566</v>
      </c>
      <c r="CF251" s="2">
        <v>0</v>
      </c>
      <c r="CG251" s="2">
        <v>0</v>
      </c>
      <c r="CH251" s="2"/>
      <c r="CI251" s="2"/>
      <c r="CJ251" s="2"/>
      <c r="CK251" s="2"/>
      <c r="CL251" s="2"/>
      <c r="CM251" s="2">
        <v>0</v>
      </c>
      <c r="CN251" s="2" t="s">
        <v>680</v>
      </c>
      <c r="CO251" s="2">
        <v>0</v>
      </c>
      <c r="CP251" s="2">
        <f t="shared" si="286"/>
        <v>2146.15</v>
      </c>
      <c r="CQ251" s="2">
        <f t="shared" si="314"/>
        <v>18653.07</v>
      </c>
      <c r="CR251" s="2">
        <f>(ROUND((ROUND(((ET251)*AV251*1),2)*BB251),2)+ROUND((ROUND(((AE251-(EU251))*AV251*1),2)*BS251),2))</f>
        <v>0</v>
      </c>
      <c r="CS251" s="2">
        <f>(ROUND((ROUND(((EU251)*AV251*1),2)*BS251),2)+ROUND((ROUND(((AE251-(EU251))*AV251*1),2)*BS251),2))</f>
        <v>0</v>
      </c>
      <c r="CT251" s="2">
        <f t="shared" si="288"/>
        <v>0</v>
      </c>
      <c r="CU251" s="2">
        <f t="shared" si="289"/>
        <v>0</v>
      </c>
      <c r="CV251" s="2">
        <f t="shared" si="290"/>
        <v>0</v>
      </c>
      <c r="CW251" s="2">
        <f t="shared" si="291"/>
        <v>0</v>
      </c>
      <c r="CX251" s="2">
        <f t="shared" si="292"/>
        <v>0</v>
      </c>
      <c r="CY251" s="2">
        <f>(ROUND((((S251+ROUND((ROUND(((EU251)*AV251*1),2)*BS251),2))*AT251)/100),2)+ROUND(((ROUND((ROUND(((AE251-(EU251))*AV251*1),2)*BS251),2)*AT251)/100),2))</f>
        <v>0</v>
      </c>
      <c r="CZ251" s="2">
        <f>(ROUND((((S251+ROUND((ROUND(((EU251)*AV251*1),2)*BS251),2))*AU251)/100),2)+ROUND(((ROUND((ROUND(((AE251-(EU251))*AV251*1),2)*BS251),2)*AU251)/100),2))</f>
        <v>0</v>
      </c>
      <c r="DA251" s="2"/>
      <c r="DB251" s="2"/>
      <c r="DC251" s="2" t="s">
        <v>3</v>
      </c>
      <c r="DD251" s="2" t="s">
        <v>3</v>
      </c>
      <c r="DE251" s="2" t="s">
        <v>3</v>
      </c>
      <c r="DF251" s="2" t="s">
        <v>3</v>
      </c>
      <c r="DG251" s="2" t="s">
        <v>3</v>
      </c>
      <c r="DH251" s="2" t="s">
        <v>3</v>
      </c>
      <c r="DI251" s="2" t="s">
        <v>3</v>
      </c>
      <c r="DJ251" s="2" t="s">
        <v>3</v>
      </c>
      <c r="DK251" s="2" t="s">
        <v>3</v>
      </c>
      <c r="DL251" s="2" t="s">
        <v>3</v>
      </c>
      <c r="DM251" s="2" t="s">
        <v>3</v>
      </c>
      <c r="DN251" s="2">
        <v>0</v>
      </c>
      <c r="DO251" s="2">
        <v>0</v>
      </c>
      <c r="DP251" s="2">
        <v>1</v>
      </c>
      <c r="DQ251" s="2">
        <v>1</v>
      </c>
      <c r="DR251" s="2"/>
      <c r="DS251" s="2"/>
      <c r="DT251" s="2"/>
      <c r="DU251" s="2">
        <v>1009</v>
      </c>
      <c r="DV251" s="2" t="s">
        <v>266</v>
      </c>
      <c r="DW251" s="2" t="s">
        <v>266</v>
      </c>
      <c r="DX251" s="2">
        <v>1000</v>
      </c>
      <c r="DY251" s="2"/>
      <c r="DZ251" s="2" t="s">
        <v>3</v>
      </c>
      <c r="EA251" s="2" t="s">
        <v>3</v>
      </c>
      <c r="EB251" s="2" t="s">
        <v>3</v>
      </c>
      <c r="EC251" s="2" t="s">
        <v>3</v>
      </c>
      <c r="ED251" s="2"/>
      <c r="EE251" s="2">
        <v>85133409</v>
      </c>
      <c r="EF251" s="2">
        <v>30</v>
      </c>
      <c r="EG251" s="2" t="s">
        <v>49</v>
      </c>
      <c r="EH251" s="2">
        <v>0</v>
      </c>
      <c r="EI251" s="2" t="s">
        <v>3</v>
      </c>
      <c r="EJ251" s="2">
        <v>1</v>
      </c>
      <c r="EK251" s="2">
        <v>59</v>
      </c>
      <c r="EL251" s="2" t="s">
        <v>261</v>
      </c>
      <c r="EM251" s="2" t="s">
        <v>262</v>
      </c>
      <c r="EN251" s="2"/>
      <c r="EO251" s="2" t="s">
        <v>248</v>
      </c>
      <c r="EP251" s="2"/>
      <c r="EQ251" s="2">
        <v>0</v>
      </c>
      <c r="ER251" s="2">
        <v>18653.07</v>
      </c>
      <c r="ES251" s="2">
        <v>18653.07</v>
      </c>
      <c r="ET251" s="2">
        <v>0</v>
      </c>
      <c r="EU251" s="2">
        <v>0</v>
      </c>
      <c r="EV251" s="2">
        <v>0</v>
      </c>
      <c r="EW251" s="2">
        <v>0</v>
      </c>
      <c r="EX251" s="2">
        <v>0</v>
      </c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>
        <v>0</v>
      </c>
      <c r="FR251" s="2">
        <v>0</v>
      </c>
      <c r="FS251" s="2">
        <v>0</v>
      </c>
      <c r="FT251" s="2"/>
      <c r="FU251" s="2"/>
      <c r="FV251" s="2"/>
      <c r="FW251" s="2"/>
      <c r="FX251" s="2">
        <v>94</v>
      </c>
      <c r="FY251" s="2">
        <v>51</v>
      </c>
      <c r="FZ251" s="2"/>
      <c r="GA251" s="2" t="s">
        <v>3</v>
      </c>
      <c r="GB251" s="2"/>
      <c r="GC251" s="2"/>
      <c r="GD251" s="2">
        <v>1</v>
      </c>
      <c r="GE251" s="2"/>
      <c r="GF251" s="2">
        <v>650902129</v>
      </c>
      <c r="GG251" s="2">
        <v>2</v>
      </c>
      <c r="GH251" s="2">
        <v>1</v>
      </c>
      <c r="GI251" s="2">
        <v>-2</v>
      </c>
      <c r="GJ251" s="2">
        <v>0</v>
      </c>
      <c r="GK251" s="2">
        <v>0</v>
      </c>
      <c r="GL251" s="2">
        <f t="shared" si="293"/>
        <v>0</v>
      </c>
      <c r="GM251" s="2">
        <f t="shared" si="294"/>
        <v>2146.15</v>
      </c>
      <c r="GN251" s="2">
        <f t="shared" si="295"/>
        <v>2146.15</v>
      </c>
      <c r="GO251" s="2">
        <f t="shared" si="296"/>
        <v>0</v>
      </c>
      <c r="GP251" s="2">
        <f t="shared" si="297"/>
        <v>0</v>
      </c>
      <c r="GQ251" s="2"/>
      <c r="GR251" s="2">
        <v>0</v>
      </c>
      <c r="GS251" s="2">
        <v>3</v>
      </c>
      <c r="GT251" s="2">
        <v>0</v>
      </c>
      <c r="GU251" s="2" t="s">
        <v>3</v>
      </c>
      <c r="GV251" s="2">
        <f t="shared" si="298"/>
        <v>0</v>
      </c>
      <c r="GW251" s="2">
        <v>1</v>
      </c>
      <c r="GX251" s="2">
        <f t="shared" si="299"/>
        <v>0</v>
      </c>
      <c r="GY251" s="2"/>
      <c r="GZ251" s="2"/>
      <c r="HA251" s="2">
        <v>0</v>
      </c>
      <c r="HB251" s="2">
        <v>0</v>
      </c>
      <c r="HC251" s="2">
        <f t="shared" si="300"/>
        <v>0</v>
      </c>
      <c r="HD251" s="2"/>
      <c r="HE251" s="2" t="s">
        <v>3</v>
      </c>
      <c r="HF251" s="2" t="s">
        <v>3</v>
      </c>
      <c r="HG251" s="2"/>
      <c r="HH251" s="2"/>
      <c r="HI251" s="2"/>
      <c r="HJ251" s="2"/>
      <c r="HK251" s="2"/>
      <c r="HL251" s="2"/>
      <c r="HM251" s="2" t="s">
        <v>258</v>
      </c>
      <c r="HN251" s="2" t="s">
        <v>3</v>
      </c>
      <c r="HO251" s="2" t="s">
        <v>3</v>
      </c>
      <c r="HP251" s="2" t="s">
        <v>3</v>
      </c>
      <c r="HQ251" s="2" t="s">
        <v>3</v>
      </c>
      <c r="HR251" s="2"/>
      <c r="HS251" s="2">
        <v>0</v>
      </c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>
        <v>0</v>
      </c>
      <c r="IL251" s="2"/>
      <c r="IM251" s="2"/>
      <c r="IN251" s="2"/>
      <c r="IO251" s="2"/>
      <c r="IP251" s="2"/>
      <c r="IQ251" s="2"/>
      <c r="IR251" s="2"/>
      <c r="IS251" s="2"/>
      <c r="IT251" s="2"/>
      <c r="IU251" s="2"/>
    </row>
    <row r="252" spans="1:255" x14ac:dyDescent="0.2">
      <c r="A252" s="3">
        <v>18</v>
      </c>
      <c r="B252" s="3">
        <v>1</v>
      </c>
      <c r="C252" s="3">
        <v>633</v>
      </c>
      <c r="E252" s="3" t="s">
        <v>446</v>
      </c>
      <c r="F252" s="3" t="s">
        <v>264</v>
      </c>
      <c r="G252" s="3" t="s">
        <v>265</v>
      </c>
      <c r="H252" s="3" t="s">
        <v>266</v>
      </c>
      <c r="I252" s="3">
        <f>I250*J252</f>
        <v>0.11505599999999999</v>
      </c>
      <c r="J252" s="3">
        <v>1.7999999999999999E-2</v>
      </c>
      <c r="K252" s="3">
        <v>8.9999999999999993E-3</v>
      </c>
      <c r="O252" s="3">
        <f t="shared" si="276"/>
        <v>7704.68</v>
      </c>
      <c r="P252" s="3">
        <f t="shared" si="313"/>
        <v>7704.68</v>
      </c>
      <c r="Q252" s="3">
        <f>(ROUND((ROUND(((ET252)*AV252*I252),2)*BB252),2)+ROUND((ROUND(((AE252-(EU252))*AV252*I252),2)*BS252),2))</f>
        <v>0</v>
      </c>
      <c r="R252" s="3">
        <f>(ROUND((ROUND(((EU252)*AV252*I252),2)*BS252),2)+ROUND((ROUND(((AE252-(EU252))*AV252*I252),2)*BS252),2))</f>
        <v>0</v>
      </c>
      <c r="S252" s="3">
        <f t="shared" si="278"/>
        <v>0</v>
      </c>
      <c r="T252" s="3">
        <f t="shared" si="279"/>
        <v>0</v>
      </c>
      <c r="U252" s="3">
        <f t="shared" si="280"/>
        <v>0</v>
      </c>
      <c r="V252" s="3">
        <f t="shared" si="281"/>
        <v>0</v>
      </c>
      <c r="W252" s="3">
        <f t="shared" si="282"/>
        <v>0</v>
      </c>
      <c r="X252" s="3">
        <f>(ROUND((((S252+ROUND((ROUND(((EU252)*AV252*I252),2)*BS252),2))*AT252)/100),2)+ROUND(((ROUND((ROUND(((AE252-(EU252))*AV252*I252),2)*BS252),2)*AT252)/100),2))</f>
        <v>0</v>
      </c>
      <c r="Y252" s="3">
        <f>(ROUND((((S252+ROUND((ROUND(((EU252)*AV252*I252),2)*BS252),2))*AU252)/100),2)+ROUND(((ROUND((ROUND(((AE252-(EU252))*AV252*I252),2)*BS252),2)*AU252)/100),2))</f>
        <v>0</v>
      </c>
      <c r="AA252" s="3">
        <v>85739207</v>
      </c>
      <c r="AB252" s="3">
        <f t="shared" si="283"/>
        <v>18653.07</v>
      </c>
      <c r="AC252" s="3">
        <f>ROUND((ES252),6)</f>
        <v>18653.07</v>
      </c>
      <c r="AD252" s="3">
        <f>ROUND((((ET252)-(EU252))+AE252),6)</f>
        <v>0</v>
      </c>
      <c r="AE252" s="3">
        <f>ROUND((EU252),6)</f>
        <v>0</v>
      </c>
      <c r="AF252" s="3">
        <f>ROUND((EV252),6)</f>
        <v>0</v>
      </c>
      <c r="AG252" s="3">
        <f t="shared" si="284"/>
        <v>0</v>
      </c>
      <c r="AH252" s="3">
        <f>(EW252)</f>
        <v>0</v>
      </c>
      <c r="AI252" s="3">
        <f>(EX252)</f>
        <v>0</v>
      </c>
      <c r="AJ252" s="3">
        <f t="shared" si="285"/>
        <v>0</v>
      </c>
      <c r="AK252" s="3">
        <v>18653.07</v>
      </c>
      <c r="AL252" s="3">
        <v>18653.07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94</v>
      </c>
      <c r="AU252" s="3">
        <v>51</v>
      </c>
      <c r="AV252" s="3">
        <v>1</v>
      </c>
      <c r="AW252" s="3">
        <v>1</v>
      </c>
      <c r="AZ252" s="3">
        <v>1</v>
      </c>
      <c r="BA252" s="3">
        <v>1</v>
      </c>
      <c r="BB252" s="3">
        <v>1</v>
      </c>
      <c r="BC252" s="3">
        <v>3.59</v>
      </c>
      <c r="BD252" s="3" t="s">
        <v>3</v>
      </c>
      <c r="BE252" s="3" t="s">
        <v>3</v>
      </c>
      <c r="BF252" s="3" t="s">
        <v>3</v>
      </c>
      <c r="BG252" s="3" t="s">
        <v>3</v>
      </c>
      <c r="BH252" s="3">
        <v>3</v>
      </c>
      <c r="BI252" s="3">
        <v>1</v>
      </c>
      <c r="BJ252" s="3" t="s">
        <v>267</v>
      </c>
      <c r="BM252" s="3">
        <v>59</v>
      </c>
      <c r="BN252" s="3">
        <v>0</v>
      </c>
      <c r="BO252" s="3" t="s">
        <v>264</v>
      </c>
      <c r="BP252" s="3">
        <v>1</v>
      </c>
      <c r="BQ252" s="3">
        <v>30</v>
      </c>
      <c r="BR252" s="3">
        <v>0</v>
      </c>
      <c r="BS252" s="3">
        <v>1</v>
      </c>
      <c r="BT252" s="3">
        <v>1</v>
      </c>
      <c r="BU252" s="3">
        <v>1</v>
      </c>
      <c r="BV252" s="3">
        <v>1</v>
      </c>
      <c r="BW252" s="3">
        <v>1</v>
      </c>
      <c r="BX252" s="3">
        <v>1</v>
      </c>
      <c r="BY252" s="3" t="s">
        <v>3</v>
      </c>
      <c r="BZ252" s="3">
        <v>94</v>
      </c>
      <c r="CA252" s="3">
        <v>51</v>
      </c>
      <c r="CB252" s="3" t="s">
        <v>3</v>
      </c>
      <c r="CE252" s="3">
        <v>1566</v>
      </c>
      <c r="CF252" s="3">
        <v>0</v>
      </c>
      <c r="CG252" s="3">
        <v>0</v>
      </c>
      <c r="CM252" s="3">
        <v>0</v>
      </c>
      <c r="CN252" s="3" t="s">
        <v>680</v>
      </c>
      <c r="CO252" s="3">
        <v>0</v>
      </c>
      <c r="CP252" s="3">
        <f t="shared" si="286"/>
        <v>7704.68</v>
      </c>
      <c r="CQ252" s="3">
        <f t="shared" si="314"/>
        <v>66964.52</v>
      </c>
      <c r="CR252" s="3">
        <f>(ROUND((ROUND(((ET252)*AV252*1),2)*BB252),2)+ROUND((ROUND(((AE252-(EU252))*AV252*1),2)*BS252),2))</f>
        <v>0</v>
      </c>
      <c r="CS252" s="3">
        <f>(ROUND((ROUND(((EU252)*AV252*1),2)*BS252),2)+ROUND((ROUND(((AE252-(EU252))*AV252*1),2)*BS252),2))</f>
        <v>0</v>
      </c>
      <c r="CT252" s="3">
        <f t="shared" si="288"/>
        <v>0</v>
      </c>
      <c r="CU252" s="3">
        <f t="shared" si="289"/>
        <v>0</v>
      </c>
      <c r="CV252" s="3">
        <f t="shared" si="290"/>
        <v>0</v>
      </c>
      <c r="CW252" s="3">
        <f t="shared" si="291"/>
        <v>0</v>
      </c>
      <c r="CX252" s="3">
        <f t="shared" si="292"/>
        <v>0</v>
      </c>
      <c r="CY252" s="3">
        <f>(ROUND((((S252+ROUND((ROUND(((EU252)*AV252*1),2)*BS252),2))*AT252)/100),2)+ROUND(((ROUND((ROUND(((AE252-(EU252))*AV252*1),2)*BS252),2)*AT252)/100),2))</f>
        <v>0</v>
      </c>
      <c r="CZ252" s="3">
        <f>(ROUND((((S252+ROUND((ROUND(((EU252)*AV252*1),2)*BS252),2))*AU252)/100),2)+ROUND(((ROUND((ROUND(((AE252-(EU252))*AV252*1),2)*BS252),2)*AU252)/100),2))</f>
        <v>0</v>
      </c>
      <c r="DC252" s="3" t="s">
        <v>3</v>
      </c>
      <c r="DD252" s="3" t="s">
        <v>3</v>
      </c>
      <c r="DE252" s="3" t="s">
        <v>3</v>
      </c>
      <c r="DF252" s="3" t="s">
        <v>3</v>
      </c>
      <c r="DG252" s="3" t="s">
        <v>3</v>
      </c>
      <c r="DH252" s="3" t="s">
        <v>3</v>
      </c>
      <c r="DI252" s="3" t="s">
        <v>3</v>
      </c>
      <c r="DJ252" s="3" t="s">
        <v>3</v>
      </c>
      <c r="DK252" s="3" t="s">
        <v>3</v>
      </c>
      <c r="DL252" s="3" t="s">
        <v>3</v>
      </c>
      <c r="DM252" s="3" t="s">
        <v>3</v>
      </c>
      <c r="DN252" s="3">
        <v>0</v>
      </c>
      <c r="DO252" s="3">
        <v>0</v>
      </c>
      <c r="DP252" s="3">
        <v>1</v>
      </c>
      <c r="DQ252" s="3">
        <v>1</v>
      </c>
      <c r="DU252" s="3">
        <v>1009</v>
      </c>
      <c r="DV252" s="3" t="s">
        <v>266</v>
      </c>
      <c r="DW252" s="3" t="s">
        <v>266</v>
      </c>
      <c r="DX252" s="3">
        <v>1000</v>
      </c>
      <c r="DZ252" s="3" t="s">
        <v>3</v>
      </c>
      <c r="EA252" s="3" t="s">
        <v>3</v>
      </c>
      <c r="EB252" s="3" t="s">
        <v>3</v>
      </c>
      <c r="EC252" s="3" t="s">
        <v>3</v>
      </c>
      <c r="EE252" s="3">
        <v>85133409</v>
      </c>
      <c r="EF252" s="3">
        <v>30</v>
      </c>
      <c r="EG252" s="3" t="s">
        <v>49</v>
      </c>
      <c r="EH252" s="3">
        <v>0</v>
      </c>
      <c r="EI252" s="3" t="s">
        <v>3</v>
      </c>
      <c r="EJ252" s="3">
        <v>1</v>
      </c>
      <c r="EK252" s="3">
        <v>59</v>
      </c>
      <c r="EL252" s="3" t="s">
        <v>261</v>
      </c>
      <c r="EM252" s="3" t="s">
        <v>262</v>
      </c>
      <c r="EO252" s="3" t="s">
        <v>248</v>
      </c>
      <c r="EQ252" s="3">
        <v>0</v>
      </c>
      <c r="ER252" s="3">
        <v>18653.07</v>
      </c>
      <c r="ES252" s="3">
        <v>18653.07</v>
      </c>
      <c r="ET252" s="3">
        <v>0</v>
      </c>
      <c r="EU252" s="3">
        <v>0</v>
      </c>
      <c r="EV252" s="3">
        <v>0</v>
      </c>
      <c r="EW252" s="3">
        <v>0</v>
      </c>
      <c r="EX252" s="3">
        <v>0</v>
      </c>
      <c r="FQ252" s="3">
        <v>0</v>
      </c>
      <c r="FR252" s="3">
        <v>0</v>
      </c>
      <c r="FS252" s="3">
        <v>0</v>
      </c>
      <c r="FX252" s="3">
        <v>94</v>
      </c>
      <c r="FY252" s="3">
        <v>51</v>
      </c>
      <c r="GA252" s="3" t="s">
        <v>3</v>
      </c>
      <c r="GD252" s="3">
        <v>1</v>
      </c>
      <c r="GF252" s="3">
        <v>650902129</v>
      </c>
      <c r="GG252" s="3">
        <v>2</v>
      </c>
      <c r="GH252" s="3">
        <v>1</v>
      </c>
      <c r="GI252" s="3">
        <v>2</v>
      </c>
      <c r="GJ252" s="3">
        <v>0</v>
      </c>
      <c r="GK252" s="3">
        <v>0</v>
      </c>
      <c r="GL252" s="3">
        <f t="shared" si="293"/>
        <v>0</v>
      </c>
      <c r="GM252" s="3">
        <f t="shared" si="294"/>
        <v>7704.68</v>
      </c>
      <c r="GN252" s="3">
        <f t="shared" si="295"/>
        <v>7704.68</v>
      </c>
      <c r="GO252" s="3">
        <f t="shared" si="296"/>
        <v>0</v>
      </c>
      <c r="GP252" s="3">
        <f t="shared" si="297"/>
        <v>0</v>
      </c>
      <c r="GR252" s="3">
        <v>0</v>
      </c>
      <c r="GS252" s="3">
        <v>3</v>
      </c>
      <c r="GT252" s="3">
        <v>0</v>
      </c>
      <c r="GU252" s="3" t="s">
        <v>3</v>
      </c>
      <c r="GV252" s="3">
        <f t="shared" si="298"/>
        <v>0</v>
      </c>
      <c r="GW252" s="3">
        <v>1</v>
      </c>
      <c r="GX252" s="3">
        <f t="shared" si="299"/>
        <v>0</v>
      </c>
      <c r="HA252" s="3">
        <v>0</v>
      </c>
      <c r="HB252" s="3">
        <v>0</v>
      </c>
      <c r="HC252" s="3">
        <f t="shared" si="300"/>
        <v>0</v>
      </c>
      <c r="HE252" s="3" t="s">
        <v>3</v>
      </c>
      <c r="HF252" s="3" t="s">
        <v>3</v>
      </c>
      <c r="HM252" s="3" t="s">
        <v>258</v>
      </c>
      <c r="HN252" s="3" t="s">
        <v>3</v>
      </c>
      <c r="HO252" s="3" t="s">
        <v>3</v>
      </c>
      <c r="HP252" s="3" t="s">
        <v>3</v>
      </c>
      <c r="HQ252" s="3" t="s">
        <v>3</v>
      </c>
      <c r="HS252" s="3">
        <v>0</v>
      </c>
      <c r="IK252" s="3">
        <v>0</v>
      </c>
    </row>
    <row r="253" spans="1:255" x14ac:dyDescent="0.2">
      <c r="A253" s="2">
        <v>17</v>
      </c>
      <c r="B253" s="2">
        <v>1</v>
      </c>
      <c r="C253" s="2">
        <f>ROW(SmtRes!A639)</f>
        <v>639</v>
      </c>
      <c r="D253" s="2">
        <f>ROW(EtalonRes!A649)</f>
        <v>649</v>
      </c>
      <c r="E253" s="2" t="s">
        <v>447</v>
      </c>
      <c r="F253" s="2" t="s">
        <v>269</v>
      </c>
      <c r="G253" s="2" t="s">
        <v>270</v>
      </c>
      <c r="H253" s="2" t="s">
        <v>256</v>
      </c>
      <c r="I253" s="2">
        <f>ROUND((639.2)/100,9)</f>
        <v>6.3920000000000003</v>
      </c>
      <c r="J253" s="2">
        <v>0</v>
      </c>
      <c r="K253" s="2">
        <f>ROUND((639.2)/100,9)</f>
        <v>6.3920000000000003</v>
      </c>
      <c r="L253" s="2"/>
      <c r="M253" s="2"/>
      <c r="N253" s="2"/>
      <c r="O253" s="2">
        <f t="shared" si="276"/>
        <v>2171.5700000000002</v>
      </c>
      <c r="P253" s="2">
        <f t="shared" si="313"/>
        <v>1837.96</v>
      </c>
      <c r="Q253" s="2">
        <f>(ROUND((ROUND(((((ET253*1.25)*1.2))*AV253*I253),2)*BB253),2)+ROUND((ROUND(((AE253-(((EU253*1.25)*1.2)))*AV253*I253),2)*BS253),2))</f>
        <v>19.88</v>
      </c>
      <c r="R253" s="2">
        <f>(ROUND((ROUND(((((EU253*1.25)*1.2))*AV253*I253),2)*BS253),2)+ROUND((ROUND(((AE253-(((EU253*1.25)*1.2)))*AV253*I253),2)*BS253),2))</f>
        <v>2.5099999999999998</v>
      </c>
      <c r="S253" s="2">
        <f t="shared" si="278"/>
        <v>313.73</v>
      </c>
      <c r="T253" s="2">
        <f t="shared" si="279"/>
        <v>0</v>
      </c>
      <c r="U253" s="2">
        <f t="shared" si="280"/>
        <v>19.671711105599996</v>
      </c>
      <c r="V253" s="2">
        <f t="shared" si="281"/>
        <v>0</v>
      </c>
      <c r="W253" s="2">
        <f t="shared" si="282"/>
        <v>0</v>
      </c>
      <c r="X253" s="2">
        <f>(ROUND((((S253+ROUND((ROUND(((((EU253*1.25)*1.2))*AV253*I253),2)*BS253),2))*AT253)/100),2)+ROUND(((ROUND((ROUND(((AE253-(((EU253*1.25)*1.2)))*AV253*I253),2)*BS253),2)*AT253)/100),2))</f>
        <v>297.27</v>
      </c>
      <c r="Y253" s="2">
        <f>(ROUND((((S253+ROUND((ROUND(((((EU253*1.25)*1.2))*AV253*I253),2)*BS253),2))*AU253)/100),2)+ROUND(((ROUND((ROUND(((AE253-(((EU253*1.25)*1.2)))*AV253*I253),2)*BS253),2)*AU253)/100),2))</f>
        <v>161.28</v>
      </c>
      <c r="Z253" s="2"/>
      <c r="AA253" s="2">
        <v>85739205</v>
      </c>
      <c r="AB253" s="2">
        <f t="shared" si="283"/>
        <v>337.3886</v>
      </c>
      <c r="AC253" s="2">
        <f>ROUND((((ES253*1)*1)),6)</f>
        <v>287.54000000000002</v>
      </c>
      <c r="AD253" s="2">
        <f>ROUND((((((ET253*1.25)*1.2))-(((EU253*1.25)*1.2)))+AE253),6)</f>
        <v>2.97</v>
      </c>
      <c r="AE253" s="2">
        <f>ROUND((((EU253*1.25)*1.2)),6)</f>
        <v>0.375</v>
      </c>
      <c r="AF253" s="2">
        <f>ROUND((((EV253*1.15)*1.2)),6)</f>
        <v>46.878599999999999</v>
      </c>
      <c r="AG253" s="2">
        <f t="shared" si="284"/>
        <v>0</v>
      </c>
      <c r="AH253" s="2">
        <f>(((EW253*1.15)*1.2))</f>
        <v>2.9393999999999996</v>
      </c>
      <c r="AI253" s="2">
        <f>(((EX253*1.25)*1.2))</f>
        <v>0</v>
      </c>
      <c r="AJ253" s="2">
        <f t="shared" si="285"/>
        <v>0</v>
      </c>
      <c r="AK253" s="2">
        <v>323.49</v>
      </c>
      <c r="AL253" s="2">
        <v>287.54000000000002</v>
      </c>
      <c r="AM253" s="2">
        <v>1.98</v>
      </c>
      <c r="AN253" s="2">
        <v>0.25</v>
      </c>
      <c r="AO253" s="2">
        <v>33.97</v>
      </c>
      <c r="AP253" s="2">
        <v>0</v>
      </c>
      <c r="AQ253" s="2">
        <v>2.13</v>
      </c>
      <c r="AR253" s="2">
        <v>0</v>
      </c>
      <c r="AS253" s="2">
        <v>0</v>
      </c>
      <c r="AT253" s="2">
        <v>94</v>
      </c>
      <c r="AU253" s="2">
        <v>51</v>
      </c>
      <c r="AV253" s="2">
        <v>1.0469999999999999</v>
      </c>
      <c r="AW253" s="2">
        <v>1</v>
      </c>
      <c r="AX253" s="2"/>
      <c r="AY253" s="2"/>
      <c r="AZ253" s="2">
        <v>1</v>
      </c>
      <c r="BA253" s="2">
        <v>1</v>
      </c>
      <c r="BB253" s="2">
        <v>1</v>
      </c>
      <c r="BC253" s="2">
        <v>1</v>
      </c>
      <c r="BD253" s="2" t="s">
        <v>3</v>
      </c>
      <c r="BE253" s="2" t="s">
        <v>3</v>
      </c>
      <c r="BF253" s="2" t="s">
        <v>3</v>
      </c>
      <c r="BG253" s="2" t="s">
        <v>3</v>
      </c>
      <c r="BH253" s="2">
        <v>0</v>
      </c>
      <c r="BI253" s="2">
        <v>1</v>
      </c>
      <c r="BJ253" s="2" t="s">
        <v>271</v>
      </c>
      <c r="BK253" s="2"/>
      <c r="BL253" s="2"/>
      <c r="BM253" s="2">
        <v>59</v>
      </c>
      <c r="BN253" s="2">
        <v>0</v>
      </c>
      <c r="BO253" s="2" t="s">
        <v>269</v>
      </c>
      <c r="BP253" s="2">
        <v>1</v>
      </c>
      <c r="BQ253" s="2">
        <v>30</v>
      </c>
      <c r="BR253" s="2">
        <v>0</v>
      </c>
      <c r="BS253" s="2">
        <v>1</v>
      </c>
      <c r="BT253" s="2">
        <v>1</v>
      </c>
      <c r="BU253" s="2">
        <v>1</v>
      </c>
      <c r="BV253" s="2">
        <v>1</v>
      </c>
      <c r="BW253" s="2">
        <v>1</v>
      </c>
      <c r="BX253" s="2">
        <v>1</v>
      </c>
      <c r="BY253" s="2" t="s">
        <v>3</v>
      </c>
      <c r="BZ253" s="2">
        <v>94</v>
      </c>
      <c r="CA253" s="2">
        <v>51</v>
      </c>
      <c r="CB253" s="2" t="s">
        <v>3</v>
      </c>
      <c r="CC253" s="2"/>
      <c r="CD253" s="2"/>
      <c r="CE253" s="2">
        <v>1566</v>
      </c>
      <c r="CF253" s="2">
        <v>0</v>
      </c>
      <c r="CG253" s="2">
        <v>0</v>
      </c>
      <c r="CH253" s="2"/>
      <c r="CI253" s="2"/>
      <c r="CJ253" s="2"/>
      <c r="CK253" s="2"/>
      <c r="CL253" s="2"/>
      <c r="CM253" s="2">
        <v>0</v>
      </c>
      <c r="CN253" s="2" t="s">
        <v>678</v>
      </c>
      <c r="CO253" s="2">
        <v>0</v>
      </c>
      <c r="CP253" s="2">
        <f t="shared" si="286"/>
        <v>2171.5700000000002</v>
      </c>
      <c r="CQ253" s="2">
        <f t="shared" si="314"/>
        <v>287.54000000000002</v>
      </c>
      <c r="CR253" s="2">
        <f>(ROUND((ROUND(((((ET253*1.25)*1.2))*AV253*1),2)*BB253),2)+ROUND((ROUND(((AE253-(((EU253*1.25)*1.2)))*AV253*1),2)*BS253),2))</f>
        <v>3.11</v>
      </c>
      <c r="CS253" s="2">
        <f>(ROUND((ROUND(((((EU253*1.25)*1.2))*AV253*1),2)*BS253),2)+ROUND((ROUND(((AE253-(((EU253*1.25)*1.2)))*AV253*1),2)*BS253),2))</f>
        <v>0.39</v>
      </c>
      <c r="CT253" s="2">
        <f t="shared" si="288"/>
        <v>49.08</v>
      </c>
      <c r="CU253" s="2">
        <f t="shared" si="289"/>
        <v>0</v>
      </c>
      <c r="CV253" s="2">
        <f t="shared" si="290"/>
        <v>3.0775517999999993</v>
      </c>
      <c r="CW253" s="2">
        <f t="shared" si="291"/>
        <v>0</v>
      </c>
      <c r="CX253" s="2">
        <f t="shared" si="292"/>
        <v>0</v>
      </c>
      <c r="CY253" s="2">
        <f>(ROUND((((S253+ROUND((ROUND(((((EU253*1.25)*1.2))*AV253*1),2)*BS253),2))*AT253)/100),2)+ROUND(((ROUND((ROUND(((AE253-(((EU253*1.25)*1.2)))*AV253*1),2)*BS253),2)*AT253)/100),2))</f>
        <v>295.27</v>
      </c>
      <c r="CZ253" s="2">
        <f>(ROUND((((S253+ROUND((ROUND(((((EU253*1.25)*1.2))*AV253*1),2)*BS253),2))*AU253)/100),2)+ROUND(((ROUND((ROUND(((AE253-(((EU253*1.25)*1.2)))*AV253*1),2)*BS253),2)*AU253)/100),2))</f>
        <v>160.19999999999999</v>
      </c>
      <c r="DA253" s="2"/>
      <c r="DB253" s="2">
        <v>97</v>
      </c>
      <c r="DC253" s="2" t="s">
        <v>3</v>
      </c>
      <c r="DD253" s="2" t="s">
        <v>77</v>
      </c>
      <c r="DE253" s="2" t="s">
        <v>78</v>
      </c>
      <c r="DF253" s="2" t="s">
        <v>78</v>
      </c>
      <c r="DG253" s="2" t="s">
        <v>79</v>
      </c>
      <c r="DH253" s="2" t="s">
        <v>3</v>
      </c>
      <c r="DI253" s="2" t="s">
        <v>79</v>
      </c>
      <c r="DJ253" s="2" t="s">
        <v>78</v>
      </c>
      <c r="DK253" s="2" t="s">
        <v>3</v>
      </c>
      <c r="DL253" s="2" t="s">
        <v>3</v>
      </c>
      <c r="DM253" s="2" t="s">
        <v>3</v>
      </c>
      <c r="DN253" s="2">
        <v>0</v>
      </c>
      <c r="DO253" s="2">
        <v>0</v>
      </c>
      <c r="DP253" s="2">
        <v>1</v>
      </c>
      <c r="DQ253" s="2">
        <v>1</v>
      </c>
      <c r="DR253" s="2"/>
      <c r="DS253" s="2"/>
      <c r="DT253" s="2"/>
      <c r="DU253" s="2">
        <v>1005</v>
      </c>
      <c r="DV253" s="2" t="s">
        <v>256</v>
      </c>
      <c r="DW253" s="2" t="s">
        <v>256</v>
      </c>
      <c r="DX253" s="2">
        <v>100</v>
      </c>
      <c r="DY253" s="2"/>
      <c r="DZ253" s="2" t="s">
        <v>3</v>
      </c>
      <c r="EA253" s="2" t="s">
        <v>3</v>
      </c>
      <c r="EB253" s="2" t="s">
        <v>3</v>
      </c>
      <c r="EC253" s="2" t="s">
        <v>3</v>
      </c>
      <c r="ED253" s="2"/>
      <c r="EE253" s="2">
        <v>85133409</v>
      </c>
      <c r="EF253" s="2">
        <v>30</v>
      </c>
      <c r="EG253" s="2" t="s">
        <v>49</v>
      </c>
      <c r="EH253" s="2">
        <v>0</v>
      </c>
      <c r="EI253" s="2" t="s">
        <v>3</v>
      </c>
      <c r="EJ253" s="2">
        <v>1</v>
      </c>
      <c r="EK253" s="2">
        <v>59</v>
      </c>
      <c r="EL253" s="2" t="s">
        <v>261</v>
      </c>
      <c r="EM253" s="2" t="s">
        <v>262</v>
      </c>
      <c r="EN253" s="2"/>
      <c r="EO253" s="2" t="s">
        <v>80</v>
      </c>
      <c r="EP253" s="2"/>
      <c r="EQ253" s="2">
        <v>0</v>
      </c>
      <c r="ER253" s="2">
        <v>323.49</v>
      </c>
      <c r="ES253" s="2">
        <v>287.54000000000002</v>
      </c>
      <c r="ET253" s="2">
        <v>1.98</v>
      </c>
      <c r="EU253" s="2">
        <v>0.25</v>
      </c>
      <c r="EV253" s="2">
        <v>33.97</v>
      </c>
      <c r="EW253" s="2">
        <v>2.13</v>
      </c>
      <c r="EX253" s="2">
        <v>0</v>
      </c>
      <c r="EY253" s="2">
        <v>0</v>
      </c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>
        <v>0</v>
      </c>
      <c r="FR253" s="2">
        <v>0</v>
      </c>
      <c r="FS253" s="2">
        <v>0</v>
      </c>
      <c r="FT253" s="2"/>
      <c r="FU253" s="2"/>
      <c r="FV253" s="2"/>
      <c r="FW253" s="2"/>
      <c r="FX253" s="2">
        <v>94</v>
      </c>
      <c r="FY253" s="2">
        <v>51</v>
      </c>
      <c r="FZ253" s="2"/>
      <c r="GA253" s="2" t="s">
        <v>3</v>
      </c>
      <c r="GB253" s="2"/>
      <c r="GC253" s="2"/>
      <c r="GD253" s="2">
        <v>1</v>
      </c>
      <c r="GE253" s="2"/>
      <c r="GF253" s="2">
        <v>-1685271516</v>
      </c>
      <c r="GG253" s="2">
        <v>2</v>
      </c>
      <c r="GH253" s="2">
        <v>1</v>
      </c>
      <c r="GI253" s="2">
        <v>2</v>
      </c>
      <c r="GJ253" s="2">
        <v>0</v>
      </c>
      <c r="GK253" s="2">
        <v>0</v>
      </c>
      <c r="GL253" s="2">
        <f t="shared" si="293"/>
        <v>0</v>
      </c>
      <c r="GM253" s="2">
        <f t="shared" si="294"/>
        <v>2630.12</v>
      </c>
      <c r="GN253" s="2">
        <f t="shared" si="295"/>
        <v>2630.12</v>
      </c>
      <c r="GO253" s="2">
        <f t="shared" si="296"/>
        <v>0</v>
      </c>
      <c r="GP253" s="2">
        <f t="shared" si="297"/>
        <v>0</v>
      </c>
      <c r="GQ253" s="2"/>
      <c r="GR253" s="2">
        <v>0</v>
      </c>
      <c r="GS253" s="2">
        <v>3</v>
      </c>
      <c r="GT253" s="2">
        <v>0</v>
      </c>
      <c r="GU253" s="2" t="s">
        <v>3</v>
      </c>
      <c r="GV253" s="2">
        <f t="shared" si="298"/>
        <v>0</v>
      </c>
      <c r="GW253" s="2">
        <v>1</v>
      </c>
      <c r="GX253" s="2">
        <f t="shared" si="299"/>
        <v>0</v>
      </c>
      <c r="GY253" s="2"/>
      <c r="GZ253" s="2"/>
      <c r="HA253" s="2">
        <v>0</v>
      </c>
      <c r="HB253" s="2">
        <v>0</v>
      </c>
      <c r="HC253" s="2">
        <f t="shared" si="300"/>
        <v>0</v>
      </c>
      <c r="HD253" s="2"/>
      <c r="HE253" s="2" t="s">
        <v>3</v>
      </c>
      <c r="HF253" s="2" t="s">
        <v>3</v>
      </c>
      <c r="HG253" s="2"/>
      <c r="HH253" s="2"/>
      <c r="HI253" s="2"/>
      <c r="HJ253" s="2"/>
      <c r="HK253" s="2"/>
      <c r="HL253" s="2"/>
      <c r="HM253" s="2" t="s">
        <v>3</v>
      </c>
      <c r="HN253" s="2" t="s">
        <v>3</v>
      </c>
      <c r="HO253" s="2" t="s">
        <v>3</v>
      </c>
      <c r="HP253" s="2" t="s">
        <v>3</v>
      </c>
      <c r="HQ253" s="2" t="s">
        <v>3</v>
      </c>
      <c r="HR253" s="2"/>
      <c r="HS253" s="2">
        <v>0</v>
      </c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>
        <v>0</v>
      </c>
      <c r="IL253" s="2"/>
      <c r="IM253" s="2"/>
      <c r="IN253" s="2"/>
      <c r="IO253" s="2"/>
      <c r="IP253" s="2"/>
      <c r="IQ253" s="2"/>
      <c r="IR253" s="2"/>
      <c r="IS253" s="2"/>
      <c r="IT253" s="2"/>
      <c r="IU253" s="2"/>
    </row>
    <row r="254" spans="1:255" x14ac:dyDescent="0.2">
      <c r="A254" s="3">
        <v>17</v>
      </c>
      <c r="B254" s="3">
        <v>1</v>
      </c>
      <c r="C254" s="3">
        <f>ROW(SmtRes!A644)</f>
        <v>644</v>
      </c>
      <c r="D254" s="3">
        <f>ROW(EtalonRes!A654)</f>
        <v>654</v>
      </c>
      <c r="E254" s="3" t="s">
        <v>447</v>
      </c>
      <c r="F254" s="3" t="s">
        <v>269</v>
      </c>
      <c r="G254" s="3" t="s">
        <v>270</v>
      </c>
      <c r="H254" s="3" t="s">
        <v>256</v>
      </c>
      <c r="I254" s="3">
        <f>ROUND((639.2)/100,9)</f>
        <v>6.3920000000000003</v>
      </c>
      <c r="J254" s="3">
        <v>0</v>
      </c>
      <c r="K254" s="3">
        <f>ROUND((639.2)/100,9)</f>
        <v>6.3920000000000003</v>
      </c>
      <c r="O254" s="3">
        <f t="shared" si="276"/>
        <v>24348.47</v>
      </c>
      <c r="P254" s="3">
        <f t="shared" si="313"/>
        <v>6340.96</v>
      </c>
      <c r="Q254" s="3">
        <f>(ROUND((ROUND(((((ET254*1.25)*1.2))*AV254*I254),2)*BB254),2)+ROUND((ROUND(((AE254-(((EU254*1.25)*1.2)))*AV254*I254),2)*BS254),2))</f>
        <v>328.82</v>
      </c>
      <c r="R254" s="3">
        <f>(ROUND((ROUND(((((EU254*1.25)*1.2))*AV254*I254),2)*BS254),2)+ROUND((ROUND(((AE254-(((EU254*1.25)*1.2)))*AV254*I254),2)*BS254),2))</f>
        <v>141.44</v>
      </c>
      <c r="S254" s="3">
        <f t="shared" si="278"/>
        <v>17678.689999999999</v>
      </c>
      <c r="T254" s="3">
        <f t="shared" si="279"/>
        <v>0</v>
      </c>
      <c r="U254" s="3">
        <f t="shared" si="280"/>
        <v>19.671711105599996</v>
      </c>
      <c r="V254" s="3">
        <f t="shared" si="281"/>
        <v>0</v>
      </c>
      <c r="W254" s="3">
        <f t="shared" si="282"/>
        <v>0</v>
      </c>
      <c r="X254" s="3">
        <f>(ROUND((((S254+ROUND((ROUND(((((EU254*1.25)*1.2))*AV254*I254),2)*BS254),2))*AT254)/100),2)+ROUND(((ROUND((ROUND(((AE254-(((EU254*1.25)*1.2)))*AV254*I254),2)*BS254),2)*AT254)/100),2))</f>
        <v>16750.919999999998</v>
      </c>
      <c r="Y254" s="3">
        <f>(ROUND((((S254+ROUND((ROUND(((((EU254*1.25)*1.2))*AV254*I254),2)*BS254),2))*AU254)/100),2)+ROUND(((ROUND((ROUND(((AE254-(((EU254*1.25)*1.2)))*AV254*I254),2)*BS254),2)*AU254)/100),2))</f>
        <v>9088.27</v>
      </c>
      <c r="AA254" s="3">
        <v>85739207</v>
      </c>
      <c r="AB254" s="3">
        <f t="shared" si="283"/>
        <v>337.3886</v>
      </c>
      <c r="AC254" s="3">
        <f>ROUND((((ES254*1)*1)),6)</f>
        <v>287.54000000000002</v>
      </c>
      <c r="AD254" s="3">
        <f>ROUND((((((ET254*1.25)*1.2))-(((EU254*1.25)*1.2)))+AE254),6)</f>
        <v>2.97</v>
      </c>
      <c r="AE254" s="3">
        <f>ROUND((((EU254*1.25)*1.2)),6)</f>
        <v>0.375</v>
      </c>
      <c r="AF254" s="3">
        <f>ROUND((((EV254*1.15)*1.2)),6)</f>
        <v>46.878599999999999</v>
      </c>
      <c r="AG254" s="3">
        <f t="shared" si="284"/>
        <v>0</v>
      </c>
      <c r="AH254" s="3">
        <f>(((EW254*1.15)*1.2))</f>
        <v>2.9393999999999996</v>
      </c>
      <c r="AI254" s="3">
        <f>(((EX254*1.25)*1.2))</f>
        <v>0</v>
      </c>
      <c r="AJ254" s="3">
        <f t="shared" si="285"/>
        <v>0</v>
      </c>
      <c r="AK254" s="3">
        <v>323.49</v>
      </c>
      <c r="AL254" s="3">
        <v>287.54000000000002</v>
      </c>
      <c r="AM254" s="3">
        <v>1.98</v>
      </c>
      <c r="AN254" s="3">
        <v>0.25</v>
      </c>
      <c r="AO254" s="3">
        <v>33.97</v>
      </c>
      <c r="AP254" s="3">
        <v>0</v>
      </c>
      <c r="AQ254" s="3">
        <v>2.13</v>
      </c>
      <c r="AR254" s="3">
        <v>0</v>
      </c>
      <c r="AS254" s="3">
        <v>0</v>
      </c>
      <c r="AT254" s="3">
        <v>94</v>
      </c>
      <c r="AU254" s="3">
        <v>51</v>
      </c>
      <c r="AV254" s="3">
        <v>1.0469999999999999</v>
      </c>
      <c r="AW254" s="3">
        <v>1</v>
      </c>
      <c r="AZ254" s="3">
        <v>1</v>
      </c>
      <c r="BA254" s="3">
        <v>56.35</v>
      </c>
      <c r="BB254" s="3">
        <v>16.54</v>
      </c>
      <c r="BC254" s="3">
        <v>3.45</v>
      </c>
      <c r="BD254" s="3" t="s">
        <v>3</v>
      </c>
      <c r="BE254" s="3" t="s">
        <v>3</v>
      </c>
      <c r="BF254" s="3" t="s">
        <v>3</v>
      </c>
      <c r="BG254" s="3" t="s">
        <v>3</v>
      </c>
      <c r="BH254" s="3">
        <v>0</v>
      </c>
      <c r="BI254" s="3">
        <v>1</v>
      </c>
      <c r="BJ254" s="3" t="s">
        <v>271</v>
      </c>
      <c r="BM254" s="3">
        <v>59</v>
      </c>
      <c r="BN254" s="3">
        <v>0</v>
      </c>
      <c r="BO254" s="3" t="s">
        <v>269</v>
      </c>
      <c r="BP254" s="3">
        <v>1</v>
      </c>
      <c r="BQ254" s="3">
        <v>30</v>
      </c>
      <c r="BR254" s="3">
        <v>0</v>
      </c>
      <c r="BS254" s="3">
        <v>56.35</v>
      </c>
      <c r="BT254" s="3">
        <v>1</v>
      </c>
      <c r="BU254" s="3">
        <v>1</v>
      </c>
      <c r="BV254" s="3">
        <v>1</v>
      </c>
      <c r="BW254" s="3">
        <v>1</v>
      </c>
      <c r="BX254" s="3">
        <v>1</v>
      </c>
      <c r="BY254" s="3" t="s">
        <v>3</v>
      </c>
      <c r="BZ254" s="3">
        <v>94</v>
      </c>
      <c r="CA254" s="3">
        <v>51</v>
      </c>
      <c r="CB254" s="3" t="s">
        <v>3</v>
      </c>
      <c r="CE254" s="3">
        <v>1566</v>
      </c>
      <c r="CF254" s="3">
        <v>0</v>
      </c>
      <c r="CG254" s="3">
        <v>0</v>
      </c>
      <c r="CM254" s="3">
        <v>0</v>
      </c>
      <c r="CN254" s="3" t="s">
        <v>678</v>
      </c>
      <c r="CO254" s="3">
        <v>0</v>
      </c>
      <c r="CP254" s="3">
        <f t="shared" si="286"/>
        <v>24348.469999999998</v>
      </c>
      <c r="CQ254" s="3">
        <f t="shared" si="314"/>
        <v>992.01</v>
      </c>
      <c r="CR254" s="3">
        <f>(ROUND((ROUND(((((ET254*1.25)*1.2))*AV254*1),2)*BB254),2)+ROUND((ROUND(((AE254-(((EU254*1.25)*1.2)))*AV254*1),2)*BS254),2))</f>
        <v>51.44</v>
      </c>
      <c r="CS254" s="3">
        <f>(ROUND((ROUND(((((EU254*1.25)*1.2))*AV254*1),2)*BS254),2)+ROUND((ROUND(((AE254-(((EU254*1.25)*1.2)))*AV254*1),2)*BS254),2))</f>
        <v>21.98</v>
      </c>
      <c r="CT254" s="3">
        <f t="shared" si="288"/>
        <v>2765.66</v>
      </c>
      <c r="CU254" s="3">
        <f t="shared" si="289"/>
        <v>0</v>
      </c>
      <c r="CV254" s="3">
        <f t="shared" si="290"/>
        <v>3.0775517999999993</v>
      </c>
      <c r="CW254" s="3">
        <f t="shared" si="291"/>
        <v>0</v>
      </c>
      <c r="CX254" s="3">
        <f t="shared" si="292"/>
        <v>0</v>
      </c>
      <c r="CY254" s="3">
        <f>(ROUND((((S254+ROUND((ROUND(((((EU254*1.25)*1.2))*AV254*1),2)*BS254),2))*AT254)/100),2)+ROUND(((ROUND((ROUND(((AE254-(((EU254*1.25)*1.2)))*AV254*1),2)*BS254),2)*AT254)/100),2))</f>
        <v>16638.63</v>
      </c>
      <c r="CZ254" s="3">
        <f>(ROUND((((S254+ROUND((ROUND(((((EU254*1.25)*1.2))*AV254*1),2)*BS254),2))*AU254)/100),2)+ROUND(((ROUND((ROUND(((AE254-(((EU254*1.25)*1.2)))*AV254*1),2)*BS254),2)*AU254)/100),2))</f>
        <v>9027.34</v>
      </c>
      <c r="DB254" s="3">
        <v>99</v>
      </c>
      <c r="DC254" s="3" t="s">
        <v>3</v>
      </c>
      <c r="DD254" s="3" t="s">
        <v>77</v>
      </c>
      <c r="DE254" s="3" t="s">
        <v>78</v>
      </c>
      <c r="DF254" s="3" t="s">
        <v>78</v>
      </c>
      <c r="DG254" s="3" t="s">
        <v>79</v>
      </c>
      <c r="DH254" s="3" t="s">
        <v>3</v>
      </c>
      <c r="DI254" s="3" t="s">
        <v>79</v>
      </c>
      <c r="DJ254" s="3" t="s">
        <v>78</v>
      </c>
      <c r="DK254" s="3" t="s">
        <v>3</v>
      </c>
      <c r="DL254" s="3" t="s">
        <v>3</v>
      </c>
      <c r="DM254" s="3" t="s">
        <v>3</v>
      </c>
      <c r="DN254" s="3">
        <v>0</v>
      </c>
      <c r="DO254" s="3">
        <v>0</v>
      </c>
      <c r="DP254" s="3">
        <v>1</v>
      </c>
      <c r="DQ254" s="3">
        <v>1</v>
      </c>
      <c r="DU254" s="3">
        <v>1005</v>
      </c>
      <c r="DV254" s="3" t="s">
        <v>256</v>
      </c>
      <c r="DW254" s="3" t="s">
        <v>256</v>
      </c>
      <c r="DX254" s="3">
        <v>100</v>
      </c>
      <c r="DZ254" s="3" t="s">
        <v>3</v>
      </c>
      <c r="EA254" s="3" t="s">
        <v>3</v>
      </c>
      <c r="EB254" s="3" t="s">
        <v>3</v>
      </c>
      <c r="EC254" s="3" t="s">
        <v>3</v>
      </c>
      <c r="EE254" s="3">
        <v>85133409</v>
      </c>
      <c r="EF254" s="3">
        <v>30</v>
      </c>
      <c r="EG254" s="3" t="s">
        <v>49</v>
      </c>
      <c r="EH254" s="3">
        <v>0</v>
      </c>
      <c r="EI254" s="3" t="s">
        <v>3</v>
      </c>
      <c r="EJ254" s="3">
        <v>1</v>
      </c>
      <c r="EK254" s="3">
        <v>59</v>
      </c>
      <c r="EL254" s="3" t="s">
        <v>261</v>
      </c>
      <c r="EM254" s="3" t="s">
        <v>262</v>
      </c>
      <c r="EO254" s="3" t="s">
        <v>80</v>
      </c>
      <c r="EQ254" s="3">
        <v>0</v>
      </c>
      <c r="ER254" s="3">
        <v>323.49</v>
      </c>
      <c r="ES254" s="3">
        <v>287.54000000000002</v>
      </c>
      <c r="ET254" s="3">
        <v>1.98</v>
      </c>
      <c r="EU254" s="3">
        <v>0.25</v>
      </c>
      <c r="EV254" s="3">
        <v>33.97</v>
      </c>
      <c r="EW254" s="3">
        <v>2.13</v>
      </c>
      <c r="EX254" s="3">
        <v>0</v>
      </c>
      <c r="EY254" s="3">
        <v>0</v>
      </c>
      <c r="FQ254" s="3">
        <v>0</v>
      </c>
      <c r="FR254" s="3">
        <v>0</v>
      </c>
      <c r="FS254" s="3">
        <v>0</v>
      </c>
      <c r="FX254" s="3">
        <v>94</v>
      </c>
      <c r="FY254" s="3">
        <v>51</v>
      </c>
      <c r="GA254" s="3" t="s">
        <v>3</v>
      </c>
      <c r="GD254" s="3">
        <v>1</v>
      </c>
      <c r="GF254" s="3">
        <v>-1685271516</v>
      </c>
      <c r="GG254" s="3">
        <v>2</v>
      </c>
      <c r="GH254" s="3">
        <v>1</v>
      </c>
      <c r="GI254" s="3">
        <v>2</v>
      </c>
      <c r="GJ254" s="3">
        <v>0</v>
      </c>
      <c r="GK254" s="3">
        <v>0</v>
      </c>
      <c r="GL254" s="3">
        <f t="shared" si="293"/>
        <v>0</v>
      </c>
      <c r="GM254" s="3">
        <f t="shared" si="294"/>
        <v>50187.66</v>
      </c>
      <c r="GN254" s="3">
        <f t="shared" si="295"/>
        <v>50187.66</v>
      </c>
      <c r="GO254" s="3">
        <f t="shared" si="296"/>
        <v>0</v>
      </c>
      <c r="GP254" s="3">
        <f t="shared" si="297"/>
        <v>0</v>
      </c>
      <c r="GR254" s="3">
        <v>0</v>
      </c>
      <c r="GS254" s="3">
        <v>3</v>
      </c>
      <c r="GT254" s="3">
        <v>0</v>
      </c>
      <c r="GU254" s="3" t="s">
        <v>3</v>
      </c>
      <c r="GV254" s="3">
        <f t="shared" si="298"/>
        <v>0</v>
      </c>
      <c r="GW254" s="3">
        <v>1</v>
      </c>
      <c r="GX254" s="3">
        <f t="shared" si="299"/>
        <v>0</v>
      </c>
      <c r="HA254" s="3">
        <v>0</v>
      </c>
      <c r="HB254" s="3">
        <v>0</v>
      </c>
      <c r="HC254" s="3">
        <f t="shared" si="300"/>
        <v>0</v>
      </c>
      <c r="HE254" s="3" t="s">
        <v>3</v>
      </c>
      <c r="HF254" s="3" t="s">
        <v>3</v>
      </c>
      <c r="HM254" s="3" t="s">
        <v>3</v>
      </c>
      <c r="HN254" s="3" t="s">
        <v>3</v>
      </c>
      <c r="HO254" s="3" t="s">
        <v>3</v>
      </c>
      <c r="HP254" s="3" t="s">
        <v>3</v>
      </c>
      <c r="HQ254" s="3" t="s">
        <v>3</v>
      </c>
      <c r="HS254" s="3">
        <v>0</v>
      </c>
      <c r="IK254" s="3">
        <v>0</v>
      </c>
    </row>
    <row r="256" spans="1:255" x14ac:dyDescent="0.2">
      <c r="A256" s="11">
        <v>51</v>
      </c>
      <c r="B256" s="11">
        <f>B169</f>
        <v>1</v>
      </c>
      <c r="C256" s="11">
        <f>A169</f>
        <v>4</v>
      </c>
      <c r="D256" s="11">
        <f>ROW(A169)</f>
        <v>169</v>
      </c>
      <c r="E256" s="11"/>
      <c r="F256" s="11" t="str">
        <f>IF(F169&lt;&gt;"",F169,"")</f>
        <v>Новый раздел</v>
      </c>
      <c r="G256" s="11" t="str">
        <f>IF(G169&lt;&gt;"",G169,"")</f>
        <v>Автоматическая установка водяного пожаротушения.</v>
      </c>
      <c r="H256" s="11">
        <v>0</v>
      </c>
      <c r="I256" s="11"/>
      <c r="J256" s="11"/>
      <c r="K256" s="11"/>
      <c r="L256" s="11"/>
      <c r="M256" s="11"/>
      <c r="N256" s="11"/>
      <c r="O256" s="11">
        <f t="shared" ref="O256:T256" si="315">ROUND(AB256,2)</f>
        <v>455268.9</v>
      </c>
      <c r="P256" s="11">
        <f t="shared" si="315"/>
        <v>350134.9</v>
      </c>
      <c r="Q256" s="11">
        <f t="shared" si="315"/>
        <v>23138.28</v>
      </c>
      <c r="R256" s="11">
        <f t="shared" si="315"/>
        <v>3584.36</v>
      </c>
      <c r="S256" s="11">
        <f t="shared" si="315"/>
        <v>81995.72</v>
      </c>
      <c r="T256" s="11">
        <f t="shared" si="315"/>
        <v>0</v>
      </c>
      <c r="U256" s="11">
        <f>AH256</f>
        <v>6516.6522977999994</v>
      </c>
      <c r="V256" s="11">
        <f>AI256</f>
        <v>0</v>
      </c>
      <c r="W256" s="11">
        <f>ROUND(AJ256,2)</f>
        <v>0</v>
      </c>
      <c r="X256" s="11">
        <f>ROUND(AK256,2)</f>
        <v>77675.92</v>
      </c>
      <c r="Y256" s="11">
        <f>ROUND(AL256,2)</f>
        <v>39815.99</v>
      </c>
      <c r="Z256" s="11"/>
      <c r="AA256" s="11"/>
      <c r="AB256" s="11">
        <f>ROUND(SUMIF(AA173:AA254,"=85739205",O173:O254),2)</f>
        <v>455268.9</v>
      </c>
      <c r="AC256" s="11">
        <f>ROUND(SUMIF(AA173:AA254,"=85739205",P173:P254),2)</f>
        <v>350134.9</v>
      </c>
      <c r="AD256" s="11">
        <f>ROUND(SUMIF(AA173:AA254,"=85739205",Q173:Q254),2)</f>
        <v>23138.28</v>
      </c>
      <c r="AE256" s="11">
        <f>ROUND(SUMIF(AA173:AA254,"=85739205",R173:R254),2)</f>
        <v>3584.36</v>
      </c>
      <c r="AF256" s="11">
        <f>ROUND(SUMIF(AA173:AA254,"=85739205",S173:S254),2)</f>
        <v>81995.72</v>
      </c>
      <c r="AG256" s="11">
        <f>ROUND(SUMIF(AA173:AA254,"=85739205",T173:T254),2)</f>
        <v>0</v>
      </c>
      <c r="AH256" s="11">
        <f>SUMIF(AA173:AA254,"=85739205",U173:U254)</f>
        <v>6516.6522977999994</v>
      </c>
      <c r="AI256" s="11">
        <f>SUMIF(AA173:AA254,"=85739205",V173:V254)</f>
        <v>0</v>
      </c>
      <c r="AJ256" s="11">
        <f>ROUND(SUMIF(AA173:AA254,"=85739205",W173:W254),2)</f>
        <v>0</v>
      </c>
      <c r="AK256" s="11">
        <f>ROUND(SUMIF(AA173:AA254,"=85739205",X173:X254),2)</f>
        <v>77675.92</v>
      </c>
      <c r="AL256" s="11">
        <f>ROUND(SUMIF(AA173:AA254,"=85739205",Y173:Y254),2)</f>
        <v>39815.99</v>
      </c>
      <c r="AM256" s="11"/>
      <c r="AN256" s="11"/>
      <c r="AO256" s="11">
        <f t="shared" ref="AO256:BD256" si="316">ROUND(BX256,2)</f>
        <v>0</v>
      </c>
      <c r="AP256" s="11">
        <f t="shared" si="316"/>
        <v>1798.97</v>
      </c>
      <c r="AQ256" s="11">
        <f t="shared" si="316"/>
        <v>0</v>
      </c>
      <c r="AR256" s="11">
        <f t="shared" si="316"/>
        <v>572760.81000000006</v>
      </c>
      <c r="AS256" s="11">
        <f t="shared" si="316"/>
        <v>26803.06</v>
      </c>
      <c r="AT256" s="11">
        <f t="shared" si="316"/>
        <v>544158.78</v>
      </c>
      <c r="AU256" s="11">
        <f t="shared" si="316"/>
        <v>0</v>
      </c>
      <c r="AV256" s="11">
        <f t="shared" si="316"/>
        <v>350134.9</v>
      </c>
      <c r="AW256" s="11">
        <f t="shared" si="316"/>
        <v>348335.93</v>
      </c>
      <c r="AX256" s="11">
        <f t="shared" si="316"/>
        <v>0</v>
      </c>
      <c r="AY256" s="11">
        <f t="shared" si="316"/>
        <v>348335.93</v>
      </c>
      <c r="AZ256" s="11">
        <f t="shared" si="316"/>
        <v>1798.97</v>
      </c>
      <c r="BA256" s="11">
        <f t="shared" si="316"/>
        <v>0</v>
      </c>
      <c r="BB256" s="11">
        <f t="shared" si="316"/>
        <v>0</v>
      </c>
      <c r="BC256" s="11">
        <f t="shared" si="316"/>
        <v>0</v>
      </c>
      <c r="BD256" s="11">
        <f t="shared" si="316"/>
        <v>0</v>
      </c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>
        <f>ROUND(SUMIF(AA173:AA254,"=85739205",FQ173:FQ254),2)</f>
        <v>0</v>
      </c>
      <c r="BY256" s="11">
        <f>ROUND(SUMIF(AA173:AA254,"=85739205",FR173:FR254),2)</f>
        <v>1798.97</v>
      </c>
      <c r="BZ256" s="11">
        <f>ROUND(SUMIF(AA173:AA254,"=85739205",GL173:GL254),2)</f>
        <v>0</v>
      </c>
      <c r="CA256" s="11">
        <f>ROUND(SUMIF(AA173:AA254,"=85739205",GM173:GM254),2)</f>
        <v>572760.81000000006</v>
      </c>
      <c r="CB256" s="11">
        <f>ROUND(SUMIF(AA173:AA254,"=85739205",GN173:GN254),2)</f>
        <v>26803.06</v>
      </c>
      <c r="CC256" s="11">
        <f>ROUND(SUMIF(AA173:AA254,"=85739205",GO173:GO254),2)</f>
        <v>544158.78</v>
      </c>
      <c r="CD256" s="11">
        <f>ROUND(SUMIF(AA173:AA254,"=85739205",GP173:GP254),2)</f>
        <v>0</v>
      </c>
      <c r="CE256" s="11">
        <f>AC256-BX256</f>
        <v>350134.9</v>
      </c>
      <c r="CF256" s="11">
        <f>AC256-BY256</f>
        <v>348335.93000000005</v>
      </c>
      <c r="CG256" s="11">
        <f>BX256-BZ256</f>
        <v>0</v>
      </c>
      <c r="CH256" s="11">
        <f>AC256-BX256-BY256+BZ256</f>
        <v>348335.93000000005</v>
      </c>
      <c r="CI256" s="11">
        <f>BY256-BZ256</f>
        <v>1798.97</v>
      </c>
      <c r="CJ256" s="11">
        <f>ROUND(SUMIF(AA173:AA254,"=85739205",GX173:GX254),2)</f>
        <v>0</v>
      </c>
      <c r="CK256" s="11">
        <f>ROUND(SUMIF(AA173:AA254,"=85739205",GY173:GY254),2)</f>
        <v>0</v>
      </c>
      <c r="CL256" s="11">
        <f>ROUND(SUMIF(AA173:AA254,"=85739205",GZ173:GZ254),2)</f>
        <v>0</v>
      </c>
      <c r="CM256" s="11">
        <f>ROUND(SUMIF(AA173:AA254,"=85739205",HD173:HD254),2)</f>
        <v>0</v>
      </c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2">
        <f t="shared" ref="DG256:DL256" si="317">ROUND(DT256,2)</f>
        <v>8852151.0500000007</v>
      </c>
      <c r="DH256" s="12">
        <f t="shared" si="317"/>
        <v>3792297.52</v>
      </c>
      <c r="DI256" s="12">
        <f t="shared" si="317"/>
        <v>439394.7</v>
      </c>
      <c r="DJ256" s="12">
        <f t="shared" si="317"/>
        <v>201978.7</v>
      </c>
      <c r="DK256" s="12">
        <f t="shared" si="317"/>
        <v>4620458.83</v>
      </c>
      <c r="DL256" s="12">
        <f t="shared" si="317"/>
        <v>0</v>
      </c>
      <c r="DM256" s="12">
        <f>DZ256</f>
        <v>6516.6522977999994</v>
      </c>
      <c r="DN256" s="12">
        <f>EA256</f>
        <v>0</v>
      </c>
      <c r="DO256" s="12">
        <f>ROUND(EB256,2)</f>
        <v>0</v>
      </c>
      <c r="DP256" s="12">
        <f>ROUND(EC256,2)</f>
        <v>4377038.41</v>
      </c>
      <c r="DQ256" s="12">
        <f>ROUND(ED256,2)</f>
        <v>2243631.69</v>
      </c>
      <c r="DR256" s="12"/>
      <c r="DS256" s="12"/>
      <c r="DT256" s="12">
        <f>ROUND(SUMIF(AA173:AA254,"=85739207",O173:O254),2)</f>
        <v>8852151.0500000007</v>
      </c>
      <c r="DU256" s="12">
        <f>ROUND(SUMIF(AA173:AA254,"=85739207",P173:P254),2)</f>
        <v>3792297.52</v>
      </c>
      <c r="DV256" s="12">
        <f>ROUND(SUMIF(AA173:AA254,"=85739207",Q173:Q254),2)</f>
        <v>439394.7</v>
      </c>
      <c r="DW256" s="12">
        <f>ROUND(SUMIF(AA173:AA254,"=85739207",R173:R254),2)</f>
        <v>201978.7</v>
      </c>
      <c r="DX256" s="12">
        <f>ROUND(SUMIF(AA173:AA254,"=85739207",S173:S254),2)</f>
        <v>4620458.83</v>
      </c>
      <c r="DY256" s="12">
        <f>ROUND(SUMIF(AA173:AA254,"=85739207",T173:T254),2)</f>
        <v>0</v>
      </c>
      <c r="DZ256" s="12">
        <f>SUMIF(AA173:AA254,"=85739207",U173:U254)</f>
        <v>6516.6522977999994</v>
      </c>
      <c r="EA256" s="12">
        <f>SUMIF(AA173:AA254,"=85739207",V173:V254)</f>
        <v>0</v>
      </c>
      <c r="EB256" s="12">
        <f>ROUND(SUMIF(AA173:AA254,"=85739207",W173:W254),2)</f>
        <v>0</v>
      </c>
      <c r="EC256" s="12">
        <f>ROUND(SUMIF(AA173:AA254,"=85739207",X173:X254),2)</f>
        <v>4377038.41</v>
      </c>
      <c r="ED256" s="12">
        <f>ROUND(SUMIF(AA173:AA254,"=85739207",Y173:Y254),2)</f>
        <v>2243631.69</v>
      </c>
      <c r="EE256" s="12"/>
      <c r="EF256" s="12"/>
      <c r="EG256" s="12">
        <f t="shared" ref="EG256:EV256" si="318">ROUND(FP256,2)</f>
        <v>0</v>
      </c>
      <c r="EH256" s="12">
        <f t="shared" si="318"/>
        <v>13618.2</v>
      </c>
      <c r="EI256" s="12">
        <f t="shared" si="318"/>
        <v>0</v>
      </c>
      <c r="EJ256" s="12">
        <f t="shared" si="318"/>
        <v>15472821.15</v>
      </c>
      <c r="EK256" s="12">
        <f t="shared" si="318"/>
        <v>883472.83</v>
      </c>
      <c r="EL256" s="12">
        <f t="shared" si="318"/>
        <v>14575730.119999999</v>
      </c>
      <c r="EM256" s="12">
        <f t="shared" si="318"/>
        <v>0</v>
      </c>
      <c r="EN256" s="12">
        <f t="shared" si="318"/>
        <v>3792297.52</v>
      </c>
      <c r="EO256" s="12">
        <f t="shared" si="318"/>
        <v>3778679.32</v>
      </c>
      <c r="EP256" s="12">
        <f t="shared" si="318"/>
        <v>0</v>
      </c>
      <c r="EQ256" s="12">
        <f t="shared" si="318"/>
        <v>3778679.32</v>
      </c>
      <c r="ER256" s="12">
        <f t="shared" si="318"/>
        <v>13618.2</v>
      </c>
      <c r="ES256" s="12">
        <f t="shared" si="318"/>
        <v>0</v>
      </c>
      <c r="ET256" s="12">
        <f t="shared" si="318"/>
        <v>0</v>
      </c>
      <c r="EU256" s="12">
        <f t="shared" si="318"/>
        <v>0</v>
      </c>
      <c r="EV256" s="12">
        <f t="shared" si="318"/>
        <v>0</v>
      </c>
      <c r="EW256" s="12"/>
      <c r="EX256" s="12"/>
      <c r="EY256" s="12"/>
      <c r="EZ256" s="12"/>
      <c r="FA256" s="12"/>
      <c r="FB256" s="12"/>
      <c r="FC256" s="12"/>
      <c r="FD256" s="12"/>
      <c r="FE256" s="12"/>
      <c r="FF256" s="12"/>
      <c r="FG256" s="12"/>
      <c r="FH256" s="12"/>
      <c r="FI256" s="12"/>
      <c r="FJ256" s="12"/>
      <c r="FK256" s="12"/>
      <c r="FL256" s="12"/>
      <c r="FM256" s="12"/>
      <c r="FN256" s="12"/>
      <c r="FO256" s="12"/>
      <c r="FP256" s="12">
        <f>ROUND(SUMIF(AA173:AA254,"=85739207",FQ173:FQ254),2)</f>
        <v>0</v>
      </c>
      <c r="FQ256" s="12">
        <f>ROUND(SUMIF(AA173:AA254,"=85739207",FR173:FR254),2)</f>
        <v>13618.2</v>
      </c>
      <c r="FR256" s="12">
        <f>ROUND(SUMIF(AA173:AA254,"=85739207",GL173:GL254),2)</f>
        <v>0</v>
      </c>
      <c r="FS256" s="12">
        <f>ROUND(SUMIF(AA173:AA254,"=85739207",GM173:GM254),2)</f>
        <v>15472821.15</v>
      </c>
      <c r="FT256" s="12">
        <f>ROUND(SUMIF(AA173:AA254,"=85739207",GN173:GN254),2)</f>
        <v>883472.83</v>
      </c>
      <c r="FU256" s="12">
        <f>ROUND(SUMIF(AA173:AA254,"=85739207",GO173:GO254),2)</f>
        <v>14575730.119999999</v>
      </c>
      <c r="FV256" s="12">
        <f>ROUND(SUMIF(AA173:AA254,"=85739207",GP173:GP254),2)</f>
        <v>0</v>
      </c>
      <c r="FW256" s="12">
        <f>DU256-FP256</f>
        <v>3792297.52</v>
      </c>
      <c r="FX256" s="12">
        <f>DU256-FQ256</f>
        <v>3778679.32</v>
      </c>
      <c r="FY256" s="12">
        <f>FP256-FR256</f>
        <v>0</v>
      </c>
      <c r="FZ256" s="12">
        <f>DU256-FP256-FQ256+FR256</f>
        <v>3778679.32</v>
      </c>
      <c r="GA256" s="12">
        <f>FQ256-FR256</f>
        <v>13618.2</v>
      </c>
      <c r="GB256" s="12">
        <f>ROUND(SUMIF(AA173:AA254,"=85739207",GX173:GX254),2)</f>
        <v>0</v>
      </c>
      <c r="GC256" s="12">
        <f>ROUND(SUMIF(AA173:AA254,"=85739207",GY173:GY254),2)</f>
        <v>0</v>
      </c>
      <c r="GD256" s="12">
        <f>ROUND(SUMIF(AA173:AA254,"=85739207",GZ173:GZ254),2)</f>
        <v>0</v>
      </c>
      <c r="GE256" s="12">
        <f>ROUND(SUMIF(AA173:AA254,"=85739207",HD173:HD254),2)</f>
        <v>0</v>
      </c>
      <c r="GF256" s="12"/>
      <c r="GG256" s="12"/>
      <c r="GH256" s="12"/>
      <c r="GI256" s="12"/>
      <c r="GJ256" s="12"/>
      <c r="GK256" s="12"/>
      <c r="GL256" s="12"/>
      <c r="GM256" s="12"/>
      <c r="GN256" s="12"/>
      <c r="GO256" s="12"/>
      <c r="GP256" s="12"/>
      <c r="GQ256" s="12"/>
      <c r="GR256" s="12"/>
      <c r="GS256" s="12"/>
      <c r="GT256" s="12"/>
      <c r="GU256" s="12"/>
      <c r="GV256" s="12"/>
      <c r="GW256" s="12"/>
      <c r="GX256" s="12">
        <v>0</v>
      </c>
    </row>
    <row r="258" spans="1:28" x14ac:dyDescent="0.2">
      <c r="A258" s="13">
        <v>50</v>
      </c>
      <c r="B258" s="13">
        <v>0</v>
      </c>
      <c r="C258" s="13">
        <v>0</v>
      </c>
      <c r="D258" s="13">
        <v>1</v>
      </c>
      <c r="E258" s="13">
        <v>201</v>
      </c>
      <c r="F258" s="13">
        <f>ROUND(Source!O256,O258)</f>
        <v>455268.9</v>
      </c>
      <c r="G258" s="13" t="s">
        <v>281</v>
      </c>
      <c r="H258" s="13" t="s">
        <v>282</v>
      </c>
      <c r="I258" s="13"/>
      <c r="J258" s="13"/>
      <c r="K258" s="13">
        <v>201</v>
      </c>
      <c r="L258" s="13">
        <v>1</v>
      </c>
      <c r="M258" s="13">
        <v>3</v>
      </c>
      <c r="N258" s="13" t="s">
        <v>3</v>
      </c>
      <c r="O258" s="13">
        <v>2</v>
      </c>
      <c r="P258" s="13">
        <f>ROUND(Source!DG256,O258)</f>
        <v>8852151.0500000007</v>
      </c>
      <c r="Q258" s="13"/>
      <c r="R258" s="13"/>
      <c r="S258" s="13"/>
      <c r="T258" s="13"/>
      <c r="U258" s="13"/>
      <c r="V258" s="13"/>
      <c r="W258" s="13">
        <v>455268.9</v>
      </c>
      <c r="X258" s="13">
        <v>1</v>
      </c>
      <c r="Y258" s="13">
        <v>455268.9</v>
      </c>
      <c r="Z258" s="13">
        <v>8852151.0500000007</v>
      </c>
      <c r="AA258" s="13">
        <v>1</v>
      </c>
      <c r="AB258" s="13">
        <v>8852151.0500000007</v>
      </c>
    </row>
    <row r="259" spans="1:28" x14ac:dyDescent="0.2">
      <c r="A259" s="13">
        <v>50</v>
      </c>
      <c r="B259" s="13">
        <v>0</v>
      </c>
      <c r="C259" s="13">
        <v>0</v>
      </c>
      <c r="D259" s="13">
        <v>1</v>
      </c>
      <c r="E259" s="13">
        <v>202</v>
      </c>
      <c r="F259" s="13">
        <f>ROUND(Source!P256,O259)</f>
        <v>350134.9</v>
      </c>
      <c r="G259" s="13" t="s">
        <v>283</v>
      </c>
      <c r="H259" s="13" t="s">
        <v>284</v>
      </c>
      <c r="I259" s="13"/>
      <c r="J259" s="13"/>
      <c r="K259" s="13">
        <v>202</v>
      </c>
      <c r="L259" s="13">
        <v>2</v>
      </c>
      <c r="M259" s="13">
        <v>3</v>
      </c>
      <c r="N259" s="13" t="s">
        <v>3</v>
      </c>
      <c r="O259" s="13">
        <v>2</v>
      </c>
      <c r="P259" s="13">
        <f>ROUND(Source!DH256,O259)</f>
        <v>3792297.52</v>
      </c>
      <c r="Q259" s="13"/>
      <c r="R259" s="13"/>
      <c r="S259" s="13"/>
      <c r="T259" s="13"/>
      <c r="U259" s="13"/>
      <c r="V259" s="13"/>
      <c r="W259" s="13">
        <v>350134.9</v>
      </c>
      <c r="X259" s="13">
        <v>1</v>
      </c>
      <c r="Y259" s="13">
        <v>350134.9</v>
      </c>
      <c r="Z259" s="13">
        <v>3792297.52</v>
      </c>
      <c r="AA259" s="13">
        <v>1</v>
      </c>
      <c r="AB259" s="13">
        <v>3792297.52</v>
      </c>
    </row>
    <row r="260" spans="1:28" x14ac:dyDescent="0.2">
      <c r="A260" s="13">
        <v>50</v>
      </c>
      <c r="B260" s="13">
        <v>0</v>
      </c>
      <c r="C260" s="13">
        <v>0</v>
      </c>
      <c r="D260" s="13">
        <v>1</v>
      </c>
      <c r="E260" s="13">
        <v>222</v>
      </c>
      <c r="F260" s="13">
        <f>ROUND(Source!AO256,O260)</f>
        <v>0</v>
      </c>
      <c r="G260" s="13" t="s">
        <v>285</v>
      </c>
      <c r="H260" s="13" t="s">
        <v>286</v>
      </c>
      <c r="I260" s="13"/>
      <c r="J260" s="13"/>
      <c r="K260" s="13">
        <v>222</v>
      </c>
      <c r="L260" s="13">
        <v>3</v>
      </c>
      <c r="M260" s="13">
        <v>3</v>
      </c>
      <c r="N260" s="13" t="s">
        <v>3</v>
      </c>
      <c r="O260" s="13">
        <v>2</v>
      </c>
      <c r="P260" s="13">
        <f>ROUND(Source!EG256,O260)</f>
        <v>0</v>
      </c>
      <c r="Q260" s="13"/>
      <c r="R260" s="13"/>
      <c r="S260" s="13"/>
      <c r="T260" s="13"/>
      <c r="U260" s="13"/>
      <c r="V260" s="13"/>
      <c r="W260" s="13">
        <v>0</v>
      </c>
      <c r="X260" s="13">
        <v>1</v>
      </c>
      <c r="Y260" s="13">
        <v>0</v>
      </c>
      <c r="Z260" s="13">
        <v>0</v>
      </c>
      <c r="AA260" s="13">
        <v>1</v>
      </c>
      <c r="AB260" s="13">
        <v>0</v>
      </c>
    </row>
    <row r="261" spans="1:28" x14ac:dyDescent="0.2">
      <c r="A261" s="13">
        <v>50</v>
      </c>
      <c r="B261" s="13">
        <v>0</v>
      </c>
      <c r="C261" s="13">
        <v>0</v>
      </c>
      <c r="D261" s="13">
        <v>1</v>
      </c>
      <c r="E261" s="13">
        <v>225</v>
      </c>
      <c r="F261" s="13">
        <f>ROUND(Source!AV256,O261)</f>
        <v>350134.9</v>
      </c>
      <c r="G261" s="13" t="s">
        <v>287</v>
      </c>
      <c r="H261" s="13" t="s">
        <v>288</v>
      </c>
      <c r="I261" s="13"/>
      <c r="J261" s="13"/>
      <c r="K261" s="13">
        <v>225</v>
      </c>
      <c r="L261" s="13">
        <v>4</v>
      </c>
      <c r="M261" s="13">
        <v>3</v>
      </c>
      <c r="N261" s="13" t="s">
        <v>3</v>
      </c>
      <c r="O261" s="13">
        <v>2</v>
      </c>
      <c r="P261" s="13">
        <f>ROUND(Source!EN256,O261)</f>
        <v>3792297.52</v>
      </c>
      <c r="Q261" s="13"/>
      <c r="R261" s="13"/>
      <c r="S261" s="13"/>
      <c r="T261" s="13"/>
      <c r="U261" s="13"/>
      <c r="V261" s="13"/>
      <c r="W261" s="13">
        <v>350134.9</v>
      </c>
      <c r="X261" s="13">
        <v>1</v>
      </c>
      <c r="Y261" s="13">
        <v>350134.9</v>
      </c>
      <c r="Z261" s="13">
        <v>3792297.52</v>
      </c>
      <c r="AA261" s="13">
        <v>1</v>
      </c>
      <c r="AB261" s="13">
        <v>3792297.52</v>
      </c>
    </row>
    <row r="262" spans="1:28" x14ac:dyDescent="0.2">
      <c r="A262" s="13">
        <v>50</v>
      </c>
      <c r="B262" s="13">
        <v>0</v>
      </c>
      <c r="C262" s="13">
        <v>0</v>
      </c>
      <c r="D262" s="13">
        <v>1</v>
      </c>
      <c r="E262" s="13">
        <v>226</v>
      </c>
      <c r="F262" s="13">
        <f>ROUND(Source!AW256,O262)</f>
        <v>348335.93</v>
      </c>
      <c r="G262" s="13" t="s">
        <v>289</v>
      </c>
      <c r="H262" s="13" t="s">
        <v>290</v>
      </c>
      <c r="I262" s="13"/>
      <c r="J262" s="13"/>
      <c r="K262" s="13">
        <v>226</v>
      </c>
      <c r="L262" s="13">
        <v>5</v>
      </c>
      <c r="M262" s="13">
        <v>3</v>
      </c>
      <c r="N262" s="13" t="s">
        <v>3</v>
      </c>
      <c r="O262" s="13">
        <v>2</v>
      </c>
      <c r="P262" s="13">
        <f>ROUND(Source!EO256,O262)</f>
        <v>3778679.32</v>
      </c>
      <c r="Q262" s="13"/>
      <c r="R262" s="13"/>
      <c r="S262" s="13"/>
      <c r="T262" s="13"/>
      <c r="U262" s="13"/>
      <c r="V262" s="13"/>
      <c r="W262" s="13">
        <v>348335.93</v>
      </c>
      <c r="X262" s="13">
        <v>1</v>
      </c>
      <c r="Y262" s="13">
        <v>348335.93</v>
      </c>
      <c r="Z262" s="13">
        <v>3778679.32</v>
      </c>
      <c r="AA262" s="13">
        <v>1</v>
      </c>
      <c r="AB262" s="13">
        <v>3778679.32</v>
      </c>
    </row>
    <row r="263" spans="1:28" x14ac:dyDescent="0.2">
      <c r="A263" s="13">
        <v>50</v>
      </c>
      <c r="B263" s="13">
        <v>0</v>
      </c>
      <c r="C263" s="13">
        <v>0</v>
      </c>
      <c r="D263" s="13">
        <v>1</v>
      </c>
      <c r="E263" s="13">
        <v>227</v>
      </c>
      <c r="F263" s="13">
        <f>ROUND(Source!AX256,O263)</f>
        <v>0</v>
      </c>
      <c r="G263" s="13" t="s">
        <v>291</v>
      </c>
      <c r="H263" s="13" t="s">
        <v>292</v>
      </c>
      <c r="I263" s="13"/>
      <c r="J263" s="13"/>
      <c r="K263" s="13">
        <v>227</v>
      </c>
      <c r="L263" s="13">
        <v>6</v>
      </c>
      <c r="M263" s="13">
        <v>3</v>
      </c>
      <c r="N263" s="13" t="s">
        <v>3</v>
      </c>
      <c r="O263" s="13">
        <v>2</v>
      </c>
      <c r="P263" s="13">
        <f>ROUND(Source!EP256,O263)</f>
        <v>0</v>
      </c>
      <c r="Q263" s="13"/>
      <c r="R263" s="13"/>
      <c r="S263" s="13"/>
      <c r="T263" s="13"/>
      <c r="U263" s="13"/>
      <c r="V263" s="13"/>
      <c r="W263" s="13">
        <v>0</v>
      </c>
      <c r="X263" s="13">
        <v>1</v>
      </c>
      <c r="Y263" s="13">
        <v>0</v>
      </c>
      <c r="Z263" s="13">
        <v>0</v>
      </c>
      <c r="AA263" s="13">
        <v>1</v>
      </c>
      <c r="AB263" s="13">
        <v>0</v>
      </c>
    </row>
    <row r="264" spans="1:28" x14ac:dyDescent="0.2">
      <c r="A264" s="13">
        <v>50</v>
      </c>
      <c r="B264" s="13">
        <v>0</v>
      </c>
      <c r="C264" s="13">
        <v>0</v>
      </c>
      <c r="D264" s="13">
        <v>1</v>
      </c>
      <c r="E264" s="13">
        <v>228</v>
      </c>
      <c r="F264" s="13">
        <f>ROUND(Source!AY256,O264)</f>
        <v>348335.93</v>
      </c>
      <c r="G264" s="13" t="s">
        <v>293</v>
      </c>
      <c r="H264" s="13" t="s">
        <v>294</v>
      </c>
      <c r="I264" s="13"/>
      <c r="J264" s="13"/>
      <c r="K264" s="13">
        <v>228</v>
      </c>
      <c r="L264" s="13">
        <v>7</v>
      </c>
      <c r="M264" s="13">
        <v>3</v>
      </c>
      <c r="N264" s="13" t="s">
        <v>3</v>
      </c>
      <c r="O264" s="13">
        <v>2</v>
      </c>
      <c r="P264" s="13">
        <f>ROUND(Source!EQ256,O264)</f>
        <v>3778679.32</v>
      </c>
      <c r="Q264" s="13"/>
      <c r="R264" s="13"/>
      <c r="S264" s="13"/>
      <c r="T264" s="13"/>
      <c r="U264" s="13"/>
      <c r="V264" s="13"/>
      <c r="W264" s="13">
        <v>348335.93</v>
      </c>
      <c r="X264" s="13">
        <v>1</v>
      </c>
      <c r="Y264" s="13">
        <v>348335.93</v>
      </c>
      <c r="Z264" s="13">
        <v>3778679.32</v>
      </c>
      <c r="AA264" s="13">
        <v>1</v>
      </c>
      <c r="AB264" s="13">
        <v>3778679.32</v>
      </c>
    </row>
    <row r="265" spans="1:28" x14ac:dyDescent="0.2">
      <c r="A265" s="13">
        <v>50</v>
      </c>
      <c r="B265" s="13">
        <v>0</v>
      </c>
      <c r="C265" s="13">
        <v>0</v>
      </c>
      <c r="D265" s="13">
        <v>1</v>
      </c>
      <c r="E265" s="13">
        <v>216</v>
      </c>
      <c r="F265" s="13">
        <f>ROUND(Source!AP256,O265)</f>
        <v>1798.97</v>
      </c>
      <c r="G265" s="13" t="s">
        <v>295</v>
      </c>
      <c r="H265" s="13" t="s">
        <v>296</v>
      </c>
      <c r="I265" s="13"/>
      <c r="J265" s="13"/>
      <c r="K265" s="13">
        <v>216</v>
      </c>
      <c r="L265" s="13">
        <v>8</v>
      </c>
      <c r="M265" s="13">
        <v>3</v>
      </c>
      <c r="N265" s="13" t="s">
        <v>3</v>
      </c>
      <c r="O265" s="13">
        <v>2</v>
      </c>
      <c r="P265" s="13">
        <f>ROUND(Source!EH256,O265)</f>
        <v>13618.2</v>
      </c>
      <c r="Q265" s="13"/>
      <c r="R265" s="13"/>
      <c r="S265" s="13"/>
      <c r="T265" s="13"/>
      <c r="U265" s="13"/>
      <c r="V265" s="13"/>
      <c r="W265" s="13">
        <v>1798.97</v>
      </c>
      <c r="X265" s="13">
        <v>1</v>
      </c>
      <c r="Y265" s="13">
        <v>1798.97</v>
      </c>
      <c r="Z265" s="13">
        <v>13618.2</v>
      </c>
      <c r="AA265" s="13">
        <v>1</v>
      </c>
      <c r="AB265" s="13">
        <v>13618.2</v>
      </c>
    </row>
    <row r="266" spans="1:28" x14ac:dyDescent="0.2">
      <c r="A266" s="13">
        <v>50</v>
      </c>
      <c r="B266" s="13">
        <v>0</v>
      </c>
      <c r="C266" s="13">
        <v>0</v>
      </c>
      <c r="D266" s="13">
        <v>1</v>
      </c>
      <c r="E266" s="13">
        <v>223</v>
      </c>
      <c r="F266" s="13">
        <f>ROUND(Source!AQ256,O266)</f>
        <v>0</v>
      </c>
      <c r="G266" s="13" t="s">
        <v>297</v>
      </c>
      <c r="H266" s="13" t="s">
        <v>298</v>
      </c>
      <c r="I266" s="13"/>
      <c r="J266" s="13"/>
      <c r="K266" s="13">
        <v>223</v>
      </c>
      <c r="L266" s="13">
        <v>9</v>
      </c>
      <c r="M266" s="13">
        <v>3</v>
      </c>
      <c r="N266" s="13" t="s">
        <v>3</v>
      </c>
      <c r="O266" s="13">
        <v>2</v>
      </c>
      <c r="P266" s="13">
        <f>ROUND(Source!EI256,O266)</f>
        <v>0</v>
      </c>
      <c r="Q266" s="13"/>
      <c r="R266" s="13"/>
      <c r="S266" s="13"/>
      <c r="T266" s="13"/>
      <c r="U266" s="13"/>
      <c r="V266" s="13"/>
      <c r="W266" s="13">
        <v>0</v>
      </c>
      <c r="X266" s="13">
        <v>1</v>
      </c>
      <c r="Y266" s="13">
        <v>0</v>
      </c>
      <c r="Z266" s="13">
        <v>0</v>
      </c>
      <c r="AA266" s="13">
        <v>1</v>
      </c>
      <c r="AB266" s="13">
        <v>0</v>
      </c>
    </row>
    <row r="267" spans="1:28" x14ac:dyDescent="0.2">
      <c r="A267" s="13">
        <v>50</v>
      </c>
      <c r="B267" s="13">
        <v>0</v>
      </c>
      <c r="C267" s="13">
        <v>0</v>
      </c>
      <c r="D267" s="13">
        <v>1</v>
      </c>
      <c r="E267" s="13">
        <v>229</v>
      </c>
      <c r="F267" s="13">
        <f>ROUND(Source!AZ256,O267)</f>
        <v>1798.97</v>
      </c>
      <c r="G267" s="13" t="s">
        <v>299</v>
      </c>
      <c r="H267" s="13" t="s">
        <v>300</v>
      </c>
      <c r="I267" s="13"/>
      <c r="J267" s="13"/>
      <c r="K267" s="13">
        <v>229</v>
      </c>
      <c r="L267" s="13">
        <v>10</v>
      </c>
      <c r="M267" s="13">
        <v>3</v>
      </c>
      <c r="N267" s="13" t="s">
        <v>3</v>
      </c>
      <c r="O267" s="13">
        <v>2</v>
      </c>
      <c r="P267" s="13">
        <f>ROUND(Source!ER256,O267)</f>
        <v>13618.2</v>
      </c>
      <c r="Q267" s="13"/>
      <c r="R267" s="13"/>
      <c r="S267" s="13"/>
      <c r="T267" s="13"/>
      <c r="U267" s="13"/>
      <c r="V267" s="13"/>
      <c r="W267" s="13">
        <v>1798.97</v>
      </c>
      <c r="X267" s="13">
        <v>1</v>
      </c>
      <c r="Y267" s="13">
        <v>1798.97</v>
      </c>
      <c r="Z267" s="13">
        <v>13618.2</v>
      </c>
      <c r="AA267" s="13">
        <v>1</v>
      </c>
      <c r="AB267" s="13">
        <v>13618.2</v>
      </c>
    </row>
    <row r="268" spans="1:28" x14ac:dyDescent="0.2">
      <c r="A268" s="13">
        <v>50</v>
      </c>
      <c r="B268" s="13">
        <v>0</v>
      </c>
      <c r="C268" s="13">
        <v>0</v>
      </c>
      <c r="D268" s="13">
        <v>1</v>
      </c>
      <c r="E268" s="13">
        <v>203</v>
      </c>
      <c r="F268" s="13">
        <f>ROUND(Source!Q256,O268)</f>
        <v>23138.28</v>
      </c>
      <c r="G268" s="13" t="s">
        <v>301</v>
      </c>
      <c r="H268" s="13" t="s">
        <v>302</v>
      </c>
      <c r="I268" s="13"/>
      <c r="J268" s="13"/>
      <c r="K268" s="13">
        <v>203</v>
      </c>
      <c r="L268" s="13">
        <v>11</v>
      </c>
      <c r="M268" s="13">
        <v>3</v>
      </c>
      <c r="N268" s="13" t="s">
        <v>3</v>
      </c>
      <c r="O268" s="13">
        <v>2</v>
      </c>
      <c r="P268" s="13">
        <f>ROUND(Source!DI256,O268)</f>
        <v>439394.7</v>
      </c>
      <c r="Q268" s="13"/>
      <c r="R268" s="13"/>
      <c r="S268" s="13"/>
      <c r="T268" s="13"/>
      <c r="U268" s="13"/>
      <c r="V268" s="13"/>
      <c r="W268" s="13">
        <v>23138.28</v>
      </c>
      <c r="X268" s="13">
        <v>1</v>
      </c>
      <c r="Y268" s="13">
        <v>23138.28</v>
      </c>
      <c r="Z268" s="13">
        <v>439394.7</v>
      </c>
      <c r="AA268" s="13">
        <v>1</v>
      </c>
      <c r="AB268" s="13">
        <v>439394.7</v>
      </c>
    </row>
    <row r="269" spans="1:28" x14ac:dyDescent="0.2">
      <c r="A269" s="13">
        <v>50</v>
      </c>
      <c r="B269" s="13">
        <v>0</v>
      </c>
      <c r="C269" s="13">
        <v>0</v>
      </c>
      <c r="D269" s="13">
        <v>1</v>
      </c>
      <c r="E269" s="13">
        <v>231</v>
      </c>
      <c r="F269" s="13">
        <f>ROUND(Source!BB256,O269)</f>
        <v>0</v>
      </c>
      <c r="G269" s="13" t="s">
        <v>303</v>
      </c>
      <c r="H269" s="13" t="s">
        <v>304</v>
      </c>
      <c r="I269" s="13"/>
      <c r="J269" s="13"/>
      <c r="K269" s="13">
        <v>231</v>
      </c>
      <c r="L269" s="13">
        <v>12</v>
      </c>
      <c r="M269" s="13">
        <v>3</v>
      </c>
      <c r="N269" s="13" t="s">
        <v>3</v>
      </c>
      <c r="O269" s="13">
        <v>2</v>
      </c>
      <c r="P269" s="13">
        <f>ROUND(Source!ET256,O269)</f>
        <v>0</v>
      </c>
      <c r="Q269" s="13"/>
      <c r="R269" s="13"/>
      <c r="S269" s="13"/>
      <c r="T269" s="13"/>
      <c r="U269" s="13"/>
      <c r="V269" s="13"/>
      <c r="W269" s="13">
        <v>0</v>
      </c>
      <c r="X269" s="13">
        <v>1</v>
      </c>
      <c r="Y269" s="13">
        <v>0</v>
      </c>
      <c r="Z269" s="13">
        <v>0</v>
      </c>
      <c r="AA269" s="13">
        <v>1</v>
      </c>
      <c r="AB269" s="13">
        <v>0</v>
      </c>
    </row>
    <row r="270" spans="1:28" x14ac:dyDescent="0.2">
      <c r="A270" s="13">
        <v>50</v>
      </c>
      <c r="B270" s="13">
        <v>0</v>
      </c>
      <c r="C270" s="13">
        <v>0</v>
      </c>
      <c r="D270" s="13">
        <v>1</v>
      </c>
      <c r="E270" s="13">
        <v>204</v>
      </c>
      <c r="F270" s="13">
        <f>ROUND(Source!R256,O270)</f>
        <v>3584.36</v>
      </c>
      <c r="G270" s="13" t="s">
        <v>305</v>
      </c>
      <c r="H270" s="13" t="s">
        <v>306</v>
      </c>
      <c r="I270" s="13"/>
      <c r="J270" s="13"/>
      <c r="K270" s="13">
        <v>204</v>
      </c>
      <c r="L270" s="13">
        <v>13</v>
      </c>
      <c r="M270" s="13">
        <v>3</v>
      </c>
      <c r="N270" s="13" t="s">
        <v>3</v>
      </c>
      <c r="O270" s="13">
        <v>2</v>
      </c>
      <c r="P270" s="13">
        <f>ROUND(Source!DJ256,O270)</f>
        <v>201978.7</v>
      </c>
      <c r="Q270" s="13"/>
      <c r="R270" s="13"/>
      <c r="S270" s="13"/>
      <c r="T270" s="13"/>
      <c r="U270" s="13"/>
      <c r="V270" s="13"/>
      <c r="W270" s="13">
        <v>3584.36</v>
      </c>
      <c r="X270" s="13">
        <v>1</v>
      </c>
      <c r="Y270" s="13">
        <v>3584.36</v>
      </c>
      <c r="Z270" s="13">
        <v>201978.7</v>
      </c>
      <c r="AA270" s="13">
        <v>1</v>
      </c>
      <c r="AB270" s="13">
        <v>201978.7</v>
      </c>
    </row>
    <row r="271" spans="1:28" x14ac:dyDescent="0.2">
      <c r="A271" s="13">
        <v>50</v>
      </c>
      <c r="B271" s="13">
        <v>0</v>
      </c>
      <c r="C271" s="13">
        <v>0</v>
      </c>
      <c r="D271" s="13">
        <v>1</v>
      </c>
      <c r="E271" s="13">
        <v>205</v>
      </c>
      <c r="F271" s="13">
        <f>ROUND(Source!S256,O271)</f>
        <v>81995.72</v>
      </c>
      <c r="G271" s="13" t="s">
        <v>307</v>
      </c>
      <c r="H271" s="13" t="s">
        <v>308</v>
      </c>
      <c r="I271" s="13"/>
      <c r="J271" s="13"/>
      <c r="K271" s="13">
        <v>205</v>
      </c>
      <c r="L271" s="13">
        <v>14</v>
      </c>
      <c r="M271" s="13">
        <v>3</v>
      </c>
      <c r="N271" s="13" t="s">
        <v>3</v>
      </c>
      <c r="O271" s="13">
        <v>2</v>
      </c>
      <c r="P271" s="13">
        <f>ROUND(Source!DK256,O271)</f>
        <v>4620458.83</v>
      </c>
      <c r="Q271" s="13"/>
      <c r="R271" s="13"/>
      <c r="S271" s="13"/>
      <c r="T271" s="13"/>
      <c r="U271" s="13"/>
      <c r="V271" s="13"/>
      <c r="W271" s="13">
        <v>81995.72</v>
      </c>
      <c r="X271" s="13">
        <v>1</v>
      </c>
      <c r="Y271" s="13">
        <v>81995.72</v>
      </c>
      <c r="Z271" s="13">
        <v>4620458.83</v>
      </c>
      <c r="AA271" s="13">
        <v>1</v>
      </c>
      <c r="AB271" s="13">
        <v>4620458.83</v>
      </c>
    </row>
    <row r="272" spans="1:28" x14ac:dyDescent="0.2">
      <c r="A272" s="13">
        <v>50</v>
      </c>
      <c r="B272" s="13">
        <v>0</v>
      </c>
      <c r="C272" s="13">
        <v>0</v>
      </c>
      <c r="D272" s="13">
        <v>1</v>
      </c>
      <c r="E272" s="13">
        <v>232</v>
      </c>
      <c r="F272" s="13">
        <f>ROUND(Source!BC256,O272)</f>
        <v>0</v>
      </c>
      <c r="G272" s="13" t="s">
        <v>309</v>
      </c>
      <c r="H272" s="13" t="s">
        <v>310</v>
      </c>
      <c r="I272" s="13"/>
      <c r="J272" s="13"/>
      <c r="K272" s="13">
        <v>232</v>
      </c>
      <c r="L272" s="13">
        <v>15</v>
      </c>
      <c r="M272" s="13">
        <v>3</v>
      </c>
      <c r="N272" s="13" t="s">
        <v>3</v>
      </c>
      <c r="O272" s="13">
        <v>2</v>
      </c>
      <c r="P272" s="13">
        <f>ROUND(Source!EU256,O272)</f>
        <v>0</v>
      </c>
      <c r="Q272" s="13"/>
      <c r="R272" s="13"/>
      <c r="S272" s="13"/>
      <c r="T272" s="13"/>
      <c r="U272" s="13"/>
      <c r="V272" s="13"/>
      <c r="W272" s="13">
        <v>0</v>
      </c>
      <c r="X272" s="13">
        <v>1</v>
      </c>
      <c r="Y272" s="13">
        <v>0</v>
      </c>
      <c r="Z272" s="13">
        <v>0</v>
      </c>
      <c r="AA272" s="13">
        <v>1</v>
      </c>
      <c r="AB272" s="13">
        <v>0</v>
      </c>
    </row>
    <row r="273" spans="1:206" x14ac:dyDescent="0.2">
      <c r="A273" s="13">
        <v>50</v>
      </c>
      <c r="B273" s="13">
        <v>0</v>
      </c>
      <c r="C273" s="13">
        <v>0</v>
      </c>
      <c r="D273" s="13">
        <v>1</v>
      </c>
      <c r="E273" s="13">
        <v>214</v>
      </c>
      <c r="F273" s="13">
        <f>ROUND(Source!AS256,O273)</f>
        <v>26803.06</v>
      </c>
      <c r="G273" s="13" t="s">
        <v>311</v>
      </c>
      <c r="H273" s="13" t="s">
        <v>312</v>
      </c>
      <c r="I273" s="13"/>
      <c r="J273" s="13"/>
      <c r="K273" s="13">
        <v>214</v>
      </c>
      <c r="L273" s="13">
        <v>16</v>
      </c>
      <c r="M273" s="13">
        <v>3</v>
      </c>
      <c r="N273" s="13" t="s">
        <v>3</v>
      </c>
      <c r="O273" s="13">
        <v>2</v>
      </c>
      <c r="P273" s="13">
        <f>ROUND(Source!EK256,O273)</f>
        <v>883472.83</v>
      </c>
      <c r="Q273" s="13"/>
      <c r="R273" s="13"/>
      <c r="S273" s="13"/>
      <c r="T273" s="13"/>
      <c r="U273" s="13"/>
      <c r="V273" s="13"/>
      <c r="W273" s="13">
        <v>26803.06</v>
      </c>
      <c r="X273" s="13">
        <v>1</v>
      </c>
      <c r="Y273" s="13">
        <v>26803.06</v>
      </c>
      <c r="Z273" s="13">
        <v>883472.83</v>
      </c>
      <c r="AA273" s="13">
        <v>1</v>
      </c>
      <c r="AB273" s="13">
        <v>883472.83</v>
      </c>
    </row>
    <row r="274" spans="1:206" x14ac:dyDescent="0.2">
      <c r="A274" s="13">
        <v>50</v>
      </c>
      <c r="B274" s="13">
        <v>0</v>
      </c>
      <c r="C274" s="13">
        <v>0</v>
      </c>
      <c r="D274" s="13">
        <v>1</v>
      </c>
      <c r="E274" s="13">
        <v>215</v>
      </c>
      <c r="F274" s="13">
        <f>ROUND(Source!AT256,O274)</f>
        <v>544158.78</v>
      </c>
      <c r="G274" s="13" t="s">
        <v>313</v>
      </c>
      <c r="H274" s="13" t="s">
        <v>314</v>
      </c>
      <c r="I274" s="13"/>
      <c r="J274" s="13"/>
      <c r="K274" s="13">
        <v>215</v>
      </c>
      <c r="L274" s="13">
        <v>17</v>
      </c>
      <c r="M274" s="13">
        <v>3</v>
      </c>
      <c r="N274" s="13" t="s">
        <v>3</v>
      </c>
      <c r="O274" s="13">
        <v>2</v>
      </c>
      <c r="P274" s="13">
        <f>ROUND(Source!EL256,O274)</f>
        <v>14575730.119999999</v>
      </c>
      <c r="Q274" s="13"/>
      <c r="R274" s="13"/>
      <c r="S274" s="13"/>
      <c r="T274" s="13"/>
      <c r="U274" s="13"/>
      <c r="V274" s="13"/>
      <c r="W274" s="13">
        <v>544158.78</v>
      </c>
      <c r="X274" s="13">
        <v>1</v>
      </c>
      <c r="Y274" s="13">
        <v>544158.78</v>
      </c>
      <c r="Z274" s="13">
        <v>14575730.119999999</v>
      </c>
      <c r="AA274" s="13">
        <v>1</v>
      </c>
      <c r="AB274" s="13">
        <v>14575730.119999999</v>
      </c>
    </row>
    <row r="275" spans="1:206" x14ac:dyDescent="0.2">
      <c r="A275" s="13">
        <v>50</v>
      </c>
      <c r="B275" s="13">
        <v>0</v>
      </c>
      <c r="C275" s="13">
        <v>0</v>
      </c>
      <c r="D275" s="13">
        <v>1</v>
      </c>
      <c r="E275" s="13">
        <v>217</v>
      </c>
      <c r="F275" s="13">
        <f>ROUND(Source!AU256,O275)</f>
        <v>0</v>
      </c>
      <c r="G275" s="13" t="s">
        <v>315</v>
      </c>
      <c r="H275" s="13" t="s">
        <v>316</v>
      </c>
      <c r="I275" s="13"/>
      <c r="J275" s="13"/>
      <c r="K275" s="13">
        <v>217</v>
      </c>
      <c r="L275" s="13">
        <v>18</v>
      </c>
      <c r="M275" s="13">
        <v>3</v>
      </c>
      <c r="N275" s="13" t="s">
        <v>3</v>
      </c>
      <c r="O275" s="13">
        <v>2</v>
      </c>
      <c r="P275" s="13">
        <f>ROUND(Source!EM256,O275)</f>
        <v>0</v>
      </c>
      <c r="Q275" s="13"/>
      <c r="R275" s="13"/>
      <c r="S275" s="13"/>
      <c r="T275" s="13"/>
      <c r="U275" s="13"/>
      <c r="V275" s="13"/>
      <c r="W275" s="13">
        <v>0</v>
      </c>
      <c r="X275" s="13">
        <v>1</v>
      </c>
      <c r="Y275" s="13">
        <v>0</v>
      </c>
      <c r="Z275" s="13">
        <v>0</v>
      </c>
      <c r="AA275" s="13">
        <v>1</v>
      </c>
      <c r="AB275" s="13">
        <v>0</v>
      </c>
    </row>
    <row r="276" spans="1:206" x14ac:dyDescent="0.2">
      <c r="A276" s="13">
        <v>50</v>
      </c>
      <c r="B276" s="13">
        <v>0</v>
      </c>
      <c r="C276" s="13">
        <v>0</v>
      </c>
      <c r="D276" s="13">
        <v>1</v>
      </c>
      <c r="E276" s="13">
        <v>230</v>
      </c>
      <c r="F276" s="13">
        <f>ROUND(Source!BA256,O276)</f>
        <v>0</v>
      </c>
      <c r="G276" s="13" t="s">
        <v>317</v>
      </c>
      <c r="H276" s="13" t="s">
        <v>318</v>
      </c>
      <c r="I276" s="13"/>
      <c r="J276" s="13"/>
      <c r="K276" s="13">
        <v>230</v>
      </c>
      <c r="L276" s="13">
        <v>19</v>
      </c>
      <c r="M276" s="13">
        <v>3</v>
      </c>
      <c r="N276" s="13" t="s">
        <v>3</v>
      </c>
      <c r="O276" s="13">
        <v>2</v>
      </c>
      <c r="P276" s="13">
        <f>ROUND(Source!ES256,O276)</f>
        <v>0</v>
      </c>
      <c r="Q276" s="13"/>
      <c r="R276" s="13"/>
      <c r="S276" s="13"/>
      <c r="T276" s="13"/>
      <c r="U276" s="13"/>
      <c r="V276" s="13"/>
      <c r="W276" s="13">
        <v>0</v>
      </c>
      <c r="X276" s="13">
        <v>1</v>
      </c>
      <c r="Y276" s="13">
        <v>0</v>
      </c>
      <c r="Z276" s="13">
        <v>0</v>
      </c>
      <c r="AA276" s="13">
        <v>1</v>
      </c>
      <c r="AB276" s="13">
        <v>0</v>
      </c>
    </row>
    <row r="277" spans="1:206" x14ac:dyDescent="0.2">
      <c r="A277" s="13">
        <v>50</v>
      </c>
      <c r="B277" s="13">
        <v>0</v>
      </c>
      <c r="C277" s="13">
        <v>0</v>
      </c>
      <c r="D277" s="13">
        <v>1</v>
      </c>
      <c r="E277" s="13">
        <v>206</v>
      </c>
      <c r="F277" s="13">
        <f>ROUND(Source!T256,O277)</f>
        <v>0</v>
      </c>
      <c r="G277" s="13" t="s">
        <v>319</v>
      </c>
      <c r="H277" s="13" t="s">
        <v>320</v>
      </c>
      <c r="I277" s="13"/>
      <c r="J277" s="13"/>
      <c r="K277" s="13">
        <v>206</v>
      </c>
      <c r="L277" s="13">
        <v>20</v>
      </c>
      <c r="M277" s="13">
        <v>3</v>
      </c>
      <c r="N277" s="13" t="s">
        <v>3</v>
      </c>
      <c r="O277" s="13">
        <v>2</v>
      </c>
      <c r="P277" s="13">
        <f>ROUND(Source!DL256,O277)</f>
        <v>0</v>
      </c>
      <c r="Q277" s="13"/>
      <c r="R277" s="13"/>
      <c r="S277" s="13"/>
      <c r="T277" s="13"/>
      <c r="U277" s="13"/>
      <c r="V277" s="13"/>
      <c r="W277" s="13">
        <v>0</v>
      </c>
      <c r="X277" s="13">
        <v>1</v>
      </c>
      <c r="Y277" s="13">
        <v>0</v>
      </c>
      <c r="Z277" s="13">
        <v>0</v>
      </c>
      <c r="AA277" s="13">
        <v>1</v>
      </c>
      <c r="AB277" s="13">
        <v>0</v>
      </c>
    </row>
    <row r="278" spans="1:206" x14ac:dyDescent="0.2">
      <c r="A278" s="13">
        <v>50</v>
      </c>
      <c r="B278" s="13">
        <v>0</v>
      </c>
      <c r="C278" s="13">
        <v>0</v>
      </c>
      <c r="D278" s="13">
        <v>1</v>
      </c>
      <c r="E278" s="13">
        <v>207</v>
      </c>
      <c r="F278" s="13">
        <f>Source!U256</f>
        <v>6516.6522977999994</v>
      </c>
      <c r="G278" s="13" t="s">
        <v>321</v>
      </c>
      <c r="H278" s="13" t="s">
        <v>322</v>
      </c>
      <c r="I278" s="13"/>
      <c r="J278" s="13"/>
      <c r="K278" s="13">
        <v>207</v>
      </c>
      <c r="L278" s="13">
        <v>21</v>
      </c>
      <c r="M278" s="13">
        <v>3</v>
      </c>
      <c r="N278" s="13" t="s">
        <v>3</v>
      </c>
      <c r="O278" s="13">
        <v>-1</v>
      </c>
      <c r="P278" s="13">
        <f>Source!DM256</f>
        <v>6516.6522977999994</v>
      </c>
      <c r="Q278" s="13"/>
      <c r="R278" s="13"/>
      <c r="S278" s="13"/>
      <c r="T278" s="13"/>
      <c r="U278" s="13"/>
      <c r="V278" s="13"/>
      <c r="W278" s="13">
        <v>6516.6522977999994</v>
      </c>
      <c r="X278" s="13">
        <v>1</v>
      </c>
      <c r="Y278" s="13">
        <v>6516.6522977999994</v>
      </c>
      <c r="Z278" s="13">
        <v>6516.6522977999994</v>
      </c>
      <c r="AA278" s="13">
        <v>1</v>
      </c>
      <c r="AB278" s="13">
        <v>6516.6522977999994</v>
      </c>
    </row>
    <row r="279" spans="1:206" x14ac:dyDescent="0.2">
      <c r="A279" s="13">
        <v>50</v>
      </c>
      <c r="B279" s="13">
        <v>0</v>
      </c>
      <c r="C279" s="13">
        <v>0</v>
      </c>
      <c r="D279" s="13">
        <v>1</v>
      </c>
      <c r="E279" s="13">
        <v>208</v>
      </c>
      <c r="F279" s="13">
        <f>Source!V256</f>
        <v>0</v>
      </c>
      <c r="G279" s="13" t="s">
        <v>323</v>
      </c>
      <c r="H279" s="13" t="s">
        <v>324</v>
      </c>
      <c r="I279" s="13"/>
      <c r="J279" s="13"/>
      <c r="K279" s="13">
        <v>208</v>
      </c>
      <c r="L279" s="13">
        <v>22</v>
      </c>
      <c r="M279" s="13">
        <v>3</v>
      </c>
      <c r="N279" s="13" t="s">
        <v>3</v>
      </c>
      <c r="O279" s="13">
        <v>-1</v>
      </c>
      <c r="P279" s="13">
        <f>Source!DN256</f>
        <v>0</v>
      </c>
      <c r="Q279" s="13"/>
      <c r="R279" s="13"/>
      <c r="S279" s="13"/>
      <c r="T279" s="13"/>
      <c r="U279" s="13"/>
      <c r="V279" s="13"/>
      <c r="W279" s="13">
        <v>0</v>
      </c>
      <c r="X279" s="13">
        <v>1</v>
      </c>
      <c r="Y279" s="13">
        <v>0</v>
      </c>
      <c r="Z279" s="13">
        <v>0</v>
      </c>
      <c r="AA279" s="13">
        <v>1</v>
      </c>
      <c r="AB279" s="13">
        <v>0</v>
      </c>
    </row>
    <row r="280" spans="1:206" x14ac:dyDescent="0.2">
      <c r="A280" s="13">
        <v>50</v>
      </c>
      <c r="B280" s="13">
        <v>0</v>
      </c>
      <c r="C280" s="13">
        <v>0</v>
      </c>
      <c r="D280" s="13">
        <v>1</v>
      </c>
      <c r="E280" s="13">
        <v>209</v>
      </c>
      <c r="F280" s="13">
        <f>ROUND(Source!W256,O280)</f>
        <v>0</v>
      </c>
      <c r="G280" s="13" t="s">
        <v>325</v>
      </c>
      <c r="H280" s="13" t="s">
        <v>326</v>
      </c>
      <c r="I280" s="13"/>
      <c r="J280" s="13"/>
      <c r="K280" s="13">
        <v>209</v>
      </c>
      <c r="L280" s="13">
        <v>23</v>
      </c>
      <c r="M280" s="13">
        <v>3</v>
      </c>
      <c r="N280" s="13" t="s">
        <v>3</v>
      </c>
      <c r="O280" s="13">
        <v>2</v>
      </c>
      <c r="P280" s="13">
        <f>ROUND(Source!DO256,O280)</f>
        <v>0</v>
      </c>
      <c r="Q280" s="13"/>
      <c r="R280" s="13"/>
      <c r="S280" s="13"/>
      <c r="T280" s="13"/>
      <c r="U280" s="13"/>
      <c r="V280" s="13"/>
      <c r="W280" s="13">
        <v>0</v>
      </c>
      <c r="X280" s="13">
        <v>1</v>
      </c>
      <c r="Y280" s="13">
        <v>0</v>
      </c>
      <c r="Z280" s="13">
        <v>0</v>
      </c>
      <c r="AA280" s="13">
        <v>1</v>
      </c>
      <c r="AB280" s="13">
        <v>0</v>
      </c>
    </row>
    <row r="281" spans="1:206" x14ac:dyDescent="0.2">
      <c r="A281" s="13">
        <v>50</v>
      </c>
      <c r="B281" s="13">
        <v>0</v>
      </c>
      <c r="C281" s="13">
        <v>0</v>
      </c>
      <c r="D281" s="13">
        <v>1</v>
      </c>
      <c r="E281" s="13">
        <v>233</v>
      </c>
      <c r="F281" s="13">
        <f>ROUND(Source!BD256,O281)</f>
        <v>0</v>
      </c>
      <c r="G281" s="13" t="s">
        <v>327</v>
      </c>
      <c r="H281" s="13" t="s">
        <v>328</v>
      </c>
      <c r="I281" s="13"/>
      <c r="J281" s="13"/>
      <c r="K281" s="13">
        <v>233</v>
      </c>
      <c r="L281" s="13">
        <v>24</v>
      </c>
      <c r="M281" s="13">
        <v>3</v>
      </c>
      <c r="N281" s="13" t="s">
        <v>3</v>
      </c>
      <c r="O281" s="13">
        <v>2</v>
      </c>
      <c r="P281" s="13">
        <f>ROUND(Source!EV256,O281)</f>
        <v>0</v>
      </c>
      <c r="Q281" s="13"/>
      <c r="R281" s="13"/>
      <c r="S281" s="13"/>
      <c r="T281" s="13"/>
      <c r="U281" s="13"/>
      <c r="V281" s="13"/>
      <c r="W281" s="13">
        <v>0</v>
      </c>
      <c r="X281" s="13">
        <v>1</v>
      </c>
      <c r="Y281" s="13">
        <v>0</v>
      </c>
      <c r="Z281" s="13">
        <v>0</v>
      </c>
      <c r="AA281" s="13">
        <v>1</v>
      </c>
      <c r="AB281" s="13">
        <v>0</v>
      </c>
    </row>
    <row r="282" spans="1:206" x14ac:dyDescent="0.2">
      <c r="A282" s="13">
        <v>50</v>
      </c>
      <c r="B282" s="13">
        <v>0</v>
      </c>
      <c r="C282" s="13">
        <v>0</v>
      </c>
      <c r="D282" s="13">
        <v>1</v>
      </c>
      <c r="E282" s="13">
        <v>210</v>
      </c>
      <c r="F282" s="13">
        <f>ROUND(Source!X256,O282)</f>
        <v>77675.92</v>
      </c>
      <c r="G282" s="13" t="s">
        <v>329</v>
      </c>
      <c r="H282" s="13" t="s">
        <v>330</v>
      </c>
      <c r="I282" s="13"/>
      <c r="J282" s="13"/>
      <c r="K282" s="13">
        <v>210</v>
      </c>
      <c r="L282" s="13">
        <v>25</v>
      </c>
      <c r="M282" s="13">
        <v>3</v>
      </c>
      <c r="N282" s="13" t="s">
        <v>3</v>
      </c>
      <c r="O282" s="13">
        <v>2</v>
      </c>
      <c r="P282" s="13">
        <f>ROUND(Source!DP256,O282)</f>
        <v>4377038.41</v>
      </c>
      <c r="Q282" s="13"/>
      <c r="R282" s="13"/>
      <c r="S282" s="13"/>
      <c r="T282" s="13"/>
      <c r="U282" s="13"/>
      <c r="V282" s="13"/>
      <c r="W282" s="13">
        <v>77675.92</v>
      </c>
      <c r="X282" s="13">
        <v>1</v>
      </c>
      <c r="Y282" s="13">
        <v>77675.92</v>
      </c>
      <c r="Z282" s="13">
        <v>4377038.41</v>
      </c>
      <c r="AA282" s="13">
        <v>1</v>
      </c>
      <c r="AB282" s="13">
        <v>4377038.41</v>
      </c>
    </row>
    <row r="283" spans="1:206" x14ac:dyDescent="0.2">
      <c r="A283" s="13">
        <v>50</v>
      </c>
      <c r="B283" s="13">
        <v>0</v>
      </c>
      <c r="C283" s="13">
        <v>0</v>
      </c>
      <c r="D283" s="13">
        <v>1</v>
      </c>
      <c r="E283" s="13">
        <v>211</v>
      </c>
      <c r="F283" s="13">
        <f>ROUND(Source!Y256,O283)</f>
        <v>39815.99</v>
      </c>
      <c r="G283" s="13" t="s">
        <v>331</v>
      </c>
      <c r="H283" s="13" t="s">
        <v>332</v>
      </c>
      <c r="I283" s="13"/>
      <c r="J283" s="13"/>
      <c r="K283" s="13">
        <v>211</v>
      </c>
      <c r="L283" s="13">
        <v>26</v>
      </c>
      <c r="M283" s="13">
        <v>3</v>
      </c>
      <c r="N283" s="13" t="s">
        <v>3</v>
      </c>
      <c r="O283" s="13">
        <v>2</v>
      </c>
      <c r="P283" s="13">
        <f>ROUND(Source!DQ256,O283)</f>
        <v>2243631.69</v>
      </c>
      <c r="Q283" s="13"/>
      <c r="R283" s="13"/>
      <c r="S283" s="13"/>
      <c r="T283" s="13"/>
      <c r="U283" s="13"/>
      <c r="V283" s="13"/>
      <c r="W283" s="13">
        <v>39815.99</v>
      </c>
      <c r="X283" s="13">
        <v>1</v>
      </c>
      <c r="Y283" s="13">
        <v>39815.99</v>
      </c>
      <c r="Z283" s="13">
        <v>2243631.69</v>
      </c>
      <c r="AA283" s="13">
        <v>1</v>
      </c>
      <c r="AB283" s="13">
        <v>2243631.69</v>
      </c>
    </row>
    <row r="284" spans="1:206" x14ac:dyDescent="0.2">
      <c r="A284" s="13">
        <v>50</v>
      </c>
      <c r="B284" s="13">
        <v>0</v>
      </c>
      <c r="C284" s="13">
        <v>0</v>
      </c>
      <c r="D284" s="13">
        <v>1</v>
      </c>
      <c r="E284" s="13">
        <v>224</v>
      </c>
      <c r="F284" s="13">
        <f>ROUND(Source!AR256,O284)</f>
        <v>572760.81000000006</v>
      </c>
      <c r="G284" s="13" t="s">
        <v>333</v>
      </c>
      <c r="H284" s="13" t="s">
        <v>334</v>
      </c>
      <c r="I284" s="13"/>
      <c r="J284" s="13"/>
      <c r="K284" s="13">
        <v>224</v>
      </c>
      <c r="L284" s="13">
        <v>27</v>
      </c>
      <c r="M284" s="13">
        <v>3</v>
      </c>
      <c r="N284" s="13" t="s">
        <v>3</v>
      </c>
      <c r="O284" s="13">
        <v>2</v>
      </c>
      <c r="P284" s="13">
        <f>ROUND(Source!EJ256,O284)</f>
        <v>15472821.15</v>
      </c>
      <c r="Q284" s="13"/>
      <c r="R284" s="13"/>
      <c r="S284" s="13"/>
      <c r="T284" s="13"/>
      <c r="U284" s="13"/>
      <c r="V284" s="13"/>
      <c r="W284" s="13">
        <v>572760.81000000006</v>
      </c>
      <c r="X284" s="13">
        <v>1</v>
      </c>
      <c r="Y284" s="13">
        <v>572760.81000000006</v>
      </c>
      <c r="Z284" s="13">
        <v>15472821.15</v>
      </c>
      <c r="AA284" s="13">
        <v>1</v>
      </c>
      <c r="AB284" s="13">
        <v>15472821.15</v>
      </c>
    </row>
    <row r="286" spans="1:206" x14ac:dyDescent="0.2">
      <c r="A286" s="11">
        <v>51</v>
      </c>
      <c r="B286" s="11">
        <f>B20</f>
        <v>1</v>
      </c>
      <c r="C286" s="11">
        <f>A20</f>
        <v>3</v>
      </c>
      <c r="D286" s="11">
        <f>ROW(A20)</f>
        <v>20</v>
      </c>
      <c r="E286" s="11"/>
      <c r="F286" s="11" t="str">
        <f>IF(F20&lt;&gt;"",F20,"")</f>
        <v>02-01-21</v>
      </c>
      <c r="G286" s="11" t="str">
        <f>IF(G20&lt;&gt;"",G20,"")</f>
        <v>Спринклерное пожаротушение.</v>
      </c>
      <c r="H286" s="11">
        <v>0</v>
      </c>
      <c r="I286" s="11"/>
      <c r="J286" s="11"/>
      <c r="K286" s="11"/>
      <c r="L286" s="11"/>
      <c r="M286" s="11"/>
      <c r="N286" s="11"/>
      <c r="O286" s="11">
        <f t="shared" ref="O286:T286" si="319">ROUND(O139+O256+AB286,2)</f>
        <v>770382.96</v>
      </c>
      <c r="P286" s="11">
        <f t="shared" si="319"/>
        <v>651102.71</v>
      </c>
      <c r="Q286" s="11">
        <f t="shared" si="319"/>
        <v>25446.09</v>
      </c>
      <c r="R286" s="11">
        <f t="shared" si="319"/>
        <v>3914.94</v>
      </c>
      <c r="S286" s="11">
        <f t="shared" si="319"/>
        <v>93834.16</v>
      </c>
      <c r="T286" s="11">
        <f t="shared" si="319"/>
        <v>0</v>
      </c>
      <c r="U286" s="11">
        <f>U139+U256+AH286</f>
        <v>7442.2285615199999</v>
      </c>
      <c r="V286" s="11">
        <f>V139+V256+AI286</f>
        <v>0</v>
      </c>
      <c r="W286" s="11">
        <f>ROUND(W139+W256+AJ286,2)</f>
        <v>0</v>
      </c>
      <c r="X286" s="11">
        <f>ROUND(X139+X256+AK286,2)</f>
        <v>88671.73</v>
      </c>
      <c r="Y286" s="11">
        <f>ROUND(Y139+Y256+AL286,2)</f>
        <v>45503.040000000001</v>
      </c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>
        <f t="shared" ref="AO286:BD286" si="320">ROUND(AO139+AO256+BX286,2)</f>
        <v>0</v>
      </c>
      <c r="AP286" s="11">
        <f t="shared" si="320"/>
        <v>237947.71</v>
      </c>
      <c r="AQ286" s="11">
        <f t="shared" si="320"/>
        <v>0</v>
      </c>
      <c r="AR286" s="11">
        <f t="shared" si="320"/>
        <v>904557.73</v>
      </c>
      <c r="AS286" s="11">
        <f t="shared" si="320"/>
        <v>30023.95</v>
      </c>
      <c r="AT286" s="11">
        <f t="shared" si="320"/>
        <v>636586.06999999995</v>
      </c>
      <c r="AU286" s="11">
        <f t="shared" si="320"/>
        <v>0</v>
      </c>
      <c r="AV286" s="11">
        <f t="shared" si="320"/>
        <v>651102.71</v>
      </c>
      <c r="AW286" s="11">
        <f t="shared" si="320"/>
        <v>413155</v>
      </c>
      <c r="AX286" s="11">
        <f t="shared" si="320"/>
        <v>0</v>
      </c>
      <c r="AY286" s="11">
        <f t="shared" si="320"/>
        <v>413155</v>
      </c>
      <c r="AZ286" s="11">
        <f t="shared" si="320"/>
        <v>237947.71</v>
      </c>
      <c r="BA286" s="11">
        <f t="shared" si="320"/>
        <v>0</v>
      </c>
      <c r="BB286" s="11">
        <f t="shared" si="320"/>
        <v>0</v>
      </c>
      <c r="BC286" s="11">
        <f t="shared" si="320"/>
        <v>0</v>
      </c>
      <c r="BD286" s="11">
        <f t="shared" si="320"/>
        <v>0</v>
      </c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2">
        <f t="shared" ref="DG286:DL286" si="321">ROUND(DG139+DG256+DT286,2)</f>
        <v>11775980.48</v>
      </c>
      <c r="DH286" s="12">
        <f t="shared" si="321"/>
        <v>6006706.3799999999</v>
      </c>
      <c r="DI286" s="12">
        <f t="shared" si="321"/>
        <v>481719.19</v>
      </c>
      <c r="DJ286" s="12">
        <f t="shared" si="321"/>
        <v>220606.88</v>
      </c>
      <c r="DK286" s="12">
        <f t="shared" si="321"/>
        <v>5287554.91</v>
      </c>
      <c r="DL286" s="12">
        <f t="shared" si="321"/>
        <v>0</v>
      </c>
      <c r="DM286" s="12">
        <f>DM139+DM256+DZ286</f>
        <v>7442.2285615199999</v>
      </c>
      <c r="DN286" s="12">
        <f>DN139+DN256+EA286</f>
        <v>0</v>
      </c>
      <c r="DO286" s="12">
        <f>ROUND(DO139+DO256+EB286,2)</f>
        <v>0</v>
      </c>
      <c r="DP286" s="12">
        <f>ROUND(DP139+DP256+EC286,2)</f>
        <v>4996651.29</v>
      </c>
      <c r="DQ286" s="12">
        <f>ROUND(DQ139+DQ256+ED286,2)</f>
        <v>2564097.31</v>
      </c>
      <c r="DR286" s="12"/>
      <c r="DS286" s="12"/>
      <c r="DT286" s="12"/>
      <c r="DU286" s="12"/>
      <c r="DV286" s="12"/>
      <c r="DW286" s="12"/>
      <c r="DX286" s="12"/>
      <c r="DY286" s="12"/>
      <c r="DZ286" s="12"/>
      <c r="EA286" s="12"/>
      <c r="EB286" s="12"/>
      <c r="EC286" s="12"/>
      <c r="ED286" s="12"/>
      <c r="EE286" s="12"/>
      <c r="EF286" s="12"/>
      <c r="EG286" s="12">
        <f t="shared" ref="EG286:EV286" si="322">ROUND(EG139+EG256+FP286,2)</f>
        <v>0</v>
      </c>
      <c r="EH286" s="12">
        <f t="shared" si="322"/>
        <v>1892000.3</v>
      </c>
      <c r="EI286" s="12">
        <f t="shared" si="322"/>
        <v>0</v>
      </c>
      <c r="EJ286" s="12">
        <f t="shared" si="322"/>
        <v>19336729.079999998</v>
      </c>
      <c r="EK286" s="12">
        <f t="shared" si="322"/>
        <v>993629.08</v>
      </c>
      <c r="EL286" s="12">
        <f t="shared" si="322"/>
        <v>16451099.699999999</v>
      </c>
      <c r="EM286" s="12">
        <f t="shared" si="322"/>
        <v>0</v>
      </c>
      <c r="EN286" s="12">
        <f t="shared" si="322"/>
        <v>6006706.3799999999</v>
      </c>
      <c r="EO286" s="12">
        <f t="shared" si="322"/>
        <v>4114706.08</v>
      </c>
      <c r="EP286" s="12">
        <f t="shared" si="322"/>
        <v>0</v>
      </c>
      <c r="EQ286" s="12">
        <f t="shared" si="322"/>
        <v>4114706.08</v>
      </c>
      <c r="ER286" s="12">
        <f t="shared" si="322"/>
        <v>1892000.3</v>
      </c>
      <c r="ES286" s="12">
        <f t="shared" si="322"/>
        <v>0</v>
      </c>
      <c r="ET286" s="12">
        <f t="shared" si="322"/>
        <v>0</v>
      </c>
      <c r="EU286" s="12">
        <f t="shared" si="322"/>
        <v>0</v>
      </c>
      <c r="EV286" s="12">
        <f t="shared" si="322"/>
        <v>0</v>
      </c>
      <c r="EW286" s="12"/>
      <c r="EX286" s="12"/>
      <c r="EY286" s="12"/>
      <c r="EZ286" s="12"/>
      <c r="FA286" s="12"/>
      <c r="FB286" s="12"/>
      <c r="FC286" s="12"/>
      <c r="FD286" s="12"/>
      <c r="FE286" s="12"/>
      <c r="FF286" s="12"/>
      <c r="FG286" s="12"/>
      <c r="FH286" s="12"/>
      <c r="FI286" s="12"/>
      <c r="FJ286" s="12"/>
      <c r="FK286" s="12"/>
      <c r="FL286" s="12"/>
      <c r="FM286" s="12"/>
      <c r="FN286" s="12"/>
      <c r="FO286" s="12"/>
      <c r="FP286" s="12"/>
      <c r="FQ286" s="12"/>
      <c r="FR286" s="12"/>
      <c r="FS286" s="12"/>
      <c r="FT286" s="12"/>
      <c r="FU286" s="12"/>
      <c r="FV286" s="12"/>
      <c r="FW286" s="12"/>
      <c r="FX286" s="12"/>
      <c r="FY286" s="12"/>
      <c r="FZ286" s="12"/>
      <c r="GA286" s="12"/>
      <c r="GB286" s="12"/>
      <c r="GC286" s="12"/>
      <c r="GD286" s="12"/>
      <c r="GE286" s="12"/>
      <c r="GF286" s="12"/>
      <c r="GG286" s="12"/>
      <c r="GH286" s="12"/>
      <c r="GI286" s="12"/>
      <c r="GJ286" s="12"/>
      <c r="GK286" s="12"/>
      <c r="GL286" s="12"/>
      <c r="GM286" s="12"/>
      <c r="GN286" s="12"/>
      <c r="GO286" s="12"/>
      <c r="GP286" s="12"/>
      <c r="GQ286" s="12"/>
      <c r="GR286" s="12"/>
      <c r="GS286" s="12"/>
      <c r="GT286" s="12"/>
      <c r="GU286" s="12"/>
      <c r="GV286" s="12"/>
      <c r="GW286" s="12"/>
      <c r="GX286" s="12">
        <v>0</v>
      </c>
    </row>
    <row r="288" spans="1:206" x14ac:dyDescent="0.2">
      <c r="A288" s="13">
        <v>50</v>
      </c>
      <c r="B288" s="13">
        <v>0</v>
      </c>
      <c r="C288" s="13">
        <v>0</v>
      </c>
      <c r="D288" s="13">
        <v>1</v>
      </c>
      <c r="E288" s="13">
        <v>201</v>
      </c>
      <c r="F288" s="13">
        <f>ROUND(Source!O286,O288)</f>
        <v>770382.96</v>
      </c>
      <c r="G288" s="13" t="s">
        <v>281</v>
      </c>
      <c r="H288" s="13" t="s">
        <v>282</v>
      </c>
      <c r="I288" s="13"/>
      <c r="J288" s="13"/>
      <c r="K288" s="13">
        <v>201</v>
      </c>
      <c r="L288" s="13">
        <v>1</v>
      </c>
      <c r="M288" s="13">
        <v>3</v>
      </c>
      <c r="N288" s="13" t="s">
        <v>3</v>
      </c>
      <c r="O288" s="13">
        <v>2</v>
      </c>
      <c r="P288" s="13">
        <f>ROUND(Source!DG286,O288)</f>
        <v>11775980.48</v>
      </c>
      <c r="Q288" s="13"/>
      <c r="R288" s="13"/>
      <c r="S288" s="13"/>
      <c r="T288" s="13"/>
      <c r="U288" s="13"/>
      <c r="V288" s="13"/>
      <c r="W288" s="13">
        <v>770382.96</v>
      </c>
      <c r="X288" s="13">
        <v>1</v>
      </c>
      <c r="Y288" s="13">
        <v>770382.96</v>
      </c>
      <c r="Z288" s="13">
        <v>11775980.48</v>
      </c>
      <c r="AA288" s="13">
        <v>1</v>
      </c>
      <c r="AB288" s="13">
        <v>11775980.48</v>
      </c>
    </row>
    <row r="289" spans="1:28" x14ac:dyDescent="0.2">
      <c r="A289" s="13">
        <v>50</v>
      </c>
      <c r="B289" s="13">
        <v>0</v>
      </c>
      <c r="C289" s="13">
        <v>0</v>
      </c>
      <c r="D289" s="13">
        <v>1</v>
      </c>
      <c r="E289" s="13">
        <v>202</v>
      </c>
      <c r="F289" s="13">
        <f>ROUND(Source!P286,O289)</f>
        <v>651102.71</v>
      </c>
      <c r="G289" s="13" t="s">
        <v>283</v>
      </c>
      <c r="H289" s="13" t="s">
        <v>284</v>
      </c>
      <c r="I289" s="13"/>
      <c r="J289" s="13"/>
      <c r="K289" s="13">
        <v>202</v>
      </c>
      <c r="L289" s="13">
        <v>2</v>
      </c>
      <c r="M289" s="13">
        <v>3</v>
      </c>
      <c r="N289" s="13" t="s">
        <v>3</v>
      </c>
      <c r="O289" s="13">
        <v>2</v>
      </c>
      <c r="P289" s="13">
        <f>ROUND(Source!DH286,O289)</f>
        <v>6006706.3799999999</v>
      </c>
      <c r="Q289" s="13"/>
      <c r="R289" s="13"/>
      <c r="S289" s="13"/>
      <c r="T289" s="13"/>
      <c r="U289" s="13"/>
      <c r="V289" s="13"/>
      <c r="W289" s="13">
        <v>651102.71</v>
      </c>
      <c r="X289" s="13">
        <v>1</v>
      </c>
      <c r="Y289" s="13">
        <v>651102.71</v>
      </c>
      <c r="Z289" s="13">
        <v>6006706.3799999999</v>
      </c>
      <c r="AA289" s="13">
        <v>1</v>
      </c>
      <c r="AB289" s="13">
        <v>6006706.3799999999</v>
      </c>
    </row>
    <row r="290" spans="1:28" x14ac:dyDescent="0.2">
      <c r="A290" s="13">
        <v>50</v>
      </c>
      <c r="B290" s="13">
        <v>0</v>
      </c>
      <c r="C290" s="13">
        <v>0</v>
      </c>
      <c r="D290" s="13">
        <v>1</v>
      </c>
      <c r="E290" s="13">
        <v>222</v>
      </c>
      <c r="F290" s="13">
        <f>ROUND(Source!AO286,O290)</f>
        <v>0</v>
      </c>
      <c r="G290" s="13" t="s">
        <v>285</v>
      </c>
      <c r="H290" s="13" t="s">
        <v>286</v>
      </c>
      <c r="I290" s="13"/>
      <c r="J290" s="13"/>
      <c r="K290" s="13">
        <v>222</v>
      </c>
      <c r="L290" s="13">
        <v>3</v>
      </c>
      <c r="M290" s="13">
        <v>3</v>
      </c>
      <c r="N290" s="13" t="s">
        <v>3</v>
      </c>
      <c r="O290" s="13">
        <v>2</v>
      </c>
      <c r="P290" s="13">
        <f>ROUND(Source!EG286,O290)</f>
        <v>0</v>
      </c>
      <c r="Q290" s="13"/>
      <c r="R290" s="13"/>
      <c r="S290" s="13"/>
      <c r="T290" s="13"/>
      <c r="U290" s="13"/>
      <c r="V290" s="13"/>
      <c r="W290" s="13">
        <v>0</v>
      </c>
      <c r="X290" s="13">
        <v>1</v>
      </c>
      <c r="Y290" s="13">
        <v>0</v>
      </c>
      <c r="Z290" s="13">
        <v>0</v>
      </c>
      <c r="AA290" s="13">
        <v>1</v>
      </c>
      <c r="AB290" s="13">
        <v>0</v>
      </c>
    </row>
    <row r="291" spans="1:28" x14ac:dyDescent="0.2">
      <c r="A291" s="13">
        <v>50</v>
      </c>
      <c r="B291" s="13">
        <v>0</v>
      </c>
      <c r="C291" s="13">
        <v>0</v>
      </c>
      <c r="D291" s="13">
        <v>1</v>
      </c>
      <c r="E291" s="13">
        <v>225</v>
      </c>
      <c r="F291" s="13">
        <f>ROUND(Source!AV286,O291)</f>
        <v>651102.71</v>
      </c>
      <c r="G291" s="13" t="s">
        <v>287</v>
      </c>
      <c r="H291" s="13" t="s">
        <v>288</v>
      </c>
      <c r="I291" s="13"/>
      <c r="J291" s="13"/>
      <c r="K291" s="13">
        <v>225</v>
      </c>
      <c r="L291" s="13">
        <v>4</v>
      </c>
      <c r="M291" s="13">
        <v>3</v>
      </c>
      <c r="N291" s="13" t="s">
        <v>3</v>
      </c>
      <c r="O291" s="13">
        <v>2</v>
      </c>
      <c r="P291" s="13">
        <f>ROUND(Source!EN286,O291)</f>
        <v>6006706.3799999999</v>
      </c>
      <c r="Q291" s="13"/>
      <c r="R291" s="13"/>
      <c r="S291" s="13"/>
      <c r="T291" s="13"/>
      <c r="U291" s="13"/>
      <c r="V291" s="13"/>
      <c r="W291" s="13">
        <v>651102.71</v>
      </c>
      <c r="X291" s="13">
        <v>1</v>
      </c>
      <c r="Y291" s="13">
        <v>651102.71</v>
      </c>
      <c r="Z291" s="13">
        <v>6006706.3799999999</v>
      </c>
      <c r="AA291" s="13">
        <v>1</v>
      </c>
      <c r="AB291" s="13">
        <v>6006706.3799999999</v>
      </c>
    </row>
    <row r="292" spans="1:28" x14ac:dyDescent="0.2">
      <c r="A292" s="13">
        <v>50</v>
      </c>
      <c r="B292" s="13">
        <v>0</v>
      </c>
      <c r="C292" s="13">
        <v>0</v>
      </c>
      <c r="D292" s="13">
        <v>1</v>
      </c>
      <c r="E292" s="13">
        <v>226</v>
      </c>
      <c r="F292" s="13">
        <f>ROUND(Source!AW286,O292)</f>
        <v>413155</v>
      </c>
      <c r="G292" s="13" t="s">
        <v>289</v>
      </c>
      <c r="H292" s="13" t="s">
        <v>290</v>
      </c>
      <c r="I292" s="13"/>
      <c r="J292" s="13"/>
      <c r="K292" s="13">
        <v>226</v>
      </c>
      <c r="L292" s="13">
        <v>5</v>
      </c>
      <c r="M292" s="13">
        <v>3</v>
      </c>
      <c r="N292" s="13" t="s">
        <v>3</v>
      </c>
      <c r="O292" s="13">
        <v>2</v>
      </c>
      <c r="P292" s="13">
        <f>ROUND(Source!EO286,O292)</f>
        <v>4114706.08</v>
      </c>
      <c r="Q292" s="13"/>
      <c r="R292" s="13"/>
      <c r="S292" s="13"/>
      <c r="T292" s="13"/>
      <c r="U292" s="13"/>
      <c r="V292" s="13"/>
      <c r="W292" s="13">
        <v>413155</v>
      </c>
      <c r="X292" s="13">
        <v>1</v>
      </c>
      <c r="Y292" s="13">
        <v>413155</v>
      </c>
      <c r="Z292" s="13">
        <v>4114706.08</v>
      </c>
      <c r="AA292" s="13">
        <v>1</v>
      </c>
      <c r="AB292" s="13">
        <v>4114706.08</v>
      </c>
    </row>
    <row r="293" spans="1:28" x14ac:dyDescent="0.2">
      <c r="A293" s="13">
        <v>50</v>
      </c>
      <c r="B293" s="13">
        <v>0</v>
      </c>
      <c r="C293" s="13">
        <v>0</v>
      </c>
      <c r="D293" s="13">
        <v>1</v>
      </c>
      <c r="E293" s="13">
        <v>227</v>
      </c>
      <c r="F293" s="13">
        <f>ROUND(Source!AX286,O293)</f>
        <v>0</v>
      </c>
      <c r="G293" s="13" t="s">
        <v>291</v>
      </c>
      <c r="H293" s="13" t="s">
        <v>292</v>
      </c>
      <c r="I293" s="13"/>
      <c r="J293" s="13"/>
      <c r="K293" s="13">
        <v>227</v>
      </c>
      <c r="L293" s="13">
        <v>6</v>
      </c>
      <c r="M293" s="13">
        <v>3</v>
      </c>
      <c r="N293" s="13" t="s">
        <v>3</v>
      </c>
      <c r="O293" s="13">
        <v>2</v>
      </c>
      <c r="P293" s="13">
        <f>ROUND(Source!EP286,O293)</f>
        <v>0</v>
      </c>
      <c r="Q293" s="13"/>
      <c r="R293" s="13"/>
      <c r="S293" s="13"/>
      <c r="T293" s="13"/>
      <c r="U293" s="13"/>
      <c r="V293" s="13"/>
      <c r="W293" s="13">
        <v>0</v>
      </c>
      <c r="X293" s="13">
        <v>1</v>
      </c>
      <c r="Y293" s="13">
        <v>0</v>
      </c>
      <c r="Z293" s="13">
        <v>0</v>
      </c>
      <c r="AA293" s="13">
        <v>1</v>
      </c>
      <c r="AB293" s="13">
        <v>0</v>
      </c>
    </row>
    <row r="294" spans="1:28" x14ac:dyDescent="0.2">
      <c r="A294" s="13">
        <v>50</v>
      </c>
      <c r="B294" s="13">
        <v>0</v>
      </c>
      <c r="C294" s="13">
        <v>0</v>
      </c>
      <c r="D294" s="13">
        <v>1</v>
      </c>
      <c r="E294" s="13">
        <v>228</v>
      </c>
      <c r="F294" s="13">
        <f>ROUND(Source!AY286,O294)</f>
        <v>413155</v>
      </c>
      <c r="G294" s="13" t="s">
        <v>293</v>
      </c>
      <c r="H294" s="13" t="s">
        <v>294</v>
      </c>
      <c r="I294" s="13"/>
      <c r="J294" s="13"/>
      <c r="K294" s="13">
        <v>228</v>
      </c>
      <c r="L294" s="13">
        <v>7</v>
      </c>
      <c r="M294" s="13">
        <v>3</v>
      </c>
      <c r="N294" s="13" t="s">
        <v>3</v>
      </c>
      <c r="O294" s="13">
        <v>2</v>
      </c>
      <c r="P294" s="13">
        <f>ROUND(Source!EQ286,O294)</f>
        <v>4114706.08</v>
      </c>
      <c r="Q294" s="13"/>
      <c r="R294" s="13"/>
      <c r="S294" s="13"/>
      <c r="T294" s="13"/>
      <c r="U294" s="13"/>
      <c r="V294" s="13"/>
      <c r="W294" s="13">
        <v>413155</v>
      </c>
      <c r="X294" s="13">
        <v>1</v>
      </c>
      <c r="Y294" s="13">
        <v>413155</v>
      </c>
      <c r="Z294" s="13">
        <v>4114706.08</v>
      </c>
      <c r="AA294" s="13">
        <v>1</v>
      </c>
      <c r="AB294" s="13">
        <v>4114706.08</v>
      </c>
    </row>
    <row r="295" spans="1:28" x14ac:dyDescent="0.2">
      <c r="A295" s="13">
        <v>50</v>
      </c>
      <c r="B295" s="13">
        <v>0</v>
      </c>
      <c r="C295" s="13">
        <v>0</v>
      </c>
      <c r="D295" s="13">
        <v>1</v>
      </c>
      <c r="E295" s="13">
        <v>216</v>
      </c>
      <c r="F295" s="13">
        <f>ROUND(Source!AP286,O295)</f>
        <v>237947.71</v>
      </c>
      <c r="G295" s="13" t="s">
        <v>295</v>
      </c>
      <c r="H295" s="13" t="s">
        <v>296</v>
      </c>
      <c r="I295" s="13"/>
      <c r="J295" s="13"/>
      <c r="K295" s="13">
        <v>216</v>
      </c>
      <c r="L295" s="13">
        <v>8</v>
      </c>
      <c r="M295" s="13">
        <v>3</v>
      </c>
      <c r="N295" s="13" t="s">
        <v>3</v>
      </c>
      <c r="O295" s="13">
        <v>2</v>
      </c>
      <c r="P295" s="13">
        <f>ROUND(Source!EH286,O295)</f>
        <v>1892000.3</v>
      </c>
      <c r="Q295" s="13"/>
      <c r="R295" s="13"/>
      <c r="S295" s="13"/>
      <c r="T295" s="13"/>
      <c r="U295" s="13"/>
      <c r="V295" s="13"/>
      <c r="W295" s="13">
        <v>237947.71</v>
      </c>
      <c r="X295" s="13">
        <v>1</v>
      </c>
      <c r="Y295" s="13">
        <v>237947.71</v>
      </c>
      <c r="Z295" s="13">
        <v>1892000.3</v>
      </c>
      <c r="AA295" s="13">
        <v>1</v>
      </c>
      <c r="AB295" s="13">
        <v>1892000.3</v>
      </c>
    </row>
    <row r="296" spans="1:28" x14ac:dyDescent="0.2">
      <c r="A296" s="13">
        <v>50</v>
      </c>
      <c r="B296" s="13">
        <v>0</v>
      </c>
      <c r="C296" s="13">
        <v>0</v>
      </c>
      <c r="D296" s="13">
        <v>1</v>
      </c>
      <c r="E296" s="13">
        <v>223</v>
      </c>
      <c r="F296" s="13">
        <f>ROUND(Source!AQ286,O296)</f>
        <v>0</v>
      </c>
      <c r="G296" s="13" t="s">
        <v>297</v>
      </c>
      <c r="H296" s="13" t="s">
        <v>298</v>
      </c>
      <c r="I296" s="13"/>
      <c r="J296" s="13"/>
      <c r="K296" s="13">
        <v>223</v>
      </c>
      <c r="L296" s="13">
        <v>9</v>
      </c>
      <c r="M296" s="13">
        <v>3</v>
      </c>
      <c r="N296" s="13" t="s">
        <v>3</v>
      </c>
      <c r="O296" s="13">
        <v>2</v>
      </c>
      <c r="P296" s="13">
        <f>ROUND(Source!EI286,O296)</f>
        <v>0</v>
      </c>
      <c r="Q296" s="13"/>
      <c r="R296" s="13"/>
      <c r="S296" s="13"/>
      <c r="T296" s="13"/>
      <c r="U296" s="13"/>
      <c r="V296" s="13"/>
      <c r="W296" s="13">
        <v>0</v>
      </c>
      <c r="X296" s="13">
        <v>1</v>
      </c>
      <c r="Y296" s="13">
        <v>0</v>
      </c>
      <c r="Z296" s="13">
        <v>0</v>
      </c>
      <c r="AA296" s="13">
        <v>1</v>
      </c>
      <c r="AB296" s="13">
        <v>0</v>
      </c>
    </row>
    <row r="297" spans="1:28" x14ac:dyDescent="0.2">
      <c r="A297" s="13">
        <v>50</v>
      </c>
      <c r="B297" s="13">
        <v>0</v>
      </c>
      <c r="C297" s="13">
        <v>0</v>
      </c>
      <c r="D297" s="13">
        <v>1</v>
      </c>
      <c r="E297" s="13">
        <v>229</v>
      </c>
      <c r="F297" s="13">
        <f>ROUND(Source!AZ286,O297)</f>
        <v>237947.71</v>
      </c>
      <c r="G297" s="13" t="s">
        <v>299</v>
      </c>
      <c r="H297" s="13" t="s">
        <v>300</v>
      </c>
      <c r="I297" s="13"/>
      <c r="J297" s="13"/>
      <c r="K297" s="13">
        <v>229</v>
      </c>
      <c r="L297" s="13">
        <v>10</v>
      </c>
      <c r="M297" s="13">
        <v>3</v>
      </c>
      <c r="N297" s="13" t="s">
        <v>3</v>
      </c>
      <c r="O297" s="13">
        <v>2</v>
      </c>
      <c r="P297" s="13">
        <f>ROUND(Source!ER286,O297)</f>
        <v>1892000.3</v>
      </c>
      <c r="Q297" s="13"/>
      <c r="R297" s="13"/>
      <c r="S297" s="13"/>
      <c r="T297" s="13"/>
      <c r="U297" s="13"/>
      <c r="V297" s="13"/>
      <c r="W297" s="13">
        <v>237947.71</v>
      </c>
      <c r="X297" s="13">
        <v>1</v>
      </c>
      <c r="Y297" s="13">
        <v>237947.71</v>
      </c>
      <c r="Z297" s="13">
        <v>1892000.3</v>
      </c>
      <c r="AA297" s="13">
        <v>1</v>
      </c>
      <c r="AB297" s="13">
        <v>1892000.3</v>
      </c>
    </row>
    <row r="298" spans="1:28" x14ac:dyDescent="0.2">
      <c r="A298" s="13">
        <v>50</v>
      </c>
      <c r="B298" s="13">
        <v>0</v>
      </c>
      <c r="C298" s="13">
        <v>0</v>
      </c>
      <c r="D298" s="13">
        <v>1</v>
      </c>
      <c r="E298" s="13">
        <v>203</v>
      </c>
      <c r="F298" s="13">
        <f>ROUND(Source!Q286,O298)</f>
        <v>25446.09</v>
      </c>
      <c r="G298" s="13" t="s">
        <v>301</v>
      </c>
      <c r="H298" s="13" t="s">
        <v>302</v>
      </c>
      <c r="I298" s="13"/>
      <c r="J298" s="13"/>
      <c r="K298" s="13">
        <v>203</v>
      </c>
      <c r="L298" s="13">
        <v>11</v>
      </c>
      <c r="M298" s="13">
        <v>3</v>
      </c>
      <c r="N298" s="13" t="s">
        <v>3</v>
      </c>
      <c r="O298" s="13">
        <v>2</v>
      </c>
      <c r="P298" s="13">
        <f>ROUND(Source!DI286,O298)</f>
        <v>481719.19</v>
      </c>
      <c r="Q298" s="13"/>
      <c r="R298" s="13"/>
      <c r="S298" s="13"/>
      <c r="T298" s="13"/>
      <c r="U298" s="13"/>
      <c r="V298" s="13"/>
      <c r="W298" s="13">
        <v>25446.09</v>
      </c>
      <c r="X298" s="13">
        <v>1</v>
      </c>
      <c r="Y298" s="13">
        <v>25446.09</v>
      </c>
      <c r="Z298" s="13">
        <v>481719.19</v>
      </c>
      <c r="AA298" s="13">
        <v>1</v>
      </c>
      <c r="AB298" s="13">
        <v>481719.19</v>
      </c>
    </row>
    <row r="299" spans="1:28" x14ac:dyDescent="0.2">
      <c r="A299" s="13">
        <v>50</v>
      </c>
      <c r="B299" s="13">
        <v>0</v>
      </c>
      <c r="C299" s="13">
        <v>0</v>
      </c>
      <c r="D299" s="13">
        <v>1</v>
      </c>
      <c r="E299" s="13">
        <v>231</v>
      </c>
      <c r="F299" s="13">
        <f>ROUND(Source!BB286,O299)</f>
        <v>0</v>
      </c>
      <c r="G299" s="13" t="s">
        <v>303</v>
      </c>
      <c r="H299" s="13" t="s">
        <v>304</v>
      </c>
      <c r="I299" s="13"/>
      <c r="J299" s="13"/>
      <c r="K299" s="13">
        <v>231</v>
      </c>
      <c r="L299" s="13">
        <v>12</v>
      </c>
      <c r="M299" s="13">
        <v>3</v>
      </c>
      <c r="N299" s="13" t="s">
        <v>3</v>
      </c>
      <c r="O299" s="13">
        <v>2</v>
      </c>
      <c r="P299" s="13">
        <f>ROUND(Source!ET286,O299)</f>
        <v>0</v>
      </c>
      <c r="Q299" s="13"/>
      <c r="R299" s="13"/>
      <c r="S299" s="13"/>
      <c r="T299" s="13"/>
      <c r="U299" s="13"/>
      <c r="V299" s="13"/>
      <c r="W299" s="13">
        <v>0</v>
      </c>
      <c r="X299" s="13">
        <v>1</v>
      </c>
      <c r="Y299" s="13">
        <v>0</v>
      </c>
      <c r="Z299" s="13">
        <v>0</v>
      </c>
      <c r="AA299" s="13">
        <v>1</v>
      </c>
      <c r="AB299" s="13">
        <v>0</v>
      </c>
    </row>
    <row r="300" spans="1:28" x14ac:dyDescent="0.2">
      <c r="A300" s="13">
        <v>50</v>
      </c>
      <c r="B300" s="13">
        <v>0</v>
      </c>
      <c r="C300" s="13">
        <v>0</v>
      </c>
      <c r="D300" s="13">
        <v>1</v>
      </c>
      <c r="E300" s="13">
        <v>204</v>
      </c>
      <c r="F300" s="13">
        <f>ROUND(Source!R286,O300)</f>
        <v>3914.94</v>
      </c>
      <c r="G300" s="13" t="s">
        <v>305</v>
      </c>
      <c r="H300" s="13" t="s">
        <v>306</v>
      </c>
      <c r="I300" s="13"/>
      <c r="J300" s="13"/>
      <c r="K300" s="13">
        <v>204</v>
      </c>
      <c r="L300" s="13">
        <v>13</v>
      </c>
      <c r="M300" s="13">
        <v>3</v>
      </c>
      <c r="N300" s="13" t="s">
        <v>3</v>
      </c>
      <c r="O300" s="13">
        <v>2</v>
      </c>
      <c r="P300" s="13">
        <f>ROUND(Source!DJ286,O300)</f>
        <v>220606.88</v>
      </c>
      <c r="Q300" s="13"/>
      <c r="R300" s="13"/>
      <c r="S300" s="13"/>
      <c r="T300" s="13"/>
      <c r="U300" s="13"/>
      <c r="V300" s="13"/>
      <c r="W300" s="13">
        <v>3914.94</v>
      </c>
      <c r="X300" s="13">
        <v>1</v>
      </c>
      <c r="Y300" s="13">
        <v>3914.94</v>
      </c>
      <c r="Z300" s="13">
        <v>220606.88</v>
      </c>
      <c r="AA300" s="13">
        <v>1</v>
      </c>
      <c r="AB300" s="13">
        <v>220606.88</v>
      </c>
    </row>
    <row r="301" spans="1:28" x14ac:dyDescent="0.2">
      <c r="A301" s="13">
        <v>50</v>
      </c>
      <c r="B301" s="13">
        <v>0</v>
      </c>
      <c r="C301" s="13">
        <v>0</v>
      </c>
      <c r="D301" s="13">
        <v>1</v>
      </c>
      <c r="E301" s="13">
        <v>205</v>
      </c>
      <c r="F301" s="13">
        <f>ROUND(Source!S286,O301)</f>
        <v>93834.16</v>
      </c>
      <c r="G301" s="13" t="s">
        <v>307</v>
      </c>
      <c r="H301" s="13" t="s">
        <v>308</v>
      </c>
      <c r="I301" s="13"/>
      <c r="J301" s="13"/>
      <c r="K301" s="13">
        <v>205</v>
      </c>
      <c r="L301" s="13">
        <v>14</v>
      </c>
      <c r="M301" s="13">
        <v>3</v>
      </c>
      <c r="N301" s="13" t="s">
        <v>3</v>
      </c>
      <c r="O301" s="13">
        <v>2</v>
      </c>
      <c r="P301" s="13">
        <f>ROUND(Source!DK286,O301)</f>
        <v>5287554.91</v>
      </c>
      <c r="Q301" s="13"/>
      <c r="R301" s="13"/>
      <c r="S301" s="13"/>
      <c r="T301" s="13"/>
      <c r="U301" s="13"/>
      <c r="V301" s="13"/>
      <c r="W301" s="13">
        <v>93834.16</v>
      </c>
      <c r="X301" s="13">
        <v>1</v>
      </c>
      <c r="Y301" s="13">
        <v>93834.16</v>
      </c>
      <c r="Z301" s="13">
        <v>5287554.91</v>
      </c>
      <c r="AA301" s="13">
        <v>1</v>
      </c>
      <c r="AB301" s="13">
        <v>5287554.91</v>
      </c>
    </row>
    <row r="302" spans="1:28" x14ac:dyDescent="0.2">
      <c r="A302" s="13">
        <v>50</v>
      </c>
      <c r="B302" s="13">
        <v>0</v>
      </c>
      <c r="C302" s="13">
        <v>0</v>
      </c>
      <c r="D302" s="13">
        <v>1</v>
      </c>
      <c r="E302" s="13">
        <v>232</v>
      </c>
      <c r="F302" s="13">
        <f>ROUND(Source!BC286,O302)</f>
        <v>0</v>
      </c>
      <c r="G302" s="13" t="s">
        <v>309</v>
      </c>
      <c r="H302" s="13" t="s">
        <v>310</v>
      </c>
      <c r="I302" s="13"/>
      <c r="J302" s="13"/>
      <c r="K302" s="13">
        <v>232</v>
      </c>
      <c r="L302" s="13">
        <v>15</v>
      </c>
      <c r="M302" s="13">
        <v>3</v>
      </c>
      <c r="N302" s="13" t="s">
        <v>3</v>
      </c>
      <c r="O302" s="13">
        <v>2</v>
      </c>
      <c r="P302" s="13">
        <f>ROUND(Source!EU286,O302)</f>
        <v>0</v>
      </c>
      <c r="Q302" s="13"/>
      <c r="R302" s="13"/>
      <c r="S302" s="13"/>
      <c r="T302" s="13"/>
      <c r="U302" s="13"/>
      <c r="V302" s="13"/>
      <c r="W302" s="13">
        <v>0</v>
      </c>
      <c r="X302" s="13">
        <v>1</v>
      </c>
      <c r="Y302" s="13">
        <v>0</v>
      </c>
      <c r="Z302" s="13">
        <v>0</v>
      </c>
      <c r="AA302" s="13">
        <v>1</v>
      </c>
      <c r="AB302" s="13">
        <v>0</v>
      </c>
    </row>
    <row r="303" spans="1:28" x14ac:dyDescent="0.2">
      <c r="A303" s="13">
        <v>50</v>
      </c>
      <c r="B303" s="13">
        <v>0</v>
      </c>
      <c r="C303" s="13">
        <v>0</v>
      </c>
      <c r="D303" s="13">
        <v>1</v>
      </c>
      <c r="E303" s="13">
        <v>214</v>
      </c>
      <c r="F303" s="13">
        <f>ROUND(Source!AS286,O303)</f>
        <v>30023.95</v>
      </c>
      <c r="G303" s="13" t="s">
        <v>311</v>
      </c>
      <c r="H303" s="13" t="s">
        <v>312</v>
      </c>
      <c r="I303" s="13"/>
      <c r="J303" s="13"/>
      <c r="K303" s="13">
        <v>214</v>
      </c>
      <c r="L303" s="13">
        <v>16</v>
      </c>
      <c r="M303" s="13">
        <v>3</v>
      </c>
      <c r="N303" s="13" t="s">
        <v>3</v>
      </c>
      <c r="O303" s="13">
        <v>2</v>
      </c>
      <c r="P303" s="13">
        <f>ROUND(Source!EK286,O303)</f>
        <v>993629.08</v>
      </c>
      <c r="Q303" s="13"/>
      <c r="R303" s="13"/>
      <c r="S303" s="13"/>
      <c r="T303" s="13"/>
      <c r="U303" s="13"/>
      <c r="V303" s="13"/>
      <c r="W303" s="13">
        <v>30023.95</v>
      </c>
      <c r="X303" s="13">
        <v>1</v>
      </c>
      <c r="Y303" s="13">
        <v>30023.95</v>
      </c>
      <c r="Z303" s="13">
        <v>993629.08</v>
      </c>
      <c r="AA303" s="13">
        <v>1</v>
      </c>
      <c r="AB303" s="13">
        <v>993629.08</v>
      </c>
    </row>
    <row r="304" spans="1:28" x14ac:dyDescent="0.2">
      <c r="A304" s="13">
        <v>50</v>
      </c>
      <c r="B304" s="13">
        <v>0</v>
      </c>
      <c r="C304" s="13">
        <v>0</v>
      </c>
      <c r="D304" s="13">
        <v>1</v>
      </c>
      <c r="E304" s="13">
        <v>215</v>
      </c>
      <c r="F304" s="13">
        <f>ROUND(Source!AT286,O304)</f>
        <v>636586.06999999995</v>
      </c>
      <c r="G304" s="13" t="s">
        <v>313</v>
      </c>
      <c r="H304" s="13" t="s">
        <v>314</v>
      </c>
      <c r="I304" s="13"/>
      <c r="J304" s="13"/>
      <c r="K304" s="13">
        <v>215</v>
      </c>
      <c r="L304" s="13">
        <v>17</v>
      </c>
      <c r="M304" s="13">
        <v>3</v>
      </c>
      <c r="N304" s="13" t="s">
        <v>3</v>
      </c>
      <c r="O304" s="13">
        <v>2</v>
      </c>
      <c r="P304" s="13">
        <f>ROUND(Source!EL286,O304)</f>
        <v>16451099.699999999</v>
      </c>
      <c r="Q304" s="13"/>
      <c r="R304" s="13"/>
      <c r="S304" s="13"/>
      <c r="T304" s="13"/>
      <c r="U304" s="13"/>
      <c r="V304" s="13"/>
      <c r="W304" s="13">
        <v>636586.06999999995</v>
      </c>
      <c r="X304" s="13">
        <v>1</v>
      </c>
      <c r="Y304" s="13">
        <v>636586.06999999995</v>
      </c>
      <c r="Z304" s="13">
        <v>16451099.699999999</v>
      </c>
      <c r="AA304" s="13">
        <v>1</v>
      </c>
      <c r="AB304" s="13">
        <v>16451099.699999999</v>
      </c>
    </row>
    <row r="305" spans="1:206" x14ac:dyDescent="0.2">
      <c r="A305" s="13">
        <v>50</v>
      </c>
      <c r="B305" s="13">
        <v>0</v>
      </c>
      <c r="C305" s="13">
        <v>0</v>
      </c>
      <c r="D305" s="13">
        <v>1</v>
      </c>
      <c r="E305" s="13">
        <v>217</v>
      </c>
      <c r="F305" s="13">
        <f>ROUND(Source!AU286,O305)</f>
        <v>0</v>
      </c>
      <c r="G305" s="13" t="s">
        <v>315</v>
      </c>
      <c r="H305" s="13" t="s">
        <v>316</v>
      </c>
      <c r="I305" s="13"/>
      <c r="J305" s="13"/>
      <c r="K305" s="13">
        <v>217</v>
      </c>
      <c r="L305" s="13">
        <v>18</v>
      </c>
      <c r="M305" s="13">
        <v>3</v>
      </c>
      <c r="N305" s="13" t="s">
        <v>3</v>
      </c>
      <c r="O305" s="13">
        <v>2</v>
      </c>
      <c r="P305" s="13">
        <f>ROUND(Source!EM286,O305)</f>
        <v>0</v>
      </c>
      <c r="Q305" s="13"/>
      <c r="R305" s="13"/>
      <c r="S305" s="13"/>
      <c r="T305" s="13"/>
      <c r="U305" s="13"/>
      <c r="V305" s="13"/>
      <c r="W305" s="13">
        <v>0</v>
      </c>
      <c r="X305" s="13">
        <v>1</v>
      </c>
      <c r="Y305" s="13">
        <v>0</v>
      </c>
      <c r="Z305" s="13">
        <v>0</v>
      </c>
      <c r="AA305" s="13">
        <v>1</v>
      </c>
      <c r="AB305" s="13">
        <v>0</v>
      </c>
    </row>
    <row r="306" spans="1:206" x14ac:dyDescent="0.2">
      <c r="A306" s="13">
        <v>50</v>
      </c>
      <c r="B306" s="13">
        <v>0</v>
      </c>
      <c r="C306" s="13">
        <v>0</v>
      </c>
      <c r="D306" s="13">
        <v>1</v>
      </c>
      <c r="E306" s="13">
        <v>230</v>
      </c>
      <c r="F306" s="13">
        <f>ROUND(Source!BA286,O306)</f>
        <v>0</v>
      </c>
      <c r="G306" s="13" t="s">
        <v>317</v>
      </c>
      <c r="H306" s="13" t="s">
        <v>318</v>
      </c>
      <c r="I306" s="13"/>
      <c r="J306" s="13"/>
      <c r="K306" s="13">
        <v>230</v>
      </c>
      <c r="L306" s="13">
        <v>19</v>
      </c>
      <c r="M306" s="13">
        <v>3</v>
      </c>
      <c r="N306" s="13" t="s">
        <v>3</v>
      </c>
      <c r="O306" s="13">
        <v>2</v>
      </c>
      <c r="P306" s="13">
        <f>ROUND(Source!ES286,O306)</f>
        <v>0</v>
      </c>
      <c r="Q306" s="13"/>
      <c r="R306" s="13"/>
      <c r="S306" s="13"/>
      <c r="T306" s="13"/>
      <c r="U306" s="13"/>
      <c r="V306" s="13"/>
      <c r="W306" s="13">
        <v>0</v>
      </c>
      <c r="X306" s="13">
        <v>1</v>
      </c>
      <c r="Y306" s="13">
        <v>0</v>
      </c>
      <c r="Z306" s="13">
        <v>0</v>
      </c>
      <c r="AA306" s="13">
        <v>1</v>
      </c>
      <c r="AB306" s="13">
        <v>0</v>
      </c>
    </row>
    <row r="307" spans="1:206" x14ac:dyDescent="0.2">
      <c r="A307" s="13">
        <v>50</v>
      </c>
      <c r="B307" s="13">
        <v>0</v>
      </c>
      <c r="C307" s="13">
        <v>0</v>
      </c>
      <c r="D307" s="13">
        <v>1</v>
      </c>
      <c r="E307" s="13">
        <v>206</v>
      </c>
      <c r="F307" s="13">
        <f>ROUND(Source!T286,O307)</f>
        <v>0</v>
      </c>
      <c r="G307" s="13" t="s">
        <v>319</v>
      </c>
      <c r="H307" s="13" t="s">
        <v>320</v>
      </c>
      <c r="I307" s="13"/>
      <c r="J307" s="13"/>
      <c r="K307" s="13">
        <v>206</v>
      </c>
      <c r="L307" s="13">
        <v>20</v>
      </c>
      <c r="M307" s="13">
        <v>3</v>
      </c>
      <c r="N307" s="13" t="s">
        <v>3</v>
      </c>
      <c r="O307" s="13">
        <v>2</v>
      </c>
      <c r="P307" s="13">
        <f>ROUND(Source!DL286,O307)</f>
        <v>0</v>
      </c>
      <c r="Q307" s="13"/>
      <c r="R307" s="13"/>
      <c r="S307" s="13"/>
      <c r="T307" s="13"/>
      <c r="U307" s="13"/>
      <c r="V307" s="13"/>
      <c r="W307" s="13">
        <v>0</v>
      </c>
      <c r="X307" s="13">
        <v>1</v>
      </c>
      <c r="Y307" s="13">
        <v>0</v>
      </c>
      <c r="Z307" s="13">
        <v>0</v>
      </c>
      <c r="AA307" s="13">
        <v>1</v>
      </c>
      <c r="AB307" s="13">
        <v>0</v>
      </c>
    </row>
    <row r="308" spans="1:206" x14ac:dyDescent="0.2">
      <c r="A308" s="13">
        <v>50</v>
      </c>
      <c r="B308" s="13">
        <v>0</v>
      </c>
      <c r="C308" s="13">
        <v>0</v>
      </c>
      <c r="D308" s="13">
        <v>1</v>
      </c>
      <c r="E308" s="13">
        <v>207</v>
      </c>
      <c r="F308" s="13">
        <f>Source!U286</f>
        <v>7442.2285615199999</v>
      </c>
      <c r="G308" s="13" t="s">
        <v>321</v>
      </c>
      <c r="H308" s="13" t="s">
        <v>322</v>
      </c>
      <c r="I308" s="13"/>
      <c r="J308" s="13"/>
      <c r="K308" s="13">
        <v>207</v>
      </c>
      <c r="L308" s="13">
        <v>21</v>
      </c>
      <c r="M308" s="13">
        <v>3</v>
      </c>
      <c r="N308" s="13" t="s">
        <v>3</v>
      </c>
      <c r="O308" s="13">
        <v>-1</v>
      </c>
      <c r="P308" s="13">
        <f>Source!DM286</f>
        <v>7442.2285615199999</v>
      </c>
      <c r="Q308" s="13"/>
      <c r="R308" s="13"/>
      <c r="S308" s="13"/>
      <c r="T308" s="13"/>
      <c r="U308" s="13"/>
      <c r="V308" s="13"/>
      <c r="W308" s="13">
        <v>7442.2285615199999</v>
      </c>
      <c r="X308" s="13">
        <v>1</v>
      </c>
      <c r="Y308" s="13">
        <v>7442.2285615199999</v>
      </c>
      <c r="Z308" s="13">
        <v>7442.2285615199999</v>
      </c>
      <c r="AA308" s="13">
        <v>1</v>
      </c>
      <c r="AB308" s="13">
        <v>7442.2285615199999</v>
      </c>
    </row>
    <row r="309" spans="1:206" x14ac:dyDescent="0.2">
      <c r="A309" s="13">
        <v>50</v>
      </c>
      <c r="B309" s="13">
        <v>0</v>
      </c>
      <c r="C309" s="13">
        <v>0</v>
      </c>
      <c r="D309" s="13">
        <v>1</v>
      </c>
      <c r="E309" s="13">
        <v>208</v>
      </c>
      <c r="F309" s="13">
        <f>Source!V286</f>
        <v>0</v>
      </c>
      <c r="G309" s="13" t="s">
        <v>323</v>
      </c>
      <c r="H309" s="13" t="s">
        <v>324</v>
      </c>
      <c r="I309" s="13"/>
      <c r="J309" s="13"/>
      <c r="K309" s="13">
        <v>208</v>
      </c>
      <c r="L309" s="13">
        <v>22</v>
      </c>
      <c r="M309" s="13">
        <v>3</v>
      </c>
      <c r="N309" s="13" t="s">
        <v>3</v>
      </c>
      <c r="O309" s="13">
        <v>-1</v>
      </c>
      <c r="P309" s="13">
        <f>Source!DN286</f>
        <v>0</v>
      </c>
      <c r="Q309" s="13"/>
      <c r="R309" s="13"/>
      <c r="S309" s="13"/>
      <c r="T309" s="13"/>
      <c r="U309" s="13"/>
      <c r="V309" s="13"/>
      <c r="W309" s="13">
        <v>0</v>
      </c>
      <c r="X309" s="13">
        <v>1</v>
      </c>
      <c r="Y309" s="13">
        <v>0</v>
      </c>
      <c r="Z309" s="13">
        <v>0</v>
      </c>
      <c r="AA309" s="13">
        <v>1</v>
      </c>
      <c r="AB309" s="13">
        <v>0</v>
      </c>
    </row>
    <row r="310" spans="1:206" x14ac:dyDescent="0.2">
      <c r="A310" s="13">
        <v>50</v>
      </c>
      <c r="B310" s="13">
        <v>0</v>
      </c>
      <c r="C310" s="13">
        <v>0</v>
      </c>
      <c r="D310" s="13">
        <v>1</v>
      </c>
      <c r="E310" s="13">
        <v>209</v>
      </c>
      <c r="F310" s="13">
        <f>ROUND(Source!W286,O310)</f>
        <v>0</v>
      </c>
      <c r="G310" s="13" t="s">
        <v>325</v>
      </c>
      <c r="H310" s="13" t="s">
        <v>326</v>
      </c>
      <c r="I310" s="13"/>
      <c r="J310" s="13"/>
      <c r="K310" s="13">
        <v>209</v>
      </c>
      <c r="L310" s="13">
        <v>23</v>
      </c>
      <c r="M310" s="13">
        <v>3</v>
      </c>
      <c r="N310" s="13" t="s">
        <v>3</v>
      </c>
      <c r="O310" s="13">
        <v>2</v>
      </c>
      <c r="P310" s="13">
        <f>ROUND(Source!DO286,O310)</f>
        <v>0</v>
      </c>
      <c r="Q310" s="13"/>
      <c r="R310" s="13"/>
      <c r="S310" s="13"/>
      <c r="T310" s="13"/>
      <c r="U310" s="13"/>
      <c r="V310" s="13"/>
      <c r="W310" s="13">
        <v>0</v>
      </c>
      <c r="X310" s="13">
        <v>1</v>
      </c>
      <c r="Y310" s="13">
        <v>0</v>
      </c>
      <c r="Z310" s="13">
        <v>0</v>
      </c>
      <c r="AA310" s="13">
        <v>1</v>
      </c>
      <c r="AB310" s="13">
        <v>0</v>
      </c>
    </row>
    <row r="311" spans="1:206" x14ac:dyDescent="0.2">
      <c r="A311" s="13">
        <v>50</v>
      </c>
      <c r="B311" s="13">
        <v>0</v>
      </c>
      <c r="C311" s="13">
        <v>0</v>
      </c>
      <c r="D311" s="13">
        <v>1</v>
      </c>
      <c r="E311" s="13">
        <v>233</v>
      </c>
      <c r="F311" s="13">
        <f>ROUND(Source!BD286,O311)</f>
        <v>0</v>
      </c>
      <c r="G311" s="13" t="s">
        <v>327</v>
      </c>
      <c r="H311" s="13" t="s">
        <v>328</v>
      </c>
      <c r="I311" s="13"/>
      <c r="J311" s="13"/>
      <c r="K311" s="13">
        <v>233</v>
      </c>
      <c r="L311" s="13">
        <v>24</v>
      </c>
      <c r="M311" s="13">
        <v>3</v>
      </c>
      <c r="N311" s="13" t="s">
        <v>3</v>
      </c>
      <c r="O311" s="13">
        <v>2</v>
      </c>
      <c r="P311" s="13">
        <f>ROUND(Source!EV286,O311)</f>
        <v>0</v>
      </c>
      <c r="Q311" s="13"/>
      <c r="R311" s="13"/>
      <c r="S311" s="13"/>
      <c r="T311" s="13"/>
      <c r="U311" s="13"/>
      <c r="V311" s="13"/>
      <c r="W311" s="13">
        <v>0</v>
      </c>
      <c r="X311" s="13">
        <v>1</v>
      </c>
      <c r="Y311" s="13">
        <v>0</v>
      </c>
      <c r="Z311" s="13">
        <v>0</v>
      </c>
      <c r="AA311" s="13">
        <v>1</v>
      </c>
      <c r="AB311" s="13">
        <v>0</v>
      </c>
    </row>
    <row r="312" spans="1:206" x14ac:dyDescent="0.2">
      <c r="A312" s="13">
        <v>50</v>
      </c>
      <c r="B312" s="13">
        <v>0</v>
      </c>
      <c r="C312" s="13">
        <v>0</v>
      </c>
      <c r="D312" s="13">
        <v>1</v>
      </c>
      <c r="E312" s="13">
        <v>210</v>
      </c>
      <c r="F312" s="13">
        <f>ROUND(Source!X286,O312)</f>
        <v>88671.73</v>
      </c>
      <c r="G312" s="13" t="s">
        <v>329</v>
      </c>
      <c r="H312" s="13" t="s">
        <v>330</v>
      </c>
      <c r="I312" s="13"/>
      <c r="J312" s="13"/>
      <c r="K312" s="13">
        <v>210</v>
      </c>
      <c r="L312" s="13">
        <v>25</v>
      </c>
      <c r="M312" s="13">
        <v>3</v>
      </c>
      <c r="N312" s="13" t="s">
        <v>3</v>
      </c>
      <c r="O312" s="13">
        <v>2</v>
      </c>
      <c r="P312" s="13">
        <f>ROUND(Source!DP286,O312)</f>
        <v>4996651.29</v>
      </c>
      <c r="Q312" s="13"/>
      <c r="R312" s="13"/>
      <c r="S312" s="13"/>
      <c r="T312" s="13"/>
      <c r="U312" s="13"/>
      <c r="V312" s="13"/>
      <c r="W312" s="13">
        <v>88671.73</v>
      </c>
      <c r="X312" s="13">
        <v>1</v>
      </c>
      <c r="Y312" s="13">
        <v>88671.73</v>
      </c>
      <c r="Z312" s="13">
        <v>4996651.29</v>
      </c>
      <c r="AA312" s="13">
        <v>1</v>
      </c>
      <c r="AB312" s="13">
        <v>4996651.29</v>
      </c>
    </row>
    <row r="313" spans="1:206" x14ac:dyDescent="0.2">
      <c r="A313" s="13">
        <v>50</v>
      </c>
      <c r="B313" s="13">
        <v>0</v>
      </c>
      <c r="C313" s="13">
        <v>0</v>
      </c>
      <c r="D313" s="13">
        <v>1</v>
      </c>
      <c r="E313" s="13">
        <v>211</v>
      </c>
      <c r="F313" s="13">
        <f>ROUND(Source!Y286,O313)</f>
        <v>45503.040000000001</v>
      </c>
      <c r="G313" s="13" t="s">
        <v>331</v>
      </c>
      <c r="H313" s="13" t="s">
        <v>332</v>
      </c>
      <c r="I313" s="13"/>
      <c r="J313" s="13"/>
      <c r="K313" s="13">
        <v>211</v>
      </c>
      <c r="L313" s="13">
        <v>26</v>
      </c>
      <c r="M313" s="13">
        <v>3</v>
      </c>
      <c r="N313" s="13" t="s">
        <v>3</v>
      </c>
      <c r="O313" s="13">
        <v>2</v>
      </c>
      <c r="P313" s="13">
        <f>ROUND(Source!DQ286,O313)</f>
        <v>2564097.31</v>
      </c>
      <c r="Q313" s="13"/>
      <c r="R313" s="13"/>
      <c r="S313" s="13"/>
      <c r="T313" s="13"/>
      <c r="U313" s="13"/>
      <c r="V313" s="13"/>
      <c r="W313" s="13">
        <v>45503.040000000001</v>
      </c>
      <c r="X313" s="13">
        <v>1</v>
      </c>
      <c r="Y313" s="13">
        <v>45503.040000000001</v>
      </c>
      <c r="Z313" s="13">
        <v>2564097.31</v>
      </c>
      <c r="AA313" s="13">
        <v>1</v>
      </c>
      <c r="AB313" s="13">
        <v>2564097.31</v>
      </c>
    </row>
    <row r="314" spans="1:206" x14ac:dyDescent="0.2">
      <c r="A314" s="13">
        <v>50</v>
      </c>
      <c r="B314" s="13">
        <v>0</v>
      </c>
      <c r="C314" s="13">
        <v>0</v>
      </c>
      <c r="D314" s="13">
        <v>1</v>
      </c>
      <c r="E314" s="13">
        <v>224</v>
      </c>
      <c r="F314" s="13">
        <f>ROUND(Source!AR286,O314)</f>
        <v>904557.73</v>
      </c>
      <c r="G314" s="13" t="s">
        <v>333</v>
      </c>
      <c r="H314" s="13" t="s">
        <v>334</v>
      </c>
      <c r="I314" s="13"/>
      <c r="J314" s="13"/>
      <c r="K314" s="13">
        <v>224</v>
      </c>
      <c r="L314" s="13">
        <v>27</v>
      </c>
      <c r="M314" s="13">
        <v>3</v>
      </c>
      <c r="N314" s="13" t="s">
        <v>3</v>
      </c>
      <c r="O314" s="13">
        <v>2</v>
      </c>
      <c r="P314" s="13">
        <f>ROUND(Source!EJ286,O314)</f>
        <v>19336729.079999998</v>
      </c>
      <c r="Q314" s="13"/>
      <c r="R314" s="13"/>
      <c r="S314" s="13"/>
      <c r="T314" s="13"/>
      <c r="U314" s="13"/>
      <c r="V314" s="13"/>
      <c r="W314" s="13">
        <v>904557.73</v>
      </c>
      <c r="X314" s="13">
        <v>1</v>
      </c>
      <c r="Y314" s="13">
        <v>904557.73</v>
      </c>
      <c r="Z314" s="13">
        <v>19336729.079999998</v>
      </c>
      <c r="AA314" s="13">
        <v>1</v>
      </c>
      <c r="AB314" s="13">
        <v>19336729.079999998</v>
      </c>
    </row>
    <row r="315" spans="1:206" x14ac:dyDescent="0.2">
      <c r="A315" s="13">
        <v>50</v>
      </c>
      <c r="B315" s="13">
        <v>1</v>
      </c>
      <c r="C315" s="13">
        <v>0</v>
      </c>
      <c r="D315" s="13">
        <v>2</v>
      </c>
      <c r="E315" s="13">
        <v>0</v>
      </c>
      <c r="F315" s="13">
        <f>ROUND(F314,O315)</f>
        <v>904557.73</v>
      </c>
      <c r="G315" s="13" t="s">
        <v>448</v>
      </c>
      <c r="H315" s="13" t="s">
        <v>449</v>
      </c>
      <c r="I315" s="13"/>
      <c r="J315" s="13"/>
      <c r="K315" s="13">
        <v>212</v>
      </c>
      <c r="L315" s="13">
        <v>28</v>
      </c>
      <c r="M315" s="13">
        <v>0</v>
      </c>
      <c r="N315" s="13" t="s">
        <v>3</v>
      </c>
      <c r="O315" s="13">
        <v>2</v>
      </c>
      <c r="P315" s="13">
        <f>ROUND(P314,O315)</f>
        <v>19336729.079999998</v>
      </c>
      <c r="Q315" s="13"/>
      <c r="R315" s="13"/>
      <c r="S315" s="13"/>
      <c r="T315" s="13"/>
      <c r="U315" s="13"/>
      <c r="V315" s="13"/>
      <c r="W315" s="13">
        <v>904557.73</v>
      </c>
      <c r="X315" s="13">
        <v>1</v>
      </c>
      <c r="Y315" s="13">
        <v>904557.73</v>
      </c>
      <c r="Z315" s="13">
        <v>19336729.079999998</v>
      </c>
      <c r="AA315" s="13">
        <v>1</v>
      </c>
      <c r="AB315" s="13">
        <v>19336729.079999998</v>
      </c>
    </row>
    <row r="316" spans="1:206" x14ac:dyDescent="0.2">
      <c r="A316" s="13">
        <v>50</v>
      </c>
      <c r="B316" s="13">
        <v>1</v>
      </c>
      <c r="C316" s="13">
        <v>0</v>
      </c>
      <c r="D316" s="13">
        <v>2</v>
      </c>
      <c r="E316" s="13">
        <v>0</v>
      </c>
      <c r="F316" s="13">
        <f>ROUND(F315*0.2,O316)</f>
        <v>180911.55</v>
      </c>
      <c r="G316" s="13" t="s">
        <v>450</v>
      </c>
      <c r="H316" s="13" t="s">
        <v>451</v>
      </c>
      <c r="I316" s="13"/>
      <c r="J316" s="13"/>
      <c r="K316" s="13">
        <v>212</v>
      </c>
      <c r="L316" s="13">
        <v>29</v>
      </c>
      <c r="M316" s="13">
        <v>0</v>
      </c>
      <c r="N316" s="13" t="s">
        <v>3</v>
      </c>
      <c r="O316" s="13">
        <v>2</v>
      </c>
      <c r="P316" s="13">
        <f>ROUND(P315*0.2,O316)</f>
        <v>3867345.82</v>
      </c>
      <c r="Q316" s="13"/>
      <c r="R316" s="13"/>
      <c r="S316" s="13"/>
      <c r="T316" s="13"/>
      <c r="U316" s="13"/>
      <c r="V316" s="13"/>
      <c r="W316" s="13">
        <v>180911.55</v>
      </c>
      <c r="X316" s="13">
        <v>1</v>
      </c>
      <c r="Y316" s="13">
        <v>180911.55</v>
      </c>
      <c r="Z316" s="13">
        <v>3867345.82</v>
      </c>
      <c r="AA316" s="13">
        <v>1</v>
      </c>
      <c r="AB316" s="13">
        <v>3867345.82</v>
      </c>
    </row>
    <row r="317" spans="1:206" x14ac:dyDescent="0.2">
      <c r="A317" s="13">
        <v>50</v>
      </c>
      <c r="B317" s="13">
        <v>1</v>
      </c>
      <c r="C317" s="13">
        <v>0</v>
      </c>
      <c r="D317" s="13">
        <v>2</v>
      </c>
      <c r="E317" s="13">
        <v>213</v>
      </c>
      <c r="F317" s="13">
        <f>ROUND(F315+F316,O317)</f>
        <v>1085469.28</v>
      </c>
      <c r="G317" s="13" t="s">
        <v>452</v>
      </c>
      <c r="H317" s="13" t="s">
        <v>333</v>
      </c>
      <c r="I317" s="13"/>
      <c r="J317" s="13"/>
      <c r="K317" s="13">
        <v>212</v>
      </c>
      <c r="L317" s="13">
        <v>30</v>
      </c>
      <c r="M317" s="13">
        <v>0</v>
      </c>
      <c r="N317" s="13" t="s">
        <v>3</v>
      </c>
      <c r="O317" s="13">
        <v>2</v>
      </c>
      <c r="P317" s="13">
        <f>ROUND(P315+P316,O317)</f>
        <v>23204074.899999999</v>
      </c>
      <c r="Q317" s="13"/>
      <c r="R317" s="13"/>
      <c r="S317" s="13"/>
      <c r="T317" s="13"/>
      <c r="U317" s="13"/>
      <c r="V317" s="13"/>
      <c r="W317" s="13">
        <v>1085469.28</v>
      </c>
      <c r="X317" s="13">
        <v>1</v>
      </c>
      <c r="Y317" s="13">
        <v>1085469.28</v>
      </c>
      <c r="Z317" s="13">
        <v>23204074.899999999</v>
      </c>
      <c r="AA317" s="13">
        <v>1</v>
      </c>
      <c r="AB317" s="13">
        <v>23204074.899999999</v>
      </c>
    </row>
    <row r="319" spans="1:206" x14ac:dyDescent="0.2">
      <c r="A319" s="11">
        <v>51</v>
      </c>
      <c r="B319" s="11">
        <f>B12</f>
        <v>361</v>
      </c>
      <c r="C319" s="11">
        <f>A12</f>
        <v>1</v>
      </c>
      <c r="D319" s="11">
        <f>ROW(A12)</f>
        <v>12</v>
      </c>
      <c r="E319" s="11"/>
      <c r="F319" s="11" t="str">
        <f>IF(F12&lt;&gt;"",F12,"")</f>
        <v>Новый объект</v>
      </c>
      <c r="G319" s="11" t="str">
        <f>IF(G12&lt;&gt;"",G12,"")</f>
        <v>Спринклерное пожаротушение</v>
      </c>
      <c r="H319" s="11">
        <v>0</v>
      </c>
      <c r="I319" s="11"/>
      <c r="J319" s="11"/>
      <c r="K319" s="11"/>
      <c r="L319" s="11"/>
      <c r="M319" s="11"/>
      <c r="N319" s="11"/>
      <c r="O319" s="11">
        <f t="shared" ref="O319:T319" si="323">ROUND(O286,2)</f>
        <v>770382.96</v>
      </c>
      <c r="P319" s="11">
        <f t="shared" si="323"/>
        <v>651102.71</v>
      </c>
      <c r="Q319" s="11">
        <f t="shared" si="323"/>
        <v>25446.09</v>
      </c>
      <c r="R319" s="11">
        <f t="shared" si="323"/>
        <v>3914.94</v>
      </c>
      <c r="S319" s="11">
        <f t="shared" si="323"/>
        <v>93834.16</v>
      </c>
      <c r="T319" s="11">
        <f t="shared" si="323"/>
        <v>0</v>
      </c>
      <c r="U319" s="11">
        <f>U286</f>
        <v>7442.2285615199999</v>
      </c>
      <c r="V319" s="11">
        <f>V286</f>
        <v>0</v>
      </c>
      <c r="W319" s="11">
        <f>ROUND(W286,2)</f>
        <v>0</v>
      </c>
      <c r="X319" s="11">
        <f>ROUND(X286,2)</f>
        <v>88671.73</v>
      </c>
      <c r="Y319" s="11">
        <f>ROUND(Y286,2)</f>
        <v>45503.040000000001</v>
      </c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>
        <f t="shared" ref="AO319:BD319" si="324">ROUND(AO286,2)</f>
        <v>0</v>
      </c>
      <c r="AP319" s="11">
        <f t="shared" si="324"/>
        <v>237947.71</v>
      </c>
      <c r="AQ319" s="11">
        <f t="shared" si="324"/>
        <v>0</v>
      </c>
      <c r="AR319" s="11">
        <f t="shared" si="324"/>
        <v>904557.73</v>
      </c>
      <c r="AS319" s="11">
        <f t="shared" si="324"/>
        <v>30023.95</v>
      </c>
      <c r="AT319" s="11">
        <f t="shared" si="324"/>
        <v>636586.06999999995</v>
      </c>
      <c r="AU319" s="11">
        <f t="shared" si="324"/>
        <v>0</v>
      </c>
      <c r="AV319" s="11">
        <f t="shared" si="324"/>
        <v>651102.71</v>
      </c>
      <c r="AW319" s="11">
        <f t="shared" si="324"/>
        <v>413155</v>
      </c>
      <c r="AX319" s="11">
        <f t="shared" si="324"/>
        <v>0</v>
      </c>
      <c r="AY319" s="11">
        <f t="shared" si="324"/>
        <v>413155</v>
      </c>
      <c r="AZ319" s="11">
        <f t="shared" si="324"/>
        <v>237947.71</v>
      </c>
      <c r="BA319" s="11">
        <f t="shared" si="324"/>
        <v>0</v>
      </c>
      <c r="BB319" s="11">
        <f t="shared" si="324"/>
        <v>0</v>
      </c>
      <c r="BC319" s="11">
        <f t="shared" si="324"/>
        <v>0</v>
      </c>
      <c r="BD319" s="11">
        <f t="shared" si="324"/>
        <v>0</v>
      </c>
      <c r="BE319" s="11"/>
      <c r="BF319" s="11"/>
      <c r="BG319" s="11"/>
      <c r="BH319" s="11"/>
      <c r="BI319" s="11"/>
      <c r="BJ319" s="11"/>
      <c r="BK319" s="11"/>
      <c r="BL319" s="11"/>
      <c r="BM319" s="11"/>
      <c r="BN319" s="11"/>
      <c r="BO319" s="11"/>
      <c r="BP319" s="11"/>
      <c r="BQ319" s="11"/>
      <c r="BR319" s="11"/>
      <c r="BS319" s="11"/>
      <c r="BT319" s="11"/>
      <c r="BU319" s="11"/>
      <c r="BV319" s="11"/>
      <c r="BW319" s="11"/>
      <c r="BX319" s="11"/>
      <c r="BY319" s="11"/>
      <c r="BZ319" s="11"/>
      <c r="CA319" s="11"/>
      <c r="CB319" s="11"/>
      <c r="CC319" s="11"/>
      <c r="CD319" s="11"/>
      <c r="CE319" s="11"/>
      <c r="CF319" s="11"/>
      <c r="CG319" s="11"/>
      <c r="CH319" s="11"/>
      <c r="CI319" s="11"/>
      <c r="CJ319" s="11"/>
      <c r="CK319" s="11"/>
      <c r="CL319" s="11"/>
      <c r="CM319" s="11"/>
      <c r="CN319" s="11"/>
      <c r="CO319" s="11"/>
      <c r="CP319" s="11"/>
      <c r="CQ319" s="11"/>
      <c r="CR319" s="11"/>
      <c r="CS319" s="11"/>
      <c r="CT319" s="11"/>
      <c r="CU319" s="11"/>
      <c r="CV319" s="11"/>
      <c r="CW319" s="11"/>
      <c r="CX319" s="11"/>
      <c r="CY319" s="11"/>
      <c r="CZ319" s="11"/>
      <c r="DA319" s="11"/>
      <c r="DB319" s="11"/>
      <c r="DC319" s="11"/>
      <c r="DD319" s="11"/>
      <c r="DE319" s="11"/>
      <c r="DF319" s="11"/>
      <c r="DG319" s="12">
        <f t="shared" ref="DG319:DL319" si="325">ROUND(DG286,2)</f>
        <v>11775980.48</v>
      </c>
      <c r="DH319" s="12">
        <f t="shared" si="325"/>
        <v>6006706.3799999999</v>
      </c>
      <c r="DI319" s="12">
        <f t="shared" si="325"/>
        <v>481719.19</v>
      </c>
      <c r="DJ319" s="12">
        <f t="shared" si="325"/>
        <v>220606.88</v>
      </c>
      <c r="DK319" s="12">
        <f t="shared" si="325"/>
        <v>5287554.91</v>
      </c>
      <c r="DL319" s="12">
        <f t="shared" si="325"/>
        <v>0</v>
      </c>
      <c r="DM319" s="12">
        <f>DM286</f>
        <v>7442.2285615199999</v>
      </c>
      <c r="DN319" s="12">
        <f>DN286</f>
        <v>0</v>
      </c>
      <c r="DO319" s="12">
        <f>ROUND(DO286,2)</f>
        <v>0</v>
      </c>
      <c r="DP319" s="12">
        <f>ROUND(DP286,2)</f>
        <v>4996651.29</v>
      </c>
      <c r="DQ319" s="12">
        <f>ROUND(DQ286,2)</f>
        <v>2564097.31</v>
      </c>
      <c r="DR319" s="12"/>
      <c r="DS319" s="12"/>
      <c r="DT319" s="12"/>
      <c r="DU319" s="12"/>
      <c r="DV319" s="12"/>
      <c r="DW319" s="12"/>
      <c r="DX319" s="12"/>
      <c r="DY319" s="12"/>
      <c r="DZ319" s="12"/>
      <c r="EA319" s="12"/>
      <c r="EB319" s="12"/>
      <c r="EC319" s="12"/>
      <c r="ED319" s="12"/>
      <c r="EE319" s="12"/>
      <c r="EF319" s="12"/>
      <c r="EG319" s="12">
        <f t="shared" ref="EG319:EV319" si="326">ROUND(EG286,2)</f>
        <v>0</v>
      </c>
      <c r="EH319" s="12">
        <f t="shared" si="326"/>
        <v>1892000.3</v>
      </c>
      <c r="EI319" s="12">
        <f t="shared" si="326"/>
        <v>0</v>
      </c>
      <c r="EJ319" s="12">
        <f t="shared" si="326"/>
        <v>19336729.079999998</v>
      </c>
      <c r="EK319" s="12">
        <f t="shared" si="326"/>
        <v>993629.08</v>
      </c>
      <c r="EL319" s="12">
        <f t="shared" si="326"/>
        <v>16451099.699999999</v>
      </c>
      <c r="EM319" s="12">
        <f t="shared" si="326"/>
        <v>0</v>
      </c>
      <c r="EN319" s="12">
        <f t="shared" si="326"/>
        <v>6006706.3799999999</v>
      </c>
      <c r="EO319" s="12">
        <f t="shared" si="326"/>
        <v>4114706.08</v>
      </c>
      <c r="EP319" s="12">
        <f t="shared" si="326"/>
        <v>0</v>
      </c>
      <c r="EQ319" s="12">
        <f t="shared" si="326"/>
        <v>4114706.08</v>
      </c>
      <c r="ER319" s="12">
        <f t="shared" si="326"/>
        <v>1892000.3</v>
      </c>
      <c r="ES319" s="12">
        <f t="shared" si="326"/>
        <v>0</v>
      </c>
      <c r="ET319" s="12">
        <f t="shared" si="326"/>
        <v>0</v>
      </c>
      <c r="EU319" s="12">
        <f t="shared" si="326"/>
        <v>0</v>
      </c>
      <c r="EV319" s="12">
        <f t="shared" si="326"/>
        <v>0</v>
      </c>
      <c r="EW319" s="12"/>
      <c r="EX319" s="12"/>
      <c r="EY319" s="12"/>
      <c r="EZ319" s="12"/>
      <c r="FA319" s="12"/>
      <c r="FB319" s="12"/>
      <c r="FC319" s="12"/>
      <c r="FD319" s="12"/>
      <c r="FE319" s="12"/>
      <c r="FF319" s="12"/>
      <c r="FG319" s="12"/>
      <c r="FH319" s="12"/>
      <c r="FI319" s="12"/>
      <c r="FJ319" s="12"/>
      <c r="FK319" s="12"/>
      <c r="FL319" s="12"/>
      <c r="FM319" s="12"/>
      <c r="FN319" s="12"/>
      <c r="FO319" s="12"/>
      <c r="FP319" s="12"/>
      <c r="FQ319" s="12"/>
      <c r="FR319" s="12"/>
      <c r="FS319" s="12"/>
      <c r="FT319" s="12"/>
      <c r="FU319" s="12"/>
      <c r="FV319" s="12"/>
      <c r="FW319" s="12"/>
      <c r="FX319" s="12"/>
      <c r="FY319" s="12"/>
      <c r="FZ319" s="12"/>
      <c r="GA319" s="12"/>
      <c r="GB319" s="12"/>
      <c r="GC319" s="12"/>
      <c r="GD319" s="12"/>
      <c r="GE319" s="12"/>
      <c r="GF319" s="12"/>
      <c r="GG319" s="12"/>
      <c r="GH319" s="12"/>
      <c r="GI319" s="12"/>
      <c r="GJ319" s="12"/>
      <c r="GK319" s="12"/>
      <c r="GL319" s="12"/>
      <c r="GM319" s="12"/>
      <c r="GN319" s="12"/>
      <c r="GO319" s="12"/>
      <c r="GP319" s="12"/>
      <c r="GQ319" s="12"/>
      <c r="GR319" s="12"/>
      <c r="GS319" s="12"/>
      <c r="GT319" s="12"/>
      <c r="GU319" s="12"/>
      <c r="GV319" s="12"/>
      <c r="GW319" s="12"/>
      <c r="GX319" s="12">
        <v>0</v>
      </c>
    </row>
    <row r="321" spans="1:28" x14ac:dyDescent="0.2">
      <c r="A321" s="13">
        <v>50</v>
      </c>
      <c r="B321" s="13">
        <v>0</v>
      </c>
      <c r="C321" s="13">
        <v>0</v>
      </c>
      <c r="D321" s="13">
        <v>1</v>
      </c>
      <c r="E321" s="13">
        <v>201</v>
      </c>
      <c r="F321" s="13">
        <f>ROUND(Source!O319,O321)</f>
        <v>770382.96</v>
      </c>
      <c r="G321" s="13" t="s">
        <v>281</v>
      </c>
      <c r="H321" s="13" t="s">
        <v>282</v>
      </c>
      <c r="I321" s="13"/>
      <c r="J321" s="13"/>
      <c r="K321" s="13">
        <v>201</v>
      </c>
      <c r="L321" s="13">
        <v>1</v>
      </c>
      <c r="M321" s="13">
        <v>3</v>
      </c>
      <c r="N321" s="13" t="s">
        <v>3</v>
      </c>
      <c r="O321" s="13">
        <v>2</v>
      </c>
      <c r="P321" s="13">
        <f>ROUND(Source!DG319,O321)</f>
        <v>11775980.48</v>
      </c>
      <c r="Q321" s="13"/>
      <c r="R321" s="13"/>
      <c r="S321" s="13"/>
      <c r="T321" s="13"/>
      <c r="U321" s="13"/>
      <c r="V321" s="13"/>
      <c r="W321" s="13">
        <v>770382.96</v>
      </c>
      <c r="X321" s="13">
        <v>1</v>
      </c>
      <c r="Y321" s="13">
        <v>770382.96</v>
      </c>
      <c r="Z321" s="13">
        <v>11775980.48</v>
      </c>
      <c r="AA321" s="13">
        <v>1</v>
      </c>
      <c r="AB321" s="13">
        <v>11775980.48</v>
      </c>
    </row>
    <row r="322" spans="1:28" x14ac:dyDescent="0.2">
      <c r="A322" s="13">
        <v>50</v>
      </c>
      <c r="B322" s="13">
        <v>0</v>
      </c>
      <c r="C322" s="13">
        <v>0</v>
      </c>
      <c r="D322" s="13">
        <v>1</v>
      </c>
      <c r="E322" s="13">
        <v>202</v>
      </c>
      <c r="F322" s="13">
        <f>ROUND(Source!P319,O322)</f>
        <v>651102.71</v>
      </c>
      <c r="G322" s="13" t="s">
        <v>283</v>
      </c>
      <c r="H322" s="13" t="s">
        <v>284</v>
      </c>
      <c r="I322" s="13"/>
      <c r="J322" s="13"/>
      <c r="K322" s="13">
        <v>202</v>
      </c>
      <c r="L322" s="13">
        <v>2</v>
      </c>
      <c r="M322" s="13">
        <v>3</v>
      </c>
      <c r="N322" s="13" t="s">
        <v>3</v>
      </c>
      <c r="O322" s="13">
        <v>2</v>
      </c>
      <c r="P322" s="13">
        <f>ROUND(Source!DH319,O322)</f>
        <v>6006706.3799999999</v>
      </c>
      <c r="Q322" s="13"/>
      <c r="R322" s="13"/>
      <c r="S322" s="13"/>
      <c r="T322" s="13"/>
      <c r="U322" s="13"/>
      <c r="V322" s="13"/>
      <c r="W322" s="13">
        <v>651102.71</v>
      </c>
      <c r="X322" s="13">
        <v>1</v>
      </c>
      <c r="Y322" s="13">
        <v>651102.71</v>
      </c>
      <c r="Z322" s="13">
        <v>6006706.3799999999</v>
      </c>
      <c r="AA322" s="13">
        <v>1</v>
      </c>
      <c r="AB322" s="13">
        <v>6006706.3799999999</v>
      </c>
    </row>
    <row r="323" spans="1:28" x14ac:dyDescent="0.2">
      <c r="A323" s="13">
        <v>50</v>
      </c>
      <c r="B323" s="13">
        <v>0</v>
      </c>
      <c r="C323" s="13">
        <v>0</v>
      </c>
      <c r="D323" s="13">
        <v>1</v>
      </c>
      <c r="E323" s="13">
        <v>222</v>
      </c>
      <c r="F323" s="13">
        <f>ROUND(Source!AO319,O323)</f>
        <v>0</v>
      </c>
      <c r="G323" s="13" t="s">
        <v>285</v>
      </c>
      <c r="H323" s="13" t="s">
        <v>286</v>
      </c>
      <c r="I323" s="13"/>
      <c r="J323" s="13"/>
      <c r="K323" s="13">
        <v>222</v>
      </c>
      <c r="L323" s="13">
        <v>3</v>
      </c>
      <c r="M323" s="13">
        <v>3</v>
      </c>
      <c r="N323" s="13" t="s">
        <v>3</v>
      </c>
      <c r="O323" s="13">
        <v>2</v>
      </c>
      <c r="P323" s="13">
        <f>ROUND(Source!EG319,O323)</f>
        <v>0</v>
      </c>
      <c r="Q323" s="13"/>
      <c r="R323" s="13"/>
      <c r="S323" s="13"/>
      <c r="T323" s="13"/>
      <c r="U323" s="13"/>
      <c r="V323" s="13"/>
      <c r="W323" s="13">
        <v>0</v>
      </c>
      <c r="X323" s="13">
        <v>1</v>
      </c>
      <c r="Y323" s="13">
        <v>0</v>
      </c>
      <c r="Z323" s="13">
        <v>0</v>
      </c>
      <c r="AA323" s="13">
        <v>1</v>
      </c>
      <c r="AB323" s="13">
        <v>0</v>
      </c>
    </row>
    <row r="324" spans="1:28" x14ac:dyDescent="0.2">
      <c r="A324" s="13">
        <v>50</v>
      </c>
      <c r="B324" s="13">
        <v>0</v>
      </c>
      <c r="C324" s="13">
        <v>0</v>
      </c>
      <c r="D324" s="13">
        <v>1</v>
      </c>
      <c r="E324" s="13">
        <v>225</v>
      </c>
      <c r="F324" s="13">
        <f>ROUND(Source!AV319,O324)</f>
        <v>651102.71</v>
      </c>
      <c r="G324" s="13" t="s">
        <v>287</v>
      </c>
      <c r="H324" s="13" t="s">
        <v>288</v>
      </c>
      <c r="I324" s="13"/>
      <c r="J324" s="13"/>
      <c r="K324" s="13">
        <v>225</v>
      </c>
      <c r="L324" s="13">
        <v>4</v>
      </c>
      <c r="M324" s="13">
        <v>3</v>
      </c>
      <c r="N324" s="13" t="s">
        <v>3</v>
      </c>
      <c r="O324" s="13">
        <v>2</v>
      </c>
      <c r="P324" s="13">
        <f>ROUND(Source!EN319,O324)</f>
        <v>6006706.3799999999</v>
      </c>
      <c r="Q324" s="13"/>
      <c r="R324" s="13"/>
      <c r="S324" s="13"/>
      <c r="T324" s="13"/>
      <c r="U324" s="13"/>
      <c r="V324" s="13"/>
      <c r="W324" s="13">
        <v>651102.71</v>
      </c>
      <c r="X324" s="13">
        <v>1</v>
      </c>
      <c r="Y324" s="13">
        <v>651102.71</v>
      </c>
      <c r="Z324" s="13">
        <v>6006706.3799999999</v>
      </c>
      <c r="AA324" s="13">
        <v>1</v>
      </c>
      <c r="AB324" s="13">
        <v>6006706.3799999999</v>
      </c>
    </row>
    <row r="325" spans="1:28" x14ac:dyDescent="0.2">
      <c r="A325" s="13">
        <v>50</v>
      </c>
      <c r="B325" s="13">
        <v>0</v>
      </c>
      <c r="C325" s="13">
        <v>0</v>
      </c>
      <c r="D325" s="13">
        <v>1</v>
      </c>
      <c r="E325" s="13">
        <v>226</v>
      </c>
      <c r="F325" s="13">
        <f>ROUND(Source!AW319,O325)</f>
        <v>413155</v>
      </c>
      <c r="G325" s="13" t="s">
        <v>289</v>
      </c>
      <c r="H325" s="13" t="s">
        <v>290</v>
      </c>
      <c r="I325" s="13"/>
      <c r="J325" s="13"/>
      <c r="K325" s="13">
        <v>226</v>
      </c>
      <c r="L325" s="13">
        <v>5</v>
      </c>
      <c r="M325" s="13">
        <v>3</v>
      </c>
      <c r="N325" s="13" t="s">
        <v>3</v>
      </c>
      <c r="O325" s="13">
        <v>2</v>
      </c>
      <c r="P325" s="13">
        <f>ROUND(Source!EO319,O325)</f>
        <v>4114706.08</v>
      </c>
      <c r="Q325" s="13"/>
      <c r="R325" s="13"/>
      <c r="S325" s="13"/>
      <c r="T325" s="13"/>
      <c r="U325" s="13"/>
      <c r="V325" s="13"/>
      <c r="W325" s="13">
        <v>413155</v>
      </c>
      <c r="X325" s="13">
        <v>1</v>
      </c>
      <c r="Y325" s="13">
        <v>413155</v>
      </c>
      <c r="Z325" s="13">
        <v>4114706.08</v>
      </c>
      <c r="AA325" s="13">
        <v>1</v>
      </c>
      <c r="AB325" s="13">
        <v>4114706.08</v>
      </c>
    </row>
    <row r="326" spans="1:28" x14ac:dyDescent="0.2">
      <c r="A326" s="13">
        <v>50</v>
      </c>
      <c r="B326" s="13">
        <v>0</v>
      </c>
      <c r="C326" s="13">
        <v>0</v>
      </c>
      <c r="D326" s="13">
        <v>1</v>
      </c>
      <c r="E326" s="13">
        <v>227</v>
      </c>
      <c r="F326" s="13">
        <f>ROUND(Source!AX319,O326)</f>
        <v>0</v>
      </c>
      <c r="G326" s="13" t="s">
        <v>291</v>
      </c>
      <c r="H326" s="13" t="s">
        <v>292</v>
      </c>
      <c r="I326" s="13"/>
      <c r="J326" s="13"/>
      <c r="K326" s="13">
        <v>227</v>
      </c>
      <c r="L326" s="13">
        <v>6</v>
      </c>
      <c r="M326" s="13">
        <v>3</v>
      </c>
      <c r="N326" s="13" t="s">
        <v>3</v>
      </c>
      <c r="O326" s="13">
        <v>2</v>
      </c>
      <c r="P326" s="13">
        <f>ROUND(Source!EP319,O326)</f>
        <v>0</v>
      </c>
      <c r="Q326" s="13"/>
      <c r="R326" s="13"/>
      <c r="S326" s="13"/>
      <c r="T326" s="13"/>
      <c r="U326" s="13"/>
      <c r="V326" s="13"/>
      <c r="W326" s="13">
        <v>0</v>
      </c>
      <c r="X326" s="13">
        <v>1</v>
      </c>
      <c r="Y326" s="13">
        <v>0</v>
      </c>
      <c r="Z326" s="13">
        <v>0</v>
      </c>
      <c r="AA326" s="13">
        <v>1</v>
      </c>
      <c r="AB326" s="13">
        <v>0</v>
      </c>
    </row>
    <row r="327" spans="1:28" x14ac:dyDescent="0.2">
      <c r="A327" s="13">
        <v>50</v>
      </c>
      <c r="B327" s="13">
        <v>0</v>
      </c>
      <c r="C327" s="13">
        <v>0</v>
      </c>
      <c r="D327" s="13">
        <v>1</v>
      </c>
      <c r="E327" s="13">
        <v>228</v>
      </c>
      <c r="F327" s="13">
        <f>ROUND(Source!AY319,O327)</f>
        <v>413155</v>
      </c>
      <c r="G327" s="13" t="s">
        <v>293</v>
      </c>
      <c r="H327" s="13" t="s">
        <v>294</v>
      </c>
      <c r="I327" s="13"/>
      <c r="J327" s="13"/>
      <c r="K327" s="13">
        <v>228</v>
      </c>
      <c r="L327" s="13">
        <v>7</v>
      </c>
      <c r="M327" s="13">
        <v>3</v>
      </c>
      <c r="N327" s="13" t="s">
        <v>3</v>
      </c>
      <c r="O327" s="13">
        <v>2</v>
      </c>
      <c r="P327" s="13">
        <f>ROUND(Source!EQ319,O327)</f>
        <v>4114706.08</v>
      </c>
      <c r="Q327" s="13"/>
      <c r="R327" s="13"/>
      <c r="S327" s="13"/>
      <c r="T327" s="13"/>
      <c r="U327" s="13"/>
      <c r="V327" s="13"/>
      <c r="W327" s="13">
        <v>413155</v>
      </c>
      <c r="X327" s="13">
        <v>1</v>
      </c>
      <c r="Y327" s="13">
        <v>413155</v>
      </c>
      <c r="Z327" s="13">
        <v>4114706.08</v>
      </c>
      <c r="AA327" s="13">
        <v>1</v>
      </c>
      <c r="AB327" s="13">
        <v>4114706.08</v>
      </c>
    </row>
    <row r="328" spans="1:28" x14ac:dyDescent="0.2">
      <c r="A328" s="13">
        <v>50</v>
      </c>
      <c r="B328" s="13">
        <v>0</v>
      </c>
      <c r="C328" s="13">
        <v>0</v>
      </c>
      <c r="D328" s="13">
        <v>1</v>
      </c>
      <c r="E328" s="13">
        <v>216</v>
      </c>
      <c r="F328" s="13">
        <f>ROUND(Source!AP319,O328)</f>
        <v>237947.71</v>
      </c>
      <c r="G328" s="13" t="s">
        <v>295</v>
      </c>
      <c r="H328" s="13" t="s">
        <v>296</v>
      </c>
      <c r="I328" s="13"/>
      <c r="J328" s="13"/>
      <c r="K328" s="13">
        <v>216</v>
      </c>
      <c r="L328" s="13">
        <v>8</v>
      </c>
      <c r="M328" s="13">
        <v>3</v>
      </c>
      <c r="N328" s="13" t="s">
        <v>3</v>
      </c>
      <c r="O328" s="13">
        <v>2</v>
      </c>
      <c r="P328" s="13">
        <f>ROUND(Source!EH319,O328)</f>
        <v>1892000.3</v>
      </c>
      <c r="Q328" s="13"/>
      <c r="R328" s="13"/>
      <c r="S328" s="13"/>
      <c r="T328" s="13"/>
      <c r="U328" s="13"/>
      <c r="V328" s="13"/>
      <c r="W328" s="13">
        <v>237947.71</v>
      </c>
      <c r="X328" s="13">
        <v>1</v>
      </c>
      <c r="Y328" s="13">
        <v>237947.71</v>
      </c>
      <c r="Z328" s="13">
        <v>1892000.3</v>
      </c>
      <c r="AA328" s="13">
        <v>1</v>
      </c>
      <c r="AB328" s="13">
        <v>1892000.3</v>
      </c>
    </row>
    <row r="329" spans="1:28" x14ac:dyDescent="0.2">
      <c r="A329" s="13">
        <v>50</v>
      </c>
      <c r="B329" s="13">
        <v>0</v>
      </c>
      <c r="C329" s="13">
        <v>0</v>
      </c>
      <c r="D329" s="13">
        <v>1</v>
      </c>
      <c r="E329" s="13">
        <v>223</v>
      </c>
      <c r="F329" s="13">
        <f>ROUND(Source!AQ319,O329)</f>
        <v>0</v>
      </c>
      <c r="G329" s="13" t="s">
        <v>297</v>
      </c>
      <c r="H329" s="13" t="s">
        <v>298</v>
      </c>
      <c r="I329" s="13"/>
      <c r="J329" s="13"/>
      <c r="K329" s="13">
        <v>223</v>
      </c>
      <c r="L329" s="13">
        <v>9</v>
      </c>
      <c r="M329" s="13">
        <v>3</v>
      </c>
      <c r="N329" s="13" t="s">
        <v>3</v>
      </c>
      <c r="O329" s="13">
        <v>2</v>
      </c>
      <c r="P329" s="13">
        <f>ROUND(Source!EI319,O329)</f>
        <v>0</v>
      </c>
      <c r="Q329" s="13"/>
      <c r="R329" s="13"/>
      <c r="S329" s="13"/>
      <c r="T329" s="13"/>
      <c r="U329" s="13"/>
      <c r="V329" s="13"/>
      <c r="W329" s="13">
        <v>0</v>
      </c>
      <c r="X329" s="13">
        <v>1</v>
      </c>
      <c r="Y329" s="13">
        <v>0</v>
      </c>
      <c r="Z329" s="13">
        <v>0</v>
      </c>
      <c r="AA329" s="13">
        <v>1</v>
      </c>
      <c r="AB329" s="13">
        <v>0</v>
      </c>
    </row>
    <row r="330" spans="1:28" x14ac:dyDescent="0.2">
      <c r="A330" s="13">
        <v>50</v>
      </c>
      <c r="B330" s="13">
        <v>0</v>
      </c>
      <c r="C330" s="13">
        <v>0</v>
      </c>
      <c r="D330" s="13">
        <v>1</v>
      </c>
      <c r="E330" s="13">
        <v>229</v>
      </c>
      <c r="F330" s="13">
        <f>ROUND(Source!AZ319,O330)</f>
        <v>237947.71</v>
      </c>
      <c r="G330" s="13" t="s">
        <v>299</v>
      </c>
      <c r="H330" s="13" t="s">
        <v>300</v>
      </c>
      <c r="I330" s="13"/>
      <c r="J330" s="13"/>
      <c r="K330" s="13">
        <v>229</v>
      </c>
      <c r="L330" s="13">
        <v>10</v>
      </c>
      <c r="M330" s="13">
        <v>3</v>
      </c>
      <c r="N330" s="13" t="s">
        <v>3</v>
      </c>
      <c r="O330" s="13">
        <v>2</v>
      </c>
      <c r="P330" s="13">
        <f>ROUND(Source!ER319,O330)</f>
        <v>1892000.3</v>
      </c>
      <c r="Q330" s="13"/>
      <c r="R330" s="13"/>
      <c r="S330" s="13"/>
      <c r="T330" s="13"/>
      <c r="U330" s="13"/>
      <c r="V330" s="13"/>
      <c r="W330" s="13">
        <v>237947.71</v>
      </c>
      <c r="X330" s="13">
        <v>1</v>
      </c>
      <c r="Y330" s="13">
        <v>237947.71</v>
      </c>
      <c r="Z330" s="13">
        <v>1892000.3</v>
      </c>
      <c r="AA330" s="13">
        <v>1</v>
      </c>
      <c r="AB330" s="13">
        <v>1892000.3</v>
      </c>
    </row>
    <row r="331" spans="1:28" x14ac:dyDescent="0.2">
      <c r="A331" s="13">
        <v>50</v>
      </c>
      <c r="B331" s="13">
        <v>0</v>
      </c>
      <c r="C331" s="13">
        <v>0</v>
      </c>
      <c r="D331" s="13">
        <v>1</v>
      </c>
      <c r="E331" s="13">
        <v>203</v>
      </c>
      <c r="F331" s="13">
        <f>ROUND(Source!Q319,O331)</f>
        <v>25446.09</v>
      </c>
      <c r="G331" s="13" t="s">
        <v>301</v>
      </c>
      <c r="H331" s="13" t="s">
        <v>302</v>
      </c>
      <c r="I331" s="13"/>
      <c r="J331" s="13"/>
      <c r="K331" s="13">
        <v>203</v>
      </c>
      <c r="L331" s="13">
        <v>11</v>
      </c>
      <c r="M331" s="13">
        <v>3</v>
      </c>
      <c r="N331" s="13" t="s">
        <v>3</v>
      </c>
      <c r="O331" s="13">
        <v>2</v>
      </c>
      <c r="P331" s="13">
        <f>ROUND(Source!DI319,O331)</f>
        <v>481719.19</v>
      </c>
      <c r="Q331" s="13"/>
      <c r="R331" s="13"/>
      <c r="S331" s="13"/>
      <c r="T331" s="13"/>
      <c r="U331" s="13"/>
      <c r="V331" s="13"/>
      <c r="W331" s="13">
        <v>25446.09</v>
      </c>
      <c r="X331" s="13">
        <v>1</v>
      </c>
      <c r="Y331" s="13">
        <v>25446.09</v>
      </c>
      <c r="Z331" s="13">
        <v>481719.19</v>
      </c>
      <c r="AA331" s="13">
        <v>1</v>
      </c>
      <c r="AB331" s="13">
        <v>481719.19</v>
      </c>
    </row>
    <row r="332" spans="1:28" x14ac:dyDescent="0.2">
      <c r="A332" s="13">
        <v>50</v>
      </c>
      <c r="B332" s="13">
        <v>0</v>
      </c>
      <c r="C332" s="13">
        <v>0</v>
      </c>
      <c r="D332" s="13">
        <v>1</v>
      </c>
      <c r="E332" s="13">
        <v>231</v>
      </c>
      <c r="F332" s="13">
        <f>ROUND(Source!BB319,O332)</f>
        <v>0</v>
      </c>
      <c r="G332" s="13" t="s">
        <v>303</v>
      </c>
      <c r="H332" s="13" t="s">
        <v>304</v>
      </c>
      <c r="I332" s="13"/>
      <c r="J332" s="13"/>
      <c r="K332" s="13">
        <v>231</v>
      </c>
      <c r="L332" s="13">
        <v>12</v>
      </c>
      <c r="M332" s="13">
        <v>3</v>
      </c>
      <c r="N332" s="13" t="s">
        <v>3</v>
      </c>
      <c r="O332" s="13">
        <v>2</v>
      </c>
      <c r="P332" s="13">
        <f>ROUND(Source!ET319,O332)</f>
        <v>0</v>
      </c>
      <c r="Q332" s="13"/>
      <c r="R332" s="13"/>
      <c r="S332" s="13"/>
      <c r="T332" s="13"/>
      <c r="U332" s="13"/>
      <c r="V332" s="13"/>
      <c r="W332" s="13">
        <v>0</v>
      </c>
      <c r="X332" s="13">
        <v>1</v>
      </c>
      <c r="Y332" s="13">
        <v>0</v>
      </c>
      <c r="Z332" s="13">
        <v>0</v>
      </c>
      <c r="AA332" s="13">
        <v>1</v>
      </c>
      <c r="AB332" s="13">
        <v>0</v>
      </c>
    </row>
    <row r="333" spans="1:28" x14ac:dyDescent="0.2">
      <c r="A333" s="13">
        <v>50</v>
      </c>
      <c r="B333" s="13">
        <v>0</v>
      </c>
      <c r="C333" s="13">
        <v>0</v>
      </c>
      <c r="D333" s="13">
        <v>1</v>
      </c>
      <c r="E333" s="13">
        <v>204</v>
      </c>
      <c r="F333" s="13">
        <f>ROUND(Source!R319,O333)</f>
        <v>3914.94</v>
      </c>
      <c r="G333" s="13" t="s">
        <v>305</v>
      </c>
      <c r="H333" s="13" t="s">
        <v>306</v>
      </c>
      <c r="I333" s="13"/>
      <c r="J333" s="13"/>
      <c r="K333" s="13">
        <v>204</v>
      </c>
      <c r="L333" s="13">
        <v>13</v>
      </c>
      <c r="M333" s="13">
        <v>3</v>
      </c>
      <c r="N333" s="13" t="s">
        <v>3</v>
      </c>
      <c r="O333" s="13">
        <v>2</v>
      </c>
      <c r="P333" s="13">
        <f>ROUND(Source!DJ319,O333)</f>
        <v>220606.88</v>
      </c>
      <c r="Q333" s="13"/>
      <c r="R333" s="13"/>
      <c r="S333" s="13"/>
      <c r="T333" s="13"/>
      <c r="U333" s="13"/>
      <c r="V333" s="13"/>
      <c r="W333" s="13">
        <v>3914.94</v>
      </c>
      <c r="X333" s="13">
        <v>1</v>
      </c>
      <c r="Y333" s="13">
        <v>3914.94</v>
      </c>
      <c r="Z333" s="13">
        <v>220606.88</v>
      </c>
      <c r="AA333" s="13">
        <v>1</v>
      </c>
      <c r="AB333" s="13">
        <v>220606.88</v>
      </c>
    </row>
    <row r="334" spans="1:28" x14ac:dyDescent="0.2">
      <c r="A334" s="13">
        <v>50</v>
      </c>
      <c r="B334" s="13">
        <v>0</v>
      </c>
      <c r="C334" s="13">
        <v>0</v>
      </c>
      <c r="D334" s="13">
        <v>1</v>
      </c>
      <c r="E334" s="13">
        <v>205</v>
      </c>
      <c r="F334" s="13">
        <f>ROUND(Source!S319,O334)</f>
        <v>93834.16</v>
      </c>
      <c r="G334" s="13" t="s">
        <v>307</v>
      </c>
      <c r="H334" s="13" t="s">
        <v>308</v>
      </c>
      <c r="I334" s="13"/>
      <c r="J334" s="13"/>
      <c r="K334" s="13">
        <v>205</v>
      </c>
      <c r="L334" s="13">
        <v>14</v>
      </c>
      <c r="M334" s="13">
        <v>3</v>
      </c>
      <c r="N334" s="13" t="s">
        <v>3</v>
      </c>
      <c r="O334" s="13">
        <v>2</v>
      </c>
      <c r="P334" s="13">
        <f>ROUND(Source!DK319,O334)</f>
        <v>5287554.91</v>
      </c>
      <c r="Q334" s="13"/>
      <c r="R334" s="13"/>
      <c r="S334" s="13"/>
      <c r="T334" s="13"/>
      <c r="U334" s="13"/>
      <c r="V334" s="13"/>
      <c r="W334" s="13">
        <v>93834.16</v>
      </c>
      <c r="X334" s="13">
        <v>1</v>
      </c>
      <c r="Y334" s="13">
        <v>93834.16</v>
      </c>
      <c r="Z334" s="13">
        <v>5287554.91</v>
      </c>
      <c r="AA334" s="13">
        <v>1</v>
      </c>
      <c r="AB334" s="13">
        <v>5287554.91</v>
      </c>
    </row>
    <row r="335" spans="1:28" x14ac:dyDescent="0.2">
      <c r="A335" s="13">
        <v>50</v>
      </c>
      <c r="B335" s="13">
        <v>0</v>
      </c>
      <c r="C335" s="13">
        <v>0</v>
      </c>
      <c r="D335" s="13">
        <v>1</v>
      </c>
      <c r="E335" s="13">
        <v>232</v>
      </c>
      <c r="F335" s="13">
        <f>ROUND(Source!BC319,O335)</f>
        <v>0</v>
      </c>
      <c r="G335" s="13" t="s">
        <v>309</v>
      </c>
      <c r="H335" s="13" t="s">
        <v>310</v>
      </c>
      <c r="I335" s="13"/>
      <c r="J335" s="13"/>
      <c r="K335" s="13">
        <v>232</v>
      </c>
      <c r="L335" s="13">
        <v>15</v>
      </c>
      <c r="M335" s="13">
        <v>3</v>
      </c>
      <c r="N335" s="13" t="s">
        <v>3</v>
      </c>
      <c r="O335" s="13">
        <v>2</v>
      </c>
      <c r="P335" s="13">
        <f>ROUND(Source!EU319,O335)</f>
        <v>0</v>
      </c>
      <c r="Q335" s="13"/>
      <c r="R335" s="13"/>
      <c r="S335" s="13"/>
      <c r="T335" s="13"/>
      <c r="U335" s="13"/>
      <c r="V335" s="13"/>
      <c r="W335" s="13">
        <v>0</v>
      </c>
      <c r="X335" s="13">
        <v>1</v>
      </c>
      <c r="Y335" s="13">
        <v>0</v>
      </c>
      <c r="Z335" s="13">
        <v>0</v>
      </c>
      <c r="AA335" s="13">
        <v>1</v>
      </c>
      <c r="AB335" s="13">
        <v>0</v>
      </c>
    </row>
    <row r="336" spans="1:28" x14ac:dyDescent="0.2">
      <c r="A336" s="13">
        <v>50</v>
      </c>
      <c r="B336" s="13">
        <v>0</v>
      </c>
      <c r="C336" s="13">
        <v>0</v>
      </c>
      <c r="D336" s="13">
        <v>1</v>
      </c>
      <c r="E336" s="13">
        <v>214</v>
      </c>
      <c r="F336" s="13">
        <f>ROUND(Source!AS319,O336)</f>
        <v>30023.95</v>
      </c>
      <c r="G336" s="13" t="s">
        <v>311</v>
      </c>
      <c r="H336" s="13" t="s">
        <v>312</v>
      </c>
      <c r="I336" s="13"/>
      <c r="J336" s="13"/>
      <c r="K336" s="13">
        <v>214</v>
      </c>
      <c r="L336" s="13">
        <v>16</v>
      </c>
      <c r="M336" s="13">
        <v>3</v>
      </c>
      <c r="N336" s="13" t="s">
        <v>3</v>
      </c>
      <c r="O336" s="13">
        <v>2</v>
      </c>
      <c r="P336" s="13">
        <f>ROUND(Source!EK319,O336)</f>
        <v>993629.08</v>
      </c>
      <c r="Q336" s="13"/>
      <c r="R336" s="13"/>
      <c r="S336" s="13"/>
      <c r="T336" s="13"/>
      <c r="U336" s="13"/>
      <c r="V336" s="13"/>
      <c r="W336" s="13">
        <v>30023.95</v>
      </c>
      <c r="X336" s="13">
        <v>1</v>
      </c>
      <c r="Y336" s="13">
        <v>30023.95</v>
      </c>
      <c r="Z336" s="13">
        <v>993629.08</v>
      </c>
      <c r="AA336" s="13">
        <v>1</v>
      </c>
      <c r="AB336" s="13">
        <v>993629.08</v>
      </c>
    </row>
    <row r="337" spans="1:28" x14ac:dyDescent="0.2">
      <c r="A337" s="13">
        <v>50</v>
      </c>
      <c r="B337" s="13">
        <v>0</v>
      </c>
      <c r="C337" s="13">
        <v>0</v>
      </c>
      <c r="D337" s="13">
        <v>1</v>
      </c>
      <c r="E337" s="13">
        <v>215</v>
      </c>
      <c r="F337" s="13">
        <f>ROUND(Source!AT319,O337)</f>
        <v>636586.06999999995</v>
      </c>
      <c r="G337" s="13" t="s">
        <v>313</v>
      </c>
      <c r="H337" s="13" t="s">
        <v>314</v>
      </c>
      <c r="I337" s="13"/>
      <c r="J337" s="13"/>
      <c r="K337" s="13">
        <v>215</v>
      </c>
      <c r="L337" s="13">
        <v>17</v>
      </c>
      <c r="M337" s="13">
        <v>3</v>
      </c>
      <c r="N337" s="13" t="s">
        <v>3</v>
      </c>
      <c r="O337" s="13">
        <v>2</v>
      </c>
      <c r="P337" s="13">
        <f>ROUND(Source!EL319,O337)</f>
        <v>16451099.699999999</v>
      </c>
      <c r="Q337" s="13"/>
      <c r="R337" s="13"/>
      <c r="S337" s="13"/>
      <c r="T337" s="13"/>
      <c r="U337" s="13"/>
      <c r="V337" s="13"/>
      <c r="W337" s="13">
        <v>636586.06999999995</v>
      </c>
      <c r="X337" s="13">
        <v>1</v>
      </c>
      <c r="Y337" s="13">
        <v>636586.06999999995</v>
      </c>
      <c r="Z337" s="13">
        <v>16451099.699999999</v>
      </c>
      <c r="AA337" s="13">
        <v>1</v>
      </c>
      <c r="AB337" s="13">
        <v>16451099.699999999</v>
      </c>
    </row>
    <row r="338" spans="1:28" x14ac:dyDescent="0.2">
      <c r="A338" s="13">
        <v>50</v>
      </c>
      <c r="B338" s="13">
        <v>0</v>
      </c>
      <c r="C338" s="13">
        <v>0</v>
      </c>
      <c r="D338" s="13">
        <v>1</v>
      </c>
      <c r="E338" s="13">
        <v>217</v>
      </c>
      <c r="F338" s="13">
        <f>ROUND(Source!AU319,O338)</f>
        <v>0</v>
      </c>
      <c r="G338" s="13" t="s">
        <v>315</v>
      </c>
      <c r="H338" s="13" t="s">
        <v>316</v>
      </c>
      <c r="I338" s="13"/>
      <c r="J338" s="13"/>
      <c r="K338" s="13">
        <v>217</v>
      </c>
      <c r="L338" s="13">
        <v>18</v>
      </c>
      <c r="M338" s="13">
        <v>3</v>
      </c>
      <c r="N338" s="13" t="s">
        <v>3</v>
      </c>
      <c r="O338" s="13">
        <v>2</v>
      </c>
      <c r="P338" s="13">
        <f>ROUND(Source!EM319,O338)</f>
        <v>0</v>
      </c>
      <c r="Q338" s="13"/>
      <c r="R338" s="13"/>
      <c r="S338" s="13"/>
      <c r="T338" s="13"/>
      <c r="U338" s="13"/>
      <c r="V338" s="13"/>
      <c r="W338" s="13">
        <v>0</v>
      </c>
      <c r="X338" s="13">
        <v>1</v>
      </c>
      <c r="Y338" s="13">
        <v>0</v>
      </c>
      <c r="Z338" s="13">
        <v>0</v>
      </c>
      <c r="AA338" s="13">
        <v>1</v>
      </c>
      <c r="AB338" s="13">
        <v>0</v>
      </c>
    </row>
    <row r="339" spans="1:28" x14ac:dyDescent="0.2">
      <c r="A339" s="13">
        <v>50</v>
      </c>
      <c r="B339" s="13">
        <v>0</v>
      </c>
      <c r="C339" s="13">
        <v>0</v>
      </c>
      <c r="D339" s="13">
        <v>1</v>
      </c>
      <c r="E339" s="13">
        <v>230</v>
      </c>
      <c r="F339" s="13">
        <f>ROUND(Source!BA319,O339)</f>
        <v>0</v>
      </c>
      <c r="G339" s="13" t="s">
        <v>317</v>
      </c>
      <c r="H339" s="13" t="s">
        <v>318</v>
      </c>
      <c r="I339" s="13"/>
      <c r="J339" s="13"/>
      <c r="K339" s="13">
        <v>230</v>
      </c>
      <c r="L339" s="13">
        <v>19</v>
      </c>
      <c r="M339" s="13">
        <v>3</v>
      </c>
      <c r="N339" s="13" t="s">
        <v>3</v>
      </c>
      <c r="O339" s="13">
        <v>2</v>
      </c>
      <c r="P339" s="13">
        <f>ROUND(Source!ES319,O339)</f>
        <v>0</v>
      </c>
      <c r="Q339" s="13"/>
      <c r="R339" s="13"/>
      <c r="S339" s="13"/>
      <c r="T339" s="13"/>
      <c r="U339" s="13"/>
      <c r="V339" s="13"/>
      <c r="W339" s="13">
        <v>0</v>
      </c>
      <c r="X339" s="13">
        <v>1</v>
      </c>
      <c r="Y339" s="13">
        <v>0</v>
      </c>
      <c r="Z339" s="13">
        <v>0</v>
      </c>
      <c r="AA339" s="13">
        <v>1</v>
      </c>
      <c r="AB339" s="13">
        <v>0</v>
      </c>
    </row>
    <row r="340" spans="1:28" x14ac:dyDescent="0.2">
      <c r="A340" s="13">
        <v>50</v>
      </c>
      <c r="B340" s="13">
        <v>0</v>
      </c>
      <c r="C340" s="13">
        <v>0</v>
      </c>
      <c r="D340" s="13">
        <v>1</v>
      </c>
      <c r="E340" s="13">
        <v>206</v>
      </c>
      <c r="F340" s="13">
        <f>ROUND(Source!T319,O340)</f>
        <v>0</v>
      </c>
      <c r="G340" s="13" t="s">
        <v>319</v>
      </c>
      <c r="H340" s="13" t="s">
        <v>320</v>
      </c>
      <c r="I340" s="13"/>
      <c r="J340" s="13"/>
      <c r="K340" s="13">
        <v>206</v>
      </c>
      <c r="L340" s="13">
        <v>20</v>
      </c>
      <c r="M340" s="13">
        <v>3</v>
      </c>
      <c r="N340" s="13" t="s">
        <v>3</v>
      </c>
      <c r="O340" s="13">
        <v>2</v>
      </c>
      <c r="P340" s="13">
        <f>ROUND(Source!DL319,O340)</f>
        <v>0</v>
      </c>
      <c r="Q340" s="13"/>
      <c r="R340" s="13"/>
      <c r="S340" s="13"/>
      <c r="T340" s="13"/>
      <c r="U340" s="13"/>
      <c r="V340" s="13"/>
      <c r="W340" s="13">
        <v>0</v>
      </c>
      <c r="X340" s="13">
        <v>1</v>
      </c>
      <c r="Y340" s="13">
        <v>0</v>
      </c>
      <c r="Z340" s="13">
        <v>0</v>
      </c>
      <c r="AA340" s="13">
        <v>1</v>
      </c>
      <c r="AB340" s="13">
        <v>0</v>
      </c>
    </row>
    <row r="341" spans="1:28" x14ac:dyDescent="0.2">
      <c r="A341" s="13">
        <v>50</v>
      </c>
      <c r="B341" s="13">
        <v>0</v>
      </c>
      <c r="C341" s="13">
        <v>0</v>
      </c>
      <c r="D341" s="13">
        <v>1</v>
      </c>
      <c r="E341" s="13">
        <v>207</v>
      </c>
      <c r="F341" s="13">
        <f>Source!U319</f>
        <v>7442.2285615199999</v>
      </c>
      <c r="G341" s="13" t="s">
        <v>321</v>
      </c>
      <c r="H341" s="13" t="s">
        <v>322</v>
      </c>
      <c r="I341" s="13"/>
      <c r="J341" s="13"/>
      <c r="K341" s="13">
        <v>207</v>
      </c>
      <c r="L341" s="13">
        <v>21</v>
      </c>
      <c r="M341" s="13">
        <v>3</v>
      </c>
      <c r="N341" s="13" t="s">
        <v>3</v>
      </c>
      <c r="O341" s="13">
        <v>-1</v>
      </c>
      <c r="P341" s="13">
        <f>Source!DM319</f>
        <v>7442.2285615199999</v>
      </c>
      <c r="Q341" s="13"/>
      <c r="R341" s="13"/>
      <c r="S341" s="13"/>
      <c r="T341" s="13"/>
      <c r="U341" s="13"/>
      <c r="V341" s="13"/>
      <c r="W341" s="13">
        <v>7442.2285615199999</v>
      </c>
      <c r="X341" s="13">
        <v>1</v>
      </c>
      <c r="Y341" s="13">
        <v>7442.2285615199999</v>
      </c>
      <c r="Z341" s="13">
        <v>7442.2285615199999</v>
      </c>
      <c r="AA341" s="13">
        <v>1</v>
      </c>
      <c r="AB341" s="13">
        <v>7442.2285615199999</v>
      </c>
    </row>
    <row r="342" spans="1:28" x14ac:dyDescent="0.2">
      <c r="A342" s="13">
        <v>50</v>
      </c>
      <c r="B342" s="13">
        <v>0</v>
      </c>
      <c r="C342" s="13">
        <v>0</v>
      </c>
      <c r="D342" s="13">
        <v>1</v>
      </c>
      <c r="E342" s="13">
        <v>208</v>
      </c>
      <c r="F342" s="13">
        <f>Source!V319</f>
        <v>0</v>
      </c>
      <c r="G342" s="13" t="s">
        <v>323</v>
      </c>
      <c r="H342" s="13" t="s">
        <v>324</v>
      </c>
      <c r="I342" s="13"/>
      <c r="J342" s="13"/>
      <c r="K342" s="13">
        <v>208</v>
      </c>
      <c r="L342" s="13">
        <v>22</v>
      </c>
      <c r="M342" s="13">
        <v>3</v>
      </c>
      <c r="N342" s="13" t="s">
        <v>3</v>
      </c>
      <c r="O342" s="13">
        <v>-1</v>
      </c>
      <c r="P342" s="13">
        <f>Source!DN319</f>
        <v>0</v>
      </c>
      <c r="Q342" s="13"/>
      <c r="R342" s="13"/>
      <c r="S342" s="13"/>
      <c r="T342" s="13"/>
      <c r="U342" s="13"/>
      <c r="V342" s="13"/>
      <c r="W342" s="13">
        <v>0</v>
      </c>
      <c r="X342" s="13">
        <v>1</v>
      </c>
      <c r="Y342" s="13">
        <v>0</v>
      </c>
      <c r="Z342" s="13">
        <v>0</v>
      </c>
      <c r="AA342" s="13">
        <v>1</v>
      </c>
      <c r="AB342" s="13">
        <v>0</v>
      </c>
    </row>
    <row r="343" spans="1:28" x14ac:dyDescent="0.2">
      <c r="A343" s="13">
        <v>50</v>
      </c>
      <c r="B343" s="13">
        <v>0</v>
      </c>
      <c r="C343" s="13">
        <v>0</v>
      </c>
      <c r="D343" s="13">
        <v>1</v>
      </c>
      <c r="E343" s="13">
        <v>209</v>
      </c>
      <c r="F343" s="13">
        <f>ROUND(Source!W319,O343)</f>
        <v>0</v>
      </c>
      <c r="G343" s="13" t="s">
        <v>325</v>
      </c>
      <c r="H343" s="13" t="s">
        <v>326</v>
      </c>
      <c r="I343" s="13"/>
      <c r="J343" s="13"/>
      <c r="K343" s="13">
        <v>209</v>
      </c>
      <c r="L343" s="13">
        <v>23</v>
      </c>
      <c r="M343" s="13">
        <v>3</v>
      </c>
      <c r="N343" s="13" t="s">
        <v>3</v>
      </c>
      <c r="O343" s="13">
        <v>2</v>
      </c>
      <c r="P343" s="13">
        <f>ROUND(Source!DO319,O343)</f>
        <v>0</v>
      </c>
      <c r="Q343" s="13"/>
      <c r="R343" s="13"/>
      <c r="S343" s="13"/>
      <c r="T343" s="13"/>
      <c r="U343" s="13"/>
      <c r="V343" s="13"/>
      <c r="W343" s="13">
        <v>0</v>
      </c>
      <c r="X343" s="13">
        <v>1</v>
      </c>
      <c r="Y343" s="13">
        <v>0</v>
      </c>
      <c r="Z343" s="13">
        <v>0</v>
      </c>
      <c r="AA343" s="13">
        <v>1</v>
      </c>
      <c r="AB343" s="13">
        <v>0</v>
      </c>
    </row>
    <row r="344" spans="1:28" x14ac:dyDescent="0.2">
      <c r="A344" s="13">
        <v>50</v>
      </c>
      <c r="B344" s="13">
        <v>0</v>
      </c>
      <c r="C344" s="13">
        <v>0</v>
      </c>
      <c r="D344" s="13">
        <v>1</v>
      </c>
      <c r="E344" s="13">
        <v>233</v>
      </c>
      <c r="F344" s="13">
        <f>ROUND(Source!BD319,O344)</f>
        <v>0</v>
      </c>
      <c r="G344" s="13" t="s">
        <v>327</v>
      </c>
      <c r="H344" s="13" t="s">
        <v>328</v>
      </c>
      <c r="I344" s="13"/>
      <c r="J344" s="13"/>
      <c r="K344" s="13">
        <v>233</v>
      </c>
      <c r="L344" s="13">
        <v>24</v>
      </c>
      <c r="M344" s="13">
        <v>3</v>
      </c>
      <c r="N344" s="13" t="s">
        <v>3</v>
      </c>
      <c r="O344" s="13">
        <v>2</v>
      </c>
      <c r="P344" s="13">
        <f>ROUND(Source!EV319,O344)</f>
        <v>0</v>
      </c>
      <c r="Q344" s="13"/>
      <c r="R344" s="13"/>
      <c r="S344" s="13"/>
      <c r="T344" s="13"/>
      <c r="U344" s="13"/>
      <c r="V344" s="13"/>
      <c r="W344" s="13">
        <v>0</v>
      </c>
      <c r="X344" s="13">
        <v>1</v>
      </c>
      <c r="Y344" s="13">
        <v>0</v>
      </c>
      <c r="Z344" s="13">
        <v>0</v>
      </c>
      <c r="AA344" s="13">
        <v>1</v>
      </c>
      <c r="AB344" s="13">
        <v>0</v>
      </c>
    </row>
    <row r="345" spans="1:28" x14ac:dyDescent="0.2">
      <c r="A345" s="13">
        <v>50</v>
      </c>
      <c r="B345" s="13">
        <v>0</v>
      </c>
      <c r="C345" s="13">
        <v>0</v>
      </c>
      <c r="D345" s="13">
        <v>1</v>
      </c>
      <c r="E345" s="13">
        <v>210</v>
      </c>
      <c r="F345" s="13">
        <f>ROUND(Source!X319,O345)</f>
        <v>88671.73</v>
      </c>
      <c r="G345" s="13" t="s">
        <v>329</v>
      </c>
      <c r="H345" s="13" t="s">
        <v>330</v>
      </c>
      <c r="I345" s="13"/>
      <c r="J345" s="13"/>
      <c r="K345" s="13">
        <v>210</v>
      </c>
      <c r="L345" s="13">
        <v>25</v>
      </c>
      <c r="M345" s="13">
        <v>3</v>
      </c>
      <c r="N345" s="13" t="s">
        <v>3</v>
      </c>
      <c r="O345" s="13">
        <v>2</v>
      </c>
      <c r="P345" s="13">
        <f>ROUND(Source!DP319,O345)</f>
        <v>4996651.29</v>
      </c>
      <c r="Q345" s="13"/>
      <c r="R345" s="13"/>
      <c r="S345" s="13"/>
      <c r="T345" s="13"/>
      <c r="U345" s="13"/>
      <c r="V345" s="13"/>
      <c r="W345" s="13">
        <v>88671.73</v>
      </c>
      <c r="X345" s="13">
        <v>1</v>
      </c>
      <c r="Y345" s="13">
        <v>88671.73</v>
      </c>
      <c r="Z345" s="13">
        <v>4996651.29</v>
      </c>
      <c r="AA345" s="13">
        <v>1</v>
      </c>
      <c r="AB345" s="13">
        <v>4996651.29</v>
      </c>
    </row>
    <row r="346" spans="1:28" x14ac:dyDescent="0.2">
      <c r="A346" s="13">
        <v>50</v>
      </c>
      <c r="B346" s="13">
        <v>0</v>
      </c>
      <c r="C346" s="13">
        <v>0</v>
      </c>
      <c r="D346" s="13">
        <v>1</v>
      </c>
      <c r="E346" s="13">
        <v>211</v>
      </c>
      <c r="F346" s="13">
        <f>ROUND(Source!Y319,O346)</f>
        <v>45503.040000000001</v>
      </c>
      <c r="G346" s="13" t="s">
        <v>331</v>
      </c>
      <c r="H346" s="13" t="s">
        <v>332</v>
      </c>
      <c r="I346" s="13"/>
      <c r="J346" s="13"/>
      <c r="K346" s="13">
        <v>211</v>
      </c>
      <c r="L346" s="13">
        <v>26</v>
      </c>
      <c r="M346" s="13">
        <v>3</v>
      </c>
      <c r="N346" s="13" t="s">
        <v>3</v>
      </c>
      <c r="O346" s="13">
        <v>2</v>
      </c>
      <c r="P346" s="13">
        <f>ROUND(Source!DQ319,O346)</f>
        <v>2564097.31</v>
      </c>
      <c r="Q346" s="13"/>
      <c r="R346" s="13"/>
      <c r="S346" s="13"/>
      <c r="T346" s="13"/>
      <c r="U346" s="13"/>
      <c r="V346" s="13"/>
      <c r="W346" s="13">
        <v>45503.040000000001</v>
      </c>
      <c r="X346" s="13">
        <v>1</v>
      </c>
      <c r="Y346" s="13">
        <v>45503.040000000001</v>
      </c>
      <c r="Z346" s="13">
        <v>2564097.31</v>
      </c>
      <c r="AA346" s="13">
        <v>1</v>
      </c>
      <c r="AB346" s="13">
        <v>2564097.31</v>
      </c>
    </row>
    <row r="347" spans="1:28" x14ac:dyDescent="0.2">
      <c r="A347" s="13">
        <v>50</v>
      </c>
      <c r="B347" s="13">
        <v>0</v>
      </c>
      <c r="C347" s="13">
        <v>0</v>
      </c>
      <c r="D347" s="13">
        <v>1</v>
      </c>
      <c r="E347" s="13">
        <v>224</v>
      </c>
      <c r="F347" s="13">
        <f>ROUND(Source!AR319,O347)</f>
        <v>904557.73</v>
      </c>
      <c r="G347" s="13" t="s">
        <v>333</v>
      </c>
      <c r="H347" s="13" t="s">
        <v>334</v>
      </c>
      <c r="I347" s="13"/>
      <c r="J347" s="13"/>
      <c r="K347" s="13">
        <v>224</v>
      </c>
      <c r="L347" s="13">
        <v>27</v>
      </c>
      <c r="M347" s="13">
        <v>3</v>
      </c>
      <c r="N347" s="13" t="s">
        <v>3</v>
      </c>
      <c r="O347" s="13">
        <v>2</v>
      </c>
      <c r="P347" s="13">
        <f>ROUND(Source!EJ319,O347)</f>
        <v>19336729.079999998</v>
      </c>
      <c r="Q347" s="13"/>
      <c r="R347" s="13"/>
      <c r="S347" s="13"/>
      <c r="T347" s="13"/>
      <c r="U347" s="13"/>
      <c r="V347" s="13"/>
      <c r="W347" s="13">
        <v>904557.73</v>
      </c>
      <c r="X347" s="13">
        <v>1</v>
      </c>
      <c r="Y347" s="13">
        <v>904557.73</v>
      </c>
      <c r="Z347" s="13">
        <v>19336729.079999998</v>
      </c>
      <c r="AA347" s="13">
        <v>1</v>
      </c>
      <c r="AB347" s="13">
        <v>19336729.079999998</v>
      </c>
    </row>
    <row r="348" spans="1:28" x14ac:dyDescent="0.2">
      <c r="A348" s="13">
        <v>50</v>
      </c>
      <c r="B348" s="13">
        <v>1</v>
      </c>
      <c r="C348" s="13">
        <v>0</v>
      </c>
      <c r="D348" s="13">
        <v>2</v>
      </c>
      <c r="E348" s="13">
        <v>0</v>
      </c>
      <c r="F348" s="13">
        <f>ROUND(F347,O348)</f>
        <v>904557.73</v>
      </c>
      <c r="G348" s="13" t="s">
        <v>448</v>
      </c>
      <c r="H348" s="13" t="s">
        <v>449</v>
      </c>
      <c r="I348" s="13"/>
      <c r="J348" s="13"/>
      <c r="K348" s="13">
        <v>212</v>
      </c>
      <c r="L348" s="13">
        <v>28</v>
      </c>
      <c r="M348" s="13">
        <v>0</v>
      </c>
      <c r="N348" s="13" t="s">
        <v>3</v>
      </c>
      <c r="O348" s="13">
        <v>2</v>
      </c>
      <c r="P348" s="13">
        <f>ROUND(P347,O348)</f>
        <v>19336729.079999998</v>
      </c>
      <c r="Q348" s="13"/>
      <c r="R348" s="13"/>
      <c r="S348" s="13"/>
      <c r="T348" s="13"/>
      <c r="U348" s="13"/>
      <c r="V348" s="13"/>
      <c r="W348" s="13">
        <v>904557.73</v>
      </c>
      <c r="X348" s="13">
        <v>1</v>
      </c>
      <c r="Y348" s="13">
        <v>904557.73</v>
      </c>
      <c r="Z348" s="13">
        <v>19336729.079999998</v>
      </c>
      <c r="AA348" s="13">
        <v>1</v>
      </c>
      <c r="AB348" s="13">
        <v>19336729.079999998</v>
      </c>
    </row>
    <row r="349" spans="1:28" x14ac:dyDescent="0.2">
      <c r="A349" s="13">
        <v>50</v>
      </c>
      <c r="B349" s="13">
        <v>0</v>
      </c>
      <c r="C349" s="13">
        <v>0</v>
      </c>
      <c r="D349" s="13">
        <v>2</v>
      </c>
      <c r="E349" s="13">
        <v>0</v>
      </c>
      <c r="F349" s="13">
        <f>ROUND(F348*0.2,O349)</f>
        <v>180911.55</v>
      </c>
      <c r="G349" s="13" t="s">
        <v>450</v>
      </c>
      <c r="H349" s="13" t="s">
        <v>451</v>
      </c>
      <c r="I349" s="13"/>
      <c r="J349" s="13"/>
      <c r="K349" s="13">
        <v>212</v>
      </c>
      <c r="L349" s="13">
        <v>29</v>
      </c>
      <c r="M349" s="13">
        <v>3</v>
      </c>
      <c r="N349" s="13" t="s">
        <v>3</v>
      </c>
      <c r="O349" s="13">
        <v>2</v>
      </c>
      <c r="P349" s="13">
        <f>ROUND(P348*0.2,O349)</f>
        <v>3867345.82</v>
      </c>
      <c r="Q349" s="13"/>
      <c r="R349" s="13"/>
      <c r="S349" s="13"/>
      <c r="T349" s="13"/>
      <c r="U349" s="13"/>
      <c r="V349" s="13"/>
      <c r="W349" s="13">
        <v>180911.55</v>
      </c>
      <c r="X349" s="13">
        <v>1</v>
      </c>
      <c r="Y349" s="13">
        <v>180911.55</v>
      </c>
      <c r="Z349" s="13">
        <v>3867345.82</v>
      </c>
      <c r="AA349" s="13">
        <v>1</v>
      </c>
      <c r="AB349" s="13">
        <v>3867345.82</v>
      </c>
    </row>
    <row r="350" spans="1:28" x14ac:dyDescent="0.2">
      <c r="A350" s="13">
        <v>50</v>
      </c>
      <c r="B350" s="13">
        <v>0</v>
      </c>
      <c r="C350" s="13">
        <v>0</v>
      </c>
      <c r="D350" s="13">
        <v>2</v>
      </c>
      <c r="E350" s="13">
        <v>213</v>
      </c>
      <c r="F350" s="13">
        <f>ROUND(F348+F349,O350)</f>
        <v>1085469.28</v>
      </c>
      <c r="G350" s="13" t="s">
        <v>452</v>
      </c>
      <c r="H350" s="13" t="s">
        <v>333</v>
      </c>
      <c r="I350" s="13"/>
      <c r="J350" s="13"/>
      <c r="K350" s="13">
        <v>212</v>
      </c>
      <c r="L350" s="13">
        <v>30</v>
      </c>
      <c r="M350" s="13">
        <v>3</v>
      </c>
      <c r="N350" s="13" t="s">
        <v>3</v>
      </c>
      <c r="O350" s="13">
        <v>2</v>
      </c>
      <c r="P350" s="13">
        <f>ROUND(P348+P349,O350)</f>
        <v>23204074.899999999</v>
      </c>
      <c r="Q350" s="13"/>
      <c r="R350" s="13"/>
      <c r="S350" s="13"/>
      <c r="T350" s="13"/>
      <c r="U350" s="13"/>
      <c r="V350" s="13"/>
      <c r="W350" s="13">
        <v>1085469.28</v>
      </c>
      <c r="X350" s="13">
        <v>1</v>
      </c>
      <c r="Y350" s="13">
        <v>1085469.28</v>
      </c>
      <c r="Z350" s="13">
        <v>23204074.899999999</v>
      </c>
      <c r="AA350" s="13">
        <v>1</v>
      </c>
      <c r="AB350" s="13">
        <v>23204074.899999999</v>
      </c>
    </row>
    <row r="353" spans="1:50" x14ac:dyDescent="0.2">
      <c r="A353" s="3">
        <v>70</v>
      </c>
      <c r="B353" s="3">
        <v>1</v>
      </c>
      <c r="D353" s="3">
        <v>1</v>
      </c>
      <c r="E353" s="3" t="s">
        <v>453</v>
      </c>
      <c r="F353" s="3" t="s">
        <v>454</v>
      </c>
      <c r="G353" s="3">
        <v>0</v>
      </c>
      <c r="H353" s="3">
        <v>0</v>
      </c>
      <c r="I353" s="3" t="s">
        <v>3</v>
      </c>
      <c r="J353" s="3">
        <v>1</v>
      </c>
      <c r="K353" s="3">
        <v>0</v>
      </c>
      <c r="L353" s="3" t="s">
        <v>3</v>
      </c>
      <c r="M353" s="3" t="s">
        <v>3</v>
      </c>
      <c r="N353" s="3">
        <v>0</v>
      </c>
      <c r="O353" s="3">
        <v>0</v>
      </c>
      <c r="P353" s="3" t="s">
        <v>3</v>
      </c>
    </row>
    <row r="354" spans="1:50" x14ac:dyDescent="0.2">
      <c r="A354" s="3">
        <v>70</v>
      </c>
      <c r="B354" s="3">
        <v>1</v>
      </c>
      <c r="D354" s="3">
        <v>2</v>
      </c>
      <c r="E354" s="3" t="s">
        <v>455</v>
      </c>
      <c r="F354" s="3" t="s">
        <v>456</v>
      </c>
      <c r="G354" s="3">
        <v>1</v>
      </c>
      <c r="H354" s="3">
        <v>0</v>
      </c>
      <c r="I354" s="3" t="s">
        <v>3</v>
      </c>
      <c r="J354" s="3">
        <v>1</v>
      </c>
      <c r="K354" s="3">
        <v>0</v>
      </c>
      <c r="L354" s="3" t="s">
        <v>3</v>
      </c>
      <c r="M354" s="3" t="s">
        <v>3</v>
      </c>
      <c r="N354" s="3">
        <v>0</v>
      </c>
      <c r="O354" s="3">
        <v>1</v>
      </c>
      <c r="P354" s="3" t="s">
        <v>3</v>
      </c>
    </row>
    <row r="355" spans="1:50" x14ac:dyDescent="0.2">
      <c r="A355" s="3">
        <v>70</v>
      </c>
      <c r="B355" s="3">
        <v>1</v>
      </c>
      <c r="D355" s="3">
        <v>3</v>
      </c>
      <c r="E355" s="3" t="s">
        <v>457</v>
      </c>
      <c r="F355" s="3" t="s">
        <v>458</v>
      </c>
      <c r="G355" s="3">
        <v>1</v>
      </c>
      <c r="H355" s="3">
        <v>0</v>
      </c>
      <c r="I355" s="3" t="s">
        <v>3</v>
      </c>
      <c r="J355" s="3">
        <v>0</v>
      </c>
      <c r="K355" s="3">
        <v>0</v>
      </c>
      <c r="L355" s="3" t="s">
        <v>3</v>
      </c>
      <c r="M355" s="3" t="s">
        <v>3</v>
      </c>
      <c r="N355" s="3">
        <v>0</v>
      </c>
      <c r="O355" s="3">
        <v>1</v>
      </c>
      <c r="P355" s="3" t="s">
        <v>3</v>
      </c>
    </row>
    <row r="356" spans="1:50" x14ac:dyDescent="0.2">
      <c r="A356" s="3">
        <v>70</v>
      </c>
      <c r="B356" s="3">
        <v>1</v>
      </c>
      <c r="D356" s="3">
        <v>4</v>
      </c>
      <c r="E356" s="3" t="s">
        <v>459</v>
      </c>
      <c r="F356" s="3" t="s">
        <v>460</v>
      </c>
      <c r="G356" s="3">
        <v>1</v>
      </c>
      <c r="H356" s="3">
        <v>0</v>
      </c>
      <c r="I356" s="3" t="s">
        <v>3</v>
      </c>
      <c r="J356" s="3">
        <v>0</v>
      </c>
      <c r="K356" s="3">
        <v>0</v>
      </c>
      <c r="L356" s="3" t="s">
        <v>3</v>
      </c>
      <c r="M356" s="3" t="s">
        <v>3</v>
      </c>
      <c r="N356" s="3">
        <v>0</v>
      </c>
      <c r="O356" s="3">
        <v>1</v>
      </c>
      <c r="P356" s="3" t="s">
        <v>3</v>
      </c>
    </row>
    <row r="357" spans="1:50" x14ac:dyDescent="0.2">
      <c r="A357" s="3">
        <v>70</v>
      </c>
      <c r="B357" s="3">
        <v>1</v>
      </c>
      <c r="D357" s="3">
        <v>5</v>
      </c>
      <c r="E357" s="3" t="s">
        <v>461</v>
      </c>
      <c r="F357" s="3" t="s">
        <v>462</v>
      </c>
      <c r="G357" s="3">
        <v>0</v>
      </c>
      <c r="H357" s="3">
        <v>0</v>
      </c>
      <c r="I357" s="3" t="s">
        <v>3</v>
      </c>
      <c r="J357" s="3">
        <v>0</v>
      </c>
      <c r="K357" s="3">
        <v>0</v>
      </c>
      <c r="L357" s="3" t="s">
        <v>3</v>
      </c>
      <c r="M357" s="3" t="s">
        <v>3</v>
      </c>
      <c r="N357" s="3">
        <v>0</v>
      </c>
      <c r="O357" s="3">
        <v>0</v>
      </c>
      <c r="P357" s="3" t="s">
        <v>3</v>
      </c>
    </row>
    <row r="359" spans="1:50" x14ac:dyDescent="0.2">
      <c r="A359" s="3">
        <v>-1</v>
      </c>
    </row>
    <row r="361" spans="1:50" x14ac:dyDescent="0.2">
      <c r="A361" s="12">
        <v>75</v>
      </c>
      <c r="B361" s="12" t="s">
        <v>463</v>
      </c>
      <c r="C361" s="12">
        <v>2026</v>
      </c>
      <c r="D361" s="12">
        <v>1</v>
      </c>
      <c r="E361" s="12">
        <v>0</v>
      </c>
      <c r="F361" s="12"/>
      <c r="G361" s="12">
        <v>0</v>
      </c>
      <c r="H361" s="12">
        <v>1</v>
      </c>
      <c r="I361" s="12">
        <v>1</v>
      </c>
      <c r="J361" s="12">
        <v>1</v>
      </c>
      <c r="K361" s="12">
        <v>0</v>
      </c>
      <c r="L361" s="12">
        <v>0</v>
      </c>
      <c r="M361" s="12">
        <v>1</v>
      </c>
      <c r="N361" s="12">
        <v>85739207</v>
      </c>
      <c r="O361" s="12">
        <v>1</v>
      </c>
    </row>
    <row r="362" spans="1:50" x14ac:dyDescent="0.2">
      <c r="A362" s="14">
        <v>1</v>
      </c>
      <c r="B362" s="14" t="s">
        <v>464</v>
      </c>
      <c r="C362" s="14" t="s">
        <v>465</v>
      </c>
      <c r="D362" s="14">
        <v>2026</v>
      </c>
      <c r="E362" s="14">
        <v>1</v>
      </c>
      <c r="F362" s="14">
        <v>1</v>
      </c>
      <c r="G362" s="14">
        <v>1</v>
      </c>
      <c r="H362" s="14">
        <v>0</v>
      </c>
      <c r="I362" s="14">
        <v>2</v>
      </c>
      <c r="J362" s="14">
        <v>1</v>
      </c>
      <c r="K362" s="14">
        <v>9.84</v>
      </c>
      <c r="L362" s="14">
        <v>7.57</v>
      </c>
      <c r="M362" s="14">
        <v>1</v>
      </c>
      <c r="N362" s="14">
        <v>1</v>
      </c>
      <c r="O362" s="14">
        <v>9.84</v>
      </c>
      <c r="P362" s="14">
        <v>7.57</v>
      </c>
      <c r="Q362" s="14">
        <v>1</v>
      </c>
      <c r="R362" s="14" t="s">
        <v>3</v>
      </c>
      <c r="S362" s="14" t="s">
        <v>3</v>
      </c>
      <c r="T362" s="14" t="s">
        <v>3</v>
      </c>
      <c r="U362" s="14" t="s">
        <v>3</v>
      </c>
      <c r="V362" s="14" t="s">
        <v>3</v>
      </c>
      <c r="W362" s="14" t="s">
        <v>3</v>
      </c>
      <c r="X362" s="14" t="s">
        <v>3</v>
      </c>
      <c r="Y362" s="14" t="s">
        <v>3</v>
      </c>
      <c r="Z362" s="14" t="s">
        <v>3</v>
      </c>
      <c r="AA362" s="14" t="s">
        <v>466</v>
      </c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>
        <v>85739208</v>
      </c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</row>
    <row r="363" spans="1:50" x14ac:dyDescent="0.2">
      <c r="A363" s="14">
        <v>1</v>
      </c>
      <c r="B363" s="14" t="s">
        <v>464</v>
      </c>
      <c r="C363" s="14" t="s">
        <v>467</v>
      </c>
      <c r="D363" s="14">
        <v>2026</v>
      </c>
      <c r="E363" s="14">
        <v>1</v>
      </c>
      <c r="F363" s="14">
        <v>1</v>
      </c>
      <c r="G363" s="14">
        <v>1</v>
      </c>
      <c r="H363" s="14">
        <v>0</v>
      </c>
      <c r="I363" s="14">
        <v>2</v>
      </c>
      <c r="J363" s="14">
        <v>1</v>
      </c>
      <c r="K363" s="14">
        <v>1</v>
      </c>
      <c r="L363" s="14">
        <v>1</v>
      </c>
      <c r="M363" s="14">
        <v>1</v>
      </c>
      <c r="N363" s="14">
        <v>1</v>
      </c>
      <c r="O363" s="14">
        <v>1</v>
      </c>
      <c r="P363" s="14">
        <v>1</v>
      </c>
      <c r="Q363" s="14">
        <v>1</v>
      </c>
      <c r="R363" s="14" t="s">
        <v>3</v>
      </c>
      <c r="S363" s="14" t="s">
        <v>3</v>
      </c>
      <c r="T363" s="14" t="s">
        <v>3</v>
      </c>
      <c r="U363" s="14" t="s">
        <v>3</v>
      </c>
      <c r="V363" s="14" t="s">
        <v>3</v>
      </c>
      <c r="W363" s="14" t="s">
        <v>3</v>
      </c>
      <c r="X363" s="14" t="s">
        <v>3</v>
      </c>
      <c r="Y363" s="14" t="s">
        <v>3</v>
      </c>
      <c r="Z363" s="14" t="s">
        <v>3</v>
      </c>
      <c r="AA363" s="14" t="s">
        <v>468</v>
      </c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>
        <v>85739209</v>
      </c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</row>
    <row r="364" spans="1:50" x14ac:dyDescent="0.2">
      <c r="A364" s="12">
        <v>75</v>
      </c>
      <c r="B364" s="12" t="s">
        <v>469</v>
      </c>
      <c r="C364" s="12">
        <v>2000</v>
      </c>
      <c r="D364" s="12">
        <v>0</v>
      </c>
      <c r="E364" s="12">
        <v>1</v>
      </c>
      <c r="F364" s="12">
        <v>0</v>
      </c>
      <c r="G364" s="12">
        <v>0</v>
      </c>
      <c r="H364" s="12">
        <v>1</v>
      </c>
      <c r="I364" s="12">
        <v>1</v>
      </c>
      <c r="J364" s="12">
        <v>3</v>
      </c>
      <c r="K364" s="12">
        <v>0</v>
      </c>
      <c r="L364" s="12">
        <v>0</v>
      </c>
      <c r="M364" s="12">
        <v>0</v>
      </c>
      <c r="N364" s="12">
        <v>85739205</v>
      </c>
      <c r="O364" s="12">
        <v>2</v>
      </c>
    </row>
    <row r="365" spans="1:50" x14ac:dyDescent="0.2">
      <c r="A365" s="14">
        <v>1</v>
      </c>
      <c r="B365" s="14" t="s">
        <v>464</v>
      </c>
      <c r="C365" s="14" t="s">
        <v>470</v>
      </c>
      <c r="D365" s="14">
        <v>2000</v>
      </c>
      <c r="E365" s="14">
        <v>1</v>
      </c>
      <c r="F365" s="14">
        <v>1</v>
      </c>
      <c r="G365" s="14">
        <v>1</v>
      </c>
      <c r="H365" s="14">
        <v>0</v>
      </c>
      <c r="I365" s="14">
        <v>2</v>
      </c>
      <c r="J365" s="14">
        <v>1</v>
      </c>
      <c r="K365" s="14">
        <v>1</v>
      </c>
      <c r="L365" s="14">
        <v>1</v>
      </c>
      <c r="M365" s="14">
        <v>1</v>
      </c>
      <c r="N365" s="14">
        <v>1</v>
      </c>
      <c r="O365" s="14">
        <v>1</v>
      </c>
      <c r="P365" s="14">
        <v>1</v>
      </c>
      <c r="Q365" s="14">
        <v>1</v>
      </c>
      <c r="R365" s="14" t="s">
        <v>3</v>
      </c>
      <c r="S365" s="14" t="s">
        <v>3</v>
      </c>
      <c r="T365" s="14" t="s">
        <v>3</v>
      </c>
      <c r="U365" s="14" t="s">
        <v>3</v>
      </c>
      <c r="V365" s="14" t="s">
        <v>3</v>
      </c>
      <c r="W365" s="14" t="s">
        <v>3</v>
      </c>
      <c r="X365" s="14" t="s">
        <v>3</v>
      </c>
      <c r="Y365" s="14" t="s">
        <v>3</v>
      </c>
      <c r="Z365" s="14" t="s">
        <v>3</v>
      </c>
      <c r="AA365" s="14" t="s">
        <v>280</v>
      </c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>
        <v>85743380</v>
      </c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</row>
    <row r="369" spans="1:5" x14ac:dyDescent="0.2">
      <c r="A369" s="3">
        <v>65</v>
      </c>
      <c r="C369" s="3">
        <v>1</v>
      </c>
      <c r="D369" s="3">
        <v>0</v>
      </c>
      <c r="E369" s="3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5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471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74600</v>
      </c>
      <c r="M1">
        <v>10</v>
      </c>
      <c r="N1">
        <v>12</v>
      </c>
      <c r="O1">
        <v>1</v>
      </c>
      <c r="P1">
        <v>0</v>
      </c>
      <c r="Q1">
        <v>1</v>
      </c>
    </row>
    <row r="4" spans="1:133" x14ac:dyDescent="0.2">
      <c r="A4" s="1">
        <v>8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12" spans="1:133" x14ac:dyDescent="0.2">
      <c r="A12" s="1">
        <v>1</v>
      </c>
      <c r="B12" s="1">
        <v>54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3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3</v>
      </c>
      <c r="V12" s="1">
        <v>0</v>
      </c>
      <c r="W12" s="1" t="s">
        <v>3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3</v>
      </c>
      <c r="AC12" s="1" t="s">
        <v>3</v>
      </c>
      <c r="AD12" s="1" t="s">
        <v>3</v>
      </c>
      <c r="AE12" s="1" t="s">
        <v>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7</v>
      </c>
      <c r="BI12" s="1" t="s">
        <v>8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9</v>
      </c>
      <c r="BZ12" s="1" t="s">
        <v>10</v>
      </c>
      <c r="CA12" s="1" t="s">
        <v>11</v>
      </c>
      <c r="CB12" s="1" t="s">
        <v>11</v>
      </c>
      <c r="CC12" s="1" t="s">
        <v>11</v>
      </c>
      <c r="CD12" s="1" t="s">
        <v>11</v>
      </c>
      <c r="CE12" s="1" t="s">
        <v>12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13</v>
      </c>
      <c r="CR12" s="1" t="s">
        <v>14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85739207</v>
      </c>
      <c r="E14" s="1">
        <v>85739205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7">
        <v>3</v>
      </c>
      <c r="B16" s="7">
        <v>1</v>
      </c>
      <c r="C16" s="7" t="s">
        <v>15</v>
      </c>
      <c r="D16" s="7" t="s">
        <v>16</v>
      </c>
      <c r="E16" s="8">
        <f>ROUND((Source!P303)/1000,2)</f>
        <v>993.63</v>
      </c>
      <c r="F16" s="8">
        <f>ROUND((Source!P304)/1000,2)</f>
        <v>16451.099999999999</v>
      </c>
      <c r="G16" s="8">
        <f>ROUND((Source!P295)/1000,2)</f>
        <v>1892</v>
      </c>
      <c r="H16" s="8">
        <f>ROUND((Source!P305)/1000+(Source!P306)/1000,2)</f>
        <v>0</v>
      </c>
      <c r="I16" s="8">
        <f>E16+F16+G16+H16</f>
        <v>19336.73</v>
      </c>
      <c r="J16" s="8">
        <f>ROUND((Source!P301+Source!P300)/1000,2)</f>
        <v>5508.16</v>
      </c>
      <c r="K16" s="8">
        <v>17782.689999999999</v>
      </c>
      <c r="L16" s="8">
        <v>0</v>
      </c>
      <c r="M16" s="8">
        <v>0</v>
      </c>
      <c r="N16" s="8">
        <f>I16+L16+M16</f>
        <v>19336.73</v>
      </c>
      <c r="T16" s="9">
        <f>ROUND((Source!F303)/1000,2)</f>
        <v>30.02</v>
      </c>
      <c r="U16" s="9">
        <f>ROUND((Source!F304)/1000,2)</f>
        <v>636.59</v>
      </c>
      <c r="V16" s="9">
        <f>ROUND((Source!F295)/1000,2)</f>
        <v>237.95</v>
      </c>
      <c r="W16" s="9">
        <f>ROUND((Source!F305)/1000+(Source!F306)/1000,2)</f>
        <v>0</v>
      </c>
      <c r="X16" s="9">
        <f>T16+U16+V16+W16</f>
        <v>904.56</v>
      </c>
      <c r="Y16" s="9">
        <f>ROUND((Source!F301+Source!F300)/1000,2)</f>
        <v>97.75</v>
      </c>
      <c r="Z16" s="9">
        <v>1421.49</v>
      </c>
      <c r="AA16" s="9">
        <v>0</v>
      </c>
      <c r="AB16" s="9">
        <v>0</v>
      </c>
      <c r="AC16" s="9">
        <f>X16+AA16+AB16</f>
        <v>904.56</v>
      </c>
      <c r="AI16" s="7">
        <v>2</v>
      </c>
      <c r="AJ16" s="7">
        <v>-1</v>
      </c>
      <c r="AK16" s="7" t="s">
        <v>3</v>
      </c>
      <c r="AL16" s="7" t="s">
        <v>3</v>
      </c>
      <c r="AM16" s="7" t="s">
        <v>3</v>
      </c>
      <c r="AN16" s="7">
        <v>0</v>
      </c>
      <c r="AO16" s="7" t="s">
        <v>3</v>
      </c>
      <c r="AP16" s="7" t="s">
        <v>3</v>
      </c>
      <c r="AT16" s="8">
        <v>11775980.48</v>
      </c>
      <c r="AU16" s="8">
        <v>6006706.3799999999</v>
      </c>
      <c r="AV16" s="8">
        <v>0</v>
      </c>
      <c r="AW16" s="8">
        <v>1892000.3</v>
      </c>
      <c r="AX16" s="8">
        <v>0</v>
      </c>
      <c r="AY16" s="8">
        <v>481719.19</v>
      </c>
      <c r="AZ16" s="8">
        <v>220606.88</v>
      </c>
      <c r="BA16" s="8">
        <v>5287554.91</v>
      </c>
      <c r="BB16" s="8">
        <v>993629.08</v>
      </c>
      <c r="BC16" s="8">
        <v>16451099.699999999</v>
      </c>
      <c r="BD16" s="8">
        <v>0</v>
      </c>
      <c r="BE16" s="8">
        <v>0</v>
      </c>
      <c r="BF16" s="8">
        <v>7442.2285615199999</v>
      </c>
      <c r="BG16" s="8">
        <v>0</v>
      </c>
      <c r="BH16" s="8">
        <v>0</v>
      </c>
      <c r="BI16" s="8">
        <v>4996651.29</v>
      </c>
      <c r="BJ16" s="8">
        <v>2564097.31</v>
      </c>
      <c r="BK16" s="8">
        <v>19336729.079999998</v>
      </c>
      <c r="BR16" s="9">
        <v>770382.96</v>
      </c>
      <c r="BS16" s="9">
        <v>651102.71</v>
      </c>
      <c r="BT16" s="9">
        <v>0</v>
      </c>
      <c r="BU16" s="9">
        <v>237947.71</v>
      </c>
      <c r="BV16" s="9">
        <v>0</v>
      </c>
      <c r="BW16" s="9">
        <v>25446.09</v>
      </c>
      <c r="BX16" s="9">
        <v>3914.94</v>
      </c>
      <c r="BY16" s="9">
        <v>93834.16</v>
      </c>
      <c r="BZ16" s="9">
        <v>30023.95</v>
      </c>
      <c r="CA16" s="9">
        <v>636586.06999999995</v>
      </c>
      <c r="CB16" s="9">
        <v>0</v>
      </c>
      <c r="CC16" s="9">
        <v>0</v>
      </c>
      <c r="CD16" s="9">
        <v>7442.2285615199999</v>
      </c>
      <c r="CE16" s="9">
        <v>0</v>
      </c>
      <c r="CF16" s="9">
        <v>0</v>
      </c>
      <c r="CG16" s="9">
        <v>88671.73</v>
      </c>
      <c r="CH16" s="9">
        <v>45503.040000000001</v>
      </c>
      <c r="CI16" s="9">
        <v>904557.73</v>
      </c>
    </row>
    <row r="18" spans="1:29" x14ac:dyDescent="0.2">
      <c r="A18">
        <v>51</v>
      </c>
      <c r="E18">
        <v>993.63</v>
      </c>
      <c r="F18">
        <v>16451.099999999999</v>
      </c>
      <c r="G18">
        <v>1892</v>
      </c>
      <c r="H18">
        <v>0</v>
      </c>
      <c r="I18">
        <v>19336.73</v>
      </c>
      <c r="J18">
        <v>5508.16</v>
      </c>
      <c r="K18">
        <v>17782.689999999999</v>
      </c>
      <c r="L18">
        <v>0</v>
      </c>
      <c r="M18">
        <v>0</v>
      </c>
      <c r="N18">
        <v>19336.73</v>
      </c>
      <c r="T18">
        <v>30.02</v>
      </c>
      <c r="U18">
        <v>636.59</v>
      </c>
      <c r="V18">
        <v>237.95</v>
      </c>
      <c r="W18">
        <v>0</v>
      </c>
      <c r="X18">
        <v>904.56</v>
      </c>
      <c r="Y18">
        <v>97.75</v>
      </c>
      <c r="Z18">
        <v>1421.49</v>
      </c>
      <c r="AA18">
        <v>0</v>
      </c>
      <c r="AB18">
        <v>0</v>
      </c>
      <c r="AC18">
        <v>904.56</v>
      </c>
    </row>
    <row r="20" spans="1:29" x14ac:dyDescent="0.2">
      <c r="A20" s="5">
        <v>50</v>
      </c>
      <c r="B20" s="5">
        <v>0</v>
      </c>
      <c r="C20" s="5">
        <v>0</v>
      </c>
      <c r="D20" s="5">
        <v>1</v>
      </c>
      <c r="E20" s="5">
        <v>201</v>
      </c>
      <c r="F20" s="5">
        <v>11775980.48</v>
      </c>
      <c r="G20" s="5" t="s">
        <v>281</v>
      </c>
      <c r="H20" s="5" t="s">
        <v>282</v>
      </c>
      <c r="I20" s="5"/>
      <c r="J20" s="5"/>
      <c r="K20" s="5">
        <v>201</v>
      </c>
      <c r="L20" s="5">
        <v>1</v>
      </c>
      <c r="M20" s="5">
        <v>3</v>
      </c>
      <c r="N20" s="5" t="s">
        <v>3</v>
      </c>
      <c r="O20" s="5">
        <v>2</v>
      </c>
      <c r="P20" s="5">
        <v>770382.96</v>
      </c>
    </row>
    <row r="21" spans="1:29" x14ac:dyDescent="0.2">
      <c r="A21" s="5">
        <v>50</v>
      </c>
      <c r="B21" s="5">
        <v>0</v>
      </c>
      <c r="C21" s="5">
        <v>0</v>
      </c>
      <c r="D21" s="5">
        <v>1</v>
      </c>
      <c r="E21" s="5">
        <v>202</v>
      </c>
      <c r="F21" s="5">
        <v>6006706.3799999999</v>
      </c>
      <c r="G21" s="5" t="s">
        <v>283</v>
      </c>
      <c r="H21" s="5" t="s">
        <v>284</v>
      </c>
      <c r="I21" s="5"/>
      <c r="J21" s="5"/>
      <c r="K21" s="5">
        <v>202</v>
      </c>
      <c r="L21" s="5">
        <v>2</v>
      </c>
      <c r="M21" s="5">
        <v>3</v>
      </c>
      <c r="N21" s="5" t="s">
        <v>3</v>
      </c>
      <c r="O21" s="5">
        <v>2</v>
      </c>
      <c r="P21" s="5">
        <v>651102.71</v>
      </c>
    </row>
    <row r="22" spans="1:29" x14ac:dyDescent="0.2">
      <c r="A22" s="5">
        <v>50</v>
      </c>
      <c r="B22" s="5">
        <v>0</v>
      </c>
      <c r="C22" s="5">
        <v>0</v>
      </c>
      <c r="D22" s="5">
        <v>1</v>
      </c>
      <c r="E22" s="5">
        <v>222</v>
      </c>
      <c r="F22" s="5">
        <v>0</v>
      </c>
      <c r="G22" s="5" t="s">
        <v>285</v>
      </c>
      <c r="H22" s="5" t="s">
        <v>286</v>
      </c>
      <c r="I22" s="5"/>
      <c r="J22" s="5"/>
      <c r="K22" s="5">
        <v>222</v>
      </c>
      <c r="L22" s="5">
        <v>3</v>
      </c>
      <c r="M22" s="5">
        <v>3</v>
      </c>
      <c r="N22" s="5" t="s">
        <v>3</v>
      </c>
      <c r="O22" s="5">
        <v>2</v>
      </c>
      <c r="P22" s="5">
        <v>0</v>
      </c>
    </row>
    <row r="23" spans="1:29" x14ac:dyDescent="0.2">
      <c r="A23" s="5">
        <v>50</v>
      </c>
      <c r="B23" s="5">
        <v>0</v>
      </c>
      <c r="C23" s="5">
        <v>0</v>
      </c>
      <c r="D23" s="5">
        <v>1</v>
      </c>
      <c r="E23" s="5">
        <v>225</v>
      </c>
      <c r="F23" s="5">
        <v>6006706.3799999999</v>
      </c>
      <c r="G23" s="5" t="s">
        <v>287</v>
      </c>
      <c r="H23" s="5" t="s">
        <v>288</v>
      </c>
      <c r="I23" s="5"/>
      <c r="J23" s="5"/>
      <c r="K23" s="5">
        <v>225</v>
      </c>
      <c r="L23" s="5">
        <v>4</v>
      </c>
      <c r="M23" s="5">
        <v>3</v>
      </c>
      <c r="N23" s="5" t="s">
        <v>3</v>
      </c>
      <c r="O23" s="5">
        <v>2</v>
      </c>
      <c r="P23" s="5">
        <v>651102.71</v>
      </c>
    </row>
    <row r="24" spans="1:29" x14ac:dyDescent="0.2">
      <c r="A24" s="5">
        <v>50</v>
      </c>
      <c r="B24" s="5">
        <v>0</v>
      </c>
      <c r="C24" s="5">
        <v>0</v>
      </c>
      <c r="D24" s="5">
        <v>1</v>
      </c>
      <c r="E24" s="5">
        <v>226</v>
      </c>
      <c r="F24" s="5">
        <v>4114706.08</v>
      </c>
      <c r="G24" s="5" t="s">
        <v>289</v>
      </c>
      <c r="H24" s="5" t="s">
        <v>290</v>
      </c>
      <c r="I24" s="5"/>
      <c r="J24" s="5"/>
      <c r="K24" s="5">
        <v>226</v>
      </c>
      <c r="L24" s="5">
        <v>5</v>
      </c>
      <c r="M24" s="5">
        <v>3</v>
      </c>
      <c r="N24" s="5" t="s">
        <v>3</v>
      </c>
      <c r="O24" s="5">
        <v>2</v>
      </c>
      <c r="P24" s="5">
        <v>413155</v>
      </c>
    </row>
    <row r="25" spans="1:29" x14ac:dyDescent="0.2">
      <c r="A25" s="5">
        <v>50</v>
      </c>
      <c r="B25" s="5">
        <v>0</v>
      </c>
      <c r="C25" s="5">
        <v>0</v>
      </c>
      <c r="D25" s="5">
        <v>1</v>
      </c>
      <c r="E25" s="5">
        <v>227</v>
      </c>
      <c r="F25" s="5">
        <v>0</v>
      </c>
      <c r="G25" s="5" t="s">
        <v>291</v>
      </c>
      <c r="H25" s="5" t="s">
        <v>292</v>
      </c>
      <c r="I25" s="5"/>
      <c r="J25" s="5"/>
      <c r="K25" s="5">
        <v>227</v>
      </c>
      <c r="L25" s="5">
        <v>6</v>
      </c>
      <c r="M25" s="5">
        <v>3</v>
      </c>
      <c r="N25" s="5" t="s">
        <v>3</v>
      </c>
      <c r="O25" s="5">
        <v>2</v>
      </c>
      <c r="P25" s="5">
        <v>0</v>
      </c>
    </row>
    <row r="26" spans="1:29" x14ac:dyDescent="0.2">
      <c r="A26" s="5">
        <v>50</v>
      </c>
      <c r="B26" s="5">
        <v>0</v>
      </c>
      <c r="C26" s="5">
        <v>0</v>
      </c>
      <c r="D26" s="5">
        <v>1</v>
      </c>
      <c r="E26" s="5">
        <v>228</v>
      </c>
      <c r="F26" s="5">
        <v>4114706.08</v>
      </c>
      <c r="G26" s="5" t="s">
        <v>293</v>
      </c>
      <c r="H26" s="5" t="s">
        <v>294</v>
      </c>
      <c r="I26" s="5"/>
      <c r="J26" s="5"/>
      <c r="K26" s="5">
        <v>228</v>
      </c>
      <c r="L26" s="5">
        <v>7</v>
      </c>
      <c r="M26" s="5">
        <v>3</v>
      </c>
      <c r="N26" s="5" t="s">
        <v>3</v>
      </c>
      <c r="O26" s="5">
        <v>2</v>
      </c>
      <c r="P26" s="5">
        <v>413155</v>
      </c>
    </row>
    <row r="27" spans="1:29" x14ac:dyDescent="0.2">
      <c r="A27" s="5">
        <v>50</v>
      </c>
      <c r="B27" s="5">
        <v>0</v>
      </c>
      <c r="C27" s="5">
        <v>0</v>
      </c>
      <c r="D27" s="5">
        <v>1</v>
      </c>
      <c r="E27" s="5">
        <v>216</v>
      </c>
      <c r="F27" s="5">
        <v>1892000.3</v>
      </c>
      <c r="G27" s="5" t="s">
        <v>295</v>
      </c>
      <c r="H27" s="5" t="s">
        <v>296</v>
      </c>
      <c r="I27" s="5"/>
      <c r="J27" s="5"/>
      <c r="K27" s="5">
        <v>216</v>
      </c>
      <c r="L27" s="5">
        <v>8</v>
      </c>
      <c r="M27" s="5">
        <v>3</v>
      </c>
      <c r="N27" s="5" t="s">
        <v>3</v>
      </c>
      <c r="O27" s="5">
        <v>2</v>
      </c>
      <c r="P27" s="5">
        <v>237947.71</v>
      </c>
    </row>
    <row r="28" spans="1:29" x14ac:dyDescent="0.2">
      <c r="A28" s="5">
        <v>50</v>
      </c>
      <c r="B28" s="5">
        <v>0</v>
      </c>
      <c r="C28" s="5">
        <v>0</v>
      </c>
      <c r="D28" s="5">
        <v>1</v>
      </c>
      <c r="E28" s="5">
        <v>223</v>
      </c>
      <c r="F28" s="5">
        <v>0</v>
      </c>
      <c r="G28" s="5" t="s">
        <v>297</v>
      </c>
      <c r="H28" s="5" t="s">
        <v>298</v>
      </c>
      <c r="I28" s="5"/>
      <c r="J28" s="5"/>
      <c r="K28" s="5">
        <v>223</v>
      </c>
      <c r="L28" s="5">
        <v>9</v>
      </c>
      <c r="M28" s="5">
        <v>3</v>
      </c>
      <c r="N28" s="5" t="s">
        <v>3</v>
      </c>
      <c r="O28" s="5">
        <v>2</v>
      </c>
      <c r="P28" s="5">
        <v>0</v>
      </c>
    </row>
    <row r="29" spans="1:29" x14ac:dyDescent="0.2">
      <c r="A29" s="5">
        <v>50</v>
      </c>
      <c r="B29" s="5">
        <v>0</v>
      </c>
      <c r="C29" s="5">
        <v>0</v>
      </c>
      <c r="D29" s="5">
        <v>1</v>
      </c>
      <c r="E29" s="5">
        <v>229</v>
      </c>
      <c r="F29" s="5">
        <v>1892000.3</v>
      </c>
      <c r="G29" s="5" t="s">
        <v>299</v>
      </c>
      <c r="H29" s="5" t="s">
        <v>300</v>
      </c>
      <c r="I29" s="5"/>
      <c r="J29" s="5"/>
      <c r="K29" s="5">
        <v>229</v>
      </c>
      <c r="L29" s="5">
        <v>10</v>
      </c>
      <c r="M29" s="5">
        <v>3</v>
      </c>
      <c r="N29" s="5" t="s">
        <v>3</v>
      </c>
      <c r="O29" s="5">
        <v>2</v>
      </c>
      <c r="P29" s="5">
        <v>237947.71</v>
      </c>
    </row>
    <row r="30" spans="1:29" x14ac:dyDescent="0.2">
      <c r="A30" s="5">
        <v>50</v>
      </c>
      <c r="B30" s="5">
        <v>0</v>
      </c>
      <c r="C30" s="5">
        <v>0</v>
      </c>
      <c r="D30" s="5">
        <v>1</v>
      </c>
      <c r="E30" s="5">
        <v>203</v>
      </c>
      <c r="F30" s="5">
        <v>481719.19</v>
      </c>
      <c r="G30" s="5" t="s">
        <v>301</v>
      </c>
      <c r="H30" s="5" t="s">
        <v>302</v>
      </c>
      <c r="I30" s="5"/>
      <c r="J30" s="5"/>
      <c r="K30" s="5">
        <v>203</v>
      </c>
      <c r="L30" s="5">
        <v>11</v>
      </c>
      <c r="M30" s="5">
        <v>3</v>
      </c>
      <c r="N30" s="5" t="s">
        <v>3</v>
      </c>
      <c r="O30" s="5">
        <v>2</v>
      </c>
      <c r="P30" s="5">
        <v>25446.09</v>
      </c>
    </row>
    <row r="31" spans="1:29" x14ac:dyDescent="0.2">
      <c r="A31" s="5">
        <v>50</v>
      </c>
      <c r="B31" s="5">
        <v>0</v>
      </c>
      <c r="C31" s="5">
        <v>0</v>
      </c>
      <c r="D31" s="5">
        <v>1</v>
      </c>
      <c r="E31" s="5">
        <v>231</v>
      </c>
      <c r="F31" s="5">
        <v>0</v>
      </c>
      <c r="G31" s="5" t="s">
        <v>303</v>
      </c>
      <c r="H31" s="5" t="s">
        <v>304</v>
      </c>
      <c r="I31" s="5"/>
      <c r="J31" s="5"/>
      <c r="K31" s="5">
        <v>231</v>
      </c>
      <c r="L31" s="5">
        <v>12</v>
      </c>
      <c r="M31" s="5">
        <v>3</v>
      </c>
      <c r="N31" s="5" t="s">
        <v>3</v>
      </c>
      <c r="O31" s="5">
        <v>2</v>
      </c>
      <c r="P31" s="5">
        <v>0</v>
      </c>
    </row>
    <row r="32" spans="1:29" x14ac:dyDescent="0.2">
      <c r="A32" s="5">
        <v>50</v>
      </c>
      <c r="B32" s="5">
        <v>0</v>
      </c>
      <c r="C32" s="5">
        <v>0</v>
      </c>
      <c r="D32" s="5">
        <v>1</v>
      </c>
      <c r="E32" s="5">
        <v>204</v>
      </c>
      <c r="F32" s="5">
        <v>220606.88</v>
      </c>
      <c r="G32" s="5" t="s">
        <v>305</v>
      </c>
      <c r="H32" s="5" t="s">
        <v>306</v>
      </c>
      <c r="I32" s="5"/>
      <c r="J32" s="5"/>
      <c r="K32" s="5">
        <v>204</v>
      </c>
      <c r="L32" s="5">
        <v>13</v>
      </c>
      <c r="M32" s="5">
        <v>3</v>
      </c>
      <c r="N32" s="5" t="s">
        <v>3</v>
      </c>
      <c r="O32" s="5">
        <v>2</v>
      </c>
      <c r="P32" s="5">
        <v>3914.94</v>
      </c>
    </row>
    <row r="33" spans="1:16" x14ac:dyDescent="0.2">
      <c r="A33" s="5">
        <v>50</v>
      </c>
      <c r="B33" s="5">
        <v>0</v>
      </c>
      <c r="C33" s="5">
        <v>0</v>
      </c>
      <c r="D33" s="5">
        <v>1</v>
      </c>
      <c r="E33" s="5">
        <v>205</v>
      </c>
      <c r="F33" s="5">
        <v>5287554.91</v>
      </c>
      <c r="G33" s="5" t="s">
        <v>307</v>
      </c>
      <c r="H33" s="5" t="s">
        <v>308</v>
      </c>
      <c r="I33" s="5"/>
      <c r="J33" s="5"/>
      <c r="K33" s="5">
        <v>205</v>
      </c>
      <c r="L33" s="5">
        <v>14</v>
      </c>
      <c r="M33" s="5">
        <v>3</v>
      </c>
      <c r="N33" s="5" t="s">
        <v>3</v>
      </c>
      <c r="O33" s="5">
        <v>2</v>
      </c>
      <c r="P33" s="5">
        <v>93834.16</v>
      </c>
    </row>
    <row r="34" spans="1:16" x14ac:dyDescent="0.2">
      <c r="A34" s="5">
        <v>50</v>
      </c>
      <c r="B34" s="5">
        <v>0</v>
      </c>
      <c r="C34" s="5">
        <v>0</v>
      </c>
      <c r="D34" s="5">
        <v>1</v>
      </c>
      <c r="E34" s="5">
        <v>232</v>
      </c>
      <c r="F34" s="5">
        <v>0</v>
      </c>
      <c r="G34" s="5" t="s">
        <v>309</v>
      </c>
      <c r="H34" s="5" t="s">
        <v>310</v>
      </c>
      <c r="I34" s="5"/>
      <c r="J34" s="5"/>
      <c r="K34" s="5">
        <v>232</v>
      </c>
      <c r="L34" s="5">
        <v>15</v>
      </c>
      <c r="M34" s="5">
        <v>3</v>
      </c>
      <c r="N34" s="5" t="s">
        <v>3</v>
      </c>
      <c r="O34" s="5">
        <v>2</v>
      </c>
      <c r="P34" s="5">
        <v>0</v>
      </c>
    </row>
    <row r="35" spans="1:16" x14ac:dyDescent="0.2">
      <c r="A35" s="5">
        <v>50</v>
      </c>
      <c r="B35" s="5">
        <v>0</v>
      </c>
      <c r="C35" s="5">
        <v>0</v>
      </c>
      <c r="D35" s="5">
        <v>1</v>
      </c>
      <c r="E35" s="5">
        <v>214</v>
      </c>
      <c r="F35" s="5">
        <v>993629.08</v>
      </c>
      <c r="G35" s="5" t="s">
        <v>311</v>
      </c>
      <c r="H35" s="5" t="s">
        <v>312</v>
      </c>
      <c r="I35" s="5"/>
      <c r="J35" s="5"/>
      <c r="K35" s="5">
        <v>214</v>
      </c>
      <c r="L35" s="5">
        <v>16</v>
      </c>
      <c r="M35" s="5">
        <v>3</v>
      </c>
      <c r="N35" s="5" t="s">
        <v>3</v>
      </c>
      <c r="O35" s="5">
        <v>2</v>
      </c>
      <c r="P35" s="5">
        <v>30023.95</v>
      </c>
    </row>
    <row r="36" spans="1:16" x14ac:dyDescent="0.2">
      <c r="A36" s="5">
        <v>50</v>
      </c>
      <c r="B36" s="5">
        <v>0</v>
      </c>
      <c r="C36" s="5">
        <v>0</v>
      </c>
      <c r="D36" s="5">
        <v>1</v>
      </c>
      <c r="E36" s="5">
        <v>215</v>
      </c>
      <c r="F36" s="5">
        <v>16451099.699999999</v>
      </c>
      <c r="G36" s="5" t="s">
        <v>313</v>
      </c>
      <c r="H36" s="5" t="s">
        <v>314</v>
      </c>
      <c r="I36" s="5"/>
      <c r="J36" s="5"/>
      <c r="K36" s="5">
        <v>215</v>
      </c>
      <c r="L36" s="5">
        <v>17</v>
      </c>
      <c r="M36" s="5">
        <v>3</v>
      </c>
      <c r="N36" s="5" t="s">
        <v>3</v>
      </c>
      <c r="O36" s="5">
        <v>2</v>
      </c>
      <c r="P36" s="5">
        <v>636586.06999999995</v>
      </c>
    </row>
    <row r="37" spans="1:16" x14ac:dyDescent="0.2">
      <c r="A37" s="5">
        <v>50</v>
      </c>
      <c r="B37" s="5">
        <v>0</v>
      </c>
      <c r="C37" s="5">
        <v>0</v>
      </c>
      <c r="D37" s="5">
        <v>1</v>
      </c>
      <c r="E37" s="5">
        <v>217</v>
      </c>
      <c r="F37" s="5">
        <v>0</v>
      </c>
      <c r="G37" s="5" t="s">
        <v>315</v>
      </c>
      <c r="H37" s="5" t="s">
        <v>316</v>
      </c>
      <c r="I37" s="5"/>
      <c r="J37" s="5"/>
      <c r="K37" s="5">
        <v>217</v>
      </c>
      <c r="L37" s="5">
        <v>18</v>
      </c>
      <c r="M37" s="5">
        <v>3</v>
      </c>
      <c r="N37" s="5" t="s">
        <v>3</v>
      </c>
      <c r="O37" s="5">
        <v>2</v>
      </c>
      <c r="P37" s="5">
        <v>0</v>
      </c>
    </row>
    <row r="38" spans="1:16" x14ac:dyDescent="0.2">
      <c r="A38" s="5">
        <v>50</v>
      </c>
      <c r="B38" s="5">
        <v>0</v>
      </c>
      <c r="C38" s="5">
        <v>0</v>
      </c>
      <c r="D38" s="5">
        <v>1</v>
      </c>
      <c r="E38" s="5">
        <v>230</v>
      </c>
      <c r="F38" s="5">
        <v>0</v>
      </c>
      <c r="G38" s="5" t="s">
        <v>317</v>
      </c>
      <c r="H38" s="5" t="s">
        <v>318</v>
      </c>
      <c r="I38" s="5"/>
      <c r="J38" s="5"/>
      <c r="K38" s="5">
        <v>230</v>
      </c>
      <c r="L38" s="5">
        <v>19</v>
      </c>
      <c r="M38" s="5">
        <v>3</v>
      </c>
      <c r="N38" s="5" t="s">
        <v>3</v>
      </c>
      <c r="O38" s="5">
        <v>2</v>
      </c>
      <c r="P38" s="5">
        <v>0</v>
      </c>
    </row>
    <row r="39" spans="1:16" x14ac:dyDescent="0.2">
      <c r="A39" s="5">
        <v>50</v>
      </c>
      <c r="B39" s="5">
        <v>0</v>
      </c>
      <c r="C39" s="5">
        <v>0</v>
      </c>
      <c r="D39" s="5">
        <v>1</v>
      </c>
      <c r="E39" s="5">
        <v>206</v>
      </c>
      <c r="F39" s="5">
        <v>0</v>
      </c>
      <c r="G39" s="5" t="s">
        <v>319</v>
      </c>
      <c r="H39" s="5" t="s">
        <v>320</v>
      </c>
      <c r="I39" s="5"/>
      <c r="J39" s="5"/>
      <c r="K39" s="5">
        <v>206</v>
      </c>
      <c r="L39" s="5">
        <v>20</v>
      </c>
      <c r="M39" s="5">
        <v>3</v>
      </c>
      <c r="N39" s="5" t="s">
        <v>3</v>
      </c>
      <c r="O39" s="5">
        <v>2</v>
      </c>
      <c r="P39" s="5">
        <v>0</v>
      </c>
    </row>
    <row r="40" spans="1:16" x14ac:dyDescent="0.2">
      <c r="A40" s="5">
        <v>50</v>
      </c>
      <c r="B40" s="5">
        <v>0</v>
      </c>
      <c r="C40" s="5">
        <v>0</v>
      </c>
      <c r="D40" s="5">
        <v>1</v>
      </c>
      <c r="E40" s="5">
        <v>207</v>
      </c>
      <c r="F40" s="5">
        <v>7442.2285615199999</v>
      </c>
      <c r="G40" s="5" t="s">
        <v>321</v>
      </c>
      <c r="H40" s="5" t="s">
        <v>322</v>
      </c>
      <c r="I40" s="5"/>
      <c r="J40" s="5"/>
      <c r="K40" s="5">
        <v>207</v>
      </c>
      <c r="L40" s="5">
        <v>21</v>
      </c>
      <c r="M40" s="5">
        <v>3</v>
      </c>
      <c r="N40" s="5" t="s">
        <v>3</v>
      </c>
      <c r="O40" s="5">
        <v>-1</v>
      </c>
      <c r="P40" s="5">
        <v>7442.2285615199999</v>
      </c>
    </row>
    <row r="41" spans="1:16" x14ac:dyDescent="0.2">
      <c r="A41" s="5">
        <v>50</v>
      </c>
      <c r="B41" s="5">
        <v>0</v>
      </c>
      <c r="C41" s="5">
        <v>0</v>
      </c>
      <c r="D41" s="5">
        <v>1</v>
      </c>
      <c r="E41" s="5">
        <v>208</v>
      </c>
      <c r="F41" s="5">
        <v>0</v>
      </c>
      <c r="G41" s="5" t="s">
        <v>323</v>
      </c>
      <c r="H41" s="5" t="s">
        <v>324</v>
      </c>
      <c r="I41" s="5"/>
      <c r="J41" s="5"/>
      <c r="K41" s="5">
        <v>208</v>
      </c>
      <c r="L41" s="5">
        <v>22</v>
      </c>
      <c r="M41" s="5">
        <v>3</v>
      </c>
      <c r="N41" s="5" t="s">
        <v>3</v>
      </c>
      <c r="O41" s="5">
        <v>-1</v>
      </c>
      <c r="P41" s="5">
        <v>0</v>
      </c>
    </row>
    <row r="42" spans="1:16" x14ac:dyDescent="0.2">
      <c r="A42" s="5">
        <v>50</v>
      </c>
      <c r="B42" s="5">
        <v>0</v>
      </c>
      <c r="C42" s="5">
        <v>0</v>
      </c>
      <c r="D42" s="5">
        <v>1</v>
      </c>
      <c r="E42" s="5">
        <v>209</v>
      </c>
      <c r="F42" s="5">
        <v>0</v>
      </c>
      <c r="G42" s="5" t="s">
        <v>325</v>
      </c>
      <c r="H42" s="5" t="s">
        <v>326</v>
      </c>
      <c r="I42" s="5"/>
      <c r="J42" s="5"/>
      <c r="K42" s="5">
        <v>209</v>
      </c>
      <c r="L42" s="5">
        <v>23</v>
      </c>
      <c r="M42" s="5">
        <v>3</v>
      </c>
      <c r="N42" s="5" t="s">
        <v>3</v>
      </c>
      <c r="O42" s="5">
        <v>2</v>
      </c>
      <c r="P42" s="5">
        <v>0</v>
      </c>
    </row>
    <row r="43" spans="1:16" x14ac:dyDescent="0.2">
      <c r="A43" s="5">
        <v>50</v>
      </c>
      <c r="B43" s="5">
        <v>0</v>
      </c>
      <c r="C43" s="5">
        <v>0</v>
      </c>
      <c r="D43" s="5">
        <v>1</v>
      </c>
      <c r="E43" s="5">
        <v>233</v>
      </c>
      <c r="F43" s="5">
        <v>0</v>
      </c>
      <c r="G43" s="5" t="s">
        <v>327</v>
      </c>
      <c r="H43" s="5" t="s">
        <v>328</v>
      </c>
      <c r="I43" s="5"/>
      <c r="J43" s="5"/>
      <c r="K43" s="5">
        <v>233</v>
      </c>
      <c r="L43" s="5">
        <v>24</v>
      </c>
      <c r="M43" s="5">
        <v>3</v>
      </c>
      <c r="N43" s="5" t="s">
        <v>3</v>
      </c>
      <c r="O43" s="5">
        <v>2</v>
      </c>
      <c r="P43" s="5">
        <v>0</v>
      </c>
    </row>
    <row r="44" spans="1:16" x14ac:dyDescent="0.2">
      <c r="A44" s="5">
        <v>50</v>
      </c>
      <c r="B44" s="5">
        <v>0</v>
      </c>
      <c r="C44" s="5">
        <v>0</v>
      </c>
      <c r="D44" s="5">
        <v>1</v>
      </c>
      <c r="E44" s="5">
        <v>210</v>
      </c>
      <c r="F44" s="5">
        <v>4996651.29</v>
      </c>
      <c r="G44" s="5" t="s">
        <v>329</v>
      </c>
      <c r="H44" s="5" t="s">
        <v>330</v>
      </c>
      <c r="I44" s="5"/>
      <c r="J44" s="5"/>
      <c r="K44" s="5">
        <v>210</v>
      </c>
      <c r="L44" s="5">
        <v>25</v>
      </c>
      <c r="M44" s="5">
        <v>3</v>
      </c>
      <c r="N44" s="5" t="s">
        <v>3</v>
      </c>
      <c r="O44" s="5">
        <v>2</v>
      </c>
      <c r="P44" s="5">
        <v>88671.73</v>
      </c>
    </row>
    <row r="45" spans="1:16" x14ac:dyDescent="0.2">
      <c r="A45" s="5">
        <v>50</v>
      </c>
      <c r="B45" s="5">
        <v>0</v>
      </c>
      <c r="C45" s="5">
        <v>0</v>
      </c>
      <c r="D45" s="5">
        <v>1</v>
      </c>
      <c r="E45" s="5">
        <v>211</v>
      </c>
      <c r="F45" s="5">
        <v>2564097.31</v>
      </c>
      <c r="G45" s="5" t="s">
        <v>331</v>
      </c>
      <c r="H45" s="5" t="s">
        <v>332</v>
      </c>
      <c r="I45" s="5"/>
      <c r="J45" s="5"/>
      <c r="K45" s="5">
        <v>211</v>
      </c>
      <c r="L45" s="5">
        <v>26</v>
      </c>
      <c r="M45" s="5">
        <v>3</v>
      </c>
      <c r="N45" s="5" t="s">
        <v>3</v>
      </c>
      <c r="O45" s="5">
        <v>2</v>
      </c>
      <c r="P45" s="5">
        <v>45503.040000000001</v>
      </c>
    </row>
    <row r="46" spans="1:16" x14ac:dyDescent="0.2">
      <c r="A46" s="5">
        <v>50</v>
      </c>
      <c r="B46" s="5">
        <v>0</v>
      </c>
      <c r="C46" s="5">
        <v>0</v>
      </c>
      <c r="D46" s="5">
        <v>1</v>
      </c>
      <c r="E46" s="5">
        <v>224</v>
      </c>
      <c r="F46" s="5">
        <v>19336729.079999998</v>
      </c>
      <c r="G46" s="5" t="s">
        <v>333</v>
      </c>
      <c r="H46" s="5" t="s">
        <v>334</v>
      </c>
      <c r="I46" s="5"/>
      <c r="J46" s="5"/>
      <c r="K46" s="5">
        <v>224</v>
      </c>
      <c r="L46" s="5">
        <v>27</v>
      </c>
      <c r="M46" s="5">
        <v>3</v>
      </c>
      <c r="N46" s="5" t="s">
        <v>3</v>
      </c>
      <c r="O46" s="5">
        <v>2</v>
      </c>
      <c r="P46" s="5">
        <v>904557.73</v>
      </c>
    </row>
    <row r="47" spans="1:16" x14ac:dyDescent="0.2">
      <c r="A47" s="5">
        <v>50</v>
      </c>
      <c r="B47" s="5">
        <v>1</v>
      </c>
      <c r="C47" s="5">
        <v>0</v>
      </c>
      <c r="D47" s="5">
        <v>2</v>
      </c>
      <c r="E47" s="5">
        <v>0</v>
      </c>
      <c r="F47" s="5">
        <v>19336729.079999998</v>
      </c>
      <c r="G47" s="5" t="s">
        <v>448</v>
      </c>
      <c r="H47" s="5" t="s">
        <v>449</v>
      </c>
      <c r="I47" s="5"/>
      <c r="J47" s="5"/>
      <c r="K47" s="5">
        <v>212</v>
      </c>
      <c r="L47" s="5">
        <v>28</v>
      </c>
      <c r="M47" s="5">
        <v>0</v>
      </c>
      <c r="N47" s="5" t="s">
        <v>3</v>
      </c>
      <c r="O47" s="5">
        <v>2</v>
      </c>
      <c r="P47" s="5">
        <v>904557.73</v>
      </c>
    </row>
    <row r="48" spans="1:16" x14ac:dyDescent="0.2">
      <c r="A48" s="5">
        <v>50</v>
      </c>
      <c r="B48" s="5">
        <v>0</v>
      </c>
      <c r="C48" s="5">
        <v>0</v>
      </c>
      <c r="D48" s="5">
        <v>2</v>
      </c>
      <c r="E48" s="5">
        <v>0</v>
      </c>
      <c r="F48" s="5">
        <v>3867345.82</v>
      </c>
      <c r="G48" s="5" t="s">
        <v>450</v>
      </c>
      <c r="H48" s="5" t="s">
        <v>451</v>
      </c>
      <c r="I48" s="5"/>
      <c r="J48" s="5"/>
      <c r="K48" s="5">
        <v>212</v>
      </c>
      <c r="L48" s="5">
        <v>29</v>
      </c>
      <c r="M48" s="5">
        <v>3</v>
      </c>
      <c r="N48" s="5" t="s">
        <v>3</v>
      </c>
      <c r="O48" s="5">
        <v>2</v>
      </c>
      <c r="P48" s="5">
        <v>180911.55</v>
      </c>
    </row>
    <row r="49" spans="1:50" x14ac:dyDescent="0.2">
      <c r="A49" s="5">
        <v>50</v>
      </c>
      <c r="B49" s="5">
        <v>0</v>
      </c>
      <c r="C49" s="5">
        <v>0</v>
      </c>
      <c r="D49" s="5">
        <v>2</v>
      </c>
      <c r="E49" s="5">
        <v>213</v>
      </c>
      <c r="F49" s="5">
        <v>23204074.899999999</v>
      </c>
      <c r="G49" s="5" t="s">
        <v>452</v>
      </c>
      <c r="H49" s="5" t="s">
        <v>333</v>
      </c>
      <c r="I49" s="5"/>
      <c r="J49" s="5"/>
      <c r="K49" s="5">
        <v>212</v>
      </c>
      <c r="L49" s="5">
        <v>30</v>
      </c>
      <c r="M49" s="5">
        <v>3</v>
      </c>
      <c r="N49" s="5" t="s">
        <v>3</v>
      </c>
      <c r="O49" s="5">
        <v>2</v>
      </c>
      <c r="P49" s="5">
        <v>1085469.28</v>
      </c>
    </row>
    <row r="51" spans="1:50" x14ac:dyDescent="0.2">
      <c r="A51">
        <v>-1</v>
      </c>
    </row>
    <row r="54" spans="1:50" x14ac:dyDescent="0.2">
      <c r="A54" s="4">
        <v>75</v>
      </c>
      <c r="B54" s="4" t="s">
        <v>463</v>
      </c>
      <c r="C54" s="4">
        <v>2026</v>
      </c>
      <c r="D54" s="4">
        <v>1</v>
      </c>
      <c r="E54" s="4">
        <v>0</v>
      </c>
      <c r="F54" s="4"/>
      <c r="G54" s="4">
        <v>0</v>
      </c>
      <c r="H54" s="4">
        <v>1</v>
      </c>
      <c r="I54" s="4">
        <v>1</v>
      </c>
      <c r="J54" s="4">
        <v>1</v>
      </c>
      <c r="K54" s="4">
        <v>0</v>
      </c>
      <c r="L54" s="4">
        <v>0</v>
      </c>
      <c r="M54" s="4">
        <v>1</v>
      </c>
      <c r="N54" s="4">
        <v>85739207</v>
      </c>
      <c r="O54" s="4">
        <v>1</v>
      </c>
    </row>
    <row r="55" spans="1:50" x14ac:dyDescent="0.2">
      <c r="A55" s="6">
        <v>1</v>
      </c>
      <c r="B55" s="6" t="s">
        <v>464</v>
      </c>
      <c r="C55" s="6" t="s">
        <v>465</v>
      </c>
      <c r="D55" s="6">
        <v>2026</v>
      </c>
      <c r="E55" s="6">
        <v>1</v>
      </c>
      <c r="F55" s="6">
        <v>1</v>
      </c>
      <c r="G55" s="6">
        <v>1</v>
      </c>
      <c r="H55" s="6">
        <v>0</v>
      </c>
      <c r="I55" s="6">
        <v>2</v>
      </c>
      <c r="J55" s="6">
        <v>1</v>
      </c>
      <c r="K55" s="6">
        <v>9.84</v>
      </c>
      <c r="L55" s="6">
        <v>7.57</v>
      </c>
      <c r="M55" s="6">
        <v>1</v>
      </c>
      <c r="N55" s="6">
        <v>1</v>
      </c>
      <c r="O55" s="6">
        <v>9.84</v>
      </c>
      <c r="P55" s="6">
        <v>7.57</v>
      </c>
      <c r="Q55" s="6">
        <v>1</v>
      </c>
      <c r="R55" s="6" t="s">
        <v>3</v>
      </c>
      <c r="S55" s="6" t="s">
        <v>3</v>
      </c>
      <c r="T55" s="6" t="s">
        <v>3</v>
      </c>
      <c r="U55" s="6" t="s">
        <v>3</v>
      </c>
      <c r="V55" s="6" t="s">
        <v>3</v>
      </c>
      <c r="W55" s="6" t="s">
        <v>3</v>
      </c>
      <c r="X55" s="6" t="s">
        <v>3</v>
      </c>
      <c r="Y55" s="6" t="s">
        <v>3</v>
      </c>
      <c r="Z55" s="6" t="s">
        <v>3</v>
      </c>
      <c r="AA55" s="6" t="s">
        <v>466</v>
      </c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>
        <v>85739208</v>
      </c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1:50" x14ac:dyDescent="0.2">
      <c r="A56" s="6">
        <v>1</v>
      </c>
      <c r="B56" s="6" t="s">
        <v>464</v>
      </c>
      <c r="C56" s="6" t="s">
        <v>467</v>
      </c>
      <c r="D56" s="6">
        <v>2026</v>
      </c>
      <c r="E56" s="6">
        <v>1</v>
      </c>
      <c r="F56" s="6">
        <v>1</v>
      </c>
      <c r="G56" s="6">
        <v>1</v>
      </c>
      <c r="H56" s="6">
        <v>0</v>
      </c>
      <c r="I56" s="6">
        <v>2</v>
      </c>
      <c r="J56" s="6">
        <v>1</v>
      </c>
      <c r="K56" s="6">
        <v>1</v>
      </c>
      <c r="L56" s="6">
        <v>1</v>
      </c>
      <c r="M56" s="6">
        <v>1</v>
      </c>
      <c r="N56" s="6">
        <v>1</v>
      </c>
      <c r="O56" s="6">
        <v>1</v>
      </c>
      <c r="P56" s="6">
        <v>1</v>
      </c>
      <c r="Q56" s="6">
        <v>1</v>
      </c>
      <c r="R56" s="6" t="s">
        <v>3</v>
      </c>
      <c r="S56" s="6" t="s">
        <v>3</v>
      </c>
      <c r="T56" s="6" t="s">
        <v>3</v>
      </c>
      <c r="U56" s="6" t="s">
        <v>3</v>
      </c>
      <c r="V56" s="6" t="s">
        <v>3</v>
      </c>
      <c r="W56" s="6" t="s">
        <v>3</v>
      </c>
      <c r="X56" s="6" t="s">
        <v>3</v>
      </c>
      <c r="Y56" s="6" t="s">
        <v>3</v>
      </c>
      <c r="Z56" s="6" t="s">
        <v>3</v>
      </c>
      <c r="AA56" s="6" t="s">
        <v>468</v>
      </c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>
        <v>85739209</v>
      </c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1:50" x14ac:dyDescent="0.2">
      <c r="A57" s="4">
        <v>75</v>
      </c>
      <c r="B57" s="4" t="s">
        <v>469</v>
      </c>
      <c r="C57" s="4">
        <v>2000</v>
      </c>
      <c r="D57" s="4">
        <v>0</v>
      </c>
      <c r="E57" s="4">
        <v>1</v>
      </c>
      <c r="F57" s="4">
        <v>0</v>
      </c>
      <c r="G57" s="4">
        <v>0</v>
      </c>
      <c r="H57" s="4">
        <v>1</v>
      </c>
      <c r="I57" s="4">
        <v>1</v>
      </c>
      <c r="J57" s="4">
        <v>3</v>
      </c>
      <c r="K57" s="4">
        <v>0</v>
      </c>
      <c r="L57" s="4">
        <v>0</v>
      </c>
      <c r="M57" s="4">
        <v>0</v>
      </c>
      <c r="N57" s="4">
        <v>85739205</v>
      </c>
      <c r="O57" s="4">
        <v>2</v>
      </c>
    </row>
    <row r="58" spans="1:50" x14ac:dyDescent="0.2">
      <c r="A58" s="6">
        <v>1</v>
      </c>
      <c r="B58" s="6" t="s">
        <v>464</v>
      </c>
      <c r="C58" s="6" t="s">
        <v>470</v>
      </c>
      <c r="D58" s="6">
        <v>2000</v>
      </c>
      <c r="E58" s="6">
        <v>1</v>
      </c>
      <c r="F58" s="6">
        <v>1</v>
      </c>
      <c r="G58" s="6">
        <v>1</v>
      </c>
      <c r="H58" s="6">
        <v>0</v>
      </c>
      <c r="I58" s="6">
        <v>2</v>
      </c>
      <c r="J58" s="6">
        <v>1</v>
      </c>
      <c r="K58" s="6">
        <v>1</v>
      </c>
      <c r="L58" s="6">
        <v>1</v>
      </c>
      <c r="M58" s="6">
        <v>1</v>
      </c>
      <c r="N58" s="6">
        <v>1</v>
      </c>
      <c r="O58" s="6">
        <v>1</v>
      </c>
      <c r="P58" s="6">
        <v>1</v>
      </c>
      <c r="Q58" s="6">
        <v>1</v>
      </c>
      <c r="R58" s="6" t="s">
        <v>3</v>
      </c>
      <c r="S58" s="6" t="s">
        <v>3</v>
      </c>
      <c r="T58" s="6" t="s">
        <v>3</v>
      </c>
      <c r="U58" s="6" t="s">
        <v>3</v>
      </c>
      <c r="V58" s="6" t="s">
        <v>3</v>
      </c>
      <c r="W58" s="6" t="s">
        <v>3</v>
      </c>
      <c r="X58" s="6" t="s">
        <v>3</v>
      </c>
      <c r="Y58" s="6" t="s">
        <v>3</v>
      </c>
      <c r="Z58" s="6" t="s">
        <v>3</v>
      </c>
      <c r="AA58" s="6" t="s">
        <v>280</v>
      </c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>
        <v>85743380</v>
      </c>
      <c r="AO58" s="6"/>
      <c r="AP58" s="6"/>
      <c r="AQ58" s="6"/>
      <c r="AR58" s="6"/>
      <c r="AS58" s="6"/>
      <c r="AT58" s="6"/>
      <c r="AU58" s="6"/>
      <c r="AV58" s="6"/>
      <c r="AW58" s="6"/>
      <c r="AX58" s="6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O64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85739205</v>
      </c>
      <c r="C1">
        <v>85739393</v>
      </c>
      <c r="D1">
        <v>85164021</v>
      </c>
      <c r="E1">
        <v>1081</v>
      </c>
      <c r="F1">
        <v>1</v>
      </c>
      <c r="G1">
        <v>1081</v>
      </c>
      <c r="H1">
        <v>1</v>
      </c>
      <c r="I1" t="s">
        <v>472</v>
      </c>
      <c r="J1" t="s">
        <v>3</v>
      </c>
      <c r="K1" t="s">
        <v>473</v>
      </c>
      <c r="L1">
        <v>1191</v>
      </c>
      <c r="N1">
        <v>1013</v>
      </c>
      <c r="O1" t="s">
        <v>474</v>
      </c>
      <c r="P1" t="s">
        <v>474</v>
      </c>
      <c r="Q1">
        <v>1</v>
      </c>
      <c r="W1">
        <v>0</v>
      </c>
      <c r="X1">
        <v>476480486</v>
      </c>
      <c r="Y1">
        <f t="shared" ref="Y1:Y6" si="0">((AT1*0.75)*1.2)</f>
        <v>28.799999999999997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32</v>
      </c>
      <c r="AU1" t="s">
        <v>26</v>
      </c>
      <c r="AV1">
        <v>1</v>
      </c>
      <c r="AW1">
        <v>2</v>
      </c>
      <c r="AX1">
        <v>85739464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57.6</v>
      </c>
      <c r="CW1">
        <v>0</v>
      </c>
      <c r="CX1">
        <f>ROUND(Y1*Source!I28,9)</f>
        <v>57.6</v>
      </c>
      <c r="CY1">
        <f>AD1</f>
        <v>0</v>
      </c>
      <c r="CZ1">
        <f>AH1</f>
        <v>0</v>
      </c>
      <c r="DA1">
        <f>AL1</f>
        <v>1</v>
      </c>
      <c r="DB1">
        <f t="shared" ref="DB1:DB6" si="1">ROUND(((ROUND(AT1*CZ1,2)*0.75)*1.2),6)</f>
        <v>0</v>
      </c>
      <c r="DC1">
        <f t="shared" ref="DC1:DC6" si="2">ROUND(((ROUND(AT1*AG1,2)*0.75)*1.2),6)</f>
        <v>0</v>
      </c>
      <c r="DD1" t="s">
        <v>3</v>
      </c>
      <c r="DE1" t="s">
        <v>3</v>
      </c>
      <c r="DF1">
        <f t="shared" ref="DF1:DF16" si="3">ROUND(ROUND(AE1,2)*CX1,2)</f>
        <v>0</v>
      </c>
      <c r="DG1">
        <f t="shared" ref="DG1:DG11" si="4">ROUND(ROUND(AF1,2)*CX1,2)</f>
        <v>0</v>
      </c>
      <c r="DH1">
        <f t="shared" ref="DH1:DH13" si="5">ROUND(ROUND(AG1,2)*CX1,2)</f>
        <v>0</v>
      </c>
      <c r="DI1">
        <f t="shared" ref="DI1:DI64" si="6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85739205</v>
      </c>
      <c r="C2">
        <v>85739393</v>
      </c>
      <c r="D2">
        <v>85229633</v>
      </c>
      <c r="E2">
        <v>1</v>
      </c>
      <c r="F2">
        <v>1</v>
      </c>
      <c r="G2">
        <v>1081</v>
      </c>
      <c r="H2">
        <v>2</v>
      </c>
      <c r="I2" t="s">
        <v>475</v>
      </c>
      <c r="J2" t="s">
        <v>476</v>
      </c>
      <c r="K2" t="s">
        <v>477</v>
      </c>
      <c r="L2">
        <v>1368</v>
      </c>
      <c r="N2">
        <v>1011</v>
      </c>
      <c r="O2" t="s">
        <v>478</v>
      </c>
      <c r="P2" t="s">
        <v>478</v>
      </c>
      <c r="Q2">
        <v>1</v>
      </c>
      <c r="W2">
        <v>0</v>
      </c>
      <c r="X2">
        <v>1498588441</v>
      </c>
      <c r="Y2">
        <f t="shared" si="0"/>
        <v>2.3400000000000003</v>
      </c>
      <c r="AA2">
        <v>0</v>
      </c>
      <c r="AB2">
        <v>7.59</v>
      </c>
      <c r="AC2">
        <v>0</v>
      </c>
      <c r="AD2">
        <v>0</v>
      </c>
      <c r="AE2">
        <v>0</v>
      </c>
      <c r="AF2">
        <v>7.11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2.6</v>
      </c>
      <c r="AU2" t="s">
        <v>26</v>
      </c>
      <c r="AV2">
        <v>0</v>
      </c>
      <c r="AW2">
        <v>2</v>
      </c>
      <c r="AX2">
        <v>85739465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0</v>
      </c>
      <c r="CX2">
        <f>ROUND(Y2*Source!I28,9)</f>
        <v>4.68</v>
      </c>
      <c r="CY2">
        <f>AB2</f>
        <v>7.59</v>
      </c>
      <c r="CZ2">
        <f>AF2</f>
        <v>7.11</v>
      </c>
      <c r="DA2">
        <f>AJ2</f>
        <v>1</v>
      </c>
      <c r="DB2">
        <f t="shared" si="1"/>
        <v>16.640999999999998</v>
      </c>
      <c r="DC2">
        <f t="shared" si="2"/>
        <v>0</v>
      </c>
      <c r="DD2" t="s">
        <v>3</v>
      </c>
      <c r="DE2" t="s">
        <v>3</v>
      </c>
      <c r="DF2">
        <f t="shared" si="3"/>
        <v>0</v>
      </c>
      <c r="DG2">
        <f t="shared" si="4"/>
        <v>33.270000000000003</v>
      </c>
      <c r="DH2">
        <f t="shared" si="5"/>
        <v>0</v>
      </c>
      <c r="DI2">
        <f t="shared" si="6"/>
        <v>0</v>
      </c>
      <c r="DJ2">
        <f>DG2</f>
        <v>33.270000000000003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ROW(Source!A28)</f>
        <v>28</v>
      </c>
      <c r="B3">
        <v>85739205</v>
      </c>
      <c r="C3">
        <v>85739393</v>
      </c>
      <c r="D3">
        <v>85229635</v>
      </c>
      <c r="E3">
        <v>1</v>
      </c>
      <c r="F3">
        <v>1</v>
      </c>
      <c r="G3">
        <v>1081</v>
      </c>
      <c r="H3">
        <v>2</v>
      </c>
      <c r="I3" t="s">
        <v>479</v>
      </c>
      <c r="J3" t="s">
        <v>480</v>
      </c>
      <c r="K3" t="s">
        <v>481</v>
      </c>
      <c r="L3">
        <v>1368</v>
      </c>
      <c r="N3">
        <v>1011</v>
      </c>
      <c r="O3" t="s">
        <v>478</v>
      </c>
      <c r="P3" t="s">
        <v>478</v>
      </c>
      <c r="Q3">
        <v>1</v>
      </c>
      <c r="W3">
        <v>0</v>
      </c>
      <c r="X3">
        <v>-49672420</v>
      </c>
      <c r="Y3">
        <f t="shared" si="0"/>
        <v>0.44999999999999996</v>
      </c>
      <c r="AA3">
        <v>0</v>
      </c>
      <c r="AB3">
        <v>0.3</v>
      </c>
      <c r="AC3">
        <v>0</v>
      </c>
      <c r="AD3">
        <v>0</v>
      </c>
      <c r="AE3">
        <v>0</v>
      </c>
      <c r="AF3">
        <v>0.28000000000000003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0.5</v>
      </c>
      <c r="AU3" t="s">
        <v>26</v>
      </c>
      <c r="AV3">
        <v>0</v>
      </c>
      <c r="AW3">
        <v>2</v>
      </c>
      <c r="AX3">
        <v>85739466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f>ROUND(Y3*Source!I28*DO3,9)</f>
        <v>0</v>
      </c>
      <c r="CX3">
        <f>ROUND(Y3*Source!I28,9)</f>
        <v>0.9</v>
      </c>
      <c r="CY3">
        <f>AB3</f>
        <v>0.3</v>
      </c>
      <c r="CZ3">
        <f>AF3</f>
        <v>0.28000000000000003</v>
      </c>
      <c r="DA3">
        <f>AJ3</f>
        <v>1</v>
      </c>
      <c r="DB3">
        <f t="shared" si="1"/>
        <v>0.126</v>
      </c>
      <c r="DC3">
        <f t="shared" si="2"/>
        <v>0</v>
      </c>
      <c r="DD3" t="s">
        <v>3</v>
      </c>
      <c r="DE3" t="s">
        <v>3</v>
      </c>
      <c r="DF3">
        <f t="shared" si="3"/>
        <v>0</v>
      </c>
      <c r="DG3">
        <f t="shared" si="4"/>
        <v>0.25</v>
      </c>
      <c r="DH3">
        <f t="shared" si="5"/>
        <v>0</v>
      </c>
      <c r="DI3">
        <f t="shared" si="6"/>
        <v>0</v>
      </c>
      <c r="DJ3">
        <f>DG3</f>
        <v>0.25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ROW(Source!A28)</f>
        <v>28</v>
      </c>
      <c r="B4">
        <v>85739205</v>
      </c>
      <c r="C4">
        <v>85739393</v>
      </c>
      <c r="D4">
        <v>85229932</v>
      </c>
      <c r="E4">
        <v>1</v>
      </c>
      <c r="F4">
        <v>1</v>
      </c>
      <c r="G4">
        <v>1081</v>
      </c>
      <c r="H4">
        <v>2</v>
      </c>
      <c r="I4" t="s">
        <v>482</v>
      </c>
      <c r="J4" t="s">
        <v>483</v>
      </c>
      <c r="K4" t="s">
        <v>484</v>
      </c>
      <c r="L4">
        <v>1368</v>
      </c>
      <c r="N4">
        <v>1011</v>
      </c>
      <c r="O4" t="s">
        <v>478</v>
      </c>
      <c r="P4" t="s">
        <v>478</v>
      </c>
      <c r="Q4">
        <v>1</v>
      </c>
      <c r="W4">
        <v>0</v>
      </c>
      <c r="X4">
        <v>874612079</v>
      </c>
      <c r="Y4">
        <f t="shared" si="0"/>
        <v>0.20700000000000002</v>
      </c>
      <c r="AA4">
        <v>0</v>
      </c>
      <c r="AB4">
        <v>88.67</v>
      </c>
      <c r="AC4">
        <v>13.47</v>
      </c>
      <c r="AD4">
        <v>0</v>
      </c>
      <c r="AE4">
        <v>0</v>
      </c>
      <c r="AF4">
        <v>83.1</v>
      </c>
      <c r="AG4">
        <v>12.62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0.23</v>
      </c>
      <c r="AU4" t="s">
        <v>26</v>
      </c>
      <c r="AV4">
        <v>0</v>
      </c>
      <c r="AW4">
        <v>2</v>
      </c>
      <c r="AX4">
        <v>85739467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f>ROUND(Y4*Source!I28*DO4,9)</f>
        <v>5.2246800000000002</v>
      </c>
      <c r="CX4">
        <f>ROUND(Y4*Source!I28,9)</f>
        <v>0.41399999999999998</v>
      </c>
      <c r="CY4">
        <f>AB4</f>
        <v>88.67</v>
      </c>
      <c r="CZ4">
        <f>AF4</f>
        <v>83.1</v>
      </c>
      <c r="DA4">
        <f>AJ4</f>
        <v>1</v>
      </c>
      <c r="DB4">
        <f t="shared" si="1"/>
        <v>17.199000000000002</v>
      </c>
      <c r="DC4">
        <f t="shared" si="2"/>
        <v>2.61</v>
      </c>
      <c r="DD4" t="s">
        <v>3</v>
      </c>
      <c r="DE4" t="s">
        <v>3</v>
      </c>
      <c r="DF4">
        <f t="shared" si="3"/>
        <v>0</v>
      </c>
      <c r="DG4">
        <f t="shared" si="4"/>
        <v>34.4</v>
      </c>
      <c r="DH4">
        <f t="shared" si="5"/>
        <v>5.22</v>
      </c>
      <c r="DI4">
        <f t="shared" si="6"/>
        <v>0</v>
      </c>
      <c r="DJ4">
        <f>DG4</f>
        <v>34.4</v>
      </c>
      <c r="DK4">
        <v>0</v>
      </c>
      <c r="DL4" t="s">
        <v>485</v>
      </c>
      <c r="DM4">
        <v>0</v>
      </c>
      <c r="DN4" t="s">
        <v>474</v>
      </c>
      <c r="DO4">
        <v>12.62</v>
      </c>
    </row>
    <row r="5" spans="1:119" x14ac:dyDescent="0.2">
      <c r="A5">
        <f>ROW(Source!A28)</f>
        <v>28</v>
      </c>
      <c r="B5">
        <v>85739205</v>
      </c>
      <c r="C5">
        <v>85739393</v>
      </c>
      <c r="D5">
        <v>85229993</v>
      </c>
      <c r="E5">
        <v>1</v>
      </c>
      <c r="F5">
        <v>1</v>
      </c>
      <c r="G5">
        <v>1081</v>
      </c>
      <c r="H5">
        <v>2</v>
      </c>
      <c r="I5" t="s">
        <v>486</v>
      </c>
      <c r="J5" t="s">
        <v>487</v>
      </c>
      <c r="K5" t="s">
        <v>488</v>
      </c>
      <c r="L5">
        <v>1368</v>
      </c>
      <c r="N5">
        <v>1011</v>
      </c>
      <c r="O5" t="s">
        <v>478</v>
      </c>
      <c r="P5" t="s">
        <v>478</v>
      </c>
      <c r="Q5">
        <v>1</v>
      </c>
      <c r="W5">
        <v>0</v>
      </c>
      <c r="X5">
        <v>-1412866184</v>
      </c>
      <c r="Y5">
        <f t="shared" si="0"/>
        <v>2.61</v>
      </c>
      <c r="AA5">
        <v>0</v>
      </c>
      <c r="AB5">
        <v>0.45</v>
      </c>
      <c r="AC5">
        <v>0</v>
      </c>
      <c r="AD5">
        <v>0</v>
      </c>
      <c r="AE5">
        <v>0</v>
      </c>
      <c r="AF5">
        <v>0.42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2.9</v>
      </c>
      <c r="AU5" t="s">
        <v>26</v>
      </c>
      <c r="AV5">
        <v>0</v>
      </c>
      <c r="AW5">
        <v>2</v>
      </c>
      <c r="AX5">
        <v>85739468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f>ROUND(Y5*Source!I28*DO5,9)</f>
        <v>0</v>
      </c>
      <c r="CX5">
        <f>ROUND(Y5*Source!I28,9)</f>
        <v>5.22</v>
      </c>
      <c r="CY5">
        <f>AB5</f>
        <v>0.45</v>
      </c>
      <c r="CZ5">
        <f>AF5</f>
        <v>0.42</v>
      </c>
      <c r="DA5">
        <f>AJ5</f>
        <v>1</v>
      </c>
      <c r="DB5">
        <f t="shared" si="1"/>
        <v>1.0980000000000001</v>
      </c>
      <c r="DC5">
        <f t="shared" si="2"/>
        <v>0</v>
      </c>
      <c r="DD5" t="s">
        <v>3</v>
      </c>
      <c r="DE5" t="s">
        <v>3</v>
      </c>
      <c r="DF5">
        <f t="shared" si="3"/>
        <v>0</v>
      </c>
      <c r="DG5">
        <f t="shared" si="4"/>
        <v>2.19</v>
      </c>
      <c r="DH5">
        <f t="shared" si="5"/>
        <v>0</v>
      </c>
      <c r="DI5">
        <f t="shared" si="6"/>
        <v>0</v>
      </c>
      <c r="DJ5">
        <f>DG5</f>
        <v>2.19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ROW(Source!A28)</f>
        <v>28</v>
      </c>
      <c r="B6">
        <v>85739205</v>
      </c>
      <c r="C6">
        <v>85739393</v>
      </c>
      <c r="D6">
        <v>85229295</v>
      </c>
      <c r="E6">
        <v>1</v>
      </c>
      <c r="F6">
        <v>1</v>
      </c>
      <c r="G6">
        <v>1081</v>
      </c>
      <c r="H6">
        <v>2</v>
      </c>
      <c r="I6" t="s">
        <v>489</v>
      </c>
      <c r="J6" t="s">
        <v>490</v>
      </c>
      <c r="K6" t="s">
        <v>491</v>
      </c>
      <c r="L6">
        <v>1368</v>
      </c>
      <c r="N6">
        <v>1011</v>
      </c>
      <c r="O6" t="s">
        <v>478</v>
      </c>
      <c r="P6" t="s">
        <v>478</v>
      </c>
      <c r="Q6">
        <v>1</v>
      </c>
      <c r="W6">
        <v>0</v>
      </c>
      <c r="X6">
        <v>1143286219</v>
      </c>
      <c r="Y6">
        <f t="shared" si="0"/>
        <v>0.70199999999999996</v>
      </c>
      <c r="AA6">
        <v>0</v>
      </c>
      <c r="AB6">
        <v>4.2699999999999996</v>
      </c>
      <c r="AC6">
        <v>0</v>
      </c>
      <c r="AD6">
        <v>0</v>
      </c>
      <c r="AE6">
        <v>0</v>
      </c>
      <c r="AF6">
        <v>4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-2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0.78</v>
      </c>
      <c r="AU6" t="s">
        <v>26</v>
      </c>
      <c r="AV6">
        <v>0</v>
      </c>
      <c r="AW6">
        <v>2</v>
      </c>
      <c r="AX6">
        <v>85739469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V6">
        <v>0</v>
      </c>
      <c r="CW6">
        <f>ROUND(Y6*Source!I28*DO6,9)</f>
        <v>0</v>
      </c>
      <c r="CX6">
        <f>ROUND(Y6*Source!I28,9)</f>
        <v>1.4039999999999999</v>
      </c>
      <c r="CY6">
        <f>AB6</f>
        <v>4.2699999999999996</v>
      </c>
      <c r="CZ6">
        <f>AF6</f>
        <v>4</v>
      </c>
      <c r="DA6">
        <f>AJ6</f>
        <v>1</v>
      </c>
      <c r="DB6">
        <f t="shared" si="1"/>
        <v>2.8079999999999998</v>
      </c>
      <c r="DC6">
        <f t="shared" si="2"/>
        <v>0</v>
      </c>
      <c r="DD6" t="s">
        <v>3</v>
      </c>
      <c r="DE6" t="s">
        <v>3</v>
      </c>
      <c r="DF6">
        <f t="shared" si="3"/>
        <v>0</v>
      </c>
      <c r="DG6">
        <f t="shared" si="4"/>
        <v>5.62</v>
      </c>
      <c r="DH6">
        <f t="shared" si="5"/>
        <v>0</v>
      </c>
      <c r="DI6">
        <f t="shared" si="6"/>
        <v>0</v>
      </c>
      <c r="DJ6">
        <f>DG6</f>
        <v>5.62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ROW(Source!A28)</f>
        <v>28</v>
      </c>
      <c r="B7">
        <v>85739205</v>
      </c>
      <c r="C7">
        <v>85739393</v>
      </c>
      <c r="D7">
        <v>85200111</v>
      </c>
      <c r="E7">
        <v>1</v>
      </c>
      <c r="F7">
        <v>1</v>
      </c>
      <c r="G7">
        <v>1081</v>
      </c>
      <c r="H7">
        <v>3</v>
      </c>
      <c r="I7" t="s">
        <v>492</v>
      </c>
      <c r="J7" t="s">
        <v>493</v>
      </c>
      <c r="K7" t="s">
        <v>494</v>
      </c>
      <c r="L7">
        <v>1348</v>
      </c>
      <c r="N7">
        <v>1009</v>
      </c>
      <c r="O7" t="s">
        <v>266</v>
      </c>
      <c r="P7" t="s">
        <v>266</v>
      </c>
      <c r="Q7">
        <v>1000</v>
      </c>
      <c r="W7">
        <v>0</v>
      </c>
      <c r="X7">
        <v>205566664</v>
      </c>
      <c r="Y7">
        <f>((AT7*0.75)*1)</f>
        <v>2.6250000000000002E-3</v>
      </c>
      <c r="AA7">
        <v>9367.64</v>
      </c>
      <c r="AB7">
        <v>0</v>
      </c>
      <c r="AC7">
        <v>0</v>
      </c>
      <c r="AD7">
        <v>0</v>
      </c>
      <c r="AE7">
        <v>9112.49</v>
      </c>
      <c r="AF7">
        <v>0</v>
      </c>
      <c r="AG7">
        <v>0</v>
      </c>
      <c r="AH7">
        <v>0</v>
      </c>
      <c r="AI7">
        <v>1</v>
      </c>
      <c r="AJ7">
        <v>1</v>
      </c>
      <c r="AK7">
        <v>1</v>
      </c>
      <c r="AL7">
        <v>1</v>
      </c>
      <c r="AM7">
        <v>-2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3.5000000000000001E-3</v>
      </c>
      <c r="AU7" t="s">
        <v>25</v>
      </c>
      <c r="AV7">
        <v>0</v>
      </c>
      <c r="AW7">
        <v>2</v>
      </c>
      <c r="AX7">
        <v>85739470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v>0</v>
      </c>
      <c r="CX7">
        <f>ROUND(Y7*Source!I28,9)</f>
        <v>5.2500000000000003E-3</v>
      </c>
      <c r="CY7">
        <f>AA7</f>
        <v>9367.64</v>
      </c>
      <c r="CZ7">
        <f>AE7</f>
        <v>9112.49</v>
      </c>
      <c r="DA7">
        <f>AI7</f>
        <v>1</v>
      </c>
      <c r="DB7">
        <f>ROUND(((ROUND(AT7*CZ7,2)*0.75)*1),6)</f>
        <v>23.9175</v>
      </c>
      <c r="DC7">
        <f>ROUND(((ROUND(AT7*AG7,2)*0.75)*1),6)</f>
        <v>0</v>
      </c>
      <c r="DD7" t="s">
        <v>3</v>
      </c>
      <c r="DE7" t="s">
        <v>3</v>
      </c>
      <c r="DF7">
        <f t="shared" si="3"/>
        <v>47.84</v>
      </c>
      <c r="DG7">
        <f t="shared" si="4"/>
        <v>0</v>
      </c>
      <c r="DH7">
        <f t="shared" si="5"/>
        <v>0</v>
      </c>
      <c r="DI7">
        <f t="shared" si="6"/>
        <v>0</v>
      </c>
      <c r="DJ7">
        <f>DF7</f>
        <v>47.84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ROW(Source!A28)</f>
        <v>28</v>
      </c>
      <c r="B8">
        <v>85739205</v>
      </c>
      <c r="C8">
        <v>85739393</v>
      </c>
      <c r="D8">
        <v>85200269</v>
      </c>
      <c r="E8">
        <v>1</v>
      </c>
      <c r="F8">
        <v>1</v>
      </c>
      <c r="G8">
        <v>1081</v>
      </c>
      <c r="H8">
        <v>3</v>
      </c>
      <c r="I8" t="s">
        <v>495</v>
      </c>
      <c r="J8" t="s">
        <v>496</v>
      </c>
      <c r="K8" t="s">
        <v>497</v>
      </c>
      <c r="L8">
        <v>1255</v>
      </c>
      <c r="N8">
        <v>1013</v>
      </c>
      <c r="O8" t="s">
        <v>498</v>
      </c>
      <c r="P8" t="s">
        <v>498</v>
      </c>
      <c r="Q8">
        <v>1</v>
      </c>
      <c r="W8">
        <v>0</v>
      </c>
      <c r="X8">
        <v>-1398468845</v>
      </c>
      <c r="Y8">
        <f>((AT8*0.75)*1)</f>
        <v>7.125</v>
      </c>
      <c r="AA8">
        <v>0.43</v>
      </c>
      <c r="AB8">
        <v>0</v>
      </c>
      <c r="AC8">
        <v>0</v>
      </c>
      <c r="AD8">
        <v>0</v>
      </c>
      <c r="AE8">
        <v>0.42</v>
      </c>
      <c r="AF8">
        <v>0</v>
      </c>
      <c r="AG8">
        <v>0</v>
      </c>
      <c r="AH8">
        <v>0</v>
      </c>
      <c r="AI8">
        <v>1</v>
      </c>
      <c r="AJ8">
        <v>1</v>
      </c>
      <c r="AK8">
        <v>1</v>
      </c>
      <c r="AL8">
        <v>1</v>
      </c>
      <c r="AM8">
        <v>-2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9.5</v>
      </c>
      <c r="AU8" t="s">
        <v>25</v>
      </c>
      <c r="AV8">
        <v>0</v>
      </c>
      <c r="AW8">
        <v>2</v>
      </c>
      <c r="AX8">
        <v>85739471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ROUND(Y8*Source!I28,9)</f>
        <v>14.25</v>
      </c>
      <c r="CY8">
        <f>AA8</f>
        <v>0.43</v>
      </c>
      <c r="CZ8">
        <f>AE8</f>
        <v>0.42</v>
      </c>
      <c r="DA8">
        <f>AI8</f>
        <v>1</v>
      </c>
      <c r="DB8">
        <f>ROUND(((ROUND(AT8*CZ8,2)*0.75)*1),6)</f>
        <v>2.9925000000000002</v>
      </c>
      <c r="DC8">
        <f>ROUND(((ROUND(AT8*AG8,2)*0.75)*1),6)</f>
        <v>0</v>
      </c>
      <c r="DD8" t="s">
        <v>3</v>
      </c>
      <c r="DE8" t="s">
        <v>3</v>
      </c>
      <c r="DF8">
        <f t="shared" si="3"/>
        <v>5.99</v>
      </c>
      <c r="DG8">
        <f t="shared" si="4"/>
        <v>0</v>
      </c>
      <c r="DH8">
        <f t="shared" si="5"/>
        <v>0</v>
      </c>
      <c r="DI8">
        <f t="shared" si="6"/>
        <v>0</v>
      </c>
      <c r="DJ8">
        <f>DF8</f>
        <v>5.99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ROW(Source!A28)</f>
        <v>28</v>
      </c>
      <c r="B9">
        <v>85739205</v>
      </c>
      <c r="C9">
        <v>85739393</v>
      </c>
      <c r="D9">
        <v>85200784</v>
      </c>
      <c r="E9">
        <v>1</v>
      </c>
      <c r="F9">
        <v>1</v>
      </c>
      <c r="G9">
        <v>1081</v>
      </c>
      <c r="H9">
        <v>3</v>
      </c>
      <c r="I9" t="s">
        <v>499</v>
      </c>
      <c r="J9" t="s">
        <v>500</v>
      </c>
      <c r="K9" t="s">
        <v>501</v>
      </c>
      <c r="L9">
        <v>1346</v>
      </c>
      <c r="N9">
        <v>1009</v>
      </c>
      <c r="O9" t="s">
        <v>502</v>
      </c>
      <c r="P9" t="s">
        <v>502</v>
      </c>
      <c r="Q9">
        <v>1</v>
      </c>
      <c r="W9">
        <v>0</v>
      </c>
      <c r="X9">
        <v>-2132327540</v>
      </c>
      <c r="Y9">
        <f>((AT9*0.75)*1)</f>
        <v>0.18</v>
      </c>
      <c r="AA9">
        <v>6.43</v>
      </c>
      <c r="AB9">
        <v>0</v>
      </c>
      <c r="AC9">
        <v>0</v>
      </c>
      <c r="AD9">
        <v>0</v>
      </c>
      <c r="AE9">
        <v>6.25</v>
      </c>
      <c r="AF9">
        <v>0</v>
      </c>
      <c r="AG9">
        <v>0</v>
      </c>
      <c r="AH9">
        <v>0</v>
      </c>
      <c r="AI9">
        <v>1</v>
      </c>
      <c r="AJ9">
        <v>1</v>
      </c>
      <c r="AK9">
        <v>1</v>
      </c>
      <c r="AL9">
        <v>1</v>
      </c>
      <c r="AM9">
        <v>-2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0.24</v>
      </c>
      <c r="AU9" t="s">
        <v>25</v>
      </c>
      <c r="AV9">
        <v>0</v>
      </c>
      <c r="AW9">
        <v>2</v>
      </c>
      <c r="AX9">
        <v>85739472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ROUND(Y9*Source!I28,9)</f>
        <v>0.36</v>
      </c>
      <c r="CY9">
        <f>AA9</f>
        <v>6.43</v>
      </c>
      <c r="CZ9">
        <f>AE9</f>
        <v>6.25</v>
      </c>
      <c r="DA9">
        <f>AI9</f>
        <v>1</v>
      </c>
      <c r="DB9">
        <f>ROUND(((ROUND(AT9*CZ9,2)*0.75)*1),6)</f>
        <v>1.125</v>
      </c>
      <c r="DC9">
        <f>ROUND(((ROUND(AT9*AG9,2)*0.75)*1),6)</f>
        <v>0</v>
      </c>
      <c r="DD9" t="s">
        <v>3</v>
      </c>
      <c r="DE9" t="s">
        <v>3</v>
      </c>
      <c r="DF9">
        <f t="shared" si="3"/>
        <v>2.25</v>
      </c>
      <c r="DG9">
        <f t="shared" si="4"/>
        <v>0</v>
      </c>
      <c r="DH9">
        <f t="shared" si="5"/>
        <v>0</v>
      </c>
      <c r="DI9">
        <f t="shared" si="6"/>
        <v>0</v>
      </c>
      <c r="DJ9">
        <f>DF9</f>
        <v>2.25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ROW(Source!A28)</f>
        <v>28</v>
      </c>
      <c r="B10">
        <v>85739205</v>
      </c>
      <c r="C10">
        <v>85739393</v>
      </c>
      <c r="D10">
        <v>85199158</v>
      </c>
      <c r="E10">
        <v>1</v>
      </c>
      <c r="F10">
        <v>1</v>
      </c>
      <c r="G10">
        <v>1081</v>
      </c>
      <c r="H10">
        <v>3</v>
      </c>
      <c r="I10" t="s">
        <v>503</v>
      </c>
      <c r="J10" t="s">
        <v>504</v>
      </c>
      <c r="K10" t="s">
        <v>505</v>
      </c>
      <c r="L10">
        <v>1339</v>
      </c>
      <c r="N10">
        <v>1007</v>
      </c>
      <c r="O10" t="s">
        <v>506</v>
      </c>
      <c r="P10" t="s">
        <v>506</v>
      </c>
      <c r="Q10">
        <v>1</v>
      </c>
      <c r="W10">
        <v>0</v>
      </c>
      <c r="X10">
        <v>-1235260082</v>
      </c>
      <c r="Y10">
        <f>((AT10*0.75)*1)</f>
        <v>1.0499999999999998</v>
      </c>
      <c r="AA10">
        <v>5.98</v>
      </c>
      <c r="AB10">
        <v>0</v>
      </c>
      <c r="AC10">
        <v>0</v>
      </c>
      <c r="AD10">
        <v>0</v>
      </c>
      <c r="AE10">
        <v>5.82</v>
      </c>
      <c r="AF10">
        <v>0</v>
      </c>
      <c r="AG10">
        <v>0</v>
      </c>
      <c r="AH10">
        <v>0</v>
      </c>
      <c r="AI10">
        <v>1</v>
      </c>
      <c r="AJ10">
        <v>1</v>
      </c>
      <c r="AK10">
        <v>1</v>
      </c>
      <c r="AL10">
        <v>1</v>
      </c>
      <c r="AM10">
        <v>-2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1.4</v>
      </c>
      <c r="AU10" t="s">
        <v>25</v>
      </c>
      <c r="AV10">
        <v>0</v>
      </c>
      <c r="AW10">
        <v>2</v>
      </c>
      <c r="AX10">
        <v>85739473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ROUND(Y10*Source!I28,9)</f>
        <v>2.1</v>
      </c>
      <c r="CY10">
        <f>AA10</f>
        <v>5.98</v>
      </c>
      <c r="CZ10">
        <f>AE10</f>
        <v>5.82</v>
      </c>
      <c r="DA10">
        <f>AI10</f>
        <v>1</v>
      </c>
      <c r="DB10">
        <f>ROUND(((ROUND(AT10*CZ10,2)*0.75)*1),6)</f>
        <v>6.1124999999999998</v>
      </c>
      <c r="DC10">
        <f>ROUND(((ROUND(AT10*AG10,2)*0.75)*1),6)</f>
        <v>0</v>
      </c>
      <c r="DD10" t="s">
        <v>3</v>
      </c>
      <c r="DE10" t="s">
        <v>3</v>
      </c>
      <c r="DF10">
        <f t="shared" si="3"/>
        <v>12.22</v>
      </c>
      <c r="DG10">
        <f t="shared" si="4"/>
        <v>0</v>
      </c>
      <c r="DH10">
        <f t="shared" si="5"/>
        <v>0</v>
      </c>
      <c r="DI10">
        <f t="shared" si="6"/>
        <v>0</v>
      </c>
      <c r="DJ10">
        <f>DF10</f>
        <v>12.22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ROW(Source!A29)</f>
        <v>29</v>
      </c>
      <c r="B11">
        <v>85739207</v>
      </c>
      <c r="C11">
        <v>85739393</v>
      </c>
      <c r="D11">
        <v>85164021</v>
      </c>
      <c r="E11">
        <v>1081</v>
      </c>
      <c r="F11">
        <v>1</v>
      </c>
      <c r="G11">
        <v>1081</v>
      </c>
      <c r="H11">
        <v>1</v>
      </c>
      <c r="I11" t="s">
        <v>472</v>
      </c>
      <c r="J11" t="s">
        <v>3</v>
      </c>
      <c r="K11" t="s">
        <v>473</v>
      </c>
      <c r="L11">
        <v>1191</v>
      </c>
      <c r="N11">
        <v>1013</v>
      </c>
      <c r="O11" t="s">
        <v>474</v>
      </c>
      <c r="P11" t="s">
        <v>474</v>
      </c>
      <c r="Q11">
        <v>1</v>
      </c>
      <c r="W11">
        <v>0</v>
      </c>
      <c r="X11">
        <v>476480486</v>
      </c>
      <c r="Y11">
        <f t="shared" ref="Y11:Y16" si="7">((AT11*0.75)*1.2)</f>
        <v>28.799999999999997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5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32</v>
      </c>
      <c r="AU11" t="s">
        <v>26</v>
      </c>
      <c r="AV11">
        <v>1</v>
      </c>
      <c r="AW11">
        <v>2</v>
      </c>
      <c r="AX11">
        <v>85739464</v>
      </c>
      <c r="AY11">
        <v>1</v>
      </c>
      <c r="AZ11">
        <v>0</v>
      </c>
      <c r="BA11">
        <v>12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ROUND(AT11*Source!I29*AH11*AL11,2)</f>
        <v>0</v>
      </c>
      <c r="CV11">
        <f>ROUND(Y11*Source!I29,9)</f>
        <v>57.6</v>
      </c>
      <c r="CW11">
        <v>0</v>
      </c>
      <c r="CX11">
        <f>ROUND(Y11*Source!I29,9)</f>
        <v>57.6</v>
      </c>
      <c r="CY11">
        <f>AD11</f>
        <v>0</v>
      </c>
      <c r="CZ11">
        <f>AH11</f>
        <v>0</v>
      </c>
      <c r="DA11">
        <f>AL11</f>
        <v>1</v>
      </c>
      <c r="DB11">
        <f t="shared" ref="DB11:DB16" si="8">ROUND(((ROUND(AT11*CZ11,2)*0.75)*1.2),6)</f>
        <v>0</v>
      </c>
      <c r="DC11">
        <f t="shared" ref="DC11:DC16" si="9">ROUND(((ROUND(AT11*AG11,2)*0.75)*1.2),6)</f>
        <v>0</v>
      </c>
      <c r="DD11" t="s">
        <v>3</v>
      </c>
      <c r="DE11" t="s">
        <v>3</v>
      </c>
      <c r="DF11">
        <f t="shared" si="3"/>
        <v>0</v>
      </c>
      <c r="DG11">
        <f t="shared" si="4"/>
        <v>0</v>
      </c>
      <c r="DH11">
        <f t="shared" si="5"/>
        <v>0</v>
      </c>
      <c r="DI11">
        <f t="shared" si="6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ROW(Source!A29)</f>
        <v>29</v>
      </c>
      <c r="B12">
        <v>85739207</v>
      </c>
      <c r="C12">
        <v>85739393</v>
      </c>
      <c r="D12">
        <v>85229633</v>
      </c>
      <c r="E12">
        <v>1</v>
      </c>
      <c r="F12">
        <v>1</v>
      </c>
      <c r="G12">
        <v>1081</v>
      </c>
      <c r="H12">
        <v>2</v>
      </c>
      <c r="I12" t="s">
        <v>475</v>
      </c>
      <c r="J12" t="s">
        <v>476</v>
      </c>
      <c r="K12" t="s">
        <v>477</v>
      </c>
      <c r="L12">
        <v>1368</v>
      </c>
      <c r="N12">
        <v>1011</v>
      </c>
      <c r="O12" t="s">
        <v>478</v>
      </c>
      <c r="P12" t="s">
        <v>478</v>
      </c>
      <c r="Q12">
        <v>1</v>
      </c>
      <c r="W12">
        <v>0</v>
      </c>
      <c r="X12">
        <v>1498588441</v>
      </c>
      <c r="Y12">
        <f t="shared" si="7"/>
        <v>2.3400000000000003</v>
      </c>
      <c r="AA12">
        <v>0</v>
      </c>
      <c r="AB12">
        <v>102.11</v>
      </c>
      <c r="AC12">
        <v>0</v>
      </c>
      <c r="AD12">
        <v>0</v>
      </c>
      <c r="AE12">
        <v>0</v>
      </c>
      <c r="AF12">
        <v>7.11</v>
      </c>
      <c r="AG12">
        <v>0</v>
      </c>
      <c r="AH12">
        <v>0</v>
      </c>
      <c r="AI12">
        <v>1</v>
      </c>
      <c r="AJ12">
        <v>13.46</v>
      </c>
      <c r="AK12">
        <v>1</v>
      </c>
      <c r="AL12">
        <v>1</v>
      </c>
      <c r="AM12">
        <v>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2.6</v>
      </c>
      <c r="AU12" t="s">
        <v>26</v>
      </c>
      <c r="AV12">
        <v>0</v>
      </c>
      <c r="AW12">
        <v>2</v>
      </c>
      <c r="AX12">
        <v>85739465</v>
      </c>
      <c r="AY12">
        <v>1</v>
      </c>
      <c r="AZ12">
        <v>0</v>
      </c>
      <c r="BA12">
        <v>13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ROUND(Y12*Source!I29*DO12,9)</f>
        <v>0</v>
      </c>
      <c r="CX12">
        <f>ROUND(Y12*Source!I29,9)</f>
        <v>4.68</v>
      </c>
      <c r="CY12">
        <f>AB12</f>
        <v>102.11</v>
      </c>
      <c r="CZ12">
        <f>AF12</f>
        <v>7.11</v>
      </c>
      <c r="DA12">
        <f>AJ12</f>
        <v>13.46</v>
      </c>
      <c r="DB12">
        <f t="shared" si="8"/>
        <v>16.640999999999998</v>
      </c>
      <c r="DC12">
        <f t="shared" si="9"/>
        <v>0</v>
      </c>
      <c r="DD12" t="s">
        <v>3</v>
      </c>
      <c r="DE12" t="s">
        <v>3</v>
      </c>
      <c r="DF12">
        <f t="shared" si="3"/>
        <v>0</v>
      </c>
      <c r="DG12">
        <f>ROUND(ROUND(AF12*AJ12,2)*CX12,2)</f>
        <v>447.88</v>
      </c>
      <c r="DH12">
        <f t="shared" si="5"/>
        <v>0</v>
      </c>
      <c r="DI12">
        <f t="shared" si="6"/>
        <v>0</v>
      </c>
      <c r="DJ12">
        <f>DG12</f>
        <v>447.88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ROW(Source!A29)</f>
        <v>29</v>
      </c>
      <c r="B13">
        <v>85739207</v>
      </c>
      <c r="C13">
        <v>85739393</v>
      </c>
      <c r="D13">
        <v>85229635</v>
      </c>
      <c r="E13">
        <v>1</v>
      </c>
      <c r="F13">
        <v>1</v>
      </c>
      <c r="G13">
        <v>1081</v>
      </c>
      <c r="H13">
        <v>2</v>
      </c>
      <c r="I13" t="s">
        <v>479</v>
      </c>
      <c r="J13" t="s">
        <v>480</v>
      </c>
      <c r="K13" t="s">
        <v>481</v>
      </c>
      <c r="L13">
        <v>1368</v>
      </c>
      <c r="N13">
        <v>1011</v>
      </c>
      <c r="O13" t="s">
        <v>478</v>
      </c>
      <c r="P13" t="s">
        <v>478</v>
      </c>
      <c r="Q13">
        <v>1</v>
      </c>
      <c r="W13">
        <v>0</v>
      </c>
      <c r="X13">
        <v>-49672420</v>
      </c>
      <c r="Y13">
        <f t="shared" si="7"/>
        <v>0.44999999999999996</v>
      </c>
      <c r="AA13">
        <v>0</v>
      </c>
      <c r="AB13">
        <v>2.78</v>
      </c>
      <c r="AC13">
        <v>0</v>
      </c>
      <c r="AD13">
        <v>0</v>
      </c>
      <c r="AE13">
        <v>0</v>
      </c>
      <c r="AF13">
        <v>0.28000000000000003</v>
      </c>
      <c r="AG13">
        <v>0</v>
      </c>
      <c r="AH13">
        <v>0</v>
      </c>
      <c r="AI13">
        <v>1</v>
      </c>
      <c r="AJ13">
        <v>9.2899999999999991</v>
      </c>
      <c r="AK13">
        <v>1</v>
      </c>
      <c r="AL13">
        <v>1</v>
      </c>
      <c r="AM13">
        <v>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0.5</v>
      </c>
      <c r="AU13" t="s">
        <v>26</v>
      </c>
      <c r="AV13">
        <v>0</v>
      </c>
      <c r="AW13">
        <v>2</v>
      </c>
      <c r="AX13">
        <v>85739466</v>
      </c>
      <c r="AY13">
        <v>1</v>
      </c>
      <c r="AZ13">
        <v>0</v>
      </c>
      <c r="BA13">
        <v>14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f>ROUND(Y13*Source!I29*DO13,9)</f>
        <v>0</v>
      </c>
      <c r="CX13">
        <f>ROUND(Y13*Source!I29,9)</f>
        <v>0.9</v>
      </c>
      <c r="CY13">
        <f>AB13</f>
        <v>2.78</v>
      </c>
      <c r="CZ13">
        <f>AF13</f>
        <v>0.28000000000000003</v>
      </c>
      <c r="DA13">
        <f>AJ13</f>
        <v>9.2899999999999991</v>
      </c>
      <c r="DB13">
        <f t="shared" si="8"/>
        <v>0.126</v>
      </c>
      <c r="DC13">
        <f t="shared" si="9"/>
        <v>0</v>
      </c>
      <c r="DD13" t="s">
        <v>3</v>
      </c>
      <c r="DE13" t="s">
        <v>3</v>
      </c>
      <c r="DF13">
        <f t="shared" si="3"/>
        <v>0</v>
      </c>
      <c r="DG13">
        <f>ROUND(ROUND(AF13*AJ13,2)*CX13,2)</f>
        <v>2.34</v>
      </c>
      <c r="DH13">
        <f t="shared" si="5"/>
        <v>0</v>
      </c>
      <c r="DI13">
        <f t="shared" si="6"/>
        <v>0</v>
      </c>
      <c r="DJ13">
        <f>DG13</f>
        <v>2.34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ROW(Source!A29)</f>
        <v>29</v>
      </c>
      <c r="B14">
        <v>85739207</v>
      </c>
      <c r="C14">
        <v>85739393</v>
      </c>
      <c r="D14">
        <v>85229932</v>
      </c>
      <c r="E14">
        <v>1</v>
      </c>
      <c r="F14">
        <v>1</v>
      </c>
      <c r="G14">
        <v>1081</v>
      </c>
      <c r="H14">
        <v>2</v>
      </c>
      <c r="I14" t="s">
        <v>482</v>
      </c>
      <c r="J14" t="s">
        <v>483</v>
      </c>
      <c r="K14" t="s">
        <v>484</v>
      </c>
      <c r="L14">
        <v>1368</v>
      </c>
      <c r="N14">
        <v>1011</v>
      </c>
      <c r="O14" t="s">
        <v>478</v>
      </c>
      <c r="P14" t="s">
        <v>478</v>
      </c>
      <c r="Q14">
        <v>1</v>
      </c>
      <c r="W14">
        <v>0</v>
      </c>
      <c r="X14">
        <v>874612079</v>
      </c>
      <c r="Y14">
        <f t="shared" si="7"/>
        <v>0.20700000000000002</v>
      </c>
      <c r="AA14">
        <v>0</v>
      </c>
      <c r="AB14">
        <v>1513.56</v>
      </c>
      <c r="AC14">
        <v>758.78</v>
      </c>
      <c r="AD14">
        <v>0</v>
      </c>
      <c r="AE14">
        <v>0</v>
      </c>
      <c r="AF14">
        <v>83.1</v>
      </c>
      <c r="AG14">
        <v>12.62</v>
      </c>
      <c r="AH14">
        <v>0</v>
      </c>
      <c r="AI14">
        <v>1</v>
      </c>
      <c r="AJ14">
        <v>17.07</v>
      </c>
      <c r="AK14">
        <v>56.35</v>
      </c>
      <c r="AL14">
        <v>1</v>
      </c>
      <c r="AM14">
        <v>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0.23</v>
      </c>
      <c r="AU14" t="s">
        <v>26</v>
      </c>
      <c r="AV14">
        <v>0</v>
      </c>
      <c r="AW14">
        <v>2</v>
      </c>
      <c r="AX14">
        <v>85739467</v>
      </c>
      <c r="AY14">
        <v>1</v>
      </c>
      <c r="AZ14">
        <v>0</v>
      </c>
      <c r="BA14">
        <v>15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f>ROUND(Y14*Source!I29*DO14,9)</f>
        <v>5.2246800000000002</v>
      </c>
      <c r="CX14">
        <f>ROUND(Y14*Source!I29,9)</f>
        <v>0.41399999999999998</v>
      </c>
      <c r="CY14">
        <f>AB14</f>
        <v>1513.56</v>
      </c>
      <c r="CZ14">
        <f>AF14</f>
        <v>83.1</v>
      </c>
      <c r="DA14">
        <f>AJ14</f>
        <v>17.07</v>
      </c>
      <c r="DB14">
        <f t="shared" si="8"/>
        <v>17.199000000000002</v>
      </c>
      <c r="DC14">
        <f t="shared" si="9"/>
        <v>2.61</v>
      </c>
      <c r="DD14" t="s">
        <v>3</v>
      </c>
      <c r="DE14" t="s">
        <v>3</v>
      </c>
      <c r="DF14">
        <f t="shared" si="3"/>
        <v>0</v>
      </c>
      <c r="DG14">
        <f>ROUND(ROUND(AF14*AJ14,2)*CX14,2)</f>
        <v>587.27</v>
      </c>
      <c r="DH14">
        <f>ROUND(ROUND(AG14*AK14,2)*CX14,2)</f>
        <v>294.41000000000003</v>
      </c>
      <c r="DI14">
        <f t="shared" si="6"/>
        <v>0</v>
      </c>
      <c r="DJ14">
        <f>DG14</f>
        <v>587.27</v>
      </c>
      <c r="DK14">
        <v>0</v>
      </c>
      <c r="DL14" t="s">
        <v>485</v>
      </c>
      <c r="DM14">
        <v>0</v>
      </c>
      <c r="DN14" t="s">
        <v>474</v>
      </c>
      <c r="DO14">
        <v>12.62</v>
      </c>
    </row>
    <row r="15" spans="1:119" x14ac:dyDescent="0.2">
      <c r="A15">
        <f>ROW(Source!A29)</f>
        <v>29</v>
      </c>
      <c r="B15">
        <v>85739207</v>
      </c>
      <c r="C15">
        <v>85739393</v>
      </c>
      <c r="D15">
        <v>85229993</v>
      </c>
      <c r="E15">
        <v>1</v>
      </c>
      <c r="F15">
        <v>1</v>
      </c>
      <c r="G15">
        <v>1081</v>
      </c>
      <c r="H15">
        <v>2</v>
      </c>
      <c r="I15" t="s">
        <v>486</v>
      </c>
      <c r="J15" t="s">
        <v>487</v>
      </c>
      <c r="K15" t="s">
        <v>488</v>
      </c>
      <c r="L15">
        <v>1368</v>
      </c>
      <c r="N15">
        <v>1011</v>
      </c>
      <c r="O15" t="s">
        <v>478</v>
      </c>
      <c r="P15" t="s">
        <v>478</v>
      </c>
      <c r="Q15">
        <v>1</v>
      </c>
      <c r="W15">
        <v>0</v>
      </c>
      <c r="X15">
        <v>-1412866184</v>
      </c>
      <c r="Y15">
        <f t="shared" si="7"/>
        <v>2.61</v>
      </c>
      <c r="AA15">
        <v>0</v>
      </c>
      <c r="AB15">
        <v>4.41</v>
      </c>
      <c r="AC15">
        <v>0</v>
      </c>
      <c r="AD15">
        <v>0</v>
      </c>
      <c r="AE15">
        <v>0</v>
      </c>
      <c r="AF15">
        <v>0.42</v>
      </c>
      <c r="AG15">
        <v>0</v>
      </c>
      <c r="AH15">
        <v>0</v>
      </c>
      <c r="AI15">
        <v>1</v>
      </c>
      <c r="AJ15">
        <v>9.83</v>
      </c>
      <c r="AK15">
        <v>1</v>
      </c>
      <c r="AL15">
        <v>1</v>
      </c>
      <c r="AM15">
        <v>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2.9</v>
      </c>
      <c r="AU15" t="s">
        <v>26</v>
      </c>
      <c r="AV15">
        <v>0</v>
      </c>
      <c r="AW15">
        <v>2</v>
      </c>
      <c r="AX15">
        <v>85739468</v>
      </c>
      <c r="AY15">
        <v>1</v>
      </c>
      <c r="AZ15">
        <v>0</v>
      </c>
      <c r="BA15">
        <v>16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f>ROUND(Y15*Source!I29*DO15,9)</f>
        <v>0</v>
      </c>
      <c r="CX15">
        <f>ROUND(Y15*Source!I29,9)</f>
        <v>5.22</v>
      </c>
      <c r="CY15">
        <f>AB15</f>
        <v>4.41</v>
      </c>
      <c r="CZ15">
        <f>AF15</f>
        <v>0.42</v>
      </c>
      <c r="DA15">
        <f>AJ15</f>
        <v>9.83</v>
      </c>
      <c r="DB15">
        <f t="shared" si="8"/>
        <v>1.0980000000000001</v>
      </c>
      <c r="DC15">
        <f t="shared" si="9"/>
        <v>0</v>
      </c>
      <c r="DD15" t="s">
        <v>3</v>
      </c>
      <c r="DE15" t="s">
        <v>3</v>
      </c>
      <c r="DF15">
        <f t="shared" si="3"/>
        <v>0</v>
      </c>
      <c r="DG15">
        <f>ROUND(ROUND(AF15*AJ15,2)*CX15,2)</f>
        <v>21.56</v>
      </c>
      <c r="DH15">
        <f t="shared" ref="DH15:DH33" si="10">ROUND(ROUND(AG15,2)*CX15,2)</f>
        <v>0</v>
      </c>
      <c r="DI15">
        <f t="shared" si="6"/>
        <v>0</v>
      </c>
      <c r="DJ15">
        <f>DG15</f>
        <v>21.56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ROW(Source!A29)</f>
        <v>29</v>
      </c>
      <c r="B16">
        <v>85739207</v>
      </c>
      <c r="C16">
        <v>85739393</v>
      </c>
      <c r="D16">
        <v>85229295</v>
      </c>
      <c r="E16">
        <v>1</v>
      </c>
      <c r="F16">
        <v>1</v>
      </c>
      <c r="G16">
        <v>1081</v>
      </c>
      <c r="H16">
        <v>2</v>
      </c>
      <c r="I16" t="s">
        <v>489</v>
      </c>
      <c r="J16" t="s">
        <v>490</v>
      </c>
      <c r="K16" t="s">
        <v>491</v>
      </c>
      <c r="L16">
        <v>1368</v>
      </c>
      <c r="N16">
        <v>1011</v>
      </c>
      <c r="O16" t="s">
        <v>478</v>
      </c>
      <c r="P16" t="s">
        <v>478</v>
      </c>
      <c r="Q16">
        <v>1</v>
      </c>
      <c r="W16">
        <v>0</v>
      </c>
      <c r="X16">
        <v>1143286219</v>
      </c>
      <c r="Y16">
        <f t="shared" si="7"/>
        <v>0.70199999999999996</v>
      </c>
      <c r="AA16">
        <v>0</v>
      </c>
      <c r="AB16">
        <v>43.92</v>
      </c>
      <c r="AC16">
        <v>0</v>
      </c>
      <c r="AD16">
        <v>0</v>
      </c>
      <c r="AE16">
        <v>0</v>
      </c>
      <c r="AF16">
        <v>4</v>
      </c>
      <c r="AG16">
        <v>0</v>
      </c>
      <c r="AH16">
        <v>0</v>
      </c>
      <c r="AI16">
        <v>1</v>
      </c>
      <c r="AJ16">
        <v>10.29</v>
      </c>
      <c r="AK16">
        <v>1</v>
      </c>
      <c r="AL16">
        <v>1</v>
      </c>
      <c r="AM16">
        <v>2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0.78</v>
      </c>
      <c r="AU16" t="s">
        <v>26</v>
      </c>
      <c r="AV16">
        <v>0</v>
      </c>
      <c r="AW16">
        <v>2</v>
      </c>
      <c r="AX16">
        <v>85739469</v>
      </c>
      <c r="AY16">
        <v>1</v>
      </c>
      <c r="AZ16">
        <v>0</v>
      </c>
      <c r="BA16">
        <v>17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V16">
        <v>0</v>
      </c>
      <c r="CW16">
        <f>ROUND(Y16*Source!I29*DO16,9)</f>
        <v>0</v>
      </c>
      <c r="CX16">
        <f>ROUND(Y16*Source!I29,9)</f>
        <v>1.4039999999999999</v>
      </c>
      <c r="CY16">
        <f>AB16</f>
        <v>43.92</v>
      </c>
      <c r="CZ16">
        <f>AF16</f>
        <v>4</v>
      </c>
      <c r="DA16">
        <f>AJ16</f>
        <v>10.29</v>
      </c>
      <c r="DB16">
        <f t="shared" si="8"/>
        <v>2.8079999999999998</v>
      </c>
      <c r="DC16">
        <f t="shared" si="9"/>
        <v>0</v>
      </c>
      <c r="DD16" t="s">
        <v>3</v>
      </c>
      <c r="DE16" t="s">
        <v>3</v>
      </c>
      <c r="DF16">
        <f t="shared" si="3"/>
        <v>0</v>
      </c>
      <c r="DG16">
        <f>ROUND(ROUND(AF16*AJ16,2)*CX16,2)</f>
        <v>57.79</v>
      </c>
      <c r="DH16">
        <f t="shared" si="10"/>
        <v>0</v>
      </c>
      <c r="DI16">
        <f t="shared" si="6"/>
        <v>0</v>
      </c>
      <c r="DJ16">
        <f>DG16</f>
        <v>57.79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ROW(Source!A29)</f>
        <v>29</v>
      </c>
      <c r="B17">
        <v>85739207</v>
      </c>
      <c r="C17">
        <v>85739393</v>
      </c>
      <c r="D17">
        <v>85200111</v>
      </c>
      <c r="E17">
        <v>1</v>
      </c>
      <c r="F17">
        <v>1</v>
      </c>
      <c r="G17">
        <v>1081</v>
      </c>
      <c r="H17">
        <v>3</v>
      </c>
      <c r="I17" t="s">
        <v>492</v>
      </c>
      <c r="J17" t="s">
        <v>493</v>
      </c>
      <c r="K17" t="s">
        <v>494</v>
      </c>
      <c r="L17">
        <v>1348</v>
      </c>
      <c r="N17">
        <v>1009</v>
      </c>
      <c r="O17" t="s">
        <v>266</v>
      </c>
      <c r="P17" t="s">
        <v>266</v>
      </c>
      <c r="Q17">
        <v>1000</v>
      </c>
      <c r="W17">
        <v>0</v>
      </c>
      <c r="X17">
        <v>205566664</v>
      </c>
      <c r="Y17">
        <f>((AT17*0.75)*1)</f>
        <v>2.6250000000000002E-3</v>
      </c>
      <c r="AA17">
        <v>95081.54</v>
      </c>
      <c r="AB17">
        <v>0</v>
      </c>
      <c r="AC17">
        <v>0</v>
      </c>
      <c r="AD17">
        <v>0</v>
      </c>
      <c r="AE17">
        <v>9112.49</v>
      </c>
      <c r="AF17">
        <v>0</v>
      </c>
      <c r="AG17">
        <v>0</v>
      </c>
      <c r="AH17">
        <v>0</v>
      </c>
      <c r="AI17">
        <v>10.15</v>
      </c>
      <c r="AJ17">
        <v>1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3.5000000000000001E-3</v>
      </c>
      <c r="AU17" t="s">
        <v>25</v>
      </c>
      <c r="AV17">
        <v>0</v>
      </c>
      <c r="AW17">
        <v>2</v>
      </c>
      <c r="AX17">
        <v>85739470</v>
      </c>
      <c r="AY17">
        <v>1</v>
      </c>
      <c r="AZ17">
        <v>0</v>
      </c>
      <c r="BA17">
        <v>18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v>0</v>
      </c>
      <c r="CX17">
        <f>ROUND(Y17*Source!I29,9)</f>
        <v>5.2500000000000003E-3</v>
      </c>
      <c r="CY17">
        <f>AA17</f>
        <v>95081.54</v>
      </c>
      <c r="CZ17">
        <f>AE17</f>
        <v>9112.49</v>
      </c>
      <c r="DA17">
        <f>AI17</f>
        <v>10.15</v>
      </c>
      <c r="DB17">
        <f>ROUND(((ROUND(AT17*CZ17,2)*0.75)*1),6)</f>
        <v>23.9175</v>
      </c>
      <c r="DC17">
        <f>ROUND(((ROUND(AT17*AG17,2)*0.75)*1),6)</f>
        <v>0</v>
      </c>
      <c r="DD17" t="s">
        <v>3</v>
      </c>
      <c r="DE17" t="s">
        <v>3</v>
      </c>
      <c r="DF17">
        <f>ROUND(ROUND(AE17*AI17,2)*CX17,2)</f>
        <v>485.58</v>
      </c>
      <c r="DG17">
        <f t="shared" ref="DG17:DG31" si="11">ROUND(ROUND(AF17,2)*CX17,2)</f>
        <v>0</v>
      </c>
      <c r="DH17">
        <f t="shared" si="10"/>
        <v>0</v>
      </c>
      <c r="DI17">
        <f t="shared" si="6"/>
        <v>0</v>
      </c>
      <c r="DJ17">
        <f>DF17</f>
        <v>485.58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ROW(Source!A29)</f>
        <v>29</v>
      </c>
      <c r="B18">
        <v>85739207</v>
      </c>
      <c r="C18">
        <v>85739393</v>
      </c>
      <c r="D18">
        <v>85200269</v>
      </c>
      <c r="E18">
        <v>1</v>
      </c>
      <c r="F18">
        <v>1</v>
      </c>
      <c r="G18">
        <v>1081</v>
      </c>
      <c r="H18">
        <v>3</v>
      </c>
      <c r="I18" t="s">
        <v>495</v>
      </c>
      <c r="J18" t="s">
        <v>496</v>
      </c>
      <c r="K18" t="s">
        <v>497</v>
      </c>
      <c r="L18">
        <v>1255</v>
      </c>
      <c r="N18">
        <v>1013</v>
      </c>
      <c r="O18" t="s">
        <v>498</v>
      </c>
      <c r="P18" t="s">
        <v>498</v>
      </c>
      <c r="Q18">
        <v>1</v>
      </c>
      <c r="W18">
        <v>0</v>
      </c>
      <c r="X18">
        <v>-1398468845</v>
      </c>
      <c r="Y18">
        <f>((AT18*0.75)*1)</f>
        <v>7.125</v>
      </c>
      <c r="AA18">
        <v>7.01</v>
      </c>
      <c r="AB18">
        <v>0</v>
      </c>
      <c r="AC18">
        <v>0</v>
      </c>
      <c r="AD18">
        <v>0</v>
      </c>
      <c r="AE18">
        <v>0.42</v>
      </c>
      <c r="AF18">
        <v>0</v>
      </c>
      <c r="AG18">
        <v>0</v>
      </c>
      <c r="AH18">
        <v>0</v>
      </c>
      <c r="AI18">
        <v>16.239999999999998</v>
      </c>
      <c r="AJ18">
        <v>1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9.5</v>
      </c>
      <c r="AU18" t="s">
        <v>25</v>
      </c>
      <c r="AV18">
        <v>0</v>
      </c>
      <c r="AW18">
        <v>2</v>
      </c>
      <c r="AX18">
        <v>85739471</v>
      </c>
      <c r="AY18">
        <v>1</v>
      </c>
      <c r="AZ18">
        <v>0</v>
      </c>
      <c r="BA18">
        <v>19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ROUND(Y18*Source!I29,9)</f>
        <v>14.25</v>
      </c>
      <c r="CY18">
        <f>AA18</f>
        <v>7.01</v>
      </c>
      <c r="CZ18">
        <f>AE18</f>
        <v>0.42</v>
      </c>
      <c r="DA18">
        <f>AI18</f>
        <v>16.239999999999998</v>
      </c>
      <c r="DB18">
        <f>ROUND(((ROUND(AT18*CZ18,2)*0.75)*1),6)</f>
        <v>2.9925000000000002</v>
      </c>
      <c r="DC18">
        <f>ROUND(((ROUND(AT18*AG18,2)*0.75)*1),6)</f>
        <v>0</v>
      </c>
      <c r="DD18" t="s">
        <v>3</v>
      </c>
      <c r="DE18" t="s">
        <v>3</v>
      </c>
      <c r="DF18">
        <f>ROUND(ROUND(AE18*AI18,2)*CX18,2)</f>
        <v>97.19</v>
      </c>
      <c r="DG18">
        <f t="shared" si="11"/>
        <v>0</v>
      </c>
      <c r="DH18">
        <f t="shared" si="10"/>
        <v>0</v>
      </c>
      <c r="DI18">
        <f t="shared" si="6"/>
        <v>0</v>
      </c>
      <c r="DJ18">
        <f>DF18</f>
        <v>97.19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ROW(Source!A29)</f>
        <v>29</v>
      </c>
      <c r="B19">
        <v>85739207</v>
      </c>
      <c r="C19">
        <v>85739393</v>
      </c>
      <c r="D19">
        <v>85200784</v>
      </c>
      <c r="E19">
        <v>1</v>
      </c>
      <c r="F19">
        <v>1</v>
      </c>
      <c r="G19">
        <v>1081</v>
      </c>
      <c r="H19">
        <v>3</v>
      </c>
      <c r="I19" t="s">
        <v>499</v>
      </c>
      <c r="J19" t="s">
        <v>500</v>
      </c>
      <c r="K19" t="s">
        <v>501</v>
      </c>
      <c r="L19">
        <v>1346</v>
      </c>
      <c r="N19">
        <v>1009</v>
      </c>
      <c r="O19" t="s">
        <v>502</v>
      </c>
      <c r="P19" t="s">
        <v>502</v>
      </c>
      <c r="Q19">
        <v>1</v>
      </c>
      <c r="W19">
        <v>0</v>
      </c>
      <c r="X19">
        <v>-2132327540</v>
      </c>
      <c r="Y19">
        <f>((AT19*0.75)*1)</f>
        <v>0.18</v>
      </c>
      <c r="AA19">
        <v>64.760000000000005</v>
      </c>
      <c r="AB19">
        <v>0</v>
      </c>
      <c r="AC19">
        <v>0</v>
      </c>
      <c r="AD19">
        <v>0</v>
      </c>
      <c r="AE19">
        <v>6.25</v>
      </c>
      <c r="AF19">
        <v>0</v>
      </c>
      <c r="AG19">
        <v>0</v>
      </c>
      <c r="AH19">
        <v>0</v>
      </c>
      <c r="AI19">
        <v>10.08</v>
      </c>
      <c r="AJ19">
        <v>1</v>
      </c>
      <c r="AK19">
        <v>1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0.24</v>
      </c>
      <c r="AU19" t="s">
        <v>25</v>
      </c>
      <c r="AV19">
        <v>0</v>
      </c>
      <c r="AW19">
        <v>2</v>
      </c>
      <c r="AX19">
        <v>85739472</v>
      </c>
      <c r="AY19">
        <v>1</v>
      </c>
      <c r="AZ19">
        <v>0</v>
      </c>
      <c r="BA19">
        <v>20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ROUND(Y19*Source!I29,9)</f>
        <v>0.36</v>
      </c>
      <c r="CY19">
        <f>AA19</f>
        <v>64.760000000000005</v>
      </c>
      <c r="CZ19">
        <f>AE19</f>
        <v>6.25</v>
      </c>
      <c r="DA19">
        <f>AI19</f>
        <v>10.08</v>
      </c>
      <c r="DB19">
        <f>ROUND(((ROUND(AT19*CZ19,2)*0.75)*1),6)</f>
        <v>1.125</v>
      </c>
      <c r="DC19">
        <f>ROUND(((ROUND(AT19*AG19,2)*0.75)*1),6)</f>
        <v>0</v>
      </c>
      <c r="DD19" t="s">
        <v>3</v>
      </c>
      <c r="DE19" t="s">
        <v>3</v>
      </c>
      <c r="DF19">
        <f>ROUND(ROUND(AE19*AI19,2)*CX19,2)</f>
        <v>22.68</v>
      </c>
      <c r="DG19">
        <f t="shared" si="11"/>
        <v>0</v>
      </c>
      <c r="DH19">
        <f t="shared" si="10"/>
        <v>0</v>
      </c>
      <c r="DI19">
        <f t="shared" si="6"/>
        <v>0</v>
      </c>
      <c r="DJ19">
        <f>DF19</f>
        <v>22.68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ROW(Source!A29)</f>
        <v>29</v>
      </c>
      <c r="B20">
        <v>85739207</v>
      </c>
      <c r="C20">
        <v>85739393</v>
      </c>
      <c r="D20">
        <v>85199158</v>
      </c>
      <c r="E20">
        <v>1</v>
      </c>
      <c r="F20">
        <v>1</v>
      </c>
      <c r="G20">
        <v>1081</v>
      </c>
      <c r="H20">
        <v>3</v>
      </c>
      <c r="I20" t="s">
        <v>503</v>
      </c>
      <c r="J20" t="s">
        <v>504</v>
      </c>
      <c r="K20" t="s">
        <v>505</v>
      </c>
      <c r="L20">
        <v>1339</v>
      </c>
      <c r="N20">
        <v>1007</v>
      </c>
      <c r="O20" t="s">
        <v>506</v>
      </c>
      <c r="P20" t="s">
        <v>506</v>
      </c>
      <c r="Q20">
        <v>1</v>
      </c>
      <c r="W20">
        <v>0</v>
      </c>
      <c r="X20">
        <v>-1235260082</v>
      </c>
      <c r="Y20">
        <f>((AT20*0.75)*1)</f>
        <v>1.0499999999999998</v>
      </c>
      <c r="AA20">
        <v>104.16</v>
      </c>
      <c r="AB20">
        <v>0</v>
      </c>
      <c r="AC20">
        <v>0</v>
      </c>
      <c r="AD20">
        <v>0</v>
      </c>
      <c r="AE20">
        <v>5.82</v>
      </c>
      <c r="AF20">
        <v>0</v>
      </c>
      <c r="AG20">
        <v>0</v>
      </c>
      <c r="AH20">
        <v>0</v>
      </c>
      <c r="AI20">
        <v>17.41</v>
      </c>
      <c r="AJ20">
        <v>1</v>
      </c>
      <c r="AK20">
        <v>1</v>
      </c>
      <c r="AL20">
        <v>1</v>
      </c>
      <c r="AM20">
        <v>2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1.4</v>
      </c>
      <c r="AU20" t="s">
        <v>25</v>
      </c>
      <c r="AV20">
        <v>0</v>
      </c>
      <c r="AW20">
        <v>2</v>
      </c>
      <c r="AX20">
        <v>85739473</v>
      </c>
      <c r="AY20">
        <v>1</v>
      </c>
      <c r="AZ20">
        <v>0</v>
      </c>
      <c r="BA20">
        <v>21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ROUND(Y20*Source!I29,9)</f>
        <v>2.1</v>
      </c>
      <c r="CY20">
        <f>AA20</f>
        <v>104.16</v>
      </c>
      <c r="CZ20">
        <f>AE20</f>
        <v>5.82</v>
      </c>
      <c r="DA20">
        <f>AI20</f>
        <v>17.41</v>
      </c>
      <c r="DB20">
        <f>ROUND(((ROUND(AT20*CZ20,2)*0.75)*1),6)</f>
        <v>6.1124999999999998</v>
      </c>
      <c r="DC20">
        <f>ROUND(((ROUND(AT20*AG20,2)*0.75)*1),6)</f>
        <v>0</v>
      </c>
      <c r="DD20" t="s">
        <v>3</v>
      </c>
      <c r="DE20" t="s">
        <v>3</v>
      </c>
      <c r="DF20">
        <f>ROUND(ROUND(AE20*AI20,2)*CX20,2)</f>
        <v>212.79</v>
      </c>
      <c r="DG20">
        <f t="shared" si="11"/>
        <v>0</v>
      </c>
      <c r="DH20">
        <f t="shared" si="10"/>
        <v>0</v>
      </c>
      <c r="DI20">
        <f t="shared" si="6"/>
        <v>0</v>
      </c>
      <c r="DJ20">
        <f>DF20</f>
        <v>212.79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ROW(Source!A30)</f>
        <v>30</v>
      </c>
      <c r="B21">
        <v>85739205</v>
      </c>
      <c r="C21">
        <v>85739479</v>
      </c>
      <c r="D21">
        <v>85164021</v>
      </c>
      <c r="E21">
        <v>1081</v>
      </c>
      <c r="F21">
        <v>1</v>
      </c>
      <c r="G21">
        <v>1081</v>
      </c>
      <c r="H21">
        <v>1</v>
      </c>
      <c r="I21" t="s">
        <v>472</v>
      </c>
      <c r="J21" t="s">
        <v>3</v>
      </c>
      <c r="K21" t="s">
        <v>473</v>
      </c>
      <c r="L21">
        <v>1191</v>
      </c>
      <c r="N21">
        <v>1013</v>
      </c>
      <c r="O21" t="s">
        <v>474</v>
      </c>
      <c r="P21" t="s">
        <v>474</v>
      </c>
      <c r="Q21">
        <v>1</v>
      </c>
      <c r="W21">
        <v>0</v>
      </c>
      <c r="X21">
        <v>476480486</v>
      </c>
      <c r="Y21">
        <f t="shared" ref="Y21:Y26" si="12">(AT21*1.2)</f>
        <v>33.36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27.8</v>
      </c>
      <c r="AU21" t="s">
        <v>36</v>
      </c>
      <c r="AV21">
        <v>1</v>
      </c>
      <c r="AW21">
        <v>2</v>
      </c>
      <c r="AX21">
        <v>85739493</v>
      </c>
      <c r="AY21">
        <v>1</v>
      </c>
      <c r="AZ21">
        <v>0</v>
      </c>
      <c r="BA21">
        <v>23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ROUND(AT21*Source!I30*AH21*AL21,2)</f>
        <v>0</v>
      </c>
      <c r="CV21">
        <f>ROUND(Y21*Source!I30,9)</f>
        <v>33.36</v>
      </c>
      <c r="CW21">
        <v>0</v>
      </c>
      <c r="CX21">
        <f>ROUND(Y21*Source!I30,9)</f>
        <v>33.36</v>
      </c>
      <c r="CY21">
        <f>AD21</f>
        <v>0</v>
      </c>
      <c r="CZ21">
        <f>AH21</f>
        <v>0</v>
      </c>
      <c r="DA21">
        <f>AL21</f>
        <v>1</v>
      </c>
      <c r="DB21">
        <f t="shared" ref="DB21:DB26" si="13">ROUND((ROUND(AT21*CZ21,2)*1.2),6)</f>
        <v>0</v>
      </c>
      <c r="DC21">
        <f t="shared" ref="DC21:DC26" si="14">ROUND((ROUND(AT21*AG21,2)*1.2),6)</f>
        <v>0</v>
      </c>
      <c r="DD21" t="s">
        <v>3</v>
      </c>
      <c r="DE21" t="s">
        <v>3</v>
      </c>
      <c r="DF21">
        <f t="shared" ref="DF21:DF36" si="15">ROUND(ROUND(AE21,2)*CX21,2)</f>
        <v>0</v>
      </c>
      <c r="DG21">
        <f t="shared" si="11"/>
        <v>0</v>
      </c>
      <c r="DH21">
        <f t="shared" si="10"/>
        <v>0</v>
      </c>
      <c r="DI21">
        <f t="shared" si="6"/>
        <v>0</v>
      </c>
      <c r="DJ21">
        <f>DI21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ROW(Source!A30)</f>
        <v>30</v>
      </c>
      <c r="B22">
        <v>85739205</v>
      </c>
      <c r="C22">
        <v>85739479</v>
      </c>
      <c r="D22">
        <v>85229633</v>
      </c>
      <c r="E22">
        <v>1</v>
      </c>
      <c r="F22">
        <v>1</v>
      </c>
      <c r="G22">
        <v>1081</v>
      </c>
      <c r="H22">
        <v>2</v>
      </c>
      <c r="I22" t="s">
        <v>475</v>
      </c>
      <c r="J22" t="s">
        <v>476</v>
      </c>
      <c r="K22" t="s">
        <v>477</v>
      </c>
      <c r="L22">
        <v>1368</v>
      </c>
      <c r="N22">
        <v>1011</v>
      </c>
      <c r="O22" t="s">
        <v>478</v>
      </c>
      <c r="P22" t="s">
        <v>478</v>
      </c>
      <c r="Q22">
        <v>1</v>
      </c>
      <c r="W22">
        <v>0</v>
      </c>
      <c r="X22">
        <v>1498588441</v>
      </c>
      <c r="Y22">
        <f t="shared" si="12"/>
        <v>3.12</v>
      </c>
      <c r="AA22">
        <v>0</v>
      </c>
      <c r="AB22">
        <v>7.59</v>
      </c>
      <c r="AC22">
        <v>0</v>
      </c>
      <c r="AD22">
        <v>0</v>
      </c>
      <c r="AE22">
        <v>0</v>
      </c>
      <c r="AF22">
        <v>7.11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-2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2.6</v>
      </c>
      <c r="AU22" t="s">
        <v>36</v>
      </c>
      <c r="AV22">
        <v>0</v>
      </c>
      <c r="AW22">
        <v>2</v>
      </c>
      <c r="AX22">
        <v>85739494</v>
      </c>
      <c r="AY22">
        <v>1</v>
      </c>
      <c r="AZ22">
        <v>0</v>
      </c>
      <c r="BA22">
        <v>24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ROUND(Y22*Source!I30*DO22,9)</f>
        <v>0</v>
      </c>
      <c r="CX22">
        <f>ROUND(Y22*Source!I30,9)</f>
        <v>3.12</v>
      </c>
      <c r="CY22">
        <f>AB22</f>
        <v>7.59</v>
      </c>
      <c r="CZ22">
        <f>AF22</f>
        <v>7.11</v>
      </c>
      <c r="DA22">
        <f>AJ22</f>
        <v>1</v>
      </c>
      <c r="DB22">
        <f t="shared" si="13"/>
        <v>22.187999999999999</v>
      </c>
      <c r="DC22">
        <f t="shared" si="14"/>
        <v>0</v>
      </c>
      <c r="DD22" t="s">
        <v>3</v>
      </c>
      <c r="DE22" t="s">
        <v>3</v>
      </c>
      <c r="DF22">
        <f t="shared" si="15"/>
        <v>0</v>
      </c>
      <c r="DG22">
        <f t="shared" si="11"/>
        <v>22.18</v>
      </c>
      <c r="DH22">
        <f t="shared" si="10"/>
        <v>0</v>
      </c>
      <c r="DI22">
        <f t="shared" si="6"/>
        <v>0</v>
      </c>
      <c r="DJ22">
        <f>DG22</f>
        <v>22.18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ROW(Source!A30)</f>
        <v>30</v>
      </c>
      <c r="B23">
        <v>85739205</v>
      </c>
      <c r="C23">
        <v>85739479</v>
      </c>
      <c r="D23">
        <v>85229635</v>
      </c>
      <c r="E23">
        <v>1</v>
      </c>
      <c r="F23">
        <v>1</v>
      </c>
      <c r="G23">
        <v>1081</v>
      </c>
      <c r="H23">
        <v>2</v>
      </c>
      <c r="I23" t="s">
        <v>479</v>
      </c>
      <c r="J23" t="s">
        <v>480</v>
      </c>
      <c r="K23" t="s">
        <v>481</v>
      </c>
      <c r="L23">
        <v>1368</v>
      </c>
      <c r="N23">
        <v>1011</v>
      </c>
      <c r="O23" t="s">
        <v>478</v>
      </c>
      <c r="P23" t="s">
        <v>478</v>
      </c>
      <c r="Q23">
        <v>1</v>
      </c>
      <c r="W23">
        <v>0</v>
      </c>
      <c r="X23">
        <v>-49672420</v>
      </c>
      <c r="Y23">
        <f t="shared" si="12"/>
        <v>0.6</v>
      </c>
      <c r="AA23">
        <v>0</v>
      </c>
      <c r="AB23">
        <v>0.3</v>
      </c>
      <c r="AC23">
        <v>0</v>
      </c>
      <c r="AD23">
        <v>0</v>
      </c>
      <c r="AE23">
        <v>0</v>
      </c>
      <c r="AF23">
        <v>0.28000000000000003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0.5</v>
      </c>
      <c r="AU23" t="s">
        <v>36</v>
      </c>
      <c r="AV23">
        <v>0</v>
      </c>
      <c r="AW23">
        <v>2</v>
      </c>
      <c r="AX23">
        <v>85739495</v>
      </c>
      <c r="AY23">
        <v>1</v>
      </c>
      <c r="AZ23">
        <v>0</v>
      </c>
      <c r="BA23">
        <v>25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f>ROUND(Y23*Source!I30*DO23,9)</f>
        <v>0</v>
      </c>
      <c r="CX23">
        <f>ROUND(Y23*Source!I30,9)</f>
        <v>0.6</v>
      </c>
      <c r="CY23">
        <f>AB23</f>
        <v>0.3</v>
      </c>
      <c r="CZ23">
        <f>AF23</f>
        <v>0.28000000000000003</v>
      </c>
      <c r="DA23">
        <f>AJ23</f>
        <v>1</v>
      </c>
      <c r="DB23">
        <f t="shared" si="13"/>
        <v>0.16800000000000001</v>
      </c>
      <c r="DC23">
        <f t="shared" si="14"/>
        <v>0</v>
      </c>
      <c r="DD23" t="s">
        <v>3</v>
      </c>
      <c r="DE23" t="s">
        <v>3</v>
      </c>
      <c r="DF23">
        <f t="shared" si="15"/>
        <v>0</v>
      </c>
      <c r="DG23">
        <f t="shared" si="11"/>
        <v>0.17</v>
      </c>
      <c r="DH23">
        <f t="shared" si="10"/>
        <v>0</v>
      </c>
      <c r="DI23">
        <f t="shared" si="6"/>
        <v>0</v>
      </c>
      <c r="DJ23">
        <f>DG23</f>
        <v>0.17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ROW(Source!A30)</f>
        <v>30</v>
      </c>
      <c r="B24">
        <v>85739205</v>
      </c>
      <c r="C24">
        <v>85739479</v>
      </c>
      <c r="D24">
        <v>85229932</v>
      </c>
      <c r="E24">
        <v>1</v>
      </c>
      <c r="F24">
        <v>1</v>
      </c>
      <c r="G24">
        <v>1081</v>
      </c>
      <c r="H24">
        <v>2</v>
      </c>
      <c r="I24" t="s">
        <v>482</v>
      </c>
      <c r="J24" t="s">
        <v>483</v>
      </c>
      <c r="K24" t="s">
        <v>484</v>
      </c>
      <c r="L24">
        <v>1368</v>
      </c>
      <c r="N24">
        <v>1011</v>
      </c>
      <c r="O24" t="s">
        <v>478</v>
      </c>
      <c r="P24" t="s">
        <v>478</v>
      </c>
      <c r="Q24">
        <v>1</v>
      </c>
      <c r="W24">
        <v>0</v>
      </c>
      <c r="X24">
        <v>874612079</v>
      </c>
      <c r="Y24">
        <f t="shared" si="12"/>
        <v>3.5999999999999997E-2</v>
      </c>
      <c r="AA24">
        <v>0</v>
      </c>
      <c r="AB24">
        <v>88.67</v>
      </c>
      <c r="AC24">
        <v>13.47</v>
      </c>
      <c r="AD24">
        <v>0</v>
      </c>
      <c r="AE24">
        <v>0</v>
      </c>
      <c r="AF24">
        <v>83.1</v>
      </c>
      <c r="AG24">
        <v>12.62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0.03</v>
      </c>
      <c r="AU24" t="s">
        <v>36</v>
      </c>
      <c r="AV24">
        <v>0</v>
      </c>
      <c r="AW24">
        <v>2</v>
      </c>
      <c r="AX24">
        <v>85739496</v>
      </c>
      <c r="AY24">
        <v>1</v>
      </c>
      <c r="AZ24">
        <v>0</v>
      </c>
      <c r="BA24">
        <v>26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f>ROUND(Y24*Source!I30*DO24,9)</f>
        <v>0.45432</v>
      </c>
      <c r="CX24">
        <f>ROUND(Y24*Source!I30,9)</f>
        <v>3.5999999999999997E-2</v>
      </c>
      <c r="CY24">
        <f>AB24</f>
        <v>88.67</v>
      </c>
      <c r="CZ24">
        <f>AF24</f>
        <v>83.1</v>
      </c>
      <c r="DA24">
        <f>AJ24</f>
        <v>1</v>
      </c>
      <c r="DB24">
        <f t="shared" si="13"/>
        <v>2.988</v>
      </c>
      <c r="DC24">
        <f t="shared" si="14"/>
        <v>0.45600000000000002</v>
      </c>
      <c r="DD24" t="s">
        <v>3</v>
      </c>
      <c r="DE24" t="s">
        <v>3</v>
      </c>
      <c r="DF24">
        <f t="shared" si="15"/>
        <v>0</v>
      </c>
      <c r="DG24">
        <f t="shared" si="11"/>
        <v>2.99</v>
      </c>
      <c r="DH24">
        <f t="shared" si="10"/>
        <v>0.45</v>
      </c>
      <c r="DI24">
        <f t="shared" si="6"/>
        <v>0</v>
      </c>
      <c r="DJ24">
        <f>DG24</f>
        <v>2.99</v>
      </c>
      <c r="DK24">
        <v>0</v>
      </c>
      <c r="DL24" t="s">
        <v>485</v>
      </c>
      <c r="DM24">
        <v>0</v>
      </c>
      <c r="DN24" t="s">
        <v>474</v>
      </c>
      <c r="DO24">
        <v>12.62</v>
      </c>
    </row>
    <row r="25" spans="1:119" x14ac:dyDescent="0.2">
      <c r="A25">
        <f>ROW(Source!A30)</f>
        <v>30</v>
      </c>
      <c r="B25">
        <v>85739205</v>
      </c>
      <c r="C25">
        <v>85739479</v>
      </c>
      <c r="D25">
        <v>85229993</v>
      </c>
      <c r="E25">
        <v>1</v>
      </c>
      <c r="F25">
        <v>1</v>
      </c>
      <c r="G25">
        <v>1081</v>
      </c>
      <c r="H25">
        <v>2</v>
      </c>
      <c r="I25" t="s">
        <v>486</v>
      </c>
      <c r="J25" t="s">
        <v>487</v>
      </c>
      <c r="K25" t="s">
        <v>488</v>
      </c>
      <c r="L25">
        <v>1368</v>
      </c>
      <c r="N25">
        <v>1011</v>
      </c>
      <c r="O25" t="s">
        <v>478</v>
      </c>
      <c r="P25" t="s">
        <v>478</v>
      </c>
      <c r="Q25">
        <v>1</v>
      </c>
      <c r="W25">
        <v>0</v>
      </c>
      <c r="X25">
        <v>-1412866184</v>
      </c>
      <c r="Y25">
        <f t="shared" si="12"/>
        <v>3.48</v>
      </c>
      <c r="AA25">
        <v>0</v>
      </c>
      <c r="AB25">
        <v>0.45</v>
      </c>
      <c r="AC25">
        <v>0</v>
      </c>
      <c r="AD25">
        <v>0</v>
      </c>
      <c r="AE25">
        <v>0</v>
      </c>
      <c r="AF25">
        <v>0.42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2.9</v>
      </c>
      <c r="AU25" t="s">
        <v>36</v>
      </c>
      <c r="AV25">
        <v>0</v>
      </c>
      <c r="AW25">
        <v>2</v>
      </c>
      <c r="AX25">
        <v>85739497</v>
      </c>
      <c r="AY25">
        <v>1</v>
      </c>
      <c r="AZ25">
        <v>0</v>
      </c>
      <c r="BA25">
        <v>27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f>ROUND(Y25*Source!I30*DO25,9)</f>
        <v>0</v>
      </c>
      <c r="CX25">
        <f>ROUND(Y25*Source!I30,9)</f>
        <v>3.48</v>
      </c>
      <c r="CY25">
        <f>AB25</f>
        <v>0.45</v>
      </c>
      <c r="CZ25">
        <f>AF25</f>
        <v>0.42</v>
      </c>
      <c r="DA25">
        <f>AJ25</f>
        <v>1</v>
      </c>
      <c r="DB25">
        <f t="shared" si="13"/>
        <v>1.464</v>
      </c>
      <c r="DC25">
        <f t="shared" si="14"/>
        <v>0</v>
      </c>
      <c r="DD25" t="s">
        <v>3</v>
      </c>
      <c r="DE25" t="s">
        <v>3</v>
      </c>
      <c r="DF25">
        <f t="shared" si="15"/>
        <v>0</v>
      </c>
      <c r="DG25">
        <f t="shared" si="11"/>
        <v>1.46</v>
      </c>
      <c r="DH25">
        <f t="shared" si="10"/>
        <v>0</v>
      </c>
      <c r="DI25">
        <f t="shared" si="6"/>
        <v>0</v>
      </c>
      <c r="DJ25">
        <f>DG25</f>
        <v>1.46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ROW(Source!A30)</f>
        <v>30</v>
      </c>
      <c r="B26">
        <v>85739205</v>
      </c>
      <c r="C26">
        <v>85739479</v>
      </c>
      <c r="D26">
        <v>85229295</v>
      </c>
      <c r="E26">
        <v>1</v>
      </c>
      <c r="F26">
        <v>1</v>
      </c>
      <c r="G26">
        <v>1081</v>
      </c>
      <c r="H26">
        <v>2</v>
      </c>
      <c r="I26" t="s">
        <v>489</v>
      </c>
      <c r="J26" t="s">
        <v>490</v>
      </c>
      <c r="K26" t="s">
        <v>491</v>
      </c>
      <c r="L26">
        <v>1368</v>
      </c>
      <c r="N26">
        <v>1011</v>
      </c>
      <c r="O26" t="s">
        <v>478</v>
      </c>
      <c r="P26" t="s">
        <v>478</v>
      </c>
      <c r="Q26">
        <v>1</v>
      </c>
      <c r="W26">
        <v>0</v>
      </c>
      <c r="X26">
        <v>1143286219</v>
      </c>
      <c r="Y26">
        <f t="shared" si="12"/>
        <v>0.64800000000000002</v>
      </c>
      <c r="AA26">
        <v>0</v>
      </c>
      <c r="AB26">
        <v>4.2699999999999996</v>
      </c>
      <c r="AC26">
        <v>0</v>
      </c>
      <c r="AD26">
        <v>0</v>
      </c>
      <c r="AE26">
        <v>0</v>
      </c>
      <c r="AF26">
        <v>4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-2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0.54</v>
      </c>
      <c r="AU26" t="s">
        <v>36</v>
      </c>
      <c r="AV26">
        <v>0</v>
      </c>
      <c r="AW26">
        <v>2</v>
      </c>
      <c r="AX26">
        <v>85739498</v>
      </c>
      <c r="AY26">
        <v>1</v>
      </c>
      <c r="AZ26">
        <v>0</v>
      </c>
      <c r="BA26">
        <v>28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V26">
        <v>0</v>
      </c>
      <c r="CW26">
        <f>ROUND(Y26*Source!I30*DO26,9)</f>
        <v>0</v>
      </c>
      <c r="CX26">
        <f>ROUND(Y26*Source!I30,9)</f>
        <v>0.64800000000000002</v>
      </c>
      <c r="CY26">
        <f>AB26</f>
        <v>4.2699999999999996</v>
      </c>
      <c r="CZ26">
        <f>AF26</f>
        <v>4</v>
      </c>
      <c r="DA26">
        <f>AJ26</f>
        <v>1</v>
      </c>
      <c r="DB26">
        <f t="shared" si="13"/>
        <v>2.5920000000000001</v>
      </c>
      <c r="DC26">
        <f t="shared" si="14"/>
        <v>0</v>
      </c>
      <c r="DD26" t="s">
        <v>3</v>
      </c>
      <c r="DE26" t="s">
        <v>3</v>
      </c>
      <c r="DF26">
        <f t="shared" si="15"/>
        <v>0</v>
      </c>
      <c r="DG26">
        <f t="shared" si="11"/>
        <v>2.59</v>
      </c>
      <c r="DH26">
        <f t="shared" si="10"/>
        <v>0</v>
      </c>
      <c r="DI26">
        <f t="shared" si="6"/>
        <v>0</v>
      </c>
      <c r="DJ26">
        <f>DG26</f>
        <v>2.59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ROW(Source!A30)</f>
        <v>30</v>
      </c>
      <c r="B27">
        <v>85739205</v>
      </c>
      <c r="C27">
        <v>85739479</v>
      </c>
      <c r="D27">
        <v>85200111</v>
      </c>
      <c r="E27">
        <v>1</v>
      </c>
      <c r="F27">
        <v>1</v>
      </c>
      <c r="G27">
        <v>1081</v>
      </c>
      <c r="H27">
        <v>3</v>
      </c>
      <c r="I27" t="s">
        <v>492</v>
      </c>
      <c r="J27" t="s">
        <v>493</v>
      </c>
      <c r="K27" t="s">
        <v>494</v>
      </c>
      <c r="L27">
        <v>1348</v>
      </c>
      <c r="N27">
        <v>1009</v>
      </c>
      <c r="O27" t="s">
        <v>266</v>
      </c>
      <c r="P27" t="s">
        <v>266</v>
      </c>
      <c r="Q27">
        <v>1000</v>
      </c>
      <c r="W27">
        <v>0</v>
      </c>
      <c r="X27">
        <v>205566664</v>
      </c>
      <c r="Y27">
        <f>(AT27*1)</f>
        <v>3.5000000000000001E-3</v>
      </c>
      <c r="AA27">
        <v>9367.64</v>
      </c>
      <c r="AB27">
        <v>0</v>
      </c>
      <c r="AC27">
        <v>0</v>
      </c>
      <c r="AD27">
        <v>0</v>
      </c>
      <c r="AE27">
        <v>9112.49</v>
      </c>
      <c r="AF27">
        <v>0</v>
      </c>
      <c r="AG27">
        <v>0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-2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3.5000000000000001E-3</v>
      </c>
      <c r="AU27" t="s">
        <v>35</v>
      </c>
      <c r="AV27">
        <v>0</v>
      </c>
      <c r="AW27">
        <v>2</v>
      </c>
      <c r="AX27">
        <v>85739499</v>
      </c>
      <c r="AY27">
        <v>1</v>
      </c>
      <c r="AZ27">
        <v>0</v>
      </c>
      <c r="BA27">
        <v>29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v>0</v>
      </c>
      <c r="CX27">
        <f>ROUND(Y27*Source!I30,9)</f>
        <v>3.5000000000000001E-3</v>
      </c>
      <c r="CY27">
        <f>AA27</f>
        <v>9367.64</v>
      </c>
      <c r="CZ27">
        <f>AE27</f>
        <v>9112.49</v>
      </c>
      <c r="DA27">
        <f>AI27</f>
        <v>1</v>
      </c>
      <c r="DB27">
        <f>ROUND((ROUND(AT27*CZ27,2)*1),6)</f>
        <v>31.89</v>
      </c>
      <c r="DC27">
        <f>ROUND((ROUND(AT27*AG27,2)*1),6)</f>
        <v>0</v>
      </c>
      <c r="DD27" t="s">
        <v>3</v>
      </c>
      <c r="DE27" t="s">
        <v>3</v>
      </c>
      <c r="DF27">
        <f t="shared" si="15"/>
        <v>31.89</v>
      </c>
      <c r="DG27">
        <f t="shared" si="11"/>
        <v>0</v>
      </c>
      <c r="DH27">
        <f t="shared" si="10"/>
        <v>0</v>
      </c>
      <c r="DI27">
        <f t="shared" si="6"/>
        <v>0</v>
      </c>
      <c r="DJ27">
        <f>DF27</f>
        <v>31.89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ROW(Source!A30)</f>
        <v>30</v>
      </c>
      <c r="B28">
        <v>85739205</v>
      </c>
      <c r="C28">
        <v>85739479</v>
      </c>
      <c r="D28">
        <v>85200269</v>
      </c>
      <c r="E28">
        <v>1</v>
      </c>
      <c r="F28">
        <v>1</v>
      </c>
      <c r="G28">
        <v>1081</v>
      </c>
      <c r="H28">
        <v>3</v>
      </c>
      <c r="I28" t="s">
        <v>495</v>
      </c>
      <c r="J28" t="s">
        <v>496</v>
      </c>
      <c r="K28" t="s">
        <v>497</v>
      </c>
      <c r="L28">
        <v>1255</v>
      </c>
      <c r="N28">
        <v>1013</v>
      </c>
      <c r="O28" t="s">
        <v>498</v>
      </c>
      <c r="P28" t="s">
        <v>498</v>
      </c>
      <c r="Q28">
        <v>1</v>
      </c>
      <c r="W28">
        <v>0</v>
      </c>
      <c r="X28">
        <v>-1398468845</v>
      </c>
      <c r="Y28">
        <f>(AT28*1)</f>
        <v>1.9</v>
      </c>
      <c r="AA28">
        <v>0.43</v>
      </c>
      <c r="AB28">
        <v>0</v>
      </c>
      <c r="AC28">
        <v>0</v>
      </c>
      <c r="AD28">
        <v>0</v>
      </c>
      <c r="AE28">
        <v>0.42</v>
      </c>
      <c r="AF28">
        <v>0</v>
      </c>
      <c r="AG28">
        <v>0</v>
      </c>
      <c r="AH28">
        <v>0</v>
      </c>
      <c r="AI28">
        <v>1</v>
      </c>
      <c r="AJ28">
        <v>1</v>
      </c>
      <c r="AK28">
        <v>1</v>
      </c>
      <c r="AL28">
        <v>1</v>
      </c>
      <c r="AM28">
        <v>-2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1.9</v>
      </c>
      <c r="AU28" t="s">
        <v>35</v>
      </c>
      <c r="AV28">
        <v>0</v>
      </c>
      <c r="AW28">
        <v>2</v>
      </c>
      <c r="AX28">
        <v>85739500</v>
      </c>
      <c r="AY28">
        <v>1</v>
      </c>
      <c r="AZ28">
        <v>0</v>
      </c>
      <c r="BA28">
        <v>30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ROUND(Y28*Source!I30,9)</f>
        <v>1.9</v>
      </c>
      <c r="CY28">
        <f>AA28</f>
        <v>0.43</v>
      </c>
      <c r="CZ28">
        <f>AE28</f>
        <v>0.42</v>
      </c>
      <c r="DA28">
        <f>AI28</f>
        <v>1</v>
      </c>
      <c r="DB28">
        <f>ROUND((ROUND(AT28*CZ28,2)*1),6)</f>
        <v>0.8</v>
      </c>
      <c r="DC28">
        <f>ROUND((ROUND(AT28*AG28,2)*1),6)</f>
        <v>0</v>
      </c>
      <c r="DD28" t="s">
        <v>3</v>
      </c>
      <c r="DE28" t="s">
        <v>3</v>
      </c>
      <c r="DF28">
        <f t="shared" si="15"/>
        <v>0.8</v>
      </c>
      <c r="DG28">
        <f t="shared" si="11"/>
        <v>0</v>
      </c>
      <c r="DH28">
        <f t="shared" si="10"/>
        <v>0</v>
      </c>
      <c r="DI28">
        <f t="shared" si="6"/>
        <v>0</v>
      </c>
      <c r="DJ28">
        <f>DF28</f>
        <v>0.8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ROW(Source!A30)</f>
        <v>30</v>
      </c>
      <c r="B29">
        <v>85739205</v>
      </c>
      <c r="C29">
        <v>85739479</v>
      </c>
      <c r="D29">
        <v>85200784</v>
      </c>
      <c r="E29">
        <v>1</v>
      </c>
      <c r="F29">
        <v>1</v>
      </c>
      <c r="G29">
        <v>1081</v>
      </c>
      <c r="H29">
        <v>3</v>
      </c>
      <c r="I29" t="s">
        <v>499</v>
      </c>
      <c r="J29" t="s">
        <v>500</v>
      </c>
      <c r="K29" t="s">
        <v>501</v>
      </c>
      <c r="L29">
        <v>1346</v>
      </c>
      <c r="N29">
        <v>1009</v>
      </c>
      <c r="O29" t="s">
        <v>502</v>
      </c>
      <c r="P29" t="s">
        <v>502</v>
      </c>
      <c r="Q29">
        <v>1</v>
      </c>
      <c r="W29">
        <v>0</v>
      </c>
      <c r="X29">
        <v>-2132327540</v>
      </c>
      <c r="Y29">
        <f>(AT29*1)</f>
        <v>0.24</v>
      </c>
      <c r="AA29">
        <v>6.43</v>
      </c>
      <c r="AB29">
        <v>0</v>
      </c>
      <c r="AC29">
        <v>0</v>
      </c>
      <c r="AD29">
        <v>0</v>
      </c>
      <c r="AE29">
        <v>6.25</v>
      </c>
      <c r="AF29">
        <v>0</v>
      </c>
      <c r="AG29">
        <v>0</v>
      </c>
      <c r="AH29">
        <v>0</v>
      </c>
      <c r="AI29">
        <v>1</v>
      </c>
      <c r="AJ29">
        <v>1</v>
      </c>
      <c r="AK29">
        <v>1</v>
      </c>
      <c r="AL29">
        <v>1</v>
      </c>
      <c r="AM29">
        <v>-2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0.24</v>
      </c>
      <c r="AU29" t="s">
        <v>35</v>
      </c>
      <c r="AV29">
        <v>0</v>
      </c>
      <c r="AW29">
        <v>2</v>
      </c>
      <c r="AX29">
        <v>85739501</v>
      </c>
      <c r="AY29">
        <v>1</v>
      </c>
      <c r="AZ29">
        <v>0</v>
      </c>
      <c r="BA29">
        <v>31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ROUND(Y29*Source!I30,9)</f>
        <v>0.24</v>
      </c>
      <c r="CY29">
        <f>AA29</f>
        <v>6.43</v>
      </c>
      <c r="CZ29">
        <f>AE29</f>
        <v>6.25</v>
      </c>
      <c r="DA29">
        <f>AI29</f>
        <v>1</v>
      </c>
      <c r="DB29">
        <f>ROUND((ROUND(AT29*CZ29,2)*1),6)</f>
        <v>1.5</v>
      </c>
      <c r="DC29">
        <f>ROUND((ROUND(AT29*AG29,2)*1),6)</f>
        <v>0</v>
      </c>
      <c r="DD29" t="s">
        <v>3</v>
      </c>
      <c r="DE29" t="s">
        <v>3</v>
      </c>
      <c r="DF29">
        <f t="shared" si="15"/>
        <v>1.5</v>
      </c>
      <c r="DG29">
        <f t="shared" si="11"/>
        <v>0</v>
      </c>
      <c r="DH29">
        <f t="shared" si="10"/>
        <v>0</v>
      </c>
      <c r="DI29">
        <f t="shared" si="6"/>
        <v>0</v>
      </c>
      <c r="DJ29">
        <f>DF29</f>
        <v>1.5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ROW(Source!A30)</f>
        <v>30</v>
      </c>
      <c r="B30">
        <v>85739205</v>
      </c>
      <c r="C30">
        <v>85739479</v>
      </c>
      <c r="D30">
        <v>85199158</v>
      </c>
      <c r="E30">
        <v>1</v>
      </c>
      <c r="F30">
        <v>1</v>
      </c>
      <c r="G30">
        <v>1081</v>
      </c>
      <c r="H30">
        <v>3</v>
      </c>
      <c r="I30" t="s">
        <v>503</v>
      </c>
      <c r="J30" t="s">
        <v>504</v>
      </c>
      <c r="K30" t="s">
        <v>505</v>
      </c>
      <c r="L30">
        <v>1339</v>
      </c>
      <c r="N30">
        <v>1007</v>
      </c>
      <c r="O30" t="s">
        <v>506</v>
      </c>
      <c r="P30" t="s">
        <v>506</v>
      </c>
      <c r="Q30">
        <v>1</v>
      </c>
      <c r="W30">
        <v>0</v>
      </c>
      <c r="X30">
        <v>-1235260082</v>
      </c>
      <c r="Y30">
        <f>(AT30*1)</f>
        <v>1.4</v>
      </c>
      <c r="AA30">
        <v>5.98</v>
      </c>
      <c r="AB30">
        <v>0</v>
      </c>
      <c r="AC30">
        <v>0</v>
      </c>
      <c r="AD30">
        <v>0</v>
      </c>
      <c r="AE30">
        <v>5.82</v>
      </c>
      <c r="AF30">
        <v>0</v>
      </c>
      <c r="AG30">
        <v>0</v>
      </c>
      <c r="AH30">
        <v>0</v>
      </c>
      <c r="AI30">
        <v>1</v>
      </c>
      <c r="AJ30">
        <v>1</v>
      </c>
      <c r="AK30">
        <v>1</v>
      </c>
      <c r="AL30">
        <v>1</v>
      </c>
      <c r="AM30">
        <v>-2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1.4</v>
      </c>
      <c r="AU30" t="s">
        <v>35</v>
      </c>
      <c r="AV30">
        <v>0</v>
      </c>
      <c r="AW30">
        <v>2</v>
      </c>
      <c r="AX30">
        <v>85739502</v>
      </c>
      <c r="AY30">
        <v>1</v>
      </c>
      <c r="AZ30">
        <v>0</v>
      </c>
      <c r="BA30">
        <v>32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ROUND(Y30*Source!I30,9)</f>
        <v>1.4</v>
      </c>
      <c r="CY30">
        <f>AA30</f>
        <v>5.98</v>
      </c>
      <c r="CZ30">
        <f>AE30</f>
        <v>5.82</v>
      </c>
      <c r="DA30">
        <f>AI30</f>
        <v>1</v>
      </c>
      <c r="DB30">
        <f>ROUND((ROUND(AT30*CZ30,2)*1),6)</f>
        <v>8.15</v>
      </c>
      <c r="DC30">
        <f>ROUND((ROUND(AT30*AG30,2)*1),6)</f>
        <v>0</v>
      </c>
      <c r="DD30" t="s">
        <v>3</v>
      </c>
      <c r="DE30" t="s">
        <v>3</v>
      </c>
      <c r="DF30">
        <f t="shared" si="15"/>
        <v>8.15</v>
      </c>
      <c r="DG30">
        <f t="shared" si="11"/>
        <v>0</v>
      </c>
      <c r="DH30">
        <f t="shared" si="10"/>
        <v>0</v>
      </c>
      <c r="DI30">
        <f t="shared" si="6"/>
        <v>0</v>
      </c>
      <c r="DJ30">
        <f>DF30</f>
        <v>8.15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ROW(Source!A31)</f>
        <v>31</v>
      </c>
      <c r="B31">
        <v>85739207</v>
      </c>
      <c r="C31">
        <v>85739479</v>
      </c>
      <c r="D31">
        <v>85164021</v>
      </c>
      <c r="E31">
        <v>1081</v>
      </c>
      <c r="F31">
        <v>1</v>
      </c>
      <c r="G31">
        <v>1081</v>
      </c>
      <c r="H31">
        <v>1</v>
      </c>
      <c r="I31" t="s">
        <v>472</v>
      </c>
      <c r="J31" t="s">
        <v>3</v>
      </c>
      <c r="K31" t="s">
        <v>473</v>
      </c>
      <c r="L31">
        <v>1191</v>
      </c>
      <c r="N31">
        <v>1013</v>
      </c>
      <c r="O31" t="s">
        <v>474</v>
      </c>
      <c r="P31" t="s">
        <v>474</v>
      </c>
      <c r="Q31">
        <v>1</v>
      </c>
      <c r="W31">
        <v>0</v>
      </c>
      <c r="X31">
        <v>476480486</v>
      </c>
      <c r="Y31">
        <f t="shared" ref="Y31:Y36" si="16">(AT31*1.2)</f>
        <v>33.36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5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27.8</v>
      </c>
      <c r="AU31" t="s">
        <v>36</v>
      </c>
      <c r="AV31">
        <v>1</v>
      </c>
      <c r="AW31">
        <v>2</v>
      </c>
      <c r="AX31">
        <v>85739493</v>
      </c>
      <c r="AY31">
        <v>1</v>
      </c>
      <c r="AZ31">
        <v>0</v>
      </c>
      <c r="BA31">
        <v>34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ROUND(AT31*Source!I31*AH31*AL31,2)</f>
        <v>0</v>
      </c>
      <c r="CV31">
        <f>ROUND(Y31*Source!I31,9)</f>
        <v>33.36</v>
      </c>
      <c r="CW31">
        <v>0</v>
      </c>
      <c r="CX31">
        <f>ROUND(Y31*Source!I31,9)</f>
        <v>33.36</v>
      </c>
      <c r="CY31">
        <f>AD31</f>
        <v>0</v>
      </c>
      <c r="CZ31">
        <f>AH31</f>
        <v>0</v>
      </c>
      <c r="DA31">
        <f>AL31</f>
        <v>1</v>
      </c>
      <c r="DB31">
        <f t="shared" ref="DB31:DB36" si="17">ROUND((ROUND(AT31*CZ31,2)*1.2),6)</f>
        <v>0</v>
      </c>
      <c r="DC31">
        <f t="shared" ref="DC31:DC36" si="18">ROUND((ROUND(AT31*AG31,2)*1.2),6)</f>
        <v>0</v>
      </c>
      <c r="DD31" t="s">
        <v>3</v>
      </c>
      <c r="DE31" t="s">
        <v>3</v>
      </c>
      <c r="DF31">
        <f t="shared" si="15"/>
        <v>0</v>
      </c>
      <c r="DG31">
        <f t="shared" si="11"/>
        <v>0</v>
      </c>
      <c r="DH31">
        <f t="shared" si="10"/>
        <v>0</v>
      </c>
      <c r="DI31">
        <f t="shared" si="6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ROW(Source!A31)</f>
        <v>31</v>
      </c>
      <c r="B32">
        <v>85739207</v>
      </c>
      <c r="C32">
        <v>85739479</v>
      </c>
      <c r="D32">
        <v>85229633</v>
      </c>
      <c r="E32">
        <v>1</v>
      </c>
      <c r="F32">
        <v>1</v>
      </c>
      <c r="G32">
        <v>1081</v>
      </c>
      <c r="H32">
        <v>2</v>
      </c>
      <c r="I32" t="s">
        <v>475</v>
      </c>
      <c r="J32" t="s">
        <v>476</v>
      </c>
      <c r="K32" t="s">
        <v>477</v>
      </c>
      <c r="L32">
        <v>1368</v>
      </c>
      <c r="N32">
        <v>1011</v>
      </c>
      <c r="O32" t="s">
        <v>478</v>
      </c>
      <c r="P32" t="s">
        <v>478</v>
      </c>
      <c r="Q32">
        <v>1</v>
      </c>
      <c r="W32">
        <v>0</v>
      </c>
      <c r="X32">
        <v>1498588441</v>
      </c>
      <c r="Y32">
        <f t="shared" si="16"/>
        <v>3.12</v>
      </c>
      <c r="AA32">
        <v>0</v>
      </c>
      <c r="AB32">
        <v>102.11</v>
      </c>
      <c r="AC32">
        <v>0</v>
      </c>
      <c r="AD32">
        <v>0</v>
      </c>
      <c r="AE32">
        <v>0</v>
      </c>
      <c r="AF32">
        <v>7.11</v>
      </c>
      <c r="AG32">
        <v>0</v>
      </c>
      <c r="AH32">
        <v>0</v>
      </c>
      <c r="AI32">
        <v>1</v>
      </c>
      <c r="AJ32">
        <v>13.46</v>
      </c>
      <c r="AK32">
        <v>1</v>
      </c>
      <c r="AL32">
        <v>1</v>
      </c>
      <c r="AM32">
        <v>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2.6</v>
      </c>
      <c r="AU32" t="s">
        <v>36</v>
      </c>
      <c r="AV32">
        <v>0</v>
      </c>
      <c r="AW32">
        <v>2</v>
      </c>
      <c r="AX32">
        <v>85739494</v>
      </c>
      <c r="AY32">
        <v>1</v>
      </c>
      <c r="AZ32">
        <v>0</v>
      </c>
      <c r="BA32">
        <v>35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ROUND(Y32*Source!I31*DO32,9)</f>
        <v>0</v>
      </c>
      <c r="CX32">
        <f>ROUND(Y32*Source!I31,9)</f>
        <v>3.12</v>
      </c>
      <c r="CY32">
        <f>AB32</f>
        <v>102.11</v>
      </c>
      <c r="CZ32">
        <f>AF32</f>
        <v>7.11</v>
      </c>
      <c r="DA32">
        <f>AJ32</f>
        <v>13.46</v>
      </c>
      <c r="DB32">
        <f t="shared" si="17"/>
        <v>22.187999999999999</v>
      </c>
      <c r="DC32">
        <f t="shared" si="18"/>
        <v>0</v>
      </c>
      <c r="DD32" t="s">
        <v>3</v>
      </c>
      <c r="DE32" t="s">
        <v>3</v>
      </c>
      <c r="DF32">
        <f t="shared" si="15"/>
        <v>0</v>
      </c>
      <c r="DG32">
        <f>ROUND(ROUND(AF32*AJ32,2)*CX32,2)</f>
        <v>298.58</v>
      </c>
      <c r="DH32">
        <f t="shared" si="10"/>
        <v>0</v>
      </c>
      <c r="DI32">
        <f t="shared" si="6"/>
        <v>0</v>
      </c>
      <c r="DJ32">
        <f>DG32</f>
        <v>298.58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ROW(Source!A31)</f>
        <v>31</v>
      </c>
      <c r="B33">
        <v>85739207</v>
      </c>
      <c r="C33">
        <v>85739479</v>
      </c>
      <c r="D33">
        <v>85229635</v>
      </c>
      <c r="E33">
        <v>1</v>
      </c>
      <c r="F33">
        <v>1</v>
      </c>
      <c r="G33">
        <v>1081</v>
      </c>
      <c r="H33">
        <v>2</v>
      </c>
      <c r="I33" t="s">
        <v>479</v>
      </c>
      <c r="J33" t="s">
        <v>480</v>
      </c>
      <c r="K33" t="s">
        <v>481</v>
      </c>
      <c r="L33">
        <v>1368</v>
      </c>
      <c r="N33">
        <v>1011</v>
      </c>
      <c r="O33" t="s">
        <v>478</v>
      </c>
      <c r="P33" t="s">
        <v>478</v>
      </c>
      <c r="Q33">
        <v>1</v>
      </c>
      <c r="W33">
        <v>0</v>
      </c>
      <c r="X33">
        <v>-49672420</v>
      </c>
      <c r="Y33">
        <f t="shared" si="16"/>
        <v>0.6</v>
      </c>
      <c r="AA33">
        <v>0</v>
      </c>
      <c r="AB33">
        <v>2.78</v>
      </c>
      <c r="AC33">
        <v>0</v>
      </c>
      <c r="AD33">
        <v>0</v>
      </c>
      <c r="AE33">
        <v>0</v>
      </c>
      <c r="AF33">
        <v>0.28000000000000003</v>
      </c>
      <c r="AG33">
        <v>0</v>
      </c>
      <c r="AH33">
        <v>0</v>
      </c>
      <c r="AI33">
        <v>1</v>
      </c>
      <c r="AJ33">
        <v>9.2899999999999991</v>
      </c>
      <c r="AK33">
        <v>1</v>
      </c>
      <c r="AL33">
        <v>1</v>
      </c>
      <c r="AM33">
        <v>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0.5</v>
      </c>
      <c r="AU33" t="s">
        <v>36</v>
      </c>
      <c r="AV33">
        <v>0</v>
      </c>
      <c r="AW33">
        <v>2</v>
      </c>
      <c r="AX33">
        <v>85739495</v>
      </c>
      <c r="AY33">
        <v>1</v>
      </c>
      <c r="AZ33">
        <v>0</v>
      </c>
      <c r="BA33">
        <v>36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f>ROUND(Y33*Source!I31*DO33,9)</f>
        <v>0</v>
      </c>
      <c r="CX33">
        <f>ROUND(Y33*Source!I31,9)</f>
        <v>0.6</v>
      </c>
      <c r="CY33">
        <f>AB33</f>
        <v>2.78</v>
      </c>
      <c r="CZ33">
        <f>AF33</f>
        <v>0.28000000000000003</v>
      </c>
      <c r="DA33">
        <f>AJ33</f>
        <v>9.2899999999999991</v>
      </c>
      <c r="DB33">
        <f t="shared" si="17"/>
        <v>0.16800000000000001</v>
      </c>
      <c r="DC33">
        <f t="shared" si="18"/>
        <v>0</v>
      </c>
      <c r="DD33" t="s">
        <v>3</v>
      </c>
      <c r="DE33" t="s">
        <v>3</v>
      </c>
      <c r="DF33">
        <f t="shared" si="15"/>
        <v>0</v>
      </c>
      <c r="DG33">
        <f>ROUND(ROUND(AF33*AJ33,2)*CX33,2)</f>
        <v>1.56</v>
      </c>
      <c r="DH33">
        <f t="shared" si="10"/>
        <v>0</v>
      </c>
      <c r="DI33">
        <f t="shared" si="6"/>
        <v>0</v>
      </c>
      <c r="DJ33">
        <f>DG33</f>
        <v>1.56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ROW(Source!A31)</f>
        <v>31</v>
      </c>
      <c r="B34">
        <v>85739207</v>
      </c>
      <c r="C34">
        <v>85739479</v>
      </c>
      <c r="D34">
        <v>85229932</v>
      </c>
      <c r="E34">
        <v>1</v>
      </c>
      <c r="F34">
        <v>1</v>
      </c>
      <c r="G34">
        <v>1081</v>
      </c>
      <c r="H34">
        <v>2</v>
      </c>
      <c r="I34" t="s">
        <v>482</v>
      </c>
      <c r="J34" t="s">
        <v>483</v>
      </c>
      <c r="K34" t="s">
        <v>484</v>
      </c>
      <c r="L34">
        <v>1368</v>
      </c>
      <c r="N34">
        <v>1011</v>
      </c>
      <c r="O34" t="s">
        <v>478</v>
      </c>
      <c r="P34" t="s">
        <v>478</v>
      </c>
      <c r="Q34">
        <v>1</v>
      </c>
      <c r="W34">
        <v>0</v>
      </c>
      <c r="X34">
        <v>874612079</v>
      </c>
      <c r="Y34">
        <f t="shared" si="16"/>
        <v>3.5999999999999997E-2</v>
      </c>
      <c r="AA34">
        <v>0</v>
      </c>
      <c r="AB34">
        <v>1513.56</v>
      </c>
      <c r="AC34">
        <v>758.78</v>
      </c>
      <c r="AD34">
        <v>0</v>
      </c>
      <c r="AE34">
        <v>0</v>
      </c>
      <c r="AF34">
        <v>83.1</v>
      </c>
      <c r="AG34">
        <v>12.62</v>
      </c>
      <c r="AH34">
        <v>0</v>
      </c>
      <c r="AI34">
        <v>1</v>
      </c>
      <c r="AJ34">
        <v>17.07</v>
      </c>
      <c r="AK34">
        <v>56.35</v>
      </c>
      <c r="AL34">
        <v>1</v>
      </c>
      <c r="AM34">
        <v>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0.03</v>
      </c>
      <c r="AU34" t="s">
        <v>36</v>
      </c>
      <c r="AV34">
        <v>0</v>
      </c>
      <c r="AW34">
        <v>2</v>
      </c>
      <c r="AX34">
        <v>85739496</v>
      </c>
      <c r="AY34">
        <v>1</v>
      </c>
      <c r="AZ34">
        <v>0</v>
      </c>
      <c r="BA34">
        <v>37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f>ROUND(Y34*Source!I31*DO34,9)</f>
        <v>0.45432</v>
      </c>
      <c r="CX34">
        <f>ROUND(Y34*Source!I31,9)</f>
        <v>3.5999999999999997E-2</v>
      </c>
      <c r="CY34">
        <f>AB34</f>
        <v>1513.56</v>
      </c>
      <c r="CZ34">
        <f>AF34</f>
        <v>83.1</v>
      </c>
      <c r="DA34">
        <f>AJ34</f>
        <v>17.07</v>
      </c>
      <c r="DB34">
        <f t="shared" si="17"/>
        <v>2.988</v>
      </c>
      <c r="DC34">
        <f t="shared" si="18"/>
        <v>0.45600000000000002</v>
      </c>
      <c r="DD34" t="s">
        <v>3</v>
      </c>
      <c r="DE34" t="s">
        <v>3</v>
      </c>
      <c r="DF34">
        <f t="shared" si="15"/>
        <v>0</v>
      </c>
      <c r="DG34">
        <f>ROUND(ROUND(AF34*AJ34,2)*CX34,2)</f>
        <v>51.07</v>
      </c>
      <c r="DH34">
        <f>ROUND(ROUND(AG34*AK34,2)*CX34,2)</f>
        <v>25.6</v>
      </c>
      <c r="DI34">
        <f t="shared" si="6"/>
        <v>0</v>
      </c>
      <c r="DJ34">
        <f>DG34</f>
        <v>51.07</v>
      </c>
      <c r="DK34">
        <v>0</v>
      </c>
      <c r="DL34" t="s">
        <v>485</v>
      </c>
      <c r="DM34">
        <v>0</v>
      </c>
      <c r="DN34" t="s">
        <v>474</v>
      </c>
      <c r="DO34">
        <v>12.62</v>
      </c>
    </row>
    <row r="35" spans="1:119" x14ac:dyDescent="0.2">
      <c r="A35">
        <f>ROW(Source!A31)</f>
        <v>31</v>
      </c>
      <c r="B35">
        <v>85739207</v>
      </c>
      <c r="C35">
        <v>85739479</v>
      </c>
      <c r="D35">
        <v>85229993</v>
      </c>
      <c r="E35">
        <v>1</v>
      </c>
      <c r="F35">
        <v>1</v>
      </c>
      <c r="G35">
        <v>1081</v>
      </c>
      <c r="H35">
        <v>2</v>
      </c>
      <c r="I35" t="s">
        <v>486</v>
      </c>
      <c r="J35" t="s">
        <v>487</v>
      </c>
      <c r="K35" t="s">
        <v>488</v>
      </c>
      <c r="L35">
        <v>1368</v>
      </c>
      <c r="N35">
        <v>1011</v>
      </c>
      <c r="O35" t="s">
        <v>478</v>
      </c>
      <c r="P35" t="s">
        <v>478</v>
      </c>
      <c r="Q35">
        <v>1</v>
      </c>
      <c r="W35">
        <v>0</v>
      </c>
      <c r="X35">
        <v>-1412866184</v>
      </c>
      <c r="Y35">
        <f t="shared" si="16"/>
        <v>3.48</v>
      </c>
      <c r="AA35">
        <v>0</v>
      </c>
      <c r="AB35">
        <v>4.41</v>
      </c>
      <c r="AC35">
        <v>0</v>
      </c>
      <c r="AD35">
        <v>0</v>
      </c>
      <c r="AE35">
        <v>0</v>
      </c>
      <c r="AF35">
        <v>0.42</v>
      </c>
      <c r="AG35">
        <v>0</v>
      </c>
      <c r="AH35">
        <v>0</v>
      </c>
      <c r="AI35">
        <v>1</v>
      </c>
      <c r="AJ35">
        <v>9.83</v>
      </c>
      <c r="AK35">
        <v>1</v>
      </c>
      <c r="AL35">
        <v>1</v>
      </c>
      <c r="AM35">
        <v>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2.9</v>
      </c>
      <c r="AU35" t="s">
        <v>36</v>
      </c>
      <c r="AV35">
        <v>0</v>
      </c>
      <c r="AW35">
        <v>2</v>
      </c>
      <c r="AX35">
        <v>85739497</v>
      </c>
      <c r="AY35">
        <v>1</v>
      </c>
      <c r="AZ35">
        <v>0</v>
      </c>
      <c r="BA35">
        <v>38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f>ROUND(Y35*Source!I31*DO35,9)</f>
        <v>0</v>
      </c>
      <c r="CX35">
        <f>ROUND(Y35*Source!I31,9)</f>
        <v>3.48</v>
      </c>
      <c r="CY35">
        <f>AB35</f>
        <v>4.41</v>
      </c>
      <c r="CZ35">
        <f>AF35</f>
        <v>0.42</v>
      </c>
      <c r="DA35">
        <f>AJ35</f>
        <v>9.83</v>
      </c>
      <c r="DB35">
        <f t="shared" si="17"/>
        <v>1.464</v>
      </c>
      <c r="DC35">
        <f t="shared" si="18"/>
        <v>0</v>
      </c>
      <c r="DD35" t="s">
        <v>3</v>
      </c>
      <c r="DE35" t="s">
        <v>3</v>
      </c>
      <c r="DF35">
        <f t="shared" si="15"/>
        <v>0</v>
      </c>
      <c r="DG35">
        <f>ROUND(ROUND(AF35*AJ35,2)*CX35,2)</f>
        <v>14.37</v>
      </c>
      <c r="DH35">
        <f t="shared" ref="DH35:DH52" si="19">ROUND(ROUND(AG35,2)*CX35,2)</f>
        <v>0</v>
      </c>
      <c r="DI35">
        <f t="shared" si="6"/>
        <v>0</v>
      </c>
      <c r="DJ35">
        <f>DG35</f>
        <v>14.37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ROW(Source!A31)</f>
        <v>31</v>
      </c>
      <c r="B36">
        <v>85739207</v>
      </c>
      <c r="C36">
        <v>85739479</v>
      </c>
      <c r="D36">
        <v>85229295</v>
      </c>
      <c r="E36">
        <v>1</v>
      </c>
      <c r="F36">
        <v>1</v>
      </c>
      <c r="G36">
        <v>1081</v>
      </c>
      <c r="H36">
        <v>2</v>
      </c>
      <c r="I36" t="s">
        <v>489</v>
      </c>
      <c r="J36" t="s">
        <v>490</v>
      </c>
      <c r="K36" t="s">
        <v>491</v>
      </c>
      <c r="L36">
        <v>1368</v>
      </c>
      <c r="N36">
        <v>1011</v>
      </c>
      <c r="O36" t="s">
        <v>478</v>
      </c>
      <c r="P36" t="s">
        <v>478</v>
      </c>
      <c r="Q36">
        <v>1</v>
      </c>
      <c r="W36">
        <v>0</v>
      </c>
      <c r="X36">
        <v>1143286219</v>
      </c>
      <c r="Y36">
        <f t="shared" si="16"/>
        <v>0.64800000000000002</v>
      </c>
      <c r="AA36">
        <v>0</v>
      </c>
      <c r="AB36">
        <v>43.92</v>
      </c>
      <c r="AC36">
        <v>0</v>
      </c>
      <c r="AD36">
        <v>0</v>
      </c>
      <c r="AE36">
        <v>0</v>
      </c>
      <c r="AF36">
        <v>4</v>
      </c>
      <c r="AG36">
        <v>0</v>
      </c>
      <c r="AH36">
        <v>0</v>
      </c>
      <c r="AI36">
        <v>1</v>
      </c>
      <c r="AJ36">
        <v>10.29</v>
      </c>
      <c r="AK36">
        <v>1</v>
      </c>
      <c r="AL36">
        <v>1</v>
      </c>
      <c r="AM36">
        <v>2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0.54</v>
      </c>
      <c r="AU36" t="s">
        <v>36</v>
      </c>
      <c r="AV36">
        <v>0</v>
      </c>
      <c r="AW36">
        <v>2</v>
      </c>
      <c r="AX36">
        <v>85739498</v>
      </c>
      <c r="AY36">
        <v>1</v>
      </c>
      <c r="AZ36">
        <v>0</v>
      </c>
      <c r="BA36">
        <v>39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V36">
        <v>0</v>
      </c>
      <c r="CW36">
        <f>ROUND(Y36*Source!I31*DO36,9)</f>
        <v>0</v>
      </c>
      <c r="CX36">
        <f>ROUND(Y36*Source!I31,9)</f>
        <v>0.64800000000000002</v>
      </c>
      <c r="CY36">
        <f>AB36</f>
        <v>43.92</v>
      </c>
      <c r="CZ36">
        <f>AF36</f>
        <v>4</v>
      </c>
      <c r="DA36">
        <f>AJ36</f>
        <v>10.29</v>
      </c>
      <c r="DB36">
        <f t="shared" si="17"/>
        <v>2.5920000000000001</v>
      </c>
      <c r="DC36">
        <f t="shared" si="18"/>
        <v>0</v>
      </c>
      <c r="DD36" t="s">
        <v>3</v>
      </c>
      <c r="DE36" t="s">
        <v>3</v>
      </c>
      <c r="DF36">
        <f t="shared" si="15"/>
        <v>0</v>
      </c>
      <c r="DG36">
        <f>ROUND(ROUND(AF36*AJ36,2)*CX36,2)</f>
        <v>26.67</v>
      </c>
      <c r="DH36">
        <f t="shared" si="19"/>
        <v>0</v>
      </c>
      <c r="DI36">
        <f t="shared" si="6"/>
        <v>0</v>
      </c>
      <c r="DJ36">
        <f>DG36</f>
        <v>26.67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ROW(Source!A31)</f>
        <v>31</v>
      </c>
      <c r="B37">
        <v>85739207</v>
      </c>
      <c r="C37">
        <v>85739479</v>
      </c>
      <c r="D37">
        <v>85200111</v>
      </c>
      <c r="E37">
        <v>1</v>
      </c>
      <c r="F37">
        <v>1</v>
      </c>
      <c r="G37">
        <v>1081</v>
      </c>
      <c r="H37">
        <v>3</v>
      </c>
      <c r="I37" t="s">
        <v>492</v>
      </c>
      <c r="J37" t="s">
        <v>493</v>
      </c>
      <c r="K37" t="s">
        <v>494</v>
      </c>
      <c r="L37">
        <v>1348</v>
      </c>
      <c r="N37">
        <v>1009</v>
      </c>
      <c r="O37" t="s">
        <v>266</v>
      </c>
      <c r="P37" t="s">
        <v>266</v>
      </c>
      <c r="Q37">
        <v>1000</v>
      </c>
      <c r="W37">
        <v>0</v>
      </c>
      <c r="X37">
        <v>205566664</v>
      </c>
      <c r="Y37">
        <f>(AT37*1)</f>
        <v>3.5000000000000001E-3</v>
      </c>
      <c r="AA37">
        <v>95081.54</v>
      </c>
      <c r="AB37">
        <v>0</v>
      </c>
      <c r="AC37">
        <v>0</v>
      </c>
      <c r="AD37">
        <v>0</v>
      </c>
      <c r="AE37">
        <v>9112.49</v>
      </c>
      <c r="AF37">
        <v>0</v>
      </c>
      <c r="AG37">
        <v>0</v>
      </c>
      <c r="AH37">
        <v>0</v>
      </c>
      <c r="AI37">
        <v>10.15</v>
      </c>
      <c r="AJ37">
        <v>1</v>
      </c>
      <c r="AK37">
        <v>1</v>
      </c>
      <c r="AL37">
        <v>1</v>
      </c>
      <c r="AM37">
        <v>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3.5000000000000001E-3</v>
      </c>
      <c r="AU37" t="s">
        <v>35</v>
      </c>
      <c r="AV37">
        <v>0</v>
      </c>
      <c r="AW37">
        <v>2</v>
      </c>
      <c r="AX37">
        <v>85739499</v>
      </c>
      <c r="AY37">
        <v>1</v>
      </c>
      <c r="AZ37">
        <v>0</v>
      </c>
      <c r="BA37">
        <v>40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v>0</v>
      </c>
      <c r="CX37">
        <f>ROUND(Y37*Source!I31,9)</f>
        <v>3.5000000000000001E-3</v>
      </c>
      <c r="CY37">
        <f>AA37</f>
        <v>95081.54</v>
      </c>
      <c r="CZ37">
        <f>AE37</f>
        <v>9112.49</v>
      </c>
      <c r="DA37">
        <f>AI37</f>
        <v>10.15</v>
      </c>
      <c r="DB37">
        <f>ROUND((ROUND(AT37*CZ37,2)*1),6)</f>
        <v>31.89</v>
      </c>
      <c r="DC37">
        <f>ROUND((ROUND(AT37*AG37,2)*1),6)</f>
        <v>0</v>
      </c>
      <c r="DD37" t="s">
        <v>3</v>
      </c>
      <c r="DE37" t="s">
        <v>3</v>
      </c>
      <c r="DF37">
        <f>ROUND(ROUND(AE37*AI37,2)*CX37,2)</f>
        <v>323.72000000000003</v>
      </c>
      <c r="DG37">
        <f t="shared" ref="DG37:DG51" si="20">ROUND(ROUND(AF37,2)*CX37,2)</f>
        <v>0</v>
      </c>
      <c r="DH37">
        <f t="shared" si="19"/>
        <v>0</v>
      </c>
      <c r="DI37">
        <f t="shared" si="6"/>
        <v>0</v>
      </c>
      <c r="DJ37">
        <f>DF37</f>
        <v>323.72000000000003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ROW(Source!A31)</f>
        <v>31</v>
      </c>
      <c r="B38">
        <v>85739207</v>
      </c>
      <c r="C38">
        <v>85739479</v>
      </c>
      <c r="D38">
        <v>85200269</v>
      </c>
      <c r="E38">
        <v>1</v>
      </c>
      <c r="F38">
        <v>1</v>
      </c>
      <c r="G38">
        <v>1081</v>
      </c>
      <c r="H38">
        <v>3</v>
      </c>
      <c r="I38" t="s">
        <v>495</v>
      </c>
      <c r="J38" t="s">
        <v>496</v>
      </c>
      <c r="K38" t="s">
        <v>497</v>
      </c>
      <c r="L38">
        <v>1255</v>
      </c>
      <c r="N38">
        <v>1013</v>
      </c>
      <c r="O38" t="s">
        <v>498</v>
      </c>
      <c r="P38" t="s">
        <v>498</v>
      </c>
      <c r="Q38">
        <v>1</v>
      </c>
      <c r="W38">
        <v>0</v>
      </c>
      <c r="X38">
        <v>-1398468845</v>
      </c>
      <c r="Y38">
        <f>(AT38*1)</f>
        <v>1.9</v>
      </c>
      <c r="AA38">
        <v>7.01</v>
      </c>
      <c r="AB38">
        <v>0</v>
      </c>
      <c r="AC38">
        <v>0</v>
      </c>
      <c r="AD38">
        <v>0</v>
      </c>
      <c r="AE38">
        <v>0.42</v>
      </c>
      <c r="AF38">
        <v>0</v>
      </c>
      <c r="AG38">
        <v>0</v>
      </c>
      <c r="AH38">
        <v>0</v>
      </c>
      <c r="AI38">
        <v>16.239999999999998</v>
      </c>
      <c r="AJ38">
        <v>1</v>
      </c>
      <c r="AK38">
        <v>1</v>
      </c>
      <c r="AL38">
        <v>1</v>
      </c>
      <c r="AM38">
        <v>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1.9</v>
      </c>
      <c r="AU38" t="s">
        <v>35</v>
      </c>
      <c r="AV38">
        <v>0</v>
      </c>
      <c r="AW38">
        <v>2</v>
      </c>
      <c r="AX38">
        <v>85739500</v>
      </c>
      <c r="AY38">
        <v>1</v>
      </c>
      <c r="AZ38">
        <v>0</v>
      </c>
      <c r="BA38">
        <v>41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ROUND(Y38*Source!I31,9)</f>
        <v>1.9</v>
      </c>
      <c r="CY38">
        <f>AA38</f>
        <v>7.01</v>
      </c>
      <c r="CZ38">
        <f>AE38</f>
        <v>0.42</v>
      </c>
      <c r="DA38">
        <f>AI38</f>
        <v>16.239999999999998</v>
      </c>
      <c r="DB38">
        <f>ROUND((ROUND(AT38*CZ38,2)*1),6)</f>
        <v>0.8</v>
      </c>
      <c r="DC38">
        <f>ROUND((ROUND(AT38*AG38,2)*1),6)</f>
        <v>0</v>
      </c>
      <c r="DD38" t="s">
        <v>3</v>
      </c>
      <c r="DE38" t="s">
        <v>3</v>
      </c>
      <c r="DF38">
        <f>ROUND(ROUND(AE38*AI38,2)*CX38,2)</f>
        <v>12.96</v>
      </c>
      <c r="DG38">
        <f t="shared" si="20"/>
        <v>0</v>
      </c>
      <c r="DH38">
        <f t="shared" si="19"/>
        <v>0</v>
      </c>
      <c r="DI38">
        <f t="shared" si="6"/>
        <v>0</v>
      </c>
      <c r="DJ38">
        <f>DF38</f>
        <v>12.96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ROW(Source!A31)</f>
        <v>31</v>
      </c>
      <c r="B39">
        <v>85739207</v>
      </c>
      <c r="C39">
        <v>85739479</v>
      </c>
      <c r="D39">
        <v>85200784</v>
      </c>
      <c r="E39">
        <v>1</v>
      </c>
      <c r="F39">
        <v>1</v>
      </c>
      <c r="G39">
        <v>1081</v>
      </c>
      <c r="H39">
        <v>3</v>
      </c>
      <c r="I39" t="s">
        <v>499</v>
      </c>
      <c r="J39" t="s">
        <v>500</v>
      </c>
      <c r="K39" t="s">
        <v>501</v>
      </c>
      <c r="L39">
        <v>1346</v>
      </c>
      <c r="N39">
        <v>1009</v>
      </c>
      <c r="O39" t="s">
        <v>502</v>
      </c>
      <c r="P39" t="s">
        <v>502</v>
      </c>
      <c r="Q39">
        <v>1</v>
      </c>
      <c r="W39">
        <v>0</v>
      </c>
      <c r="X39">
        <v>-2132327540</v>
      </c>
      <c r="Y39">
        <f>(AT39*1)</f>
        <v>0.24</v>
      </c>
      <c r="AA39">
        <v>64.760000000000005</v>
      </c>
      <c r="AB39">
        <v>0</v>
      </c>
      <c r="AC39">
        <v>0</v>
      </c>
      <c r="AD39">
        <v>0</v>
      </c>
      <c r="AE39">
        <v>6.25</v>
      </c>
      <c r="AF39">
        <v>0</v>
      </c>
      <c r="AG39">
        <v>0</v>
      </c>
      <c r="AH39">
        <v>0</v>
      </c>
      <c r="AI39">
        <v>10.08</v>
      </c>
      <c r="AJ39">
        <v>1</v>
      </c>
      <c r="AK39">
        <v>1</v>
      </c>
      <c r="AL39">
        <v>1</v>
      </c>
      <c r="AM39">
        <v>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0.24</v>
      </c>
      <c r="AU39" t="s">
        <v>35</v>
      </c>
      <c r="AV39">
        <v>0</v>
      </c>
      <c r="AW39">
        <v>2</v>
      </c>
      <c r="AX39">
        <v>85739501</v>
      </c>
      <c r="AY39">
        <v>1</v>
      </c>
      <c r="AZ39">
        <v>0</v>
      </c>
      <c r="BA39">
        <v>42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ROUND(Y39*Source!I31,9)</f>
        <v>0.24</v>
      </c>
      <c r="CY39">
        <f>AA39</f>
        <v>64.760000000000005</v>
      </c>
      <c r="CZ39">
        <f>AE39</f>
        <v>6.25</v>
      </c>
      <c r="DA39">
        <f>AI39</f>
        <v>10.08</v>
      </c>
      <c r="DB39">
        <f>ROUND((ROUND(AT39*CZ39,2)*1),6)</f>
        <v>1.5</v>
      </c>
      <c r="DC39">
        <f>ROUND((ROUND(AT39*AG39,2)*1),6)</f>
        <v>0</v>
      </c>
      <c r="DD39" t="s">
        <v>3</v>
      </c>
      <c r="DE39" t="s">
        <v>3</v>
      </c>
      <c r="DF39">
        <f>ROUND(ROUND(AE39*AI39,2)*CX39,2)</f>
        <v>15.12</v>
      </c>
      <c r="DG39">
        <f t="shared" si="20"/>
        <v>0</v>
      </c>
      <c r="DH39">
        <f t="shared" si="19"/>
        <v>0</v>
      </c>
      <c r="DI39">
        <f t="shared" si="6"/>
        <v>0</v>
      </c>
      <c r="DJ39">
        <f>DF39</f>
        <v>15.12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ROW(Source!A31)</f>
        <v>31</v>
      </c>
      <c r="B40">
        <v>85739207</v>
      </c>
      <c r="C40">
        <v>85739479</v>
      </c>
      <c r="D40">
        <v>85199158</v>
      </c>
      <c r="E40">
        <v>1</v>
      </c>
      <c r="F40">
        <v>1</v>
      </c>
      <c r="G40">
        <v>1081</v>
      </c>
      <c r="H40">
        <v>3</v>
      </c>
      <c r="I40" t="s">
        <v>503</v>
      </c>
      <c r="J40" t="s">
        <v>504</v>
      </c>
      <c r="K40" t="s">
        <v>505</v>
      </c>
      <c r="L40">
        <v>1339</v>
      </c>
      <c r="N40">
        <v>1007</v>
      </c>
      <c r="O40" t="s">
        <v>506</v>
      </c>
      <c r="P40" t="s">
        <v>506</v>
      </c>
      <c r="Q40">
        <v>1</v>
      </c>
      <c r="W40">
        <v>0</v>
      </c>
      <c r="X40">
        <v>-1235260082</v>
      </c>
      <c r="Y40">
        <f>(AT40*1)</f>
        <v>1.4</v>
      </c>
      <c r="AA40">
        <v>104.16</v>
      </c>
      <c r="AB40">
        <v>0</v>
      </c>
      <c r="AC40">
        <v>0</v>
      </c>
      <c r="AD40">
        <v>0</v>
      </c>
      <c r="AE40">
        <v>5.82</v>
      </c>
      <c r="AF40">
        <v>0</v>
      </c>
      <c r="AG40">
        <v>0</v>
      </c>
      <c r="AH40">
        <v>0</v>
      </c>
      <c r="AI40">
        <v>17.41</v>
      </c>
      <c r="AJ40">
        <v>1</v>
      </c>
      <c r="AK40">
        <v>1</v>
      </c>
      <c r="AL40">
        <v>1</v>
      </c>
      <c r="AM40">
        <v>2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1.4</v>
      </c>
      <c r="AU40" t="s">
        <v>35</v>
      </c>
      <c r="AV40">
        <v>0</v>
      </c>
      <c r="AW40">
        <v>2</v>
      </c>
      <c r="AX40">
        <v>85739502</v>
      </c>
      <c r="AY40">
        <v>1</v>
      </c>
      <c r="AZ40">
        <v>0</v>
      </c>
      <c r="BA40">
        <v>43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ROUND(Y40*Source!I31,9)</f>
        <v>1.4</v>
      </c>
      <c r="CY40">
        <f>AA40</f>
        <v>104.16</v>
      </c>
      <c r="CZ40">
        <f>AE40</f>
        <v>5.82</v>
      </c>
      <c r="DA40">
        <f>AI40</f>
        <v>17.41</v>
      </c>
      <c r="DB40">
        <f>ROUND((ROUND(AT40*CZ40,2)*1),6)</f>
        <v>8.15</v>
      </c>
      <c r="DC40">
        <f>ROUND((ROUND(AT40*AG40,2)*1),6)</f>
        <v>0</v>
      </c>
      <c r="DD40" t="s">
        <v>3</v>
      </c>
      <c r="DE40" t="s">
        <v>3</v>
      </c>
      <c r="DF40">
        <f>ROUND(ROUND(AE40*AI40,2)*CX40,2)</f>
        <v>141.86000000000001</v>
      </c>
      <c r="DG40">
        <f t="shared" si="20"/>
        <v>0</v>
      </c>
      <c r="DH40">
        <f t="shared" si="19"/>
        <v>0</v>
      </c>
      <c r="DI40">
        <f t="shared" si="6"/>
        <v>0</v>
      </c>
      <c r="DJ40">
        <f>DF40</f>
        <v>141.86000000000001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ROW(Source!A32)</f>
        <v>32</v>
      </c>
      <c r="B41">
        <v>85739205</v>
      </c>
      <c r="C41">
        <v>85739550</v>
      </c>
      <c r="D41">
        <v>85164021</v>
      </c>
      <c r="E41">
        <v>1081</v>
      </c>
      <c r="F41">
        <v>1</v>
      </c>
      <c r="G41">
        <v>1081</v>
      </c>
      <c r="H41">
        <v>1</v>
      </c>
      <c r="I41" t="s">
        <v>472</v>
      </c>
      <c r="J41" t="s">
        <v>3</v>
      </c>
      <c r="K41" t="s">
        <v>473</v>
      </c>
      <c r="L41">
        <v>1191</v>
      </c>
      <c r="N41">
        <v>1013</v>
      </c>
      <c r="O41" t="s">
        <v>474</v>
      </c>
      <c r="P41" t="s">
        <v>474</v>
      </c>
      <c r="Q41">
        <v>1</v>
      </c>
      <c r="W41">
        <v>0</v>
      </c>
      <c r="X41">
        <v>476480486</v>
      </c>
      <c r="Y41">
        <f>(AT41*1.2)</f>
        <v>584.4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487</v>
      </c>
      <c r="AU41" t="s">
        <v>36</v>
      </c>
      <c r="AV41">
        <v>1</v>
      </c>
      <c r="AW41">
        <v>2</v>
      </c>
      <c r="AX41">
        <v>85739555</v>
      </c>
      <c r="AY41">
        <v>1</v>
      </c>
      <c r="AZ41">
        <v>0</v>
      </c>
      <c r="BA41">
        <v>45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ROUND(AT41*Source!I32*AH41*AL41,2)</f>
        <v>0</v>
      </c>
      <c r="CV41">
        <f>ROUND(Y41*Source!I32,9)</f>
        <v>5.2595999999999998</v>
      </c>
      <c r="CW41">
        <v>0</v>
      </c>
      <c r="CX41">
        <f>ROUND(Y41*Source!I32,9)</f>
        <v>5.2595999999999998</v>
      </c>
      <c r="CY41">
        <f>AD41</f>
        <v>0</v>
      </c>
      <c r="CZ41">
        <f>AH41</f>
        <v>0</v>
      </c>
      <c r="DA41">
        <f>AL41</f>
        <v>1</v>
      </c>
      <c r="DB41">
        <f>ROUND((ROUND(AT41*CZ41,2)*1.2),6)</f>
        <v>0</v>
      </c>
      <c r="DC41">
        <f>ROUND((ROUND(AT41*AG41,2)*1.2),6)</f>
        <v>0</v>
      </c>
      <c r="DD41" t="s">
        <v>3</v>
      </c>
      <c r="DE41" t="s">
        <v>3</v>
      </c>
      <c r="DF41">
        <f t="shared" ref="DF41:DF54" si="21">ROUND(ROUND(AE41,2)*CX41,2)</f>
        <v>0</v>
      </c>
      <c r="DG41">
        <f t="shared" si="20"/>
        <v>0</v>
      </c>
      <c r="DH41">
        <f t="shared" si="19"/>
        <v>0</v>
      </c>
      <c r="DI41">
        <f t="shared" si="6"/>
        <v>0</v>
      </c>
      <c r="DJ41">
        <f>DI41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ROW(Source!A33)</f>
        <v>33</v>
      </c>
      <c r="B42">
        <v>85739207</v>
      </c>
      <c r="C42">
        <v>85739550</v>
      </c>
      <c r="D42">
        <v>85164021</v>
      </c>
      <c r="E42">
        <v>1081</v>
      </c>
      <c r="F42">
        <v>1</v>
      </c>
      <c r="G42">
        <v>1081</v>
      </c>
      <c r="H42">
        <v>1</v>
      </c>
      <c r="I42" t="s">
        <v>472</v>
      </c>
      <c r="J42" t="s">
        <v>3</v>
      </c>
      <c r="K42" t="s">
        <v>473</v>
      </c>
      <c r="L42">
        <v>1191</v>
      </c>
      <c r="N42">
        <v>1013</v>
      </c>
      <c r="O42" t="s">
        <v>474</v>
      </c>
      <c r="P42" t="s">
        <v>474</v>
      </c>
      <c r="Q42">
        <v>1</v>
      </c>
      <c r="W42">
        <v>0</v>
      </c>
      <c r="X42">
        <v>476480486</v>
      </c>
      <c r="Y42">
        <f>(AT42*1.2)</f>
        <v>584.4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5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487</v>
      </c>
      <c r="AU42" t="s">
        <v>36</v>
      </c>
      <c r="AV42">
        <v>1</v>
      </c>
      <c r="AW42">
        <v>2</v>
      </c>
      <c r="AX42">
        <v>85739555</v>
      </c>
      <c r="AY42">
        <v>1</v>
      </c>
      <c r="AZ42">
        <v>0</v>
      </c>
      <c r="BA42">
        <v>46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U42">
        <f>ROUND(AT42*Source!I33*AH42*AL42,2)</f>
        <v>0</v>
      </c>
      <c r="CV42">
        <f>ROUND(Y42*Source!I33,9)</f>
        <v>5.2595999999999998</v>
      </c>
      <c r="CW42">
        <v>0</v>
      </c>
      <c r="CX42">
        <f>ROUND(Y42*Source!I33,9)</f>
        <v>5.2595999999999998</v>
      </c>
      <c r="CY42">
        <f>AD42</f>
        <v>0</v>
      </c>
      <c r="CZ42">
        <f>AH42</f>
        <v>0</v>
      </c>
      <c r="DA42">
        <f>AL42</f>
        <v>1</v>
      </c>
      <c r="DB42">
        <f>ROUND((ROUND(AT42*CZ42,2)*1.2),6)</f>
        <v>0</v>
      </c>
      <c r="DC42">
        <f>ROUND((ROUND(AT42*AG42,2)*1.2),6)</f>
        <v>0</v>
      </c>
      <c r="DD42" t="s">
        <v>3</v>
      </c>
      <c r="DE42" t="s">
        <v>3</v>
      </c>
      <c r="DF42">
        <f t="shared" si="21"/>
        <v>0</v>
      </c>
      <c r="DG42">
        <f t="shared" si="20"/>
        <v>0</v>
      </c>
      <c r="DH42">
        <f t="shared" si="19"/>
        <v>0</v>
      </c>
      <c r="DI42">
        <f t="shared" si="6"/>
        <v>0</v>
      </c>
      <c r="DJ42">
        <f>DI42</f>
        <v>0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ROW(Source!A34)</f>
        <v>34</v>
      </c>
      <c r="B43">
        <v>85739205</v>
      </c>
      <c r="C43">
        <v>85739519</v>
      </c>
      <c r="D43">
        <v>85164021</v>
      </c>
      <c r="E43">
        <v>1081</v>
      </c>
      <c r="F43">
        <v>1</v>
      </c>
      <c r="G43">
        <v>1081</v>
      </c>
      <c r="H43">
        <v>1</v>
      </c>
      <c r="I43" t="s">
        <v>472</v>
      </c>
      <c r="J43" t="s">
        <v>3</v>
      </c>
      <c r="K43" t="s">
        <v>473</v>
      </c>
      <c r="L43">
        <v>1191</v>
      </c>
      <c r="N43">
        <v>1013</v>
      </c>
      <c r="O43" t="s">
        <v>474</v>
      </c>
      <c r="P43" t="s">
        <v>474</v>
      </c>
      <c r="Q43">
        <v>1</v>
      </c>
      <c r="W43">
        <v>0</v>
      </c>
      <c r="X43">
        <v>476480486</v>
      </c>
      <c r="Y43">
        <f t="shared" ref="Y43:Y58" si="22">AT43</f>
        <v>3.63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3.63</v>
      </c>
      <c r="AU43" t="s">
        <v>3</v>
      </c>
      <c r="AV43">
        <v>1</v>
      </c>
      <c r="AW43">
        <v>2</v>
      </c>
      <c r="AX43">
        <v>85739540</v>
      </c>
      <c r="AY43">
        <v>1</v>
      </c>
      <c r="AZ43">
        <v>0</v>
      </c>
      <c r="BA43">
        <v>47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U43">
        <f>ROUND(AT43*Source!I34*AH43*AL43,2)</f>
        <v>0</v>
      </c>
      <c r="CV43">
        <f>ROUND(Y43*Source!I34,9)</f>
        <v>3.63</v>
      </c>
      <c r="CW43">
        <v>0</v>
      </c>
      <c r="CX43">
        <f>ROUND(Y43*Source!I34,9)</f>
        <v>3.63</v>
      </c>
      <c r="CY43">
        <f>AD43</f>
        <v>0</v>
      </c>
      <c r="CZ43">
        <f>AH43</f>
        <v>0</v>
      </c>
      <c r="DA43">
        <f>AL43</f>
        <v>1</v>
      </c>
      <c r="DB43">
        <f t="shared" ref="DB43:DB58" si="23">ROUND(ROUND(AT43*CZ43,2),6)</f>
        <v>0</v>
      </c>
      <c r="DC43">
        <f t="shared" ref="DC43:DC58" si="24">ROUND(ROUND(AT43*AG43,2),6)</f>
        <v>0</v>
      </c>
      <c r="DD43" t="s">
        <v>3</v>
      </c>
      <c r="DE43" t="s">
        <v>3</v>
      </c>
      <c r="DF43">
        <f t="shared" si="21"/>
        <v>0</v>
      </c>
      <c r="DG43">
        <f t="shared" si="20"/>
        <v>0</v>
      </c>
      <c r="DH43">
        <f t="shared" si="19"/>
        <v>0</v>
      </c>
      <c r="DI43">
        <f t="shared" si="6"/>
        <v>0</v>
      </c>
      <c r="DJ43">
        <f>DI43</f>
        <v>0</v>
      </c>
      <c r="DK43">
        <v>0</v>
      </c>
      <c r="DL43" t="s">
        <v>3</v>
      </c>
      <c r="DM43">
        <v>0</v>
      </c>
      <c r="DN43" t="s">
        <v>3</v>
      </c>
      <c r="DO43">
        <v>0</v>
      </c>
    </row>
    <row r="44" spans="1:119" x14ac:dyDescent="0.2">
      <c r="A44">
        <f>ROW(Source!A34)</f>
        <v>34</v>
      </c>
      <c r="B44">
        <v>85739205</v>
      </c>
      <c r="C44">
        <v>85739519</v>
      </c>
      <c r="D44">
        <v>85229587</v>
      </c>
      <c r="E44">
        <v>1</v>
      </c>
      <c r="F44">
        <v>1</v>
      </c>
      <c r="G44">
        <v>1081</v>
      </c>
      <c r="H44">
        <v>2</v>
      </c>
      <c r="I44" t="s">
        <v>507</v>
      </c>
      <c r="J44" t="s">
        <v>508</v>
      </c>
      <c r="K44" t="s">
        <v>509</v>
      </c>
      <c r="L44">
        <v>1368</v>
      </c>
      <c r="N44">
        <v>1011</v>
      </c>
      <c r="O44" t="s">
        <v>478</v>
      </c>
      <c r="P44" t="s">
        <v>478</v>
      </c>
      <c r="Q44">
        <v>1</v>
      </c>
      <c r="W44">
        <v>0</v>
      </c>
      <c r="X44">
        <v>-286665822</v>
      </c>
      <c r="Y44">
        <f t="shared" si="22"/>
        <v>0.4</v>
      </c>
      <c r="AA44">
        <v>0</v>
      </c>
      <c r="AB44">
        <v>6.17</v>
      </c>
      <c r="AC44">
        <v>0</v>
      </c>
      <c r="AD44">
        <v>0</v>
      </c>
      <c r="AE44">
        <v>0</v>
      </c>
      <c r="AF44">
        <v>5.78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-2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0.4</v>
      </c>
      <c r="AU44" t="s">
        <v>3</v>
      </c>
      <c r="AV44">
        <v>0</v>
      </c>
      <c r="AW44">
        <v>2</v>
      </c>
      <c r="AX44">
        <v>85739541</v>
      </c>
      <c r="AY44">
        <v>1</v>
      </c>
      <c r="AZ44">
        <v>0</v>
      </c>
      <c r="BA44">
        <v>48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f>ROUND(Y44*Source!I34*DO44,9)</f>
        <v>0</v>
      </c>
      <c r="CX44">
        <f>ROUND(Y44*Source!I34,9)</f>
        <v>0.4</v>
      </c>
      <c r="CY44">
        <f>AB44</f>
        <v>6.17</v>
      </c>
      <c r="CZ44">
        <f>AF44</f>
        <v>5.78</v>
      </c>
      <c r="DA44">
        <f>AJ44</f>
        <v>1</v>
      </c>
      <c r="DB44">
        <f t="shared" si="23"/>
        <v>2.31</v>
      </c>
      <c r="DC44">
        <f t="shared" si="24"/>
        <v>0</v>
      </c>
      <c r="DD44" t="s">
        <v>3</v>
      </c>
      <c r="DE44" t="s">
        <v>3</v>
      </c>
      <c r="DF44">
        <f t="shared" si="21"/>
        <v>0</v>
      </c>
      <c r="DG44">
        <f t="shared" si="20"/>
        <v>2.31</v>
      </c>
      <c r="DH44">
        <f t="shared" si="19"/>
        <v>0</v>
      </c>
      <c r="DI44">
        <f t="shared" si="6"/>
        <v>0</v>
      </c>
      <c r="DJ44">
        <f>DG44</f>
        <v>2.31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ROW(Source!A34)</f>
        <v>34</v>
      </c>
      <c r="B45">
        <v>85739205</v>
      </c>
      <c r="C45">
        <v>85739519</v>
      </c>
      <c r="D45">
        <v>85229932</v>
      </c>
      <c r="E45">
        <v>1</v>
      </c>
      <c r="F45">
        <v>1</v>
      </c>
      <c r="G45">
        <v>1081</v>
      </c>
      <c r="H45">
        <v>2</v>
      </c>
      <c r="I45" t="s">
        <v>482</v>
      </c>
      <c r="J45" t="s">
        <v>483</v>
      </c>
      <c r="K45" t="s">
        <v>484</v>
      </c>
      <c r="L45">
        <v>1368</v>
      </c>
      <c r="N45">
        <v>1011</v>
      </c>
      <c r="O45" t="s">
        <v>478</v>
      </c>
      <c r="P45" t="s">
        <v>478</v>
      </c>
      <c r="Q45">
        <v>1</v>
      </c>
      <c r="W45">
        <v>0</v>
      </c>
      <c r="X45">
        <v>874612079</v>
      </c>
      <c r="Y45">
        <f t="shared" si="22"/>
        <v>0.02</v>
      </c>
      <c r="AA45">
        <v>0</v>
      </c>
      <c r="AB45">
        <v>88.67</v>
      </c>
      <c r="AC45">
        <v>13.47</v>
      </c>
      <c r="AD45">
        <v>0</v>
      </c>
      <c r="AE45">
        <v>0</v>
      </c>
      <c r="AF45">
        <v>83.1</v>
      </c>
      <c r="AG45">
        <v>12.62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0.02</v>
      </c>
      <c r="AU45" t="s">
        <v>3</v>
      </c>
      <c r="AV45">
        <v>0</v>
      </c>
      <c r="AW45">
        <v>2</v>
      </c>
      <c r="AX45">
        <v>85739542</v>
      </c>
      <c r="AY45">
        <v>1</v>
      </c>
      <c r="AZ45">
        <v>0</v>
      </c>
      <c r="BA45">
        <v>49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f>ROUND(Y45*Source!I34*DO45,9)</f>
        <v>0.25240000000000001</v>
      </c>
      <c r="CX45">
        <f>ROUND(Y45*Source!I34,9)</f>
        <v>0.02</v>
      </c>
      <c r="CY45">
        <f>AB45</f>
        <v>88.67</v>
      </c>
      <c r="CZ45">
        <f>AF45</f>
        <v>83.1</v>
      </c>
      <c r="DA45">
        <f>AJ45</f>
        <v>1</v>
      </c>
      <c r="DB45">
        <f t="shared" si="23"/>
        <v>1.66</v>
      </c>
      <c r="DC45">
        <f t="shared" si="24"/>
        <v>0.25</v>
      </c>
      <c r="DD45" t="s">
        <v>3</v>
      </c>
      <c r="DE45" t="s">
        <v>3</v>
      </c>
      <c r="DF45">
        <f t="shared" si="21"/>
        <v>0</v>
      </c>
      <c r="DG45">
        <f t="shared" si="20"/>
        <v>1.66</v>
      </c>
      <c r="DH45">
        <f t="shared" si="19"/>
        <v>0.25</v>
      </c>
      <c r="DI45">
        <f t="shared" si="6"/>
        <v>0</v>
      </c>
      <c r="DJ45">
        <f>DG45</f>
        <v>1.66</v>
      </c>
      <c r="DK45">
        <v>0</v>
      </c>
      <c r="DL45" t="s">
        <v>485</v>
      </c>
      <c r="DM45">
        <v>0</v>
      </c>
      <c r="DN45" t="s">
        <v>474</v>
      </c>
      <c r="DO45">
        <v>12.62</v>
      </c>
    </row>
    <row r="46" spans="1:119" x14ac:dyDescent="0.2">
      <c r="A46">
        <f>ROW(Source!A34)</f>
        <v>34</v>
      </c>
      <c r="B46">
        <v>85739205</v>
      </c>
      <c r="C46">
        <v>85739519</v>
      </c>
      <c r="D46">
        <v>85229166</v>
      </c>
      <c r="E46">
        <v>1</v>
      </c>
      <c r="F46">
        <v>1</v>
      </c>
      <c r="G46">
        <v>1081</v>
      </c>
      <c r="H46">
        <v>2</v>
      </c>
      <c r="I46" t="s">
        <v>510</v>
      </c>
      <c r="J46" t="s">
        <v>511</v>
      </c>
      <c r="K46" t="s">
        <v>512</v>
      </c>
      <c r="L46">
        <v>1368</v>
      </c>
      <c r="N46">
        <v>1011</v>
      </c>
      <c r="O46" t="s">
        <v>478</v>
      </c>
      <c r="P46" t="s">
        <v>478</v>
      </c>
      <c r="Q46">
        <v>1</v>
      </c>
      <c r="W46">
        <v>0</v>
      </c>
      <c r="X46">
        <v>-44940208</v>
      </c>
      <c r="Y46">
        <f t="shared" si="22"/>
        <v>0.02</v>
      </c>
      <c r="AA46">
        <v>0</v>
      </c>
      <c r="AB46">
        <v>191.17</v>
      </c>
      <c r="AC46">
        <v>18.059999999999999</v>
      </c>
      <c r="AD46">
        <v>0</v>
      </c>
      <c r="AE46">
        <v>0</v>
      </c>
      <c r="AF46">
        <v>179.17</v>
      </c>
      <c r="AG46">
        <v>16.93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0.02</v>
      </c>
      <c r="AU46" t="s">
        <v>3</v>
      </c>
      <c r="AV46">
        <v>0</v>
      </c>
      <c r="AW46">
        <v>2</v>
      </c>
      <c r="AX46">
        <v>85739543</v>
      </c>
      <c r="AY46">
        <v>1</v>
      </c>
      <c r="AZ46">
        <v>0</v>
      </c>
      <c r="BA46">
        <v>50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f>ROUND(Y46*Source!I34*DO46,9)</f>
        <v>0.33860000000000001</v>
      </c>
      <c r="CX46">
        <f>ROUND(Y46*Source!I34,9)</f>
        <v>0.02</v>
      </c>
      <c r="CY46">
        <f>AB46</f>
        <v>191.17</v>
      </c>
      <c r="CZ46">
        <f>AF46</f>
        <v>179.17</v>
      </c>
      <c r="DA46">
        <f>AJ46</f>
        <v>1</v>
      </c>
      <c r="DB46">
        <f t="shared" si="23"/>
        <v>3.58</v>
      </c>
      <c r="DC46">
        <f t="shared" si="24"/>
        <v>0.34</v>
      </c>
      <c r="DD46" t="s">
        <v>3</v>
      </c>
      <c r="DE46" t="s">
        <v>3</v>
      </c>
      <c r="DF46">
        <f t="shared" si="21"/>
        <v>0</v>
      </c>
      <c r="DG46">
        <f t="shared" si="20"/>
        <v>3.58</v>
      </c>
      <c r="DH46">
        <f t="shared" si="19"/>
        <v>0.34</v>
      </c>
      <c r="DI46">
        <f t="shared" si="6"/>
        <v>0</v>
      </c>
      <c r="DJ46">
        <f>DG46</f>
        <v>3.58</v>
      </c>
      <c r="DK46">
        <v>0</v>
      </c>
      <c r="DL46" t="s">
        <v>485</v>
      </c>
      <c r="DM46">
        <v>0</v>
      </c>
      <c r="DN46" t="s">
        <v>474</v>
      </c>
      <c r="DO46">
        <v>16.93</v>
      </c>
    </row>
    <row r="47" spans="1:119" x14ac:dyDescent="0.2">
      <c r="A47">
        <f>ROW(Source!A34)</f>
        <v>34</v>
      </c>
      <c r="B47">
        <v>85739205</v>
      </c>
      <c r="C47">
        <v>85739519</v>
      </c>
      <c r="D47">
        <v>85198960</v>
      </c>
      <c r="E47">
        <v>1</v>
      </c>
      <c r="F47">
        <v>1</v>
      </c>
      <c r="G47">
        <v>1081</v>
      </c>
      <c r="H47">
        <v>3</v>
      </c>
      <c r="I47" t="s">
        <v>513</v>
      </c>
      <c r="J47" t="s">
        <v>514</v>
      </c>
      <c r="K47" t="s">
        <v>515</v>
      </c>
      <c r="L47">
        <v>1339</v>
      </c>
      <c r="N47">
        <v>1007</v>
      </c>
      <c r="O47" t="s">
        <v>506</v>
      </c>
      <c r="P47" t="s">
        <v>506</v>
      </c>
      <c r="Q47">
        <v>1</v>
      </c>
      <c r="W47">
        <v>0</v>
      </c>
      <c r="X47">
        <v>-1622585150</v>
      </c>
      <c r="Y47">
        <f t="shared" si="22"/>
        <v>0.08</v>
      </c>
      <c r="AA47">
        <v>7.07</v>
      </c>
      <c r="AB47">
        <v>0</v>
      </c>
      <c r="AC47">
        <v>0</v>
      </c>
      <c r="AD47">
        <v>0</v>
      </c>
      <c r="AE47">
        <v>7.07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0.08</v>
      </c>
      <c r="AU47" t="s">
        <v>3</v>
      </c>
      <c r="AV47">
        <v>0</v>
      </c>
      <c r="AW47">
        <v>2</v>
      </c>
      <c r="AX47">
        <v>85739544</v>
      </c>
      <c r="AY47">
        <v>1</v>
      </c>
      <c r="AZ47">
        <v>0</v>
      </c>
      <c r="BA47">
        <v>51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ROUND(Y47*Source!I34,9)</f>
        <v>0.08</v>
      </c>
      <c r="CY47">
        <f>AA47</f>
        <v>7.07</v>
      </c>
      <c r="CZ47">
        <f>AE47</f>
        <v>7.07</v>
      </c>
      <c r="DA47">
        <f>AI47</f>
        <v>1</v>
      </c>
      <c r="DB47">
        <f t="shared" si="23"/>
        <v>0.56999999999999995</v>
      </c>
      <c r="DC47">
        <f t="shared" si="24"/>
        <v>0</v>
      </c>
      <c r="DD47" t="s">
        <v>3</v>
      </c>
      <c r="DE47" t="s">
        <v>3</v>
      </c>
      <c r="DF47">
        <f t="shared" si="21"/>
        <v>0.56999999999999995</v>
      </c>
      <c r="DG47">
        <f t="shared" si="20"/>
        <v>0</v>
      </c>
      <c r="DH47">
        <f t="shared" si="19"/>
        <v>0</v>
      </c>
      <c r="DI47">
        <f t="shared" si="6"/>
        <v>0</v>
      </c>
      <c r="DJ47">
        <f>DF47</f>
        <v>0.56999999999999995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ROW(Source!A34)</f>
        <v>34</v>
      </c>
      <c r="B48">
        <v>85739205</v>
      </c>
      <c r="C48">
        <v>85739519</v>
      </c>
      <c r="D48">
        <v>85200671</v>
      </c>
      <c r="E48">
        <v>1</v>
      </c>
      <c r="F48">
        <v>1</v>
      </c>
      <c r="G48">
        <v>1081</v>
      </c>
      <c r="H48">
        <v>3</v>
      </c>
      <c r="I48" t="s">
        <v>516</v>
      </c>
      <c r="J48" t="s">
        <v>517</v>
      </c>
      <c r="K48" t="s">
        <v>518</v>
      </c>
      <c r="L48">
        <v>1346</v>
      </c>
      <c r="N48">
        <v>1009</v>
      </c>
      <c r="O48" t="s">
        <v>502</v>
      </c>
      <c r="P48" t="s">
        <v>502</v>
      </c>
      <c r="Q48">
        <v>1</v>
      </c>
      <c r="W48">
        <v>0</v>
      </c>
      <c r="X48">
        <v>1021383118</v>
      </c>
      <c r="Y48">
        <f t="shared" si="22"/>
        <v>0.04</v>
      </c>
      <c r="AA48">
        <v>37.979999999999997</v>
      </c>
      <c r="AB48">
        <v>0</v>
      </c>
      <c r="AC48">
        <v>0</v>
      </c>
      <c r="AD48">
        <v>0</v>
      </c>
      <c r="AE48">
        <v>37.979999999999997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0.04</v>
      </c>
      <c r="AU48" t="s">
        <v>3</v>
      </c>
      <c r="AV48">
        <v>0</v>
      </c>
      <c r="AW48">
        <v>2</v>
      </c>
      <c r="AX48">
        <v>85739545</v>
      </c>
      <c r="AY48">
        <v>1</v>
      </c>
      <c r="AZ48">
        <v>0</v>
      </c>
      <c r="BA48">
        <v>52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ROUND(Y48*Source!I34,9)</f>
        <v>0.04</v>
      </c>
      <c r="CY48">
        <f>AA48</f>
        <v>37.979999999999997</v>
      </c>
      <c r="CZ48">
        <f>AE48</f>
        <v>37.979999999999997</v>
      </c>
      <c r="DA48">
        <f>AI48</f>
        <v>1</v>
      </c>
      <c r="DB48">
        <f t="shared" si="23"/>
        <v>1.52</v>
      </c>
      <c r="DC48">
        <f t="shared" si="24"/>
        <v>0</v>
      </c>
      <c r="DD48" t="s">
        <v>3</v>
      </c>
      <c r="DE48" t="s">
        <v>3</v>
      </c>
      <c r="DF48">
        <f t="shared" si="21"/>
        <v>1.52</v>
      </c>
      <c r="DG48">
        <f t="shared" si="20"/>
        <v>0</v>
      </c>
      <c r="DH48">
        <f t="shared" si="19"/>
        <v>0</v>
      </c>
      <c r="DI48">
        <f t="shared" si="6"/>
        <v>0</v>
      </c>
      <c r="DJ48">
        <f>DF48</f>
        <v>1.52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ROW(Source!A34)</f>
        <v>34</v>
      </c>
      <c r="B49">
        <v>85739205</v>
      </c>
      <c r="C49">
        <v>85739519</v>
      </c>
      <c r="D49">
        <v>85199230</v>
      </c>
      <c r="E49">
        <v>1</v>
      </c>
      <c r="F49">
        <v>1</v>
      </c>
      <c r="G49">
        <v>1081</v>
      </c>
      <c r="H49">
        <v>3</v>
      </c>
      <c r="I49" t="s">
        <v>519</v>
      </c>
      <c r="J49" t="s">
        <v>520</v>
      </c>
      <c r="K49" t="s">
        <v>521</v>
      </c>
      <c r="L49">
        <v>1348</v>
      </c>
      <c r="N49">
        <v>1009</v>
      </c>
      <c r="O49" t="s">
        <v>266</v>
      </c>
      <c r="P49" t="s">
        <v>266</v>
      </c>
      <c r="Q49">
        <v>1000</v>
      </c>
      <c r="W49">
        <v>0</v>
      </c>
      <c r="X49">
        <v>1270042986</v>
      </c>
      <c r="Y49">
        <f t="shared" si="22"/>
        <v>8.0000000000000007E-5</v>
      </c>
      <c r="AA49">
        <v>16214.84</v>
      </c>
      <c r="AB49">
        <v>0</v>
      </c>
      <c r="AC49">
        <v>0</v>
      </c>
      <c r="AD49">
        <v>0</v>
      </c>
      <c r="AE49">
        <v>16214.84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-2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8.0000000000000007E-5</v>
      </c>
      <c r="AU49" t="s">
        <v>3</v>
      </c>
      <c r="AV49">
        <v>0</v>
      </c>
      <c r="AW49">
        <v>2</v>
      </c>
      <c r="AX49">
        <v>85739546</v>
      </c>
      <c r="AY49">
        <v>1</v>
      </c>
      <c r="AZ49">
        <v>0</v>
      </c>
      <c r="BA49">
        <v>53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V49">
        <v>0</v>
      </c>
      <c r="CW49">
        <v>0</v>
      </c>
      <c r="CX49">
        <f>ROUND(Y49*Source!I34,9)</f>
        <v>8.0000000000000007E-5</v>
      </c>
      <c r="CY49">
        <f>AA49</f>
        <v>16214.84</v>
      </c>
      <c r="CZ49">
        <f>AE49</f>
        <v>16214.84</v>
      </c>
      <c r="DA49">
        <f>AI49</f>
        <v>1</v>
      </c>
      <c r="DB49">
        <f t="shared" si="23"/>
        <v>1.3</v>
      </c>
      <c r="DC49">
        <f t="shared" si="24"/>
        <v>0</v>
      </c>
      <c r="DD49" t="s">
        <v>3</v>
      </c>
      <c r="DE49" t="s">
        <v>3</v>
      </c>
      <c r="DF49">
        <f t="shared" si="21"/>
        <v>1.3</v>
      </c>
      <c r="DG49">
        <f t="shared" si="20"/>
        <v>0</v>
      </c>
      <c r="DH49">
        <f t="shared" si="19"/>
        <v>0</v>
      </c>
      <c r="DI49">
        <f t="shared" si="6"/>
        <v>0</v>
      </c>
      <c r="DJ49">
        <f>DF49</f>
        <v>1.3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ROW(Source!A34)</f>
        <v>34</v>
      </c>
      <c r="B50">
        <v>85739205</v>
      </c>
      <c r="C50">
        <v>85739519</v>
      </c>
      <c r="D50">
        <v>85199398</v>
      </c>
      <c r="E50">
        <v>1</v>
      </c>
      <c r="F50">
        <v>1</v>
      </c>
      <c r="G50">
        <v>1081</v>
      </c>
      <c r="H50">
        <v>3</v>
      </c>
      <c r="I50" t="s">
        <v>522</v>
      </c>
      <c r="J50" t="s">
        <v>523</v>
      </c>
      <c r="K50" t="s">
        <v>524</v>
      </c>
      <c r="L50">
        <v>1346</v>
      </c>
      <c r="N50">
        <v>1009</v>
      </c>
      <c r="O50" t="s">
        <v>502</v>
      </c>
      <c r="P50" t="s">
        <v>502</v>
      </c>
      <c r="Q50">
        <v>1</v>
      </c>
      <c r="W50">
        <v>0</v>
      </c>
      <c r="X50">
        <v>488689173</v>
      </c>
      <c r="Y50">
        <f t="shared" si="22"/>
        <v>0.04</v>
      </c>
      <c r="AA50">
        <v>20.190000000000001</v>
      </c>
      <c r="AB50">
        <v>0</v>
      </c>
      <c r="AC50">
        <v>0</v>
      </c>
      <c r="AD50">
        <v>0</v>
      </c>
      <c r="AE50">
        <v>20.190000000000001</v>
      </c>
      <c r="AF50">
        <v>0</v>
      </c>
      <c r="AG50">
        <v>0</v>
      </c>
      <c r="AH50">
        <v>0</v>
      </c>
      <c r="AI50">
        <v>1</v>
      </c>
      <c r="AJ50">
        <v>1</v>
      </c>
      <c r="AK50">
        <v>1</v>
      </c>
      <c r="AL50">
        <v>1</v>
      </c>
      <c r="AM50">
        <v>-2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0.04</v>
      </c>
      <c r="AU50" t="s">
        <v>3</v>
      </c>
      <c r="AV50">
        <v>0</v>
      </c>
      <c r="AW50">
        <v>2</v>
      </c>
      <c r="AX50">
        <v>85739547</v>
      </c>
      <c r="AY50">
        <v>1</v>
      </c>
      <c r="AZ50">
        <v>0</v>
      </c>
      <c r="BA50">
        <v>54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v>0</v>
      </c>
      <c r="CX50">
        <f>ROUND(Y50*Source!I34,9)</f>
        <v>0.04</v>
      </c>
      <c r="CY50">
        <f>AA50</f>
        <v>20.190000000000001</v>
      </c>
      <c r="CZ50">
        <f>AE50</f>
        <v>20.190000000000001</v>
      </c>
      <c r="DA50">
        <f>AI50</f>
        <v>1</v>
      </c>
      <c r="DB50">
        <f t="shared" si="23"/>
        <v>0.81</v>
      </c>
      <c r="DC50">
        <f t="shared" si="24"/>
        <v>0</v>
      </c>
      <c r="DD50" t="s">
        <v>3</v>
      </c>
      <c r="DE50" t="s">
        <v>3</v>
      </c>
      <c r="DF50">
        <f t="shared" si="21"/>
        <v>0.81</v>
      </c>
      <c r="DG50">
        <f t="shared" si="20"/>
        <v>0</v>
      </c>
      <c r="DH50">
        <f t="shared" si="19"/>
        <v>0</v>
      </c>
      <c r="DI50">
        <f t="shared" si="6"/>
        <v>0</v>
      </c>
      <c r="DJ50">
        <f>DF50</f>
        <v>0.81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ROW(Source!A35)</f>
        <v>35</v>
      </c>
      <c r="B51">
        <v>85739207</v>
      </c>
      <c r="C51">
        <v>85739519</v>
      </c>
      <c r="D51">
        <v>85164021</v>
      </c>
      <c r="E51">
        <v>1081</v>
      </c>
      <c r="F51">
        <v>1</v>
      </c>
      <c r="G51">
        <v>1081</v>
      </c>
      <c r="H51">
        <v>1</v>
      </c>
      <c r="I51" t="s">
        <v>472</v>
      </c>
      <c r="J51" t="s">
        <v>3</v>
      </c>
      <c r="K51" t="s">
        <v>473</v>
      </c>
      <c r="L51">
        <v>1191</v>
      </c>
      <c r="N51">
        <v>1013</v>
      </c>
      <c r="O51" t="s">
        <v>474</v>
      </c>
      <c r="P51" t="s">
        <v>474</v>
      </c>
      <c r="Q51">
        <v>1</v>
      </c>
      <c r="W51">
        <v>0</v>
      </c>
      <c r="X51">
        <v>476480486</v>
      </c>
      <c r="Y51">
        <f t="shared" si="22"/>
        <v>3.63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1</v>
      </c>
      <c r="AK51">
        <v>1</v>
      </c>
      <c r="AL51">
        <v>1</v>
      </c>
      <c r="AM51">
        <v>5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3.63</v>
      </c>
      <c r="AU51" t="s">
        <v>3</v>
      </c>
      <c r="AV51">
        <v>1</v>
      </c>
      <c r="AW51">
        <v>2</v>
      </c>
      <c r="AX51">
        <v>85739540</v>
      </c>
      <c r="AY51">
        <v>1</v>
      </c>
      <c r="AZ51">
        <v>0</v>
      </c>
      <c r="BA51">
        <v>56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U51">
        <f>ROUND(AT51*Source!I35*AH51*AL51,2)</f>
        <v>0</v>
      </c>
      <c r="CV51">
        <f>ROUND(Y51*Source!I35,9)</f>
        <v>3.63</v>
      </c>
      <c r="CW51">
        <v>0</v>
      </c>
      <c r="CX51">
        <f>ROUND(Y51*Source!I35,9)</f>
        <v>3.63</v>
      </c>
      <c r="CY51">
        <f>AD51</f>
        <v>0</v>
      </c>
      <c r="CZ51">
        <f>AH51</f>
        <v>0</v>
      </c>
      <c r="DA51">
        <f>AL51</f>
        <v>1</v>
      </c>
      <c r="DB51">
        <f t="shared" si="23"/>
        <v>0</v>
      </c>
      <c r="DC51">
        <f t="shared" si="24"/>
        <v>0</v>
      </c>
      <c r="DD51" t="s">
        <v>3</v>
      </c>
      <c r="DE51" t="s">
        <v>3</v>
      </c>
      <c r="DF51">
        <f t="shared" si="21"/>
        <v>0</v>
      </c>
      <c r="DG51">
        <f t="shared" si="20"/>
        <v>0</v>
      </c>
      <c r="DH51">
        <f t="shared" si="19"/>
        <v>0</v>
      </c>
      <c r="DI51">
        <f t="shared" si="6"/>
        <v>0</v>
      </c>
      <c r="DJ51">
        <f>DI51</f>
        <v>0</v>
      </c>
      <c r="DK51">
        <v>0</v>
      </c>
      <c r="DL51" t="s">
        <v>3</v>
      </c>
      <c r="DM51">
        <v>0</v>
      </c>
      <c r="DN51" t="s">
        <v>3</v>
      </c>
      <c r="DO51">
        <v>0</v>
      </c>
    </row>
    <row r="52" spans="1:119" x14ac:dyDescent="0.2">
      <c r="A52">
        <f>ROW(Source!A35)</f>
        <v>35</v>
      </c>
      <c r="B52">
        <v>85739207</v>
      </c>
      <c r="C52">
        <v>85739519</v>
      </c>
      <c r="D52">
        <v>85229587</v>
      </c>
      <c r="E52">
        <v>1</v>
      </c>
      <c r="F52">
        <v>1</v>
      </c>
      <c r="G52">
        <v>1081</v>
      </c>
      <c r="H52">
        <v>2</v>
      </c>
      <c r="I52" t="s">
        <v>507</v>
      </c>
      <c r="J52" t="s">
        <v>508</v>
      </c>
      <c r="K52" t="s">
        <v>509</v>
      </c>
      <c r="L52">
        <v>1368</v>
      </c>
      <c r="N52">
        <v>1011</v>
      </c>
      <c r="O52" t="s">
        <v>478</v>
      </c>
      <c r="P52" t="s">
        <v>478</v>
      </c>
      <c r="Q52">
        <v>1</v>
      </c>
      <c r="W52">
        <v>0</v>
      </c>
      <c r="X52">
        <v>-286665822</v>
      </c>
      <c r="Y52">
        <f t="shared" si="22"/>
        <v>0.4</v>
      </c>
      <c r="AA52">
        <v>0</v>
      </c>
      <c r="AB52">
        <v>71.790000000000006</v>
      </c>
      <c r="AC52">
        <v>0</v>
      </c>
      <c r="AD52">
        <v>0</v>
      </c>
      <c r="AE52">
        <v>0</v>
      </c>
      <c r="AF52">
        <v>5.78</v>
      </c>
      <c r="AG52">
        <v>0</v>
      </c>
      <c r="AH52">
        <v>0</v>
      </c>
      <c r="AI52">
        <v>1</v>
      </c>
      <c r="AJ52">
        <v>11.64</v>
      </c>
      <c r="AK52">
        <v>1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0.4</v>
      </c>
      <c r="AU52" t="s">
        <v>3</v>
      </c>
      <c r="AV52">
        <v>0</v>
      </c>
      <c r="AW52">
        <v>2</v>
      </c>
      <c r="AX52">
        <v>85739541</v>
      </c>
      <c r="AY52">
        <v>1</v>
      </c>
      <c r="AZ52">
        <v>0</v>
      </c>
      <c r="BA52">
        <v>57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f>ROUND(Y52*Source!I35*DO52,9)</f>
        <v>0</v>
      </c>
      <c r="CX52">
        <f>ROUND(Y52*Source!I35,9)</f>
        <v>0.4</v>
      </c>
      <c r="CY52">
        <f>AB52</f>
        <v>71.790000000000006</v>
      </c>
      <c r="CZ52">
        <f>AF52</f>
        <v>5.78</v>
      </c>
      <c r="DA52">
        <f>AJ52</f>
        <v>11.64</v>
      </c>
      <c r="DB52">
        <f t="shared" si="23"/>
        <v>2.31</v>
      </c>
      <c r="DC52">
        <f t="shared" si="24"/>
        <v>0</v>
      </c>
      <c r="DD52" t="s">
        <v>3</v>
      </c>
      <c r="DE52" t="s">
        <v>3</v>
      </c>
      <c r="DF52">
        <f t="shared" si="21"/>
        <v>0</v>
      </c>
      <c r="DG52">
        <f>ROUND(ROUND(AF52*AJ52,2)*CX52,2)</f>
        <v>26.91</v>
      </c>
      <c r="DH52">
        <f t="shared" si="19"/>
        <v>0</v>
      </c>
      <c r="DI52">
        <f t="shared" si="6"/>
        <v>0</v>
      </c>
      <c r="DJ52">
        <f>DG52</f>
        <v>26.91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ROW(Source!A35)</f>
        <v>35</v>
      </c>
      <c r="B53">
        <v>85739207</v>
      </c>
      <c r="C53">
        <v>85739519</v>
      </c>
      <c r="D53">
        <v>85229932</v>
      </c>
      <c r="E53">
        <v>1</v>
      </c>
      <c r="F53">
        <v>1</v>
      </c>
      <c r="G53">
        <v>1081</v>
      </c>
      <c r="H53">
        <v>2</v>
      </c>
      <c r="I53" t="s">
        <v>482</v>
      </c>
      <c r="J53" t="s">
        <v>483</v>
      </c>
      <c r="K53" t="s">
        <v>484</v>
      </c>
      <c r="L53">
        <v>1368</v>
      </c>
      <c r="N53">
        <v>1011</v>
      </c>
      <c r="O53" t="s">
        <v>478</v>
      </c>
      <c r="P53" t="s">
        <v>478</v>
      </c>
      <c r="Q53">
        <v>1</v>
      </c>
      <c r="W53">
        <v>0</v>
      </c>
      <c r="X53">
        <v>874612079</v>
      </c>
      <c r="Y53">
        <f t="shared" si="22"/>
        <v>0.02</v>
      </c>
      <c r="AA53">
        <v>0</v>
      </c>
      <c r="AB53">
        <v>1513.56</v>
      </c>
      <c r="AC53">
        <v>758.78</v>
      </c>
      <c r="AD53">
        <v>0</v>
      </c>
      <c r="AE53">
        <v>0</v>
      </c>
      <c r="AF53">
        <v>83.1</v>
      </c>
      <c r="AG53">
        <v>12.62</v>
      </c>
      <c r="AH53">
        <v>0</v>
      </c>
      <c r="AI53">
        <v>1</v>
      </c>
      <c r="AJ53">
        <v>17.07</v>
      </c>
      <c r="AK53">
        <v>56.35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0.02</v>
      </c>
      <c r="AU53" t="s">
        <v>3</v>
      </c>
      <c r="AV53">
        <v>0</v>
      </c>
      <c r="AW53">
        <v>2</v>
      </c>
      <c r="AX53">
        <v>85739542</v>
      </c>
      <c r="AY53">
        <v>1</v>
      </c>
      <c r="AZ53">
        <v>0</v>
      </c>
      <c r="BA53">
        <v>58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ROUND(Y53*Source!I35*DO53,9)</f>
        <v>0.25240000000000001</v>
      </c>
      <c r="CX53">
        <f>ROUND(Y53*Source!I35,9)</f>
        <v>0.02</v>
      </c>
      <c r="CY53">
        <f>AB53</f>
        <v>1513.56</v>
      </c>
      <c r="CZ53">
        <f>AF53</f>
        <v>83.1</v>
      </c>
      <c r="DA53">
        <f>AJ53</f>
        <v>17.07</v>
      </c>
      <c r="DB53">
        <f t="shared" si="23"/>
        <v>1.66</v>
      </c>
      <c r="DC53">
        <f t="shared" si="24"/>
        <v>0.25</v>
      </c>
      <c r="DD53" t="s">
        <v>3</v>
      </c>
      <c r="DE53" t="s">
        <v>3</v>
      </c>
      <c r="DF53">
        <f t="shared" si="21"/>
        <v>0</v>
      </c>
      <c r="DG53">
        <f>ROUND(ROUND(AF53*AJ53,2)*CX53,2)</f>
        <v>28.37</v>
      </c>
      <c r="DH53">
        <f>ROUND(ROUND(AG53*AK53,2)*CX53,2)</f>
        <v>14.22</v>
      </c>
      <c r="DI53">
        <f t="shared" si="6"/>
        <v>0</v>
      </c>
      <c r="DJ53">
        <f>DG53</f>
        <v>28.37</v>
      </c>
      <c r="DK53">
        <v>0</v>
      </c>
      <c r="DL53" t="s">
        <v>485</v>
      </c>
      <c r="DM53">
        <v>0</v>
      </c>
      <c r="DN53" t="s">
        <v>474</v>
      </c>
      <c r="DO53">
        <v>12.62</v>
      </c>
    </row>
    <row r="54" spans="1:119" x14ac:dyDescent="0.2">
      <c r="A54">
        <f>ROW(Source!A35)</f>
        <v>35</v>
      </c>
      <c r="B54">
        <v>85739207</v>
      </c>
      <c r="C54">
        <v>85739519</v>
      </c>
      <c r="D54">
        <v>85229166</v>
      </c>
      <c r="E54">
        <v>1</v>
      </c>
      <c r="F54">
        <v>1</v>
      </c>
      <c r="G54">
        <v>1081</v>
      </c>
      <c r="H54">
        <v>2</v>
      </c>
      <c r="I54" t="s">
        <v>510</v>
      </c>
      <c r="J54" t="s">
        <v>511</v>
      </c>
      <c r="K54" t="s">
        <v>512</v>
      </c>
      <c r="L54">
        <v>1368</v>
      </c>
      <c r="N54">
        <v>1011</v>
      </c>
      <c r="O54" t="s">
        <v>478</v>
      </c>
      <c r="P54" t="s">
        <v>478</v>
      </c>
      <c r="Q54">
        <v>1</v>
      </c>
      <c r="W54">
        <v>0</v>
      </c>
      <c r="X54">
        <v>-44940208</v>
      </c>
      <c r="Y54">
        <f t="shared" si="22"/>
        <v>0.02</v>
      </c>
      <c r="AA54">
        <v>0</v>
      </c>
      <c r="AB54">
        <v>2758.65</v>
      </c>
      <c r="AC54">
        <v>1017.92</v>
      </c>
      <c r="AD54">
        <v>0</v>
      </c>
      <c r="AE54">
        <v>0</v>
      </c>
      <c r="AF54">
        <v>179.17</v>
      </c>
      <c r="AG54">
        <v>16.93</v>
      </c>
      <c r="AH54">
        <v>0</v>
      </c>
      <c r="AI54">
        <v>1</v>
      </c>
      <c r="AJ54">
        <v>14.43</v>
      </c>
      <c r="AK54">
        <v>56.35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0.02</v>
      </c>
      <c r="AU54" t="s">
        <v>3</v>
      </c>
      <c r="AV54">
        <v>0</v>
      </c>
      <c r="AW54">
        <v>2</v>
      </c>
      <c r="AX54">
        <v>85739543</v>
      </c>
      <c r="AY54">
        <v>1</v>
      </c>
      <c r="AZ54">
        <v>0</v>
      </c>
      <c r="BA54">
        <v>59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f>ROUND(Y54*Source!I35*DO54,9)</f>
        <v>0.33860000000000001</v>
      </c>
      <c r="CX54">
        <f>ROUND(Y54*Source!I35,9)</f>
        <v>0.02</v>
      </c>
      <c r="CY54">
        <f>AB54</f>
        <v>2758.65</v>
      </c>
      <c r="CZ54">
        <f>AF54</f>
        <v>179.17</v>
      </c>
      <c r="DA54">
        <f>AJ54</f>
        <v>14.43</v>
      </c>
      <c r="DB54">
        <f t="shared" si="23"/>
        <v>3.58</v>
      </c>
      <c r="DC54">
        <f t="shared" si="24"/>
        <v>0.34</v>
      </c>
      <c r="DD54" t="s">
        <v>3</v>
      </c>
      <c r="DE54" t="s">
        <v>3</v>
      </c>
      <c r="DF54">
        <f t="shared" si="21"/>
        <v>0</v>
      </c>
      <c r="DG54">
        <f>ROUND(ROUND(AF54*AJ54,2)*CX54,2)</f>
        <v>51.71</v>
      </c>
      <c r="DH54">
        <f>ROUND(ROUND(AG54*AK54,2)*CX54,2)</f>
        <v>19.079999999999998</v>
      </c>
      <c r="DI54">
        <f t="shared" si="6"/>
        <v>0</v>
      </c>
      <c r="DJ54">
        <f>DG54</f>
        <v>51.71</v>
      </c>
      <c r="DK54">
        <v>0</v>
      </c>
      <c r="DL54" t="s">
        <v>485</v>
      </c>
      <c r="DM54">
        <v>0</v>
      </c>
      <c r="DN54" t="s">
        <v>474</v>
      </c>
      <c r="DO54">
        <v>16.93</v>
      </c>
    </row>
    <row r="55" spans="1:119" x14ac:dyDescent="0.2">
      <c r="A55">
        <f>ROW(Source!A35)</f>
        <v>35</v>
      </c>
      <c r="B55">
        <v>85739207</v>
      </c>
      <c r="C55">
        <v>85739519</v>
      </c>
      <c r="D55">
        <v>85198960</v>
      </c>
      <c r="E55">
        <v>1</v>
      </c>
      <c r="F55">
        <v>1</v>
      </c>
      <c r="G55">
        <v>1081</v>
      </c>
      <c r="H55">
        <v>3</v>
      </c>
      <c r="I55" t="s">
        <v>513</v>
      </c>
      <c r="J55" t="s">
        <v>514</v>
      </c>
      <c r="K55" t="s">
        <v>515</v>
      </c>
      <c r="L55">
        <v>1339</v>
      </c>
      <c r="N55">
        <v>1007</v>
      </c>
      <c r="O55" t="s">
        <v>506</v>
      </c>
      <c r="P55" t="s">
        <v>506</v>
      </c>
      <c r="Q55">
        <v>1</v>
      </c>
      <c r="W55">
        <v>0</v>
      </c>
      <c r="X55">
        <v>-1622585150</v>
      </c>
      <c r="Y55">
        <f t="shared" si="22"/>
        <v>0.08</v>
      </c>
      <c r="AA55">
        <v>54.79</v>
      </c>
      <c r="AB55">
        <v>0</v>
      </c>
      <c r="AC55">
        <v>0</v>
      </c>
      <c r="AD55">
        <v>0</v>
      </c>
      <c r="AE55">
        <v>7.07</v>
      </c>
      <c r="AF55">
        <v>0</v>
      </c>
      <c r="AG55">
        <v>0</v>
      </c>
      <c r="AH55">
        <v>0</v>
      </c>
      <c r="AI55">
        <v>7.75</v>
      </c>
      <c r="AJ55">
        <v>1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0.08</v>
      </c>
      <c r="AU55" t="s">
        <v>3</v>
      </c>
      <c r="AV55">
        <v>0</v>
      </c>
      <c r="AW55">
        <v>2</v>
      </c>
      <c r="AX55">
        <v>85739544</v>
      </c>
      <c r="AY55">
        <v>1</v>
      </c>
      <c r="AZ55">
        <v>0</v>
      </c>
      <c r="BA55">
        <v>60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ROUND(Y55*Source!I35,9)</f>
        <v>0.08</v>
      </c>
      <c r="CY55">
        <f>AA55</f>
        <v>54.79</v>
      </c>
      <c r="CZ55">
        <f>AE55</f>
        <v>7.07</v>
      </c>
      <c r="DA55">
        <f>AI55</f>
        <v>7.75</v>
      </c>
      <c r="DB55">
        <f t="shared" si="23"/>
        <v>0.56999999999999995</v>
      </c>
      <c r="DC55">
        <f t="shared" si="24"/>
        <v>0</v>
      </c>
      <c r="DD55" t="s">
        <v>3</v>
      </c>
      <c r="DE55" t="s">
        <v>3</v>
      </c>
      <c r="DF55">
        <f>ROUND(ROUND(AE55*AI55,2)*CX55,2)</f>
        <v>4.38</v>
      </c>
      <c r="DG55">
        <f t="shared" ref="DG55:DG66" si="25">ROUND(ROUND(AF55,2)*CX55,2)</f>
        <v>0</v>
      </c>
      <c r="DH55">
        <f t="shared" ref="DH55:DH66" si="26">ROUND(ROUND(AG55,2)*CX55,2)</f>
        <v>0</v>
      </c>
      <c r="DI55">
        <f t="shared" si="6"/>
        <v>0</v>
      </c>
      <c r="DJ55">
        <f>DF55</f>
        <v>4.38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ROW(Source!A35)</f>
        <v>35</v>
      </c>
      <c r="B56">
        <v>85739207</v>
      </c>
      <c r="C56">
        <v>85739519</v>
      </c>
      <c r="D56">
        <v>85200671</v>
      </c>
      <c r="E56">
        <v>1</v>
      </c>
      <c r="F56">
        <v>1</v>
      </c>
      <c r="G56">
        <v>1081</v>
      </c>
      <c r="H56">
        <v>3</v>
      </c>
      <c r="I56" t="s">
        <v>516</v>
      </c>
      <c r="J56" t="s">
        <v>517</v>
      </c>
      <c r="K56" t="s">
        <v>518</v>
      </c>
      <c r="L56">
        <v>1346</v>
      </c>
      <c r="N56">
        <v>1009</v>
      </c>
      <c r="O56" t="s">
        <v>502</v>
      </c>
      <c r="P56" t="s">
        <v>502</v>
      </c>
      <c r="Q56">
        <v>1</v>
      </c>
      <c r="W56">
        <v>0</v>
      </c>
      <c r="X56">
        <v>1021383118</v>
      </c>
      <c r="Y56">
        <f t="shared" si="22"/>
        <v>0.04</v>
      </c>
      <c r="AA56">
        <v>315.23</v>
      </c>
      <c r="AB56">
        <v>0</v>
      </c>
      <c r="AC56">
        <v>0</v>
      </c>
      <c r="AD56">
        <v>0</v>
      </c>
      <c r="AE56">
        <v>37.979999999999997</v>
      </c>
      <c r="AF56">
        <v>0</v>
      </c>
      <c r="AG56">
        <v>0</v>
      </c>
      <c r="AH56">
        <v>0</v>
      </c>
      <c r="AI56">
        <v>8.3000000000000007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0.04</v>
      </c>
      <c r="AU56" t="s">
        <v>3</v>
      </c>
      <c r="AV56">
        <v>0</v>
      </c>
      <c r="AW56">
        <v>2</v>
      </c>
      <c r="AX56">
        <v>85739545</v>
      </c>
      <c r="AY56">
        <v>1</v>
      </c>
      <c r="AZ56">
        <v>0</v>
      </c>
      <c r="BA56">
        <v>61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ROUND(Y56*Source!I35,9)</f>
        <v>0.04</v>
      </c>
      <c r="CY56">
        <f>AA56</f>
        <v>315.23</v>
      </c>
      <c r="CZ56">
        <f>AE56</f>
        <v>37.979999999999997</v>
      </c>
      <c r="DA56">
        <f>AI56</f>
        <v>8.3000000000000007</v>
      </c>
      <c r="DB56">
        <f t="shared" si="23"/>
        <v>1.52</v>
      </c>
      <c r="DC56">
        <f t="shared" si="24"/>
        <v>0</v>
      </c>
      <c r="DD56" t="s">
        <v>3</v>
      </c>
      <c r="DE56" t="s">
        <v>3</v>
      </c>
      <c r="DF56">
        <f>ROUND(ROUND(AE56*AI56,2)*CX56,2)</f>
        <v>12.61</v>
      </c>
      <c r="DG56">
        <f t="shared" si="25"/>
        <v>0</v>
      </c>
      <c r="DH56">
        <f t="shared" si="26"/>
        <v>0</v>
      </c>
      <c r="DI56">
        <f t="shared" si="6"/>
        <v>0</v>
      </c>
      <c r="DJ56">
        <f>DF56</f>
        <v>12.61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ROW(Source!A35)</f>
        <v>35</v>
      </c>
      <c r="B57">
        <v>85739207</v>
      </c>
      <c r="C57">
        <v>85739519</v>
      </c>
      <c r="D57">
        <v>85199230</v>
      </c>
      <c r="E57">
        <v>1</v>
      </c>
      <c r="F57">
        <v>1</v>
      </c>
      <c r="G57">
        <v>1081</v>
      </c>
      <c r="H57">
        <v>3</v>
      </c>
      <c r="I57" t="s">
        <v>519</v>
      </c>
      <c r="J57" t="s">
        <v>520</v>
      </c>
      <c r="K57" t="s">
        <v>521</v>
      </c>
      <c r="L57">
        <v>1348</v>
      </c>
      <c r="N57">
        <v>1009</v>
      </c>
      <c r="O57" t="s">
        <v>266</v>
      </c>
      <c r="P57" t="s">
        <v>266</v>
      </c>
      <c r="Q57">
        <v>1000</v>
      </c>
      <c r="W57">
        <v>0</v>
      </c>
      <c r="X57">
        <v>1270042986</v>
      </c>
      <c r="Y57">
        <f t="shared" si="22"/>
        <v>8.0000000000000007E-5</v>
      </c>
      <c r="AA57">
        <v>55941.2</v>
      </c>
      <c r="AB57">
        <v>0</v>
      </c>
      <c r="AC57">
        <v>0</v>
      </c>
      <c r="AD57">
        <v>0</v>
      </c>
      <c r="AE57">
        <v>16214.84</v>
      </c>
      <c r="AF57">
        <v>0</v>
      </c>
      <c r="AG57">
        <v>0</v>
      </c>
      <c r="AH57">
        <v>0</v>
      </c>
      <c r="AI57">
        <v>3.45</v>
      </c>
      <c r="AJ57">
        <v>1</v>
      </c>
      <c r="AK57">
        <v>1</v>
      </c>
      <c r="AL57">
        <v>1</v>
      </c>
      <c r="AM57">
        <v>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8.0000000000000007E-5</v>
      </c>
      <c r="AU57" t="s">
        <v>3</v>
      </c>
      <c r="AV57">
        <v>0</v>
      </c>
      <c r="AW57">
        <v>2</v>
      </c>
      <c r="AX57">
        <v>85739546</v>
      </c>
      <c r="AY57">
        <v>1</v>
      </c>
      <c r="AZ57">
        <v>0</v>
      </c>
      <c r="BA57">
        <v>62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V57">
        <v>0</v>
      </c>
      <c r="CW57">
        <v>0</v>
      </c>
      <c r="CX57">
        <f>ROUND(Y57*Source!I35,9)</f>
        <v>8.0000000000000007E-5</v>
      </c>
      <c r="CY57">
        <f>AA57</f>
        <v>55941.2</v>
      </c>
      <c r="CZ57">
        <f>AE57</f>
        <v>16214.84</v>
      </c>
      <c r="DA57">
        <f>AI57</f>
        <v>3.45</v>
      </c>
      <c r="DB57">
        <f t="shared" si="23"/>
        <v>1.3</v>
      </c>
      <c r="DC57">
        <f t="shared" si="24"/>
        <v>0</v>
      </c>
      <c r="DD57" t="s">
        <v>3</v>
      </c>
      <c r="DE57" t="s">
        <v>3</v>
      </c>
      <c r="DF57">
        <f>ROUND(ROUND(AE57*AI57,2)*CX57,2)</f>
        <v>4.4800000000000004</v>
      </c>
      <c r="DG57">
        <f t="shared" si="25"/>
        <v>0</v>
      </c>
      <c r="DH57">
        <f t="shared" si="26"/>
        <v>0</v>
      </c>
      <c r="DI57">
        <f t="shared" si="6"/>
        <v>0</v>
      </c>
      <c r="DJ57">
        <f>DF57</f>
        <v>4.4800000000000004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ROW(Source!A35)</f>
        <v>35</v>
      </c>
      <c r="B58">
        <v>85739207</v>
      </c>
      <c r="C58">
        <v>85739519</v>
      </c>
      <c r="D58">
        <v>85199398</v>
      </c>
      <c r="E58">
        <v>1</v>
      </c>
      <c r="F58">
        <v>1</v>
      </c>
      <c r="G58">
        <v>1081</v>
      </c>
      <c r="H58">
        <v>3</v>
      </c>
      <c r="I58" t="s">
        <v>522</v>
      </c>
      <c r="J58" t="s">
        <v>523</v>
      </c>
      <c r="K58" t="s">
        <v>524</v>
      </c>
      <c r="L58">
        <v>1346</v>
      </c>
      <c r="N58">
        <v>1009</v>
      </c>
      <c r="O58" t="s">
        <v>502</v>
      </c>
      <c r="P58" t="s">
        <v>502</v>
      </c>
      <c r="Q58">
        <v>1</v>
      </c>
      <c r="W58">
        <v>0</v>
      </c>
      <c r="X58">
        <v>488689173</v>
      </c>
      <c r="Y58">
        <f t="shared" si="22"/>
        <v>0.04</v>
      </c>
      <c r="AA58">
        <v>85.81</v>
      </c>
      <c r="AB58">
        <v>0</v>
      </c>
      <c r="AC58">
        <v>0</v>
      </c>
      <c r="AD58">
        <v>0</v>
      </c>
      <c r="AE58">
        <v>20.190000000000001</v>
      </c>
      <c r="AF58">
        <v>0</v>
      </c>
      <c r="AG58">
        <v>0</v>
      </c>
      <c r="AH58">
        <v>0</v>
      </c>
      <c r="AI58">
        <v>4.25</v>
      </c>
      <c r="AJ58">
        <v>1</v>
      </c>
      <c r="AK58">
        <v>1</v>
      </c>
      <c r="AL58">
        <v>1</v>
      </c>
      <c r="AM58">
        <v>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0.04</v>
      </c>
      <c r="AU58" t="s">
        <v>3</v>
      </c>
      <c r="AV58">
        <v>0</v>
      </c>
      <c r="AW58">
        <v>2</v>
      </c>
      <c r="AX58">
        <v>85739547</v>
      </c>
      <c r="AY58">
        <v>1</v>
      </c>
      <c r="AZ58">
        <v>0</v>
      </c>
      <c r="BA58">
        <v>63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v>0</v>
      </c>
      <c r="CX58">
        <f>ROUND(Y58*Source!I35,9)</f>
        <v>0.04</v>
      </c>
      <c r="CY58">
        <f>AA58</f>
        <v>85.81</v>
      </c>
      <c r="CZ58">
        <f>AE58</f>
        <v>20.190000000000001</v>
      </c>
      <c r="DA58">
        <f>AI58</f>
        <v>4.25</v>
      </c>
      <c r="DB58">
        <f t="shared" si="23"/>
        <v>0.81</v>
      </c>
      <c r="DC58">
        <f t="shared" si="24"/>
        <v>0</v>
      </c>
      <c r="DD58" t="s">
        <v>3</v>
      </c>
      <c r="DE58" t="s">
        <v>3</v>
      </c>
      <c r="DF58">
        <f>ROUND(ROUND(AE58*AI58,2)*CX58,2)</f>
        <v>3.43</v>
      </c>
      <c r="DG58">
        <f t="shared" si="25"/>
        <v>0</v>
      </c>
      <c r="DH58">
        <f t="shared" si="26"/>
        <v>0</v>
      </c>
      <c r="DI58">
        <f t="shared" si="6"/>
        <v>0</v>
      </c>
      <c r="DJ58">
        <f>DF58</f>
        <v>3.43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ROW(Source!A36)</f>
        <v>36</v>
      </c>
      <c r="B59">
        <v>85739205</v>
      </c>
      <c r="C59">
        <v>85739480</v>
      </c>
      <c r="D59">
        <v>85164021</v>
      </c>
      <c r="E59">
        <v>1081</v>
      </c>
      <c r="F59">
        <v>1</v>
      </c>
      <c r="G59">
        <v>1081</v>
      </c>
      <c r="H59">
        <v>1</v>
      </c>
      <c r="I59" t="s">
        <v>472</v>
      </c>
      <c r="J59" t="s">
        <v>3</v>
      </c>
      <c r="K59" t="s">
        <v>473</v>
      </c>
      <c r="L59">
        <v>1191</v>
      </c>
      <c r="N59">
        <v>1013</v>
      </c>
      <c r="O59" t="s">
        <v>474</v>
      </c>
      <c r="P59" t="s">
        <v>474</v>
      </c>
      <c r="Q59">
        <v>1</v>
      </c>
      <c r="W59">
        <v>0</v>
      </c>
      <c r="X59">
        <v>476480486</v>
      </c>
      <c r="Y59">
        <f>(AT59*1.2)</f>
        <v>2.472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2.06</v>
      </c>
      <c r="AU59" t="s">
        <v>36</v>
      </c>
      <c r="AV59">
        <v>1</v>
      </c>
      <c r="AW59">
        <v>2</v>
      </c>
      <c r="AX59">
        <v>85739505</v>
      </c>
      <c r="AY59">
        <v>1</v>
      </c>
      <c r="AZ59">
        <v>0</v>
      </c>
      <c r="BA59">
        <v>65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U59">
        <f>ROUND(AT59*Source!I36*AH59*AL59,2)</f>
        <v>0</v>
      </c>
      <c r="CV59">
        <f>ROUND(Y59*Source!I36,9)</f>
        <v>2.472</v>
      </c>
      <c r="CW59">
        <v>0</v>
      </c>
      <c r="CX59">
        <f>ROUND(Y59*Source!I36,9)</f>
        <v>2.472</v>
      </c>
      <c r="CY59">
        <f>AD59</f>
        <v>0</v>
      </c>
      <c r="CZ59">
        <f>AH59</f>
        <v>0</v>
      </c>
      <c r="DA59">
        <f>AL59</f>
        <v>1</v>
      </c>
      <c r="DB59">
        <f>ROUND((ROUND(AT59*CZ59,2)*1.2),6)</f>
        <v>0</v>
      </c>
      <c r="DC59">
        <f>ROUND((ROUND(AT59*AG59,2)*1.2),6)</f>
        <v>0</v>
      </c>
      <c r="DD59" t="s">
        <v>3</v>
      </c>
      <c r="DE59" t="s">
        <v>3</v>
      </c>
      <c r="DF59">
        <f t="shared" ref="DF59:DF70" si="27">ROUND(ROUND(AE59,2)*CX59,2)</f>
        <v>0</v>
      </c>
      <c r="DG59">
        <f t="shared" si="25"/>
        <v>0</v>
      </c>
      <c r="DH59">
        <f t="shared" si="26"/>
        <v>0</v>
      </c>
      <c r="DI59">
        <f t="shared" si="6"/>
        <v>0</v>
      </c>
      <c r="DJ59">
        <f>DI59</f>
        <v>0</v>
      </c>
      <c r="DK59">
        <v>0</v>
      </c>
      <c r="DL59" t="s">
        <v>3</v>
      </c>
      <c r="DM59">
        <v>0</v>
      </c>
      <c r="DN59" t="s">
        <v>3</v>
      </c>
      <c r="DO59">
        <v>0</v>
      </c>
    </row>
    <row r="60" spans="1:119" x14ac:dyDescent="0.2">
      <c r="A60">
        <f>ROW(Source!A36)</f>
        <v>36</v>
      </c>
      <c r="B60">
        <v>85739205</v>
      </c>
      <c r="C60">
        <v>85739480</v>
      </c>
      <c r="D60">
        <v>85229526</v>
      </c>
      <c r="E60">
        <v>1</v>
      </c>
      <c r="F60">
        <v>1</v>
      </c>
      <c r="G60">
        <v>1081</v>
      </c>
      <c r="H60">
        <v>2</v>
      </c>
      <c r="I60" t="s">
        <v>525</v>
      </c>
      <c r="J60" t="s">
        <v>526</v>
      </c>
      <c r="K60" t="s">
        <v>527</v>
      </c>
      <c r="L60">
        <v>1368</v>
      </c>
      <c r="N60">
        <v>1011</v>
      </c>
      <c r="O60" t="s">
        <v>478</v>
      </c>
      <c r="P60" t="s">
        <v>478</v>
      </c>
      <c r="Q60">
        <v>1</v>
      </c>
      <c r="W60">
        <v>0</v>
      </c>
      <c r="X60">
        <v>1752775000</v>
      </c>
      <c r="Y60">
        <f>(AT60*1.2)</f>
        <v>0.22799999999999998</v>
      </c>
      <c r="AA60">
        <v>0</v>
      </c>
      <c r="AB60">
        <v>43.4</v>
      </c>
      <c r="AC60">
        <v>13.21</v>
      </c>
      <c r="AD60">
        <v>0</v>
      </c>
      <c r="AE60">
        <v>0</v>
      </c>
      <c r="AF60">
        <v>41.45</v>
      </c>
      <c r="AG60">
        <v>12.62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-2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0.19</v>
      </c>
      <c r="AU60" t="s">
        <v>36</v>
      </c>
      <c r="AV60">
        <v>0</v>
      </c>
      <c r="AW60">
        <v>2</v>
      </c>
      <c r="AX60">
        <v>85739506</v>
      </c>
      <c r="AY60">
        <v>1</v>
      </c>
      <c r="AZ60">
        <v>0</v>
      </c>
      <c r="BA60">
        <v>66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f>ROUND(Y60*Source!I36*DO60,9)</f>
        <v>2.8773599999999999</v>
      </c>
      <c r="CX60">
        <f>ROUND(Y60*Source!I36,9)</f>
        <v>0.22800000000000001</v>
      </c>
      <c r="CY60">
        <f>AB60</f>
        <v>43.4</v>
      </c>
      <c r="CZ60">
        <f>AF60</f>
        <v>41.45</v>
      </c>
      <c r="DA60">
        <f>AJ60</f>
        <v>1</v>
      </c>
      <c r="DB60">
        <f>ROUND((ROUND(AT60*CZ60,2)*1.2),6)</f>
        <v>9.4559999999999995</v>
      </c>
      <c r="DC60">
        <f>ROUND((ROUND(AT60*AG60,2)*1.2),6)</f>
        <v>2.88</v>
      </c>
      <c r="DD60" t="s">
        <v>3</v>
      </c>
      <c r="DE60" t="s">
        <v>3</v>
      </c>
      <c r="DF60">
        <f t="shared" si="27"/>
        <v>0</v>
      </c>
      <c r="DG60">
        <f t="shared" si="25"/>
        <v>9.4499999999999993</v>
      </c>
      <c r="DH60">
        <f t="shared" si="26"/>
        <v>2.88</v>
      </c>
      <c r="DI60">
        <f t="shared" si="6"/>
        <v>0</v>
      </c>
      <c r="DJ60">
        <f>DG60</f>
        <v>9.4499999999999993</v>
      </c>
      <c r="DK60">
        <v>0</v>
      </c>
      <c r="DL60" t="s">
        <v>485</v>
      </c>
      <c r="DM60">
        <v>0</v>
      </c>
      <c r="DN60" t="s">
        <v>474</v>
      </c>
      <c r="DO60">
        <v>12.62</v>
      </c>
    </row>
    <row r="61" spans="1:119" x14ac:dyDescent="0.2">
      <c r="A61">
        <f>ROW(Source!A36)</f>
        <v>36</v>
      </c>
      <c r="B61">
        <v>85739205</v>
      </c>
      <c r="C61">
        <v>85739480</v>
      </c>
      <c r="D61">
        <v>85229633</v>
      </c>
      <c r="E61">
        <v>1</v>
      </c>
      <c r="F61">
        <v>1</v>
      </c>
      <c r="G61">
        <v>1081</v>
      </c>
      <c r="H61">
        <v>2</v>
      </c>
      <c r="I61" t="s">
        <v>475</v>
      </c>
      <c r="J61" t="s">
        <v>476</v>
      </c>
      <c r="K61" t="s">
        <v>477</v>
      </c>
      <c r="L61">
        <v>1368</v>
      </c>
      <c r="N61">
        <v>1011</v>
      </c>
      <c r="O61" t="s">
        <v>478</v>
      </c>
      <c r="P61" t="s">
        <v>478</v>
      </c>
      <c r="Q61">
        <v>1</v>
      </c>
      <c r="W61">
        <v>0</v>
      </c>
      <c r="X61">
        <v>1498588441</v>
      </c>
      <c r="Y61">
        <f>(AT61*1.2)</f>
        <v>0.73199999999999998</v>
      </c>
      <c r="AA61">
        <v>0</v>
      </c>
      <c r="AB61">
        <v>7.44</v>
      </c>
      <c r="AC61">
        <v>0</v>
      </c>
      <c r="AD61">
        <v>0</v>
      </c>
      <c r="AE61">
        <v>0</v>
      </c>
      <c r="AF61">
        <v>7.11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0.61</v>
      </c>
      <c r="AU61" t="s">
        <v>36</v>
      </c>
      <c r="AV61">
        <v>0</v>
      </c>
      <c r="AW61">
        <v>2</v>
      </c>
      <c r="AX61">
        <v>85739507</v>
      </c>
      <c r="AY61">
        <v>1</v>
      </c>
      <c r="AZ61">
        <v>0</v>
      </c>
      <c r="BA61">
        <v>67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f>ROUND(Y61*Source!I36*DO61,9)</f>
        <v>0</v>
      </c>
      <c r="CX61">
        <f>ROUND(Y61*Source!I36,9)</f>
        <v>0.73199999999999998</v>
      </c>
      <c r="CY61">
        <f>AB61</f>
        <v>7.44</v>
      </c>
      <c r="CZ61">
        <f>AF61</f>
        <v>7.11</v>
      </c>
      <c r="DA61">
        <f>AJ61</f>
        <v>1</v>
      </c>
      <c r="DB61">
        <f>ROUND((ROUND(AT61*CZ61,2)*1.2),6)</f>
        <v>5.2080000000000002</v>
      </c>
      <c r="DC61">
        <f>ROUND((ROUND(AT61*AG61,2)*1.2),6)</f>
        <v>0</v>
      </c>
      <c r="DD61" t="s">
        <v>3</v>
      </c>
      <c r="DE61" t="s">
        <v>3</v>
      </c>
      <c r="DF61">
        <f t="shared" si="27"/>
        <v>0</v>
      </c>
      <c r="DG61">
        <f t="shared" si="25"/>
        <v>5.2</v>
      </c>
      <c r="DH61">
        <f t="shared" si="26"/>
        <v>0</v>
      </c>
      <c r="DI61">
        <f t="shared" si="6"/>
        <v>0</v>
      </c>
      <c r="DJ61">
        <f>DG61</f>
        <v>5.2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ROW(Source!A36)</f>
        <v>36</v>
      </c>
      <c r="B62">
        <v>85739205</v>
      </c>
      <c r="C62">
        <v>85739480</v>
      </c>
      <c r="D62">
        <v>85229932</v>
      </c>
      <c r="E62">
        <v>1</v>
      </c>
      <c r="F62">
        <v>1</v>
      </c>
      <c r="G62">
        <v>1081</v>
      </c>
      <c r="H62">
        <v>2</v>
      </c>
      <c r="I62" t="s">
        <v>482</v>
      </c>
      <c r="J62" t="s">
        <v>483</v>
      </c>
      <c r="K62" t="s">
        <v>484</v>
      </c>
      <c r="L62">
        <v>1368</v>
      </c>
      <c r="N62">
        <v>1011</v>
      </c>
      <c r="O62" t="s">
        <v>478</v>
      </c>
      <c r="P62" t="s">
        <v>478</v>
      </c>
      <c r="Q62">
        <v>1</v>
      </c>
      <c r="W62">
        <v>0</v>
      </c>
      <c r="X62">
        <v>874612079</v>
      </c>
      <c r="Y62">
        <f>(AT62*1.2)</f>
        <v>7.1999999999999995E-2</v>
      </c>
      <c r="AA62">
        <v>0</v>
      </c>
      <c r="AB62">
        <v>87.01</v>
      </c>
      <c r="AC62">
        <v>13.21</v>
      </c>
      <c r="AD62">
        <v>0</v>
      </c>
      <c r="AE62">
        <v>0</v>
      </c>
      <c r="AF62">
        <v>83.1</v>
      </c>
      <c r="AG62">
        <v>12.62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0.06</v>
      </c>
      <c r="AU62" t="s">
        <v>36</v>
      </c>
      <c r="AV62">
        <v>0</v>
      </c>
      <c r="AW62">
        <v>2</v>
      </c>
      <c r="AX62">
        <v>85739508</v>
      </c>
      <c r="AY62">
        <v>1</v>
      </c>
      <c r="AZ62">
        <v>0</v>
      </c>
      <c r="BA62">
        <v>68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f>ROUND(Y62*Source!I36*DO62,9)</f>
        <v>0.90864</v>
      </c>
      <c r="CX62">
        <f>ROUND(Y62*Source!I36,9)</f>
        <v>7.1999999999999995E-2</v>
      </c>
      <c r="CY62">
        <f>AB62</f>
        <v>87.01</v>
      </c>
      <c r="CZ62">
        <f>AF62</f>
        <v>83.1</v>
      </c>
      <c r="DA62">
        <f>AJ62</f>
        <v>1</v>
      </c>
      <c r="DB62">
        <f>ROUND((ROUND(AT62*CZ62,2)*1.2),6)</f>
        <v>5.9880000000000004</v>
      </c>
      <c r="DC62">
        <f>ROUND((ROUND(AT62*AG62,2)*1.2),6)</f>
        <v>0.91200000000000003</v>
      </c>
      <c r="DD62" t="s">
        <v>3</v>
      </c>
      <c r="DE62" t="s">
        <v>3</v>
      </c>
      <c r="DF62">
        <f t="shared" si="27"/>
        <v>0</v>
      </c>
      <c r="DG62">
        <f t="shared" si="25"/>
        <v>5.98</v>
      </c>
      <c r="DH62">
        <f t="shared" si="26"/>
        <v>0.91</v>
      </c>
      <c r="DI62">
        <f t="shared" si="6"/>
        <v>0</v>
      </c>
      <c r="DJ62">
        <f>DG62</f>
        <v>5.98</v>
      </c>
      <c r="DK62">
        <v>0</v>
      </c>
      <c r="DL62" t="s">
        <v>485</v>
      </c>
      <c r="DM62">
        <v>0</v>
      </c>
      <c r="DN62" t="s">
        <v>474</v>
      </c>
      <c r="DO62">
        <v>12.62</v>
      </c>
    </row>
    <row r="63" spans="1:119" x14ac:dyDescent="0.2">
      <c r="A63">
        <f>ROW(Source!A36)</f>
        <v>36</v>
      </c>
      <c r="B63">
        <v>85739205</v>
      </c>
      <c r="C63">
        <v>85739480</v>
      </c>
      <c r="D63">
        <v>85229983</v>
      </c>
      <c r="E63">
        <v>1</v>
      </c>
      <c r="F63">
        <v>1</v>
      </c>
      <c r="G63">
        <v>1081</v>
      </c>
      <c r="H63">
        <v>2</v>
      </c>
      <c r="I63" t="s">
        <v>528</v>
      </c>
      <c r="J63" t="s">
        <v>529</v>
      </c>
      <c r="K63" t="s">
        <v>530</v>
      </c>
      <c r="L63">
        <v>1368</v>
      </c>
      <c r="N63">
        <v>1011</v>
      </c>
      <c r="O63" t="s">
        <v>478</v>
      </c>
      <c r="P63" t="s">
        <v>478</v>
      </c>
      <c r="Q63">
        <v>1</v>
      </c>
      <c r="W63">
        <v>0</v>
      </c>
      <c r="X63">
        <v>803042515</v>
      </c>
      <c r="Y63">
        <f>(AT63*1.2)</f>
        <v>0.22799999999999998</v>
      </c>
      <c r="AA63">
        <v>0</v>
      </c>
      <c r="AB63">
        <v>1.2</v>
      </c>
      <c r="AC63">
        <v>0</v>
      </c>
      <c r="AD63">
        <v>0</v>
      </c>
      <c r="AE63">
        <v>0</v>
      </c>
      <c r="AF63">
        <v>1.1499999999999999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0.19</v>
      </c>
      <c r="AU63" t="s">
        <v>36</v>
      </c>
      <c r="AV63">
        <v>0</v>
      </c>
      <c r="AW63">
        <v>2</v>
      </c>
      <c r="AX63">
        <v>85739509</v>
      </c>
      <c r="AY63">
        <v>1</v>
      </c>
      <c r="AZ63">
        <v>0</v>
      </c>
      <c r="BA63">
        <v>69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f>ROUND(Y63*Source!I36*DO63,9)</f>
        <v>0</v>
      </c>
      <c r="CX63">
        <f>ROUND(Y63*Source!I36,9)</f>
        <v>0.22800000000000001</v>
      </c>
      <c r="CY63">
        <f>AB63</f>
        <v>1.2</v>
      </c>
      <c r="CZ63">
        <f>AF63</f>
        <v>1.1499999999999999</v>
      </c>
      <c r="DA63">
        <f>AJ63</f>
        <v>1</v>
      </c>
      <c r="DB63">
        <f>ROUND((ROUND(AT63*CZ63,2)*1.2),6)</f>
        <v>0.26400000000000001</v>
      </c>
      <c r="DC63">
        <f>ROUND((ROUND(AT63*AG63,2)*1.2),6)</f>
        <v>0</v>
      </c>
      <c r="DD63" t="s">
        <v>3</v>
      </c>
      <c r="DE63" t="s">
        <v>3</v>
      </c>
      <c r="DF63">
        <f t="shared" si="27"/>
        <v>0</v>
      </c>
      <c r="DG63">
        <f t="shared" si="25"/>
        <v>0.26</v>
      </c>
      <c r="DH63">
        <f t="shared" si="26"/>
        <v>0</v>
      </c>
      <c r="DI63">
        <f t="shared" si="6"/>
        <v>0</v>
      </c>
      <c r="DJ63">
        <f>DG63</f>
        <v>0.26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ROW(Source!A36)</f>
        <v>36</v>
      </c>
      <c r="B64">
        <v>85739205</v>
      </c>
      <c r="C64">
        <v>85739480</v>
      </c>
      <c r="D64">
        <v>85200033</v>
      </c>
      <c r="E64">
        <v>1</v>
      </c>
      <c r="F64">
        <v>1</v>
      </c>
      <c r="G64">
        <v>1081</v>
      </c>
      <c r="H64">
        <v>3</v>
      </c>
      <c r="I64" t="s">
        <v>531</v>
      </c>
      <c r="J64" t="s">
        <v>532</v>
      </c>
      <c r="K64" t="s">
        <v>533</v>
      </c>
      <c r="L64">
        <v>1346</v>
      </c>
      <c r="N64">
        <v>1009</v>
      </c>
      <c r="O64" t="s">
        <v>502</v>
      </c>
      <c r="P64" t="s">
        <v>502</v>
      </c>
      <c r="Q64">
        <v>1</v>
      </c>
      <c r="W64">
        <v>0</v>
      </c>
      <c r="X64">
        <v>-1097873860</v>
      </c>
      <c r="Y64">
        <f>(AT64*1)</f>
        <v>0.02</v>
      </c>
      <c r="AA64">
        <v>29.89</v>
      </c>
      <c r="AB64">
        <v>0</v>
      </c>
      <c r="AC64">
        <v>0</v>
      </c>
      <c r="AD64">
        <v>0</v>
      </c>
      <c r="AE64">
        <v>29.89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0.02</v>
      </c>
      <c r="AU64" t="s">
        <v>35</v>
      </c>
      <c r="AV64">
        <v>0</v>
      </c>
      <c r="AW64">
        <v>2</v>
      </c>
      <c r="AX64">
        <v>85739510</v>
      </c>
      <c r="AY64">
        <v>1</v>
      </c>
      <c r="AZ64">
        <v>0</v>
      </c>
      <c r="BA64">
        <v>70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ROUND(Y64*Source!I36,9)</f>
        <v>0.02</v>
      </c>
      <c r="CY64">
        <f>AA64</f>
        <v>29.89</v>
      </c>
      <c r="CZ64">
        <f>AE64</f>
        <v>29.89</v>
      </c>
      <c r="DA64">
        <f>AI64</f>
        <v>1</v>
      </c>
      <c r="DB64">
        <f>ROUND((ROUND(AT64*CZ64,2)*1),6)</f>
        <v>0.6</v>
      </c>
      <c r="DC64">
        <f>ROUND((ROUND(AT64*AG64,2)*1),6)</f>
        <v>0</v>
      </c>
      <c r="DD64" t="s">
        <v>3</v>
      </c>
      <c r="DE64" t="s">
        <v>3</v>
      </c>
      <c r="DF64">
        <f t="shared" si="27"/>
        <v>0.6</v>
      </c>
      <c r="DG64">
        <f t="shared" si="25"/>
        <v>0</v>
      </c>
      <c r="DH64">
        <f t="shared" si="26"/>
        <v>0</v>
      </c>
      <c r="DI64">
        <f t="shared" si="6"/>
        <v>0</v>
      </c>
      <c r="DJ64">
        <f>DF64</f>
        <v>0.6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ROW(Source!A36)</f>
        <v>36</v>
      </c>
      <c r="B65">
        <v>85739205</v>
      </c>
      <c r="C65">
        <v>85739480</v>
      </c>
      <c r="D65">
        <v>85200103</v>
      </c>
      <c r="E65">
        <v>1</v>
      </c>
      <c r="F65">
        <v>1</v>
      </c>
      <c r="G65">
        <v>1081</v>
      </c>
      <c r="H65">
        <v>3</v>
      </c>
      <c r="I65" t="s">
        <v>534</v>
      </c>
      <c r="J65" t="s">
        <v>535</v>
      </c>
      <c r="K65" t="s">
        <v>536</v>
      </c>
      <c r="L65">
        <v>1348</v>
      </c>
      <c r="N65">
        <v>1009</v>
      </c>
      <c r="O65" t="s">
        <v>266</v>
      </c>
      <c r="P65" t="s">
        <v>266</v>
      </c>
      <c r="Q65">
        <v>1000</v>
      </c>
      <c r="W65">
        <v>0</v>
      </c>
      <c r="X65">
        <v>277309194</v>
      </c>
      <c r="Y65">
        <f>(AT65*1)</f>
        <v>1E-4</v>
      </c>
      <c r="AA65">
        <v>8590.86</v>
      </c>
      <c r="AB65">
        <v>0</v>
      </c>
      <c r="AC65">
        <v>0</v>
      </c>
      <c r="AD65">
        <v>0</v>
      </c>
      <c r="AE65">
        <v>8590.86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-2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1E-4</v>
      </c>
      <c r="AU65" t="s">
        <v>35</v>
      </c>
      <c r="AV65">
        <v>0</v>
      </c>
      <c r="AW65">
        <v>2</v>
      </c>
      <c r="AX65">
        <v>85739511</v>
      </c>
      <c r="AY65">
        <v>1</v>
      </c>
      <c r="AZ65">
        <v>0</v>
      </c>
      <c r="BA65">
        <v>71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V65">
        <v>0</v>
      </c>
      <c r="CW65">
        <v>0</v>
      </c>
      <c r="CX65">
        <f>ROUND(Y65*Source!I36,9)</f>
        <v>1E-4</v>
      </c>
      <c r="CY65">
        <f>AA65</f>
        <v>8590.86</v>
      </c>
      <c r="CZ65">
        <f>AE65</f>
        <v>8590.86</v>
      </c>
      <c r="DA65">
        <f>AI65</f>
        <v>1</v>
      </c>
      <c r="DB65">
        <f>ROUND((ROUND(AT65*CZ65,2)*1),6)</f>
        <v>0.86</v>
      </c>
      <c r="DC65">
        <f>ROUND((ROUND(AT65*AG65,2)*1),6)</f>
        <v>0</v>
      </c>
      <c r="DD65" t="s">
        <v>3</v>
      </c>
      <c r="DE65" t="s">
        <v>3</v>
      </c>
      <c r="DF65">
        <f t="shared" si="27"/>
        <v>0.86</v>
      </c>
      <c r="DG65">
        <f t="shared" si="25"/>
        <v>0</v>
      </c>
      <c r="DH65">
        <f t="shared" si="26"/>
        <v>0</v>
      </c>
      <c r="DI65">
        <f t="shared" ref="DI65:DI128" si="28">ROUND(ROUND(AH65,2)*CX65,2)</f>
        <v>0</v>
      </c>
      <c r="DJ65">
        <f>DF65</f>
        <v>0.86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ROW(Source!A37)</f>
        <v>37</v>
      </c>
      <c r="B66">
        <v>85739207</v>
      </c>
      <c r="C66">
        <v>85739480</v>
      </c>
      <c r="D66">
        <v>85164021</v>
      </c>
      <c r="E66">
        <v>1081</v>
      </c>
      <c r="F66">
        <v>1</v>
      </c>
      <c r="G66">
        <v>1081</v>
      </c>
      <c r="H66">
        <v>1</v>
      </c>
      <c r="I66" t="s">
        <v>472</v>
      </c>
      <c r="J66" t="s">
        <v>3</v>
      </c>
      <c r="K66" t="s">
        <v>473</v>
      </c>
      <c r="L66">
        <v>1191</v>
      </c>
      <c r="N66">
        <v>1013</v>
      </c>
      <c r="O66" t="s">
        <v>474</v>
      </c>
      <c r="P66" t="s">
        <v>474</v>
      </c>
      <c r="Q66">
        <v>1</v>
      </c>
      <c r="W66">
        <v>0</v>
      </c>
      <c r="X66">
        <v>476480486</v>
      </c>
      <c r="Y66">
        <f>(AT66*1.2)</f>
        <v>2.472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5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2.06</v>
      </c>
      <c r="AU66" t="s">
        <v>36</v>
      </c>
      <c r="AV66">
        <v>1</v>
      </c>
      <c r="AW66">
        <v>2</v>
      </c>
      <c r="AX66">
        <v>85739505</v>
      </c>
      <c r="AY66">
        <v>1</v>
      </c>
      <c r="AZ66">
        <v>0</v>
      </c>
      <c r="BA66">
        <v>74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U66">
        <f>ROUND(AT66*Source!I37*AH66*AL66,2)</f>
        <v>0</v>
      </c>
      <c r="CV66">
        <f>ROUND(Y66*Source!I37,9)</f>
        <v>2.472</v>
      </c>
      <c r="CW66">
        <v>0</v>
      </c>
      <c r="CX66">
        <f>ROUND(Y66*Source!I37,9)</f>
        <v>2.472</v>
      </c>
      <c r="CY66">
        <f>AD66</f>
        <v>0</v>
      </c>
      <c r="CZ66">
        <f>AH66</f>
        <v>0</v>
      </c>
      <c r="DA66">
        <f>AL66</f>
        <v>1</v>
      </c>
      <c r="DB66">
        <f>ROUND((ROUND(AT66*CZ66,2)*1.2),6)</f>
        <v>0</v>
      </c>
      <c r="DC66">
        <f>ROUND((ROUND(AT66*AG66,2)*1.2),6)</f>
        <v>0</v>
      </c>
      <c r="DD66" t="s">
        <v>3</v>
      </c>
      <c r="DE66" t="s">
        <v>3</v>
      </c>
      <c r="DF66">
        <f t="shared" si="27"/>
        <v>0</v>
      </c>
      <c r="DG66">
        <f t="shared" si="25"/>
        <v>0</v>
      </c>
      <c r="DH66">
        <f t="shared" si="26"/>
        <v>0</v>
      </c>
      <c r="DI66">
        <f t="shared" si="28"/>
        <v>0</v>
      </c>
      <c r="DJ66">
        <f>DI66</f>
        <v>0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ROW(Source!A37)</f>
        <v>37</v>
      </c>
      <c r="B67">
        <v>85739207</v>
      </c>
      <c r="C67">
        <v>85739480</v>
      </c>
      <c r="D67">
        <v>85229526</v>
      </c>
      <c r="E67">
        <v>1</v>
      </c>
      <c r="F67">
        <v>1</v>
      </c>
      <c r="G67">
        <v>1081</v>
      </c>
      <c r="H67">
        <v>2</v>
      </c>
      <c r="I67" t="s">
        <v>525</v>
      </c>
      <c r="J67" t="s">
        <v>526</v>
      </c>
      <c r="K67" t="s">
        <v>527</v>
      </c>
      <c r="L67">
        <v>1368</v>
      </c>
      <c r="N67">
        <v>1011</v>
      </c>
      <c r="O67" t="s">
        <v>478</v>
      </c>
      <c r="P67" t="s">
        <v>478</v>
      </c>
      <c r="Q67">
        <v>1</v>
      </c>
      <c r="W67">
        <v>0</v>
      </c>
      <c r="X67">
        <v>1752775000</v>
      </c>
      <c r="Y67">
        <f>(AT67*1.2)</f>
        <v>0.22799999999999998</v>
      </c>
      <c r="AA67">
        <v>0</v>
      </c>
      <c r="AB67">
        <v>1107.0899999999999</v>
      </c>
      <c r="AC67">
        <v>744.56</v>
      </c>
      <c r="AD67">
        <v>0</v>
      </c>
      <c r="AE67">
        <v>0</v>
      </c>
      <c r="AF67">
        <v>41.45</v>
      </c>
      <c r="AG67">
        <v>12.62</v>
      </c>
      <c r="AH67">
        <v>0</v>
      </c>
      <c r="AI67">
        <v>1</v>
      </c>
      <c r="AJ67">
        <v>25.51</v>
      </c>
      <c r="AK67">
        <v>56.35</v>
      </c>
      <c r="AL67">
        <v>1</v>
      </c>
      <c r="AM67">
        <v>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0.19</v>
      </c>
      <c r="AU67" t="s">
        <v>36</v>
      </c>
      <c r="AV67">
        <v>0</v>
      </c>
      <c r="AW67">
        <v>2</v>
      </c>
      <c r="AX67">
        <v>85739506</v>
      </c>
      <c r="AY67">
        <v>1</v>
      </c>
      <c r="AZ67">
        <v>0</v>
      </c>
      <c r="BA67">
        <v>75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f>ROUND(Y67*Source!I37*DO67,9)</f>
        <v>2.8773599999999999</v>
      </c>
      <c r="CX67">
        <f>ROUND(Y67*Source!I37,9)</f>
        <v>0.22800000000000001</v>
      </c>
      <c r="CY67">
        <f>AB67</f>
        <v>1107.0899999999999</v>
      </c>
      <c r="CZ67">
        <f>AF67</f>
        <v>41.45</v>
      </c>
      <c r="DA67">
        <f>AJ67</f>
        <v>25.51</v>
      </c>
      <c r="DB67">
        <f>ROUND((ROUND(AT67*CZ67,2)*1.2),6)</f>
        <v>9.4559999999999995</v>
      </c>
      <c r="DC67">
        <f>ROUND((ROUND(AT67*AG67,2)*1.2),6)</f>
        <v>2.88</v>
      </c>
      <c r="DD67" t="s">
        <v>3</v>
      </c>
      <c r="DE67" t="s">
        <v>3</v>
      </c>
      <c r="DF67">
        <f t="shared" si="27"/>
        <v>0</v>
      </c>
      <c r="DG67">
        <f>ROUND(ROUND(AF67*AJ67,2)*CX67,2)</f>
        <v>241.08</v>
      </c>
      <c r="DH67">
        <f>ROUND(ROUND(AG67*AK67,2)*CX67,2)</f>
        <v>162.13999999999999</v>
      </c>
      <c r="DI67">
        <f t="shared" si="28"/>
        <v>0</v>
      </c>
      <c r="DJ67">
        <f>DG67</f>
        <v>241.08</v>
      </c>
      <c r="DK67">
        <v>0</v>
      </c>
      <c r="DL67" t="s">
        <v>485</v>
      </c>
      <c r="DM67">
        <v>0</v>
      </c>
      <c r="DN67" t="s">
        <v>474</v>
      </c>
      <c r="DO67">
        <v>12.62</v>
      </c>
    </row>
    <row r="68" spans="1:119" x14ac:dyDescent="0.2">
      <c r="A68">
        <f>ROW(Source!A37)</f>
        <v>37</v>
      </c>
      <c r="B68">
        <v>85739207</v>
      </c>
      <c r="C68">
        <v>85739480</v>
      </c>
      <c r="D68">
        <v>85229633</v>
      </c>
      <c r="E68">
        <v>1</v>
      </c>
      <c r="F68">
        <v>1</v>
      </c>
      <c r="G68">
        <v>1081</v>
      </c>
      <c r="H68">
        <v>2</v>
      </c>
      <c r="I68" t="s">
        <v>475</v>
      </c>
      <c r="J68" t="s">
        <v>476</v>
      </c>
      <c r="K68" t="s">
        <v>477</v>
      </c>
      <c r="L68">
        <v>1368</v>
      </c>
      <c r="N68">
        <v>1011</v>
      </c>
      <c r="O68" t="s">
        <v>478</v>
      </c>
      <c r="P68" t="s">
        <v>478</v>
      </c>
      <c r="Q68">
        <v>1</v>
      </c>
      <c r="W68">
        <v>0</v>
      </c>
      <c r="X68">
        <v>1498588441</v>
      </c>
      <c r="Y68">
        <f>(AT68*1.2)</f>
        <v>0.73199999999999998</v>
      </c>
      <c r="AA68">
        <v>0</v>
      </c>
      <c r="AB68">
        <v>100.2</v>
      </c>
      <c r="AC68">
        <v>0</v>
      </c>
      <c r="AD68">
        <v>0</v>
      </c>
      <c r="AE68">
        <v>0</v>
      </c>
      <c r="AF68">
        <v>7.11</v>
      </c>
      <c r="AG68">
        <v>0</v>
      </c>
      <c r="AH68">
        <v>0</v>
      </c>
      <c r="AI68">
        <v>1</v>
      </c>
      <c r="AJ68">
        <v>13.46</v>
      </c>
      <c r="AK68">
        <v>1</v>
      </c>
      <c r="AL68">
        <v>1</v>
      </c>
      <c r="AM68">
        <v>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0.61</v>
      </c>
      <c r="AU68" t="s">
        <v>36</v>
      </c>
      <c r="AV68">
        <v>0</v>
      </c>
      <c r="AW68">
        <v>2</v>
      </c>
      <c r="AX68">
        <v>85739507</v>
      </c>
      <c r="AY68">
        <v>1</v>
      </c>
      <c r="AZ68">
        <v>0</v>
      </c>
      <c r="BA68">
        <v>76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f>ROUND(Y68*Source!I37*DO68,9)</f>
        <v>0</v>
      </c>
      <c r="CX68">
        <f>ROUND(Y68*Source!I37,9)</f>
        <v>0.73199999999999998</v>
      </c>
      <c r="CY68">
        <f>AB68</f>
        <v>100.2</v>
      </c>
      <c r="CZ68">
        <f>AF68</f>
        <v>7.11</v>
      </c>
      <c r="DA68">
        <f>AJ68</f>
        <v>13.46</v>
      </c>
      <c r="DB68">
        <f>ROUND((ROUND(AT68*CZ68,2)*1.2),6)</f>
        <v>5.2080000000000002</v>
      </c>
      <c r="DC68">
        <f>ROUND((ROUND(AT68*AG68,2)*1.2),6)</f>
        <v>0</v>
      </c>
      <c r="DD68" t="s">
        <v>3</v>
      </c>
      <c r="DE68" t="s">
        <v>3</v>
      </c>
      <c r="DF68">
        <f t="shared" si="27"/>
        <v>0</v>
      </c>
      <c r="DG68">
        <f>ROUND(ROUND(AF68*AJ68,2)*CX68,2)</f>
        <v>70.05</v>
      </c>
      <c r="DH68">
        <f>ROUND(ROUND(AG68,2)*CX68,2)</f>
        <v>0</v>
      </c>
      <c r="DI68">
        <f t="shared" si="28"/>
        <v>0</v>
      </c>
      <c r="DJ68">
        <f>DG68</f>
        <v>70.05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ROW(Source!A37)</f>
        <v>37</v>
      </c>
      <c r="B69">
        <v>85739207</v>
      </c>
      <c r="C69">
        <v>85739480</v>
      </c>
      <c r="D69">
        <v>85229932</v>
      </c>
      <c r="E69">
        <v>1</v>
      </c>
      <c r="F69">
        <v>1</v>
      </c>
      <c r="G69">
        <v>1081</v>
      </c>
      <c r="H69">
        <v>2</v>
      </c>
      <c r="I69" t="s">
        <v>482</v>
      </c>
      <c r="J69" t="s">
        <v>483</v>
      </c>
      <c r="K69" t="s">
        <v>484</v>
      </c>
      <c r="L69">
        <v>1368</v>
      </c>
      <c r="N69">
        <v>1011</v>
      </c>
      <c r="O69" t="s">
        <v>478</v>
      </c>
      <c r="P69" t="s">
        <v>478</v>
      </c>
      <c r="Q69">
        <v>1</v>
      </c>
      <c r="W69">
        <v>0</v>
      </c>
      <c r="X69">
        <v>874612079</v>
      </c>
      <c r="Y69">
        <f>(AT69*1.2)</f>
        <v>7.1999999999999995E-2</v>
      </c>
      <c r="AA69">
        <v>0</v>
      </c>
      <c r="AB69">
        <v>1485.19</v>
      </c>
      <c r="AC69">
        <v>744.56</v>
      </c>
      <c r="AD69">
        <v>0</v>
      </c>
      <c r="AE69">
        <v>0</v>
      </c>
      <c r="AF69">
        <v>83.1</v>
      </c>
      <c r="AG69">
        <v>12.62</v>
      </c>
      <c r="AH69">
        <v>0</v>
      </c>
      <c r="AI69">
        <v>1</v>
      </c>
      <c r="AJ69">
        <v>17.07</v>
      </c>
      <c r="AK69">
        <v>56.35</v>
      </c>
      <c r="AL69">
        <v>1</v>
      </c>
      <c r="AM69">
        <v>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0.06</v>
      </c>
      <c r="AU69" t="s">
        <v>36</v>
      </c>
      <c r="AV69">
        <v>0</v>
      </c>
      <c r="AW69">
        <v>2</v>
      </c>
      <c r="AX69">
        <v>85739508</v>
      </c>
      <c r="AY69">
        <v>1</v>
      </c>
      <c r="AZ69">
        <v>0</v>
      </c>
      <c r="BA69">
        <v>77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ROUND(Y69*Source!I37*DO69,9)</f>
        <v>0.90864</v>
      </c>
      <c r="CX69">
        <f>ROUND(Y69*Source!I37,9)</f>
        <v>7.1999999999999995E-2</v>
      </c>
      <c r="CY69">
        <f>AB69</f>
        <v>1485.19</v>
      </c>
      <c r="CZ69">
        <f>AF69</f>
        <v>83.1</v>
      </c>
      <c r="DA69">
        <f>AJ69</f>
        <v>17.07</v>
      </c>
      <c r="DB69">
        <f>ROUND((ROUND(AT69*CZ69,2)*1.2),6)</f>
        <v>5.9880000000000004</v>
      </c>
      <c r="DC69">
        <f>ROUND((ROUND(AT69*AG69,2)*1.2),6)</f>
        <v>0.91200000000000003</v>
      </c>
      <c r="DD69" t="s">
        <v>3</v>
      </c>
      <c r="DE69" t="s">
        <v>3</v>
      </c>
      <c r="DF69">
        <f t="shared" si="27"/>
        <v>0</v>
      </c>
      <c r="DG69">
        <f>ROUND(ROUND(AF69*AJ69,2)*CX69,2)</f>
        <v>102.13</v>
      </c>
      <c r="DH69">
        <f>ROUND(ROUND(AG69*AK69,2)*CX69,2)</f>
        <v>51.2</v>
      </c>
      <c r="DI69">
        <f t="shared" si="28"/>
        <v>0</v>
      </c>
      <c r="DJ69">
        <f>DG69</f>
        <v>102.13</v>
      </c>
      <c r="DK69">
        <v>0</v>
      </c>
      <c r="DL69" t="s">
        <v>485</v>
      </c>
      <c r="DM69">
        <v>0</v>
      </c>
      <c r="DN69" t="s">
        <v>474</v>
      </c>
      <c r="DO69">
        <v>12.62</v>
      </c>
    </row>
    <row r="70" spans="1:119" x14ac:dyDescent="0.2">
      <c r="A70">
        <f>ROW(Source!A37)</f>
        <v>37</v>
      </c>
      <c r="B70">
        <v>85739207</v>
      </c>
      <c r="C70">
        <v>85739480</v>
      </c>
      <c r="D70">
        <v>85229983</v>
      </c>
      <c r="E70">
        <v>1</v>
      </c>
      <c r="F70">
        <v>1</v>
      </c>
      <c r="G70">
        <v>1081</v>
      </c>
      <c r="H70">
        <v>2</v>
      </c>
      <c r="I70" t="s">
        <v>528</v>
      </c>
      <c r="J70" t="s">
        <v>529</v>
      </c>
      <c r="K70" t="s">
        <v>530</v>
      </c>
      <c r="L70">
        <v>1368</v>
      </c>
      <c r="N70">
        <v>1011</v>
      </c>
      <c r="O70" t="s">
        <v>478</v>
      </c>
      <c r="P70" t="s">
        <v>478</v>
      </c>
      <c r="Q70">
        <v>1</v>
      </c>
      <c r="W70">
        <v>0</v>
      </c>
      <c r="X70">
        <v>803042515</v>
      </c>
      <c r="Y70">
        <f>(AT70*1.2)</f>
        <v>0.22799999999999998</v>
      </c>
      <c r="AA70">
        <v>0</v>
      </c>
      <c r="AB70">
        <v>11.26</v>
      </c>
      <c r="AC70">
        <v>0</v>
      </c>
      <c r="AD70">
        <v>0</v>
      </c>
      <c r="AE70">
        <v>0</v>
      </c>
      <c r="AF70">
        <v>1.1499999999999999</v>
      </c>
      <c r="AG70">
        <v>0</v>
      </c>
      <c r="AH70">
        <v>0</v>
      </c>
      <c r="AI70">
        <v>1</v>
      </c>
      <c r="AJ70">
        <v>9.35</v>
      </c>
      <c r="AK70">
        <v>1</v>
      </c>
      <c r="AL70">
        <v>1</v>
      </c>
      <c r="AM70">
        <v>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0.19</v>
      </c>
      <c r="AU70" t="s">
        <v>36</v>
      </c>
      <c r="AV70">
        <v>0</v>
      </c>
      <c r="AW70">
        <v>2</v>
      </c>
      <c r="AX70">
        <v>85739509</v>
      </c>
      <c r="AY70">
        <v>1</v>
      </c>
      <c r="AZ70">
        <v>0</v>
      </c>
      <c r="BA70">
        <v>78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f>ROUND(Y70*Source!I37*DO70,9)</f>
        <v>0</v>
      </c>
      <c r="CX70">
        <f>ROUND(Y70*Source!I37,9)</f>
        <v>0.22800000000000001</v>
      </c>
      <c r="CY70">
        <f>AB70</f>
        <v>11.26</v>
      </c>
      <c r="CZ70">
        <f>AF70</f>
        <v>1.1499999999999999</v>
      </c>
      <c r="DA70">
        <f>AJ70</f>
        <v>9.35</v>
      </c>
      <c r="DB70">
        <f>ROUND((ROUND(AT70*CZ70,2)*1.2),6)</f>
        <v>0.26400000000000001</v>
      </c>
      <c r="DC70">
        <f>ROUND((ROUND(AT70*AG70,2)*1.2),6)</f>
        <v>0</v>
      </c>
      <c r="DD70" t="s">
        <v>3</v>
      </c>
      <c r="DE70" t="s">
        <v>3</v>
      </c>
      <c r="DF70">
        <f t="shared" si="27"/>
        <v>0</v>
      </c>
      <c r="DG70">
        <f>ROUND(ROUND(AF70*AJ70,2)*CX70,2)</f>
        <v>2.4500000000000002</v>
      </c>
      <c r="DH70">
        <f t="shared" ref="DH70:DH76" si="29">ROUND(ROUND(AG70,2)*CX70,2)</f>
        <v>0</v>
      </c>
      <c r="DI70">
        <f t="shared" si="28"/>
        <v>0</v>
      </c>
      <c r="DJ70">
        <f>DG70</f>
        <v>2.4500000000000002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ROW(Source!A37)</f>
        <v>37</v>
      </c>
      <c r="B71">
        <v>85739207</v>
      </c>
      <c r="C71">
        <v>85739480</v>
      </c>
      <c r="D71">
        <v>85200033</v>
      </c>
      <c r="E71">
        <v>1</v>
      </c>
      <c r="F71">
        <v>1</v>
      </c>
      <c r="G71">
        <v>1081</v>
      </c>
      <c r="H71">
        <v>3</v>
      </c>
      <c r="I71" t="s">
        <v>531</v>
      </c>
      <c r="J71" t="s">
        <v>532</v>
      </c>
      <c r="K71" t="s">
        <v>533</v>
      </c>
      <c r="L71">
        <v>1346</v>
      </c>
      <c r="N71">
        <v>1009</v>
      </c>
      <c r="O71" t="s">
        <v>502</v>
      </c>
      <c r="P71" t="s">
        <v>502</v>
      </c>
      <c r="Q71">
        <v>1</v>
      </c>
      <c r="W71">
        <v>0</v>
      </c>
      <c r="X71">
        <v>-1097873860</v>
      </c>
      <c r="Y71">
        <f>(AT71*1)</f>
        <v>0.02</v>
      </c>
      <c r="AA71">
        <v>101.03</v>
      </c>
      <c r="AB71">
        <v>0</v>
      </c>
      <c r="AC71">
        <v>0</v>
      </c>
      <c r="AD71">
        <v>0</v>
      </c>
      <c r="AE71">
        <v>29.89</v>
      </c>
      <c r="AF71">
        <v>0</v>
      </c>
      <c r="AG71">
        <v>0</v>
      </c>
      <c r="AH71">
        <v>0</v>
      </c>
      <c r="AI71">
        <v>3.38</v>
      </c>
      <c r="AJ71">
        <v>1</v>
      </c>
      <c r="AK71">
        <v>1</v>
      </c>
      <c r="AL71">
        <v>1</v>
      </c>
      <c r="AM71">
        <v>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0.02</v>
      </c>
      <c r="AU71" t="s">
        <v>35</v>
      </c>
      <c r="AV71">
        <v>0</v>
      </c>
      <c r="AW71">
        <v>2</v>
      </c>
      <c r="AX71">
        <v>85739510</v>
      </c>
      <c r="AY71">
        <v>1</v>
      </c>
      <c r="AZ71">
        <v>0</v>
      </c>
      <c r="BA71">
        <v>79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ROUND(Y71*Source!I37,9)</f>
        <v>0.02</v>
      </c>
      <c r="CY71">
        <f>AA71</f>
        <v>101.03</v>
      </c>
      <c r="CZ71">
        <f>AE71</f>
        <v>29.89</v>
      </c>
      <c r="DA71">
        <f>AI71</f>
        <v>3.38</v>
      </c>
      <c r="DB71">
        <f>ROUND((ROUND(AT71*CZ71,2)*1),6)</f>
        <v>0.6</v>
      </c>
      <c r="DC71">
        <f>ROUND((ROUND(AT71*AG71,2)*1),6)</f>
        <v>0</v>
      </c>
      <c r="DD71" t="s">
        <v>3</v>
      </c>
      <c r="DE71" t="s">
        <v>3</v>
      </c>
      <c r="DF71">
        <f>ROUND(ROUND(AE71*AI71,2)*CX71,2)</f>
        <v>2.02</v>
      </c>
      <c r="DG71">
        <f t="shared" ref="DG71:DG76" si="30">ROUND(ROUND(AF71,2)*CX71,2)</f>
        <v>0</v>
      </c>
      <c r="DH71">
        <f t="shared" si="29"/>
        <v>0</v>
      </c>
      <c r="DI71">
        <f t="shared" si="28"/>
        <v>0</v>
      </c>
      <c r="DJ71">
        <f>DF71</f>
        <v>2.02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ROW(Source!A37)</f>
        <v>37</v>
      </c>
      <c r="B72">
        <v>85739207</v>
      </c>
      <c r="C72">
        <v>85739480</v>
      </c>
      <c r="D72">
        <v>85200103</v>
      </c>
      <c r="E72">
        <v>1</v>
      </c>
      <c r="F72">
        <v>1</v>
      </c>
      <c r="G72">
        <v>1081</v>
      </c>
      <c r="H72">
        <v>3</v>
      </c>
      <c r="I72" t="s">
        <v>534</v>
      </c>
      <c r="J72" t="s">
        <v>535</v>
      </c>
      <c r="K72" t="s">
        <v>536</v>
      </c>
      <c r="L72">
        <v>1348</v>
      </c>
      <c r="N72">
        <v>1009</v>
      </c>
      <c r="O72" t="s">
        <v>266</v>
      </c>
      <c r="P72" t="s">
        <v>266</v>
      </c>
      <c r="Q72">
        <v>1000</v>
      </c>
      <c r="W72">
        <v>0</v>
      </c>
      <c r="X72">
        <v>277309194</v>
      </c>
      <c r="Y72">
        <f>(AT72*1)</f>
        <v>1E-4</v>
      </c>
      <c r="AA72">
        <v>141233.74</v>
      </c>
      <c r="AB72">
        <v>0</v>
      </c>
      <c r="AC72">
        <v>0</v>
      </c>
      <c r="AD72">
        <v>0</v>
      </c>
      <c r="AE72">
        <v>8590.86</v>
      </c>
      <c r="AF72">
        <v>0</v>
      </c>
      <c r="AG72">
        <v>0</v>
      </c>
      <c r="AH72">
        <v>0</v>
      </c>
      <c r="AI72">
        <v>16.440000000000001</v>
      </c>
      <c r="AJ72">
        <v>1</v>
      </c>
      <c r="AK72">
        <v>1</v>
      </c>
      <c r="AL72">
        <v>1</v>
      </c>
      <c r="AM72">
        <v>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1E-4</v>
      </c>
      <c r="AU72" t="s">
        <v>35</v>
      </c>
      <c r="AV72">
        <v>0</v>
      </c>
      <c r="AW72">
        <v>2</v>
      </c>
      <c r="AX72">
        <v>85739511</v>
      </c>
      <c r="AY72">
        <v>1</v>
      </c>
      <c r="AZ72">
        <v>0</v>
      </c>
      <c r="BA72">
        <v>80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ROUND(Y72*Source!I37,9)</f>
        <v>1E-4</v>
      </c>
      <c r="CY72">
        <f>AA72</f>
        <v>141233.74</v>
      </c>
      <c r="CZ72">
        <f>AE72</f>
        <v>8590.86</v>
      </c>
      <c r="DA72">
        <f>AI72</f>
        <v>16.440000000000001</v>
      </c>
      <c r="DB72">
        <f>ROUND((ROUND(AT72*CZ72,2)*1),6)</f>
        <v>0.86</v>
      </c>
      <c r="DC72">
        <f>ROUND((ROUND(AT72*AG72,2)*1),6)</f>
        <v>0</v>
      </c>
      <c r="DD72" t="s">
        <v>3</v>
      </c>
      <c r="DE72" t="s">
        <v>3</v>
      </c>
      <c r="DF72">
        <f>ROUND(ROUND(AE72*AI72,2)*CX72,2)</f>
        <v>14.12</v>
      </c>
      <c r="DG72">
        <f t="shared" si="30"/>
        <v>0</v>
      </c>
      <c r="DH72">
        <f t="shared" si="29"/>
        <v>0</v>
      </c>
      <c r="DI72">
        <f t="shared" si="28"/>
        <v>0</v>
      </c>
      <c r="DJ72">
        <f>DF72</f>
        <v>14.12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ROW(Source!A38)</f>
        <v>38</v>
      </c>
      <c r="B73">
        <v>85739205</v>
      </c>
      <c r="C73">
        <v>85739516</v>
      </c>
      <c r="D73">
        <v>85164021</v>
      </c>
      <c r="E73">
        <v>1081</v>
      </c>
      <c r="F73">
        <v>1</v>
      </c>
      <c r="G73">
        <v>1081</v>
      </c>
      <c r="H73">
        <v>1</v>
      </c>
      <c r="I73" t="s">
        <v>472</v>
      </c>
      <c r="J73" t="s">
        <v>3</v>
      </c>
      <c r="K73" t="s">
        <v>473</v>
      </c>
      <c r="L73">
        <v>1191</v>
      </c>
      <c r="N73">
        <v>1013</v>
      </c>
      <c r="O73" t="s">
        <v>474</v>
      </c>
      <c r="P73" t="s">
        <v>474</v>
      </c>
      <c r="Q73">
        <v>1</v>
      </c>
      <c r="W73">
        <v>0</v>
      </c>
      <c r="X73">
        <v>476480486</v>
      </c>
      <c r="Y73">
        <f>(AT73*1.2)</f>
        <v>4.8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4</v>
      </c>
      <c r="AU73" t="s">
        <v>36</v>
      </c>
      <c r="AV73">
        <v>1</v>
      </c>
      <c r="AW73">
        <v>2</v>
      </c>
      <c r="AX73">
        <v>85739558</v>
      </c>
      <c r="AY73">
        <v>1</v>
      </c>
      <c r="AZ73">
        <v>0</v>
      </c>
      <c r="BA73">
        <v>83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ROUND(AT73*Source!I38*AH73*AL73,2)</f>
        <v>0</v>
      </c>
      <c r="CV73">
        <f>ROUND(Y73*Source!I38,9)</f>
        <v>28.8</v>
      </c>
      <c r="CW73">
        <v>0</v>
      </c>
      <c r="CX73">
        <f>ROUND(Y73*Source!I38,9)</f>
        <v>28.8</v>
      </c>
      <c r="CY73">
        <f>AD73</f>
        <v>0</v>
      </c>
      <c r="CZ73">
        <f>AH73</f>
        <v>0</v>
      </c>
      <c r="DA73">
        <f>AL73</f>
        <v>1</v>
      </c>
      <c r="DB73">
        <f>ROUND((ROUND(AT73*CZ73,2)*1.2),6)</f>
        <v>0</v>
      </c>
      <c r="DC73">
        <f>ROUND((ROUND(AT73*AG73,2)*1.2),6)</f>
        <v>0</v>
      </c>
      <c r="DD73" t="s">
        <v>3</v>
      </c>
      <c r="DE73" t="s">
        <v>3</v>
      </c>
      <c r="DF73">
        <f>ROUND(ROUND(AE73,2)*CX73,2)</f>
        <v>0</v>
      </c>
      <c r="DG73">
        <f t="shared" si="30"/>
        <v>0</v>
      </c>
      <c r="DH73">
        <f t="shared" si="29"/>
        <v>0</v>
      </c>
      <c r="DI73">
        <f t="shared" si="28"/>
        <v>0</v>
      </c>
      <c r="DJ73">
        <f>DI73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ROW(Source!A38)</f>
        <v>38</v>
      </c>
      <c r="B74">
        <v>85739205</v>
      </c>
      <c r="C74">
        <v>85739516</v>
      </c>
      <c r="D74">
        <v>85229932</v>
      </c>
      <c r="E74">
        <v>1</v>
      </c>
      <c r="F74">
        <v>1</v>
      </c>
      <c r="G74">
        <v>1081</v>
      </c>
      <c r="H74">
        <v>2</v>
      </c>
      <c r="I74" t="s">
        <v>482</v>
      </c>
      <c r="J74" t="s">
        <v>483</v>
      </c>
      <c r="K74" t="s">
        <v>484</v>
      </c>
      <c r="L74">
        <v>1368</v>
      </c>
      <c r="N74">
        <v>1011</v>
      </c>
      <c r="O74" t="s">
        <v>478</v>
      </c>
      <c r="P74" t="s">
        <v>478</v>
      </c>
      <c r="Q74">
        <v>1</v>
      </c>
      <c r="W74">
        <v>0</v>
      </c>
      <c r="X74">
        <v>874612079</v>
      </c>
      <c r="Y74">
        <f>(AT74*1.2)</f>
        <v>2.4E-2</v>
      </c>
      <c r="AA74">
        <v>0</v>
      </c>
      <c r="AB74">
        <v>88.67</v>
      </c>
      <c r="AC74">
        <v>13.47</v>
      </c>
      <c r="AD74">
        <v>0</v>
      </c>
      <c r="AE74">
        <v>0</v>
      </c>
      <c r="AF74">
        <v>83.1</v>
      </c>
      <c r="AG74">
        <v>12.62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-2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0.02</v>
      </c>
      <c r="AU74" t="s">
        <v>36</v>
      </c>
      <c r="AV74">
        <v>0</v>
      </c>
      <c r="AW74">
        <v>2</v>
      </c>
      <c r="AX74">
        <v>85739559</v>
      </c>
      <c r="AY74">
        <v>1</v>
      </c>
      <c r="AZ74">
        <v>0</v>
      </c>
      <c r="BA74">
        <v>84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V74">
        <v>0</v>
      </c>
      <c r="CW74">
        <f>ROUND(Y74*Source!I38*DO74,9)</f>
        <v>1.81728</v>
      </c>
      <c r="CX74">
        <f>ROUND(Y74*Source!I38,9)</f>
        <v>0.14399999999999999</v>
      </c>
      <c r="CY74">
        <f>AB74</f>
        <v>88.67</v>
      </c>
      <c r="CZ74">
        <f>AF74</f>
        <v>83.1</v>
      </c>
      <c r="DA74">
        <f>AJ74</f>
        <v>1</v>
      </c>
      <c r="DB74">
        <f>ROUND((ROUND(AT74*CZ74,2)*1.2),6)</f>
        <v>1.992</v>
      </c>
      <c r="DC74">
        <f>ROUND((ROUND(AT74*AG74,2)*1.2),6)</f>
        <v>0.3</v>
      </c>
      <c r="DD74" t="s">
        <v>3</v>
      </c>
      <c r="DE74" t="s">
        <v>3</v>
      </c>
      <c r="DF74">
        <f>ROUND(ROUND(AE74,2)*CX74,2)</f>
        <v>0</v>
      </c>
      <c r="DG74">
        <f t="shared" si="30"/>
        <v>11.97</v>
      </c>
      <c r="DH74">
        <f t="shared" si="29"/>
        <v>1.82</v>
      </c>
      <c r="DI74">
        <f t="shared" si="28"/>
        <v>0</v>
      </c>
      <c r="DJ74">
        <f>DG74</f>
        <v>11.97</v>
      </c>
      <c r="DK74">
        <v>0</v>
      </c>
      <c r="DL74" t="s">
        <v>485</v>
      </c>
      <c r="DM74">
        <v>0</v>
      </c>
      <c r="DN74" t="s">
        <v>474</v>
      </c>
      <c r="DO74">
        <v>12.62</v>
      </c>
    </row>
    <row r="75" spans="1:119" x14ac:dyDescent="0.2">
      <c r="A75">
        <f>ROW(Source!A38)</f>
        <v>38</v>
      </c>
      <c r="B75">
        <v>85739205</v>
      </c>
      <c r="C75">
        <v>85739516</v>
      </c>
      <c r="D75">
        <v>85199562</v>
      </c>
      <c r="E75">
        <v>1</v>
      </c>
      <c r="F75">
        <v>1</v>
      </c>
      <c r="G75">
        <v>1081</v>
      </c>
      <c r="H75">
        <v>3</v>
      </c>
      <c r="I75" t="s">
        <v>537</v>
      </c>
      <c r="J75" t="s">
        <v>538</v>
      </c>
      <c r="K75" t="s">
        <v>539</v>
      </c>
      <c r="L75">
        <v>1348</v>
      </c>
      <c r="N75">
        <v>1009</v>
      </c>
      <c r="O75" t="s">
        <v>266</v>
      </c>
      <c r="P75" t="s">
        <v>266</v>
      </c>
      <c r="Q75">
        <v>1000</v>
      </c>
      <c r="W75">
        <v>0</v>
      </c>
      <c r="X75">
        <v>-287838193</v>
      </c>
      <c r="Y75">
        <f>(AT75*1)</f>
        <v>1.2E-4</v>
      </c>
      <c r="AA75">
        <v>23761.63</v>
      </c>
      <c r="AB75">
        <v>0</v>
      </c>
      <c r="AC75">
        <v>0</v>
      </c>
      <c r="AD75">
        <v>0</v>
      </c>
      <c r="AE75">
        <v>23114.43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1.2E-4</v>
      </c>
      <c r="AU75" t="s">
        <v>35</v>
      </c>
      <c r="AV75">
        <v>0</v>
      </c>
      <c r="AW75">
        <v>2</v>
      </c>
      <c r="AX75">
        <v>85739560</v>
      </c>
      <c r="AY75">
        <v>1</v>
      </c>
      <c r="AZ75">
        <v>0</v>
      </c>
      <c r="BA75">
        <v>85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V75">
        <v>0</v>
      </c>
      <c r="CW75">
        <v>0</v>
      </c>
      <c r="CX75">
        <f>ROUND(Y75*Source!I38,9)</f>
        <v>7.2000000000000005E-4</v>
      </c>
      <c r="CY75">
        <f>AA75</f>
        <v>23761.63</v>
      </c>
      <c r="CZ75">
        <f>AE75</f>
        <v>23114.43</v>
      </c>
      <c r="DA75">
        <f>AI75</f>
        <v>1</v>
      </c>
      <c r="DB75">
        <f>ROUND((ROUND(AT75*CZ75,2)*1),6)</f>
        <v>2.77</v>
      </c>
      <c r="DC75">
        <f>ROUND((ROUND(AT75*AG75,2)*1),6)</f>
        <v>0</v>
      </c>
      <c r="DD75" t="s">
        <v>3</v>
      </c>
      <c r="DE75" t="s">
        <v>3</v>
      </c>
      <c r="DF75">
        <f>ROUND(ROUND(AE75,2)*CX75,2)</f>
        <v>16.64</v>
      </c>
      <c r="DG75">
        <f t="shared" si="30"/>
        <v>0</v>
      </c>
      <c r="DH75">
        <f t="shared" si="29"/>
        <v>0</v>
      </c>
      <c r="DI75">
        <f t="shared" si="28"/>
        <v>0</v>
      </c>
      <c r="DJ75">
        <f>DF75</f>
        <v>16.64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ROW(Source!A39)</f>
        <v>39</v>
      </c>
      <c r="B76">
        <v>85739207</v>
      </c>
      <c r="C76">
        <v>85739516</v>
      </c>
      <c r="D76">
        <v>85164021</v>
      </c>
      <c r="E76">
        <v>1081</v>
      </c>
      <c r="F76">
        <v>1</v>
      </c>
      <c r="G76">
        <v>1081</v>
      </c>
      <c r="H76">
        <v>1</v>
      </c>
      <c r="I76" t="s">
        <v>472</v>
      </c>
      <c r="J76" t="s">
        <v>3</v>
      </c>
      <c r="K76" t="s">
        <v>473</v>
      </c>
      <c r="L76">
        <v>1191</v>
      </c>
      <c r="N76">
        <v>1013</v>
      </c>
      <c r="O76" t="s">
        <v>474</v>
      </c>
      <c r="P76" t="s">
        <v>474</v>
      </c>
      <c r="Q76">
        <v>1</v>
      </c>
      <c r="W76">
        <v>0</v>
      </c>
      <c r="X76">
        <v>476480486</v>
      </c>
      <c r="Y76">
        <f>(AT76*1.2)</f>
        <v>4.8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5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4</v>
      </c>
      <c r="AU76" t="s">
        <v>36</v>
      </c>
      <c r="AV76">
        <v>1</v>
      </c>
      <c r="AW76">
        <v>2</v>
      </c>
      <c r="AX76">
        <v>85739558</v>
      </c>
      <c r="AY76">
        <v>1</v>
      </c>
      <c r="AZ76">
        <v>0</v>
      </c>
      <c r="BA76">
        <v>88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U76">
        <f>ROUND(AT76*Source!I39*AH76*AL76,2)</f>
        <v>0</v>
      </c>
      <c r="CV76">
        <f>ROUND(Y76*Source!I39,9)</f>
        <v>28.8</v>
      </c>
      <c r="CW76">
        <v>0</v>
      </c>
      <c r="CX76">
        <f>ROUND(Y76*Source!I39,9)</f>
        <v>28.8</v>
      </c>
      <c r="CY76">
        <f>AD76</f>
        <v>0</v>
      </c>
      <c r="CZ76">
        <f>AH76</f>
        <v>0</v>
      </c>
      <c r="DA76">
        <f>AL76</f>
        <v>1</v>
      </c>
      <c r="DB76">
        <f>ROUND((ROUND(AT76*CZ76,2)*1.2),6)</f>
        <v>0</v>
      </c>
      <c r="DC76">
        <f>ROUND((ROUND(AT76*AG76,2)*1.2),6)</f>
        <v>0</v>
      </c>
      <c r="DD76" t="s">
        <v>3</v>
      </c>
      <c r="DE76" t="s">
        <v>3</v>
      </c>
      <c r="DF76">
        <f>ROUND(ROUND(AE76,2)*CX76,2)</f>
        <v>0</v>
      </c>
      <c r="DG76">
        <f t="shared" si="30"/>
        <v>0</v>
      </c>
      <c r="DH76">
        <f t="shared" si="29"/>
        <v>0</v>
      </c>
      <c r="DI76">
        <f t="shared" si="28"/>
        <v>0</v>
      </c>
      <c r="DJ76">
        <f>DI76</f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ROW(Source!A39)</f>
        <v>39</v>
      </c>
      <c r="B77">
        <v>85739207</v>
      </c>
      <c r="C77">
        <v>85739516</v>
      </c>
      <c r="D77">
        <v>85229932</v>
      </c>
      <c r="E77">
        <v>1</v>
      </c>
      <c r="F77">
        <v>1</v>
      </c>
      <c r="G77">
        <v>1081</v>
      </c>
      <c r="H77">
        <v>2</v>
      </c>
      <c r="I77" t="s">
        <v>482</v>
      </c>
      <c r="J77" t="s">
        <v>483</v>
      </c>
      <c r="K77" t="s">
        <v>484</v>
      </c>
      <c r="L77">
        <v>1368</v>
      </c>
      <c r="N77">
        <v>1011</v>
      </c>
      <c r="O77" t="s">
        <v>478</v>
      </c>
      <c r="P77" t="s">
        <v>478</v>
      </c>
      <c r="Q77">
        <v>1</v>
      </c>
      <c r="W77">
        <v>0</v>
      </c>
      <c r="X77">
        <v>874612079</v>
      </c>
      <c r="Y77">
        <f>(AT77*1.2)</f>
        <v>2.4E-2</v>
      </c>
      <c r="AA77">
        <v>0</v>
      </c>
      <c r="AB77">
        <v>1513.56</v>
      </c>
      <c r="AC77">
        <v>758.78</v>
      </c>
      <c r="AD77">
        <v>0</v>
      </c>
      <c r="AE77">
        <v>0</v>
      </c>
      <c r="AF77">
        <v>83.1</v>
      </c>
      <c r="AG77">
        <v>12.62</v>
      </c>
      <c r="AH77">
        <v>0</v>
      </c>
      <c r="AI77">
        <v>1</v>
      </c>
      <c r="AJ77">
        <v>17.07</v>
      </c>
      <c r="AK77">
        <v>56.35</v>
      </c>
      <c r="AL77">
        <v>1</v>
      </c>
      <c r="AM77">
        <v>2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0.02</v>
      </c>
      <c r="AU77" t="s">
        <v>36</v>
      </c>
      <c r="AV77">
        <v>0</v>
      </c>
      <c r="AW77">
        <v>2</v>
      </c>
      <c r="AX77">
        <v>85739559</v>
      </c>
      <c r="AY77">
        <v>1</v>
      </c>
      <c r="AZ77">
        <v>0</v>
      </c>
      <c r="BA77">
        <v>89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V77">
        <v>0</v>
      </c>
      <c r="CW77">
        <f>ROUND(Y77*Source!I39*DO77,9)</f>
        <v>1.81728</v>
      </c>
      <c r="CX77">
        <f>ROUND(Y77*Source!I39,9)</f>
        <v>0.14399999999999999</v>
      </c>
      <c r="CY77">
        <f>AB77</f>
        <v>1513.56</v>
      </c>
      <c r="CZ77">
        <f>AF77</f>
        <v>83.1</v>
      </c>
      <c r="DA77">
        <f>AJ77</f>
        <v>17.07</v>
      </c>
      <c r="DB77">
        <f>ROUND((ROUND(AT77*CZ77,2)*1.2),6)</f>
        <v>1.992</v>
      </c>
      <c r="DC77">
        <f>ROUND((ROUND(AT77*AG77,2)*1.2),6)</f>
        <v>0.3</v>
      </c>
      <c r="DD77" t="s">
        <v>3</v>
      </c>
      <c r="DE77" t="s">
        <v>3</v>
      </c>
      <c r="DF77">
        <f>ROUND(ROUND(AE77,2)*CX77,2)</f>
        <v>0</v>
      </c>
      <c r="DG77">
        <f>ROUND(ROUND(AF77*AJ77,2)*CX77,2)</f>
        <v>204.27</v>
      </c>
      <c r="DH77">
        <f>ROUND(ROUND(AG77*AK77,2)*CX77,2)</f>
        <v>102.4</v>
      </c>
      <c r="DI77">
        <f t="shared" si="28"/>
        <v>0</v>
      </c>
      <c r="DJ77">
        <f>DG77</f>
        <v>204.27</v>
      </c>
      <c r="DK77">
        <v>0</v>
      </c>
      <c r="DL77" t="s">
        <v>485</v>
      </c>
      <c r="DM77">
        <v>0</v>
      </c>
      <c r="DN77" t="s">
        <v>474</v>
      </c>
      <c r="DO77">
        <v>12.62</v>
      </c>
    </row>
    <row r="78" spans="1:119" x14ac:dyDescent="0.2">
      <c r="A78">
        <f>ROW(Source!A39)</f>
        <v>39</v>
      </c>
      <c r="B78">
        <v>85739207</v>
      </c>
      <c r="C78">
        <v>85739516</v>
      </c>
      <c r="D78">
        <v>85199562</v>
      </c>
      <c r="E78">
        <v>1</v>
      </c>
      <c r="F78">
        <v>1</v>
      </c>
      <c r="G78">
        <v>1081</v>
      </c>
      <c r="H78">
        <v>3</v>
      </c>
      <c r="I78" t="s">
        <v>537</v>
      </c>
      <c r="J78" t="s">
        <v>538</v>
      </c>
      <c r="K78" t="s">
        <v>539</v>
      </c>
      <c r="L78">
        <v>1348</v>
      </c>
      <c r="N78">
        <v>1009</v>
      </c>
      <c r="O78" t="s">
        <v>266</v>
      </c>
      <c r="P78" t="s">
        <v>266</v>
      </c>
      <c r="Q78">
        <v>1000</v>
      </c>
      <c r="W78">
        <v>0</v>
      </c>
      <c r="X78">
        <v>-287838193</v>
      </c>
      <c r="Y78">
        <f>(AT78*1)</f>
        <v>1.2E-4</v>
      </c>
      <c r="AA78">
        <v>106689.74</v>
      </c>
      <c r="AB78">
        <v>0</v>
      </c>
      <c r="AC78">
        <v>0</v>
      </c>
      <c r="AD78">
        <v>0</v>
      </c>
      <c r="AE78">
        <v>23114.43</v>
      </c>
      <c r="AF78">
        <v>0</v>
      </c>
      <c r="AG78">
        <v>0</v>
      </c>
      <c r="AH78">
        <v>0</v>
      </c>
      <c r="AI78">
        <v>4.49</v>
      </c>
      <c r="AJ78">
        <v>1</v>
      </c>
      <c r="AK78">
        <v>1</v>
      </c>
      <c r="AL78">
        <v>1</v>
      </c>
      <c r="AM78">
        <v>2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1.2E-4</v>
      </c>
      <c r="AU78" t="s">
        <v>35</v>
      </c>
      <c r="AV78">
        <v>0</v>
      </c>
      <c r="AW78">
        <v>2</v>
      </c>
      <c r="AX78">
        <v>85739560</v>
      </c>
      <c r="AY78">
        <v>1</v>
      </c>
      <c r="AZ78">
        <v>0</v>
      </c>
      <c r="BA78">
        <v>90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ROUND(Y78*Source!I39,9)</f>
        <v>7.2000000000000005E-4</v>
      </c>
      <c r="CY78">
        <f>AA78</f>
        <v>106689.74</v>
      </c>
      <c r="CZ78">
        <f>AE78</f>
        <v>23114.43</v>
      </c>
      <c r="DA78">
        <f>AI78</f>
        <v>4.49</v>
      </c>
      <c r="DB78">
        <f>ROUND((ROUND(AT78*CZ78,2)*1),6)</f>
        <v>2.77</v>
      </c>
      <c r="DC78">
        <f>ROUND((ROUND(AT78*AG78,2)*1),6)</f>
        <v>0</v>
      </c>
      <c r="DD78" t="s">
        <v>3</v>
      </c>
      <c r="DE78" t="s">
        <v>3</v>
      </c>
      <c r="DF78">
        <f>ROUND(ROUND(AE78*AI78,2)*CX78,2)</f>
        <v>74.72</v>
      </c>
      <c r="DG78">
        <f>ROUND(ROUND(AF78,2)*CX78,2)</f>
        <v>0</v>
      </c>
      <c r="DH78">
        <f>ROUND(ROUND(AG78,2)*CX78,2)</f>
        <v>0</v>
      </c>
      <c r="DI78">
        <f t="shared" si="28"/>
        <v>0</v>
      </c>
      <c r="DJ78">
        <f>DF78</f>
        <v>74.72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ROW(Source!A40)</f>
        <v>40</v>
      </c>
      <c r="B79">
        <v>85739205</v>
      </c>
      <c r="C79">
        <v>85739517</v>
      </c>
      <c r="D79">
        <v>85164021</v>
      </c>
      <c r="E79">
        <v>1081</v>
      </c>
      <c r="F79">
        <v>1</v>
      </c>
      <c r="G79">
        <v>1081</v>
      </c>
      <c r="H79">
        <v>1</v>
      </c>
      <c r="I79" t="s">
        <v>472</v>
      </c>
      <c r="J79" t="s">
        <v>3</v>
      </c>
      <c r="K79" t="s">
        <v>473</v>
      </c>
      <c r="L79">
        <v>1191</v>
      </c>
      <c r="N79">
        <v>1013</v>
      </c>
      <c r="O79" t="s">
        <v>474</v>
      </c>
      <c r="P79" t="s">
        <v>474</v>
      </c>
      <c r="Q79">
        <v>1</v>
      </c>
      <c r="W79">
        <v>0</v>
      </c>
      <c r="X79">
        <v>476480486</v>
      </c>
      <c r="Y79">
        <f>(AT79*1.2)</f>
        <v>6.48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5.4</v>
      </c>
      <c r="AU79" t="s">
        <v>36</v>
      </c>
      <c r="AV79">
        <v>1</v>
      </c>
      <c r="AW79">
        <v>2</v>
      </c>
      <c r="AX79">
        <v>85739573</v>
      </c>
      <c r="AY79">
        <v>1</v>
      </c>
      <c r="AZ79">
        <v>0</v>
      </c>
      <c r="BA79">
        <v>93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ROUND(AT79*Source!I40*AH79*AL79,2)</f>
        <v>0</v>
      </c>
      <c r="CV79">
        <f>ROUND(Y79*Source!I40,9)</f>
        <v>12.96</v>
      </c>
      <c r="CW79">
        <v>0</v>
      </c>
      <c r="CX79">
        <f>ROUND(Y79*Source!I40,9)</f>
        <v>12.96</v>
      </c>
      <c r="CY79">
        <f>AD79</f>
        <v>0</v>
      </c>
      <c r="CZ79">
        <f>AH79</f>
        <v>0</v>
      </c>
      <c r="DA79">
        <f>AL79</f>
        <v>1</v>
      </c>
      <c r="DB79">
        <f>ROUND((ROUND(AT79*CZ79,2)*1.2),6)</f>
        <v>0</v>
      </c>
      <c r="DC79">
        <f>ROUND((ROUND(AT79*AG79,2)*1.2),6)</f>
        <v>0</v>
      </c>
      <c r="DD79" t="s">
        <v>3</v>
      </c>
      <c r="DE79" t="s">
        <v>3</v>
      </c>
      <c r="DF79">
        <f>ROUND(ROUND(AE79,2)*CX79,2)</f>
        <v>0</v>
      </c>
      <c r="DG79">
        <f>ROUND(ROUND(AF79,2)*CX79,2)</f>
        <v>0</v>
      </c>
      <c r="DH79">
        <f>ROUND(ROUND(AG79,2)*CX79,2)</f>
        <v>0</v>
      </c>
      <c r="DI79">
        <f t="shared" si="28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ROW(Source!A40)</f>
        <v>40</v>
      </c>
      <c r="B80">
        <v>85739205</v>
      </c>
      <c r="C80">
        <v>85739517</v>
      </c>
      <c r="D80">
        <v>85229932</v>
      </c>
      <c r="E80">
        <v>1</v>
      </c>
      <c r="F80">
        <v>1</v>
      </c>
      <c r="G80">
        <v>1081</v>
      </c>
      <c r="H80">
        <v>2</v>
      </c>
      <c r="I80" t="s">
        <v>482</v>
      </c>
      <c r="J80" t="s">
        <v>483</v>
      </c>
      <c r="K80" t="s">
        <v>484</v>
      </c>
      <c r="L80">
        <v>1368</v>
      </c>
      <c r="N80">
        <v>1011</v>
      </c>
      <c r="O80" t="s">
        <v>478</v>
      </c>
      <c r="P80" t="s">
        <v>478</v>
      </c>
      <c r="Q80">
        <v>1</v>
      </c>
      <c r="W80">
        <v>0</v>
      </c>
      <c r="X80">
        <v>874612079</v>
      </c>
      <c r="Y80">
        <f>(AT80*1.2)</f>
        <v>4.8000000000000001E-2</v>
      </c>
      <c r="AA80">
        <v>0</v>
      </c>
      <c r="AB80">
        <v>88.67</v>
      </c>
      <c r="AC80">
        <v>13.47</v>
      </c>
      <c r="AD80">
        <v>0</v>
      </c>
      <c r="AE80">
        <v>0</v>
      </c>
      <c r="AF80">
        <v>83.1</v>
      </c>
      <c r="AG80">
        <v>12.62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0.04</v>
      </c>
      <c r="AU80" t="s">
        <v>36</v>
      </c>
      <c r="AV80">
        <v>0</v>
      </c>
      <c r="AW80">
        <v>2</v>
      </c>
      <c r="AX80">
        <v>85739574</v>
      </c>
      <c r="AY80">
        <v>1</v>
      </c>
      <c r="AZ80">
        <v>0</v>
      </c>
      <c r="BA80">
        <v>94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f>ROUND(Y80*Source!I40*DO80,9)</f>
        <v>1.2115199999999999</v>
      </c>
      <c r="CX80">
        <f>ROUND(Y80*Source!I40,9)</f>
        <v>9.6000000000000002E-2</v>
      </c>
      <c r="CY80">
        <f>AB80</f>
        <v>88.67</v>
      </c>
      <c r="CZ80">
        <f>AF80</f>
        <v>83.1</v>
      </c>
      <c r="DA80">
        <f>AJ80</f>
        <v>1</v>
      </c>
      <c r="DB80">
        <f>ROUND((ROUND(AT80*CZ80,2)*1.2),6)</f>
        <v>3.984</v>
      </c>
      <c r="DC80">
        <f>ROUND((ROUND(AT80*AG80,2)*1.2),6)</f>
        <v>0.6</v>
      </c>
      <c r="DD80" t="s">
        <v>3</v>
      </c>
      <c r="DE80" t="s">
        <v>3</v>
      </c>
      <c r="DF80">
        <f>ROUND(ROUND(AE80,2)*CX80,2)</f>
        <v>0</v>
      </c>
      <c r="DG80">
        <f>ROUND(ROUND(AF80,2)*CX80,2)</f>
        <v>7.98</v>
      </c>
      <c r="DH80">
        <f>ROUND(ROUND(AG80,2)*CX80,2)</f>
        <v>1.21</v>
      </c>
      <c r="DI80">
        <f t="shared" si="28"/>
        <v>0</v>
      </c>
      <c r="DJ80">
        <f>DG80</f>
        <v>7.98</v>
      </c>
      <c r="DK80">
        <v>0</v>
      </c>
      <c r="DL80" t="s">
        <v>485</v>
      </c>
      <c r="DM80">
        <v>0</v>
      </c>
      <c r="DN80" t="s">
        <v>474</v>
      </c>
      <c r="DO80">
        <v>12.62</v>
      </c>
    </row>
    <row r="81" spans="1:119" x14ac:dyDescent="0.2">
      <c r="A81">
        <f>ROW(Source!A40)</f>
        <v>40</v>
      </c>
      <c r="B81">
        <v>85739205</v>
      </c>
      <c r="C81">
        <v>85739517</v>
      </c>
      <c r="D81">
        <v>85199562</v>
      </c>
      <c r="E81">
        <v>1</v>
      </c>
      <c r="F81">
        <v>1</v>
      </c>
      <c r="G81">
        <v>1081</v>
      </c>
      <c r="H81">
        <v>3</v>
      </c>
      <c r="I81" t="s">
        <v>537</v>
      </c>
      <c r="J81" t="s">
        <v>538</v>
      </c>
      <c r="K81" t="s">
        <v>539</v>
      </c>
      <c r="L81">
        <v>1348</v>
      </c>
      <c r="N81">
        <v>1009</v>
      </c>
      <c r="O81" t="s">
        <v>266</v>
      </c>
      <c r="P81" t="s">
        <v>266</v>
      </c>
      <c r="Q81">
        <v>1000</v>
      </c>
      <c r="W81">
        <v>0</v>
      </c>
      <c r="X81">
        <v>-287838193</v>
      </c>
      <c r="Y81">
        <f>(AT81*1)</f>
        <v>1.7000000000000001E-4</v>
      </c>
      <c r="AA81">
        <v>23761.63</v>
      </c>
      <c r="AB81">
        <v>0</v>
      </c>
      <c r="AC81">
        <v>0</v>
      </c>
      <c r="AD81">
        <v>0</v>
      </c>
      <c r="AE81">
        <v>23114.43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-2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1.7000000000000001E-4</v>
      </c>
      <c r="AU81" t="s">
        <v>35</v>
      </c>
      <c r="AV81">
        <v>0</v>
      </c>
      <c r="AW81">
        <v>2</v>
      </c>
      <c r="AX81">
        <v>85739575</v>
      </c>
      <c r="AY81">
        <v>1</v>
      </c>
      <c r="AZ81">
        <v>0</v>
      </c>
      <c r="BA81">
        <v>95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V81">
        <v>0</v>
      </c>
      <c r="CW81">
        <v>0</v>
      </c>
      <c r="CX81">
        <f>ROUND(Y81*Source!I40,9)</f>
        <v>3.4000000000000002E-4</v>
      </c>
      <c r="CY81">
        <f>AA81</f>
        <v>23761.63</v>
      </c>
      <c r="CZ81">
        <f>AE81</f>
        <v>23114.43</v>
      </c>
      <c r="DA81">
        <f>AI81</f>
        <v>1</v>
      </c>
      <c r="DB81">
        <f>ROUND((ROUND(AT81*CZ81,2)*1),6)</f>
        <v>3.93</v>
      </c>
      <c r="DC81">
        <f>ROUND((ROUND(AT81*AG81,2)*1),6)</f>
        <v>0</v>
      </c>
      <c r="DD81" t="s">
        <v>3</v>
      </c>
      <c r="DE81" t="s">
        <v>3</v>
      </c>
      <c r="DF81">
        <f>ROUND(ROUND(AE81,2)*CX81,2)</f>
        <v>7.86</v>
      </c>
      <c r="DG81">
        <f>ROUND(ROUND(AF81,2)*CX81,2)</f>
        <v>0</v>
      </c>
      <c r="DH81">
        <f>ROUND(ROUND(AG81,2)*CX81,2)</f>
        <v>0</v>
      </c>
      <c r="DI81">
        <f t="shared" si="28"/>
        <v>0</v>
      </c>
      <c r="DJ81">
        <f>DF81</f>
        <v>7.86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ROW(Source!A41)</f>
        <v>41</v>
      </c>
      <c r="B82">
        <v>85739207</v>
      </c>
      <c r="C82">
        <v>85739517</v>
      </c>
      <c r="D82">
        <v>85164021</v>
      </c>
      <c r="E82">
        <v>1081</v>
      </c>
      <c r="F82">
        <v>1</v>
      </c>
      <c r="G82">
        <v>1081</v>
      </c>
      <c r="H82">
        <v>1</v>
      </c>
      <c r="I82" t="s">
        <v>472</v>
      </c>
      <c r="J82" t="s">
        <v>3</v>
      </c>
      <c r="K82" t="s">
        <v>473</v>
      </c>
      <c r="L82">
        <v>1191</v>
      </c>
      <c r="N82">
        <v>1013</v>
      </c>
      <c r="O82" t="s">
        <v>474</v>
      </c>
      <c r="P82" t="s">
        <v>474</v>
      </c>
      <c r="Q82">
        <v>1</v>
      </c>
      <c r="W82">
        <v>0</v>
      </c>
      <c r="X82">
        <v>476480486</v>
      </c>
      <c r="Y82">
        <f>(AT82*1.2)</f>
        <v>6.48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5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5.4</v>
      </c>
      <c r="AU82" t="s">
        <v>36</v>
      </c>
      <c r="AV82">
        <v>1</v>
      </c>
      <c r="AW82">
        <v>2</v>
      </c>
      <c r="AX82">
        <v>85739573</v>
      </c>
      <c r="AY82">
        <v>1</v>
      </c>
      <c r="AZ82">
        <v>0</v>
      </c>
      <c r="BA82">
        <v>98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U82">
        <f>ROUND(AT82*Source!I41*AH82*AL82,2)</f>
        <v>0</v>
      </c>
      <c r="CV82">
        <f>ROUND(Y82*Source!I41,9)</f>
        <v>12.96</v>
      </c>
      <c r="CW82">
        <v>0</v>
      </c>
      <c r="CX82">
        <f>ROUND(Y82*Source!I41,9)</f>
        <v>12.96</v>
      </c>
      <c r="CY82">
        <f>AD82</f>
        <v>0</v>
      </c>
      <c r="CZ82">
        <f>AH82</f>
        <v>0</v>
      </c>
      <c r="DA82">
        <f>AL82</f>
        <v>1</v>
      </c>
      <c r="DB82">
        <f>ROUND((ROUND(AT82*CZ82,2)*1.2),6)</f>
        <v>0</v>
      </c>
      <c r="DC82">
        <f>ROUND((ROUND(AT82*AG82,2)*1.2),6)</f>
        <v>0</v>
      </c>
      <c r="DD82" t="s">
        <v>3</v>
      </c>
      <c r="DE82" t="s">
        <v>3</v>
      </c>
      <c r="DF82">
        <f>ROUND(ROUND(AE82,2)*CX82,2)</f>
        <v>0</v>
      </c>
      <c r="DG82">
        <f>ROUND(ROUND(AF82,2)*CX82,2)</f>
        <v>0</v>
      </c>
      <c r="DH82">
        <f>ROUND(ROUND(AG82,2)*CX82,2)</f>
        <v>0</v>
      </c>
      <c r="DI82">
        <f t="shared" si="28"/>
        <v>0</v>
      </c>
      <c r="DJ82">
        <f>DI82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ROW(Source!A41)</f>
        <v>41</v>
      </c>
      <c r="B83">
        <v>85739207</v>
      </c>
      <c r="C83">
        <v>85739517</v>
      </c>
      <c r="D83">
        <v>85229932</v>
      </c>
      <c r="E83">
        <v>1</v>
      </c>
      <c r="F83">
        <v>1</v>
      </c>
      <c r="G83">
        <v>1081</v>
      </c>
      <c r="H83">
        <v>2</v>
      </c>
      <c r="I83" t="s">
        <v>482</v>
      </c>
      <c r="J83" t="s">
        <v>483</v>
      </c>
      <c r="K83" t="s">
        <v>484</v>
      </c>
      <c r="L83">
        <v>1368</v>
      </c>
      <c r="N83">
        <v>1011</v>
      </c>
      <c r="O83" t="s">
        <v>478</v>
      </c>
      <c r="P83" t="s">
        <v>478</v>
      </c>
      <c r="Q83">
        <v>1</v>
      </c>
      <c r="W83">
        <v>0</v>
      </c>
      <c r="X83">
        <v>874612079</v>
      </c>
      <c r="Y83">
        <f>(AT83*1.2)</f>
        <v>4.8000000000000001E-2</v>
      </c>
      <c r="AA83">
        <v>0</v>
      </c>
      <c r="AB83">
        <v>1513.56</v>
      </c>
      <c r="AC83">
        <v>758.78</v>
      </c>
      <c r="AD83">
        <v>0</v>
      </c>
      <c r="AE83">
        <v>0</v>
      </c>
      <c r="AF83">
        <v>83.1</v>
      </c>
      <c r="AG83">
        <v>12.62</v>
      </c>
      <c r="AH83">
        <v>0</v>
      </c>
      <c r="AI83">
        <v>1</v>
      </c>
      <c r="AJ83">
        <v>17.07</v>
      </c>
      <c r="AK83">
        <v>56.35</v>
      </c>
      <c r="AL83">
        <v>1</v>
      </c>
      <c r="AM83">
        <v>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0.04</v>
      </c>
      <c r="AU83" t="s">
        <v>36</v>
      </c>
      <c r="AV83">
        <v>0</v>
      </c>
      <c r="AW83">
        <v>2</v>
      </c>
      <c r="AX83">
        <v>85739574</v>
      </c>
      <c r="AY83">
        <v>1</v>
      </c>
      <c r="AZ83">
        <v>0</v>
      </c>
      <c r="BA83">
        <v>99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V83">
        <v>0</v>
      </c>
      <c r="CW83">
        <f>ROUND(Y83*Source!I41*DO83,9)</f>
        <v>1.2115199999999999</v>
      </c>
      <c r="CX83">
        <f>ROUND(Y83*Source!I41,9)</f>
        <v>9.6000000000000002E-2</v>
      </c>
      <c r="CY83">
        <f>AB83</f>
        <v>1513.56</v>
      </c>
      <c r="CZ83">
        <f>AF83</f>
        <v>83.1</v>
      </c>
      <c r="DA83">
        <f>AJ83</f>
        <v>17.07</v>
      </c>
      <c r="DB83">
        <f>ROUND((ROUND(AT83*CZ83,2)*1.2),6)</f>
        <v>3.984</v>
      </c>
      <c r="DC83">
        <f>ROUND((ROUND(AT83*AG83,2)*1.2),6)</f>
        <v>0.6</v>
      </c>
      <c r="DD83" t="s">
        <v>3</v>
      </c>
      <c r="DE83" t="s">
        <v>3</v>
      </c>
      <c r="DF83">
        <f>ROUND(ROUND(AE83,2)*CX83,2)</f>
        <v>0</v>
      </c>
      <c r="DG83">
        <f>ROUND(ROUND(AF83*AJ83,2)*CX83,2)</f>
        <v>136.18</v>
      </c>
      <c r="DH83">
        <f>ROUND(ROUND(AG83*AK83,2)*CX83,2)</f>
        <v>68.27</v>
      </c>
      <c r="DI83">
        <f t="shared" si="28"/>
        <v>0</v>
      </c>
      <c r="DJ83">
        <f>DG83</f>
        <v>136.18</v>
      </c>
      <c r="DK83">
        <v>0</v>
      </c>
      <c r="DL83" t="s">
        <v>485</v>
      </c>
      <c r="DM83">
        <v>0</v>
      </c>
      <c r="DN83" t="s">
        <v>474</v>
      </c>
      <c r="DO83">
        <v>12.62</v>
      </c>
    </row>
    <row r="84" spans="1:119" x14ac:dyDescent="0.2">
      <c r="A84">
        <f>ROW(Source!A41)</f>
        <v>41</v>
      </c>
      <c r="B84">
        <v>85739207</v>
      </c>
      <c r="C84">
        <v>85739517</v>
      </c>
      <c r="D84">
        <v>85199562</v>
      </c>
      <c r="E84">
        <v>1</v>
      </c>
      <c r="F84">
        <v>1</v>
      </c>
      <c r="G84">
        <v>1081</v>
      </c>
      <c r="H84">
        <v>3</v>
      </c>
      <c r="I84" t="s">
        <v>537</v>
      </c>
      <c r="J84" t="s">
        <v>538</v>
      </c>
      <c r="K84" t="s">
        <v>539</v>
      </c>
      <c r="L84">
        <v>1348</v>
      </c>
      <c r="N84">
        <v>1009</v>
      </c>
      <c r="O84" t="s">
        <v>266</v>
      </c>
      <c r="P84" t="s">
        <v>266</v>
      </c>
      <c r="Q84">
        <v>1000</v>
      </c>
      <c r="W84">
        <v>0</v>
      </c>
      <c r="X84">
        <v>-287838193</v>
      </c>
      <c r="Y84">
        <f>(AT84*1)</f>
        <v>1.7000000000000001E-4</v>
      </c>
      <c r="AA84">
        <v>106689.74</v>
      </c>
      <c r="AB84">
        <v>0</v>
      </c>
      <c r="AC84">
        <v>0</v>
      </c>
      <c r="AD84">
        <v>0</v>
      </c>
      <c r="AE84">
        <v>23114.43</v>
      </c>
      <c r="AF84">
        <v>0</v>
      </c>
      <c r="AG84">
        <v>0</v>
      </c>
      <c r="AH84">
        <v>0</v>
      </c>
      <c r="AI84">
        <v>4.49</v>
      </c>
      <c r="AJ84">
        <v>1</v>
      </c>
      <c r="AK84">
        <v>1</v>
      </c>
      <c r="AL84">
        <v>1</v>
      </c>
      <c r="AM84">
        <v>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1.7000000000000001E-4</v>
      </c>
      <c r="AU84" t="s">
        <v>35</v>
      </c>
      <c r="AV84">
        <v>0</v>
      </c>
      <c r="AW84">
        <v>2</v>
      </c>
      <c r="AX84">
        <v>85739575</v>
      </c>
      <c r="AY84">
        <v>1</v>
      </c>
      <c r="AZ84">
        <v>0</v>
      </c>
      <c r="BA84">
        <v>100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ROUND(Y84*Source!I41,9)</f>
        <v>3.4000000000000002E-4</v>
      </c>
      <c r="CY84">
        <f>AA84</f>
        <v>106689.74</v>
      </c>
      <c r="CZ84">
        <f>AE84</f>
        <v>23114.43</v>
      </c>
      <c r="DA84">
        <f>AI84</f>
        <v>4.49</v>
      </c>
      <c r="DB84">
        <f>ROUND((ROUND(AT84*CZ84,2)*1),6)</f>
        <v>3.93</v>
      </c>
      <c r="DC84">
        <f>ROUND((ROUND(AT84*AG84,2)*1),6)</f>
        <v>0</v>
      </c>
      <c r="DD84" t="s">
        <v>3</v>
      </c>
      <c r="DE84" t="s">
        <v>3</v>
      </c>
      <c r="DF84">
        <f>ROUND(ROUND(AE84*AI84,2)*CX84,2)</f>
        <v>35.29</v>
      </c>
      <c r="DG84">
        <f t="shared" ref="DG84:DG101" si="31">ROUND(ROUND(AF84,2)*CX84,2)</f>
        <v>0</v>
      </c>
      <c r="DH84">
        <f t="shared" ref="DH84:DH101" si="32">ROUND(ROUND(AG84,2)*CX84,2)</f>
        <v>0</v>
      </c>
      <c r="DI84">
        <f t="shared" si="28"/>
        <v>0</v>
      </c>
      <c r="DJ84">
        <f>DF84</f>
        <v>35.29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ROW(Source!A42)</f>
        <v>42</v>
      </c>
      <c r="B85">
        <v>85739205</v>
      </c>
      <c r="C85">
        <v>85739518</v>
      </c>
      <c r="D85">
        <v>85164021</v>
      </c>
      <c r="E85">
        <v>1081</v>
      </c>
      <c r="F85">
        <v>1</v>
      </c>
      <c r="G85">
        <v>1081</v>
      </c>
      <c r="H85">
        <v>1</v>
      </c>
      <c r="I85" t="s">
        <v>472</v>
      </c>
      <c r="J85" t="s">
        <v>3</v>
      </c>
      <c r="K85" t="s">
        <v>473</v>
      </c>
      <c r="L85">
        <v>1191</v>
      </c>
      <c r="N85">
        <v>1013</v>
      </c>
      <c r="O85" t="s">
        <v>474</v>
      </c>
      <c r="P85" t="s">
        <v>474</v>
      </c>
      <c r="Q85">
        <v>1</v>
      </c>
      <c r="W85">
        <v>0</v>
      </c>
      <c r="X85">
        <v>476480486</v>
      </c>
      <c r="Y85">
        <f>(AT85*1.2)</f>
        <v>3.5999999999999996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-2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3</v>
      </c>
      <c r="AU85" t="s">
        <v>36</v>
      </c>
      <c r="AV85">
        <v>1</v>
      </c>
      <c r="AW85">
        <v>2</v>
      </c>
      <c r="AX85">
        <v>85739608</v>
      </c>
      <c r="AY85">
        <v>1</v>
      </c>
      <c r="AZ85">
        <v>0</v>
      </c>
      <c r="BA85">
        <v>103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U85">
        <f>ROUND(AT85*Source!I42*AH85*AL85,2)</f>
        <v>0</v>
      </c>
      <c r="CV85">
        <f>ROUND(Y85*Source!I42,9)</f>
        <v>10.8</v>
      </c>
      <c r="CW85">
        <v>0</v>
      </c>
      <c r="CX85">
        <f>ROUND(Y85*Source!I42,9)</f>
        <v>10.8</v>
      </c>
      <c r="CY85">
        <f>AD85</f>
        <v>0</v>
      </c>
      <c r="CZ85">
        <f>AH85</f>
        <v>0</v>
      </c>
      <c r="DA85">
        <f>AL85</f>
        <v>1</v>
      </c>
      <c r="DB85">
        <f>ROUND((ROUND(AT85*CZ85,2)*1.2),6)</f>
        <v>0</v>
      </c>
      <c r="DC85">
        <f>ROUND((ROUND(AT85*AG85,2)*1.2),6)</f>
        <v>0</v>
      </c>
      <c r="DD85" t="s">
        <v>3</v>
      </c>
      <c r="DE85" t="s">
        <v>3</v>
      </c>
      <c r="DF85">
        <f>ROUND(ROUND(AE85,2)*CX85,2)</f>
        <v>0</v>
      </c>
      <c r="DG85">
        <f t="shared" si="31"/>
        <v>0</v>
      </c>
      <c r="DH85">
        <f t="shared" si="32"/>
        <v>0</v>
      </c>
      <c r="DI85">
        <f t="shared" si="28"/>
        <v>0</v>
      </c>
      <c r="DJ85">
        <f>DI85</f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ROW(Source!A42)</f>
        <v>42</v>
      </c>
      <c r="B86">
        <v>85739205</v>
      </c>
      <c r="C86">
        <v>85739518</v>
      </c>
      <c r="D86">
        <v>85199562</v>
      </c>
      <c r="E86">
        <v>1</v>
      </c>
      <c r="F86">
        <v>1</v>
      </c>
      <c r="G86">
        <v>1081</v>
      </c>
      <c r="H86">
        <v>3</v>
      </c>
      <c r="I86" t="s">
        <v>537</v>
      </c>
      <c r="J86" t="s">
        <v>538</v>
      </c>
      <c r="K86" t="s">
        <v>539</v>
      </c>
      <c r="L86">
        <v>1348</v>
      </c>
      <c r="N86">
        <v>1009</v>
      </c>
      <c r="O86" t="s">
        <v>266</v>
      </c>
      <c r="P86" t="s">
        <v>266</v>
      </c>
      <c r="Q86">
        <v>1000</v>
      </c>
      <c r="W86">
        <v>0</v>
      </c>
      <c r="X86">
        <v>-287838193</v>
      </c>
      <c r="Y86">
        <f>(AT86*1)</f>
        <v>3.0000000000000001E-5</v>
      </c>
      <c r="AA86">
        <v>23761.63</v>
      </c>
      <c r="AB86">
        <v>0</v>
      </c>
      <c r="AC86">
        <v>0</v>
      </c>
      <c r="AD86">
        <v>0</v>
      </c>
      <c r="AE86">
        <v>23114.43</v>
      </c>
      <c r="AF86">
        <v>0</v>
      </c>
      <c r="AG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-2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3.0000000000000001E-5</v>
      </c>
      <c r="AU86" t="s">
        <v>35</v>
      </c>
      <c r="AV86">
        <v>0</v>
      </c>
      <c r="AW86">
        <v>2</v>
      </c>
      <c r="AX86">
        <v>85739609</v>
      </c>
      <c r="AY86">
        <v>1</v>
      </c>
      <c r="AZ86">
        <v>0</v>
      </c>
      <c r="BA86">
        <v>104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ROUND(Y86*Source!I42,9)</f>
        <v>9.0000000000000006E-5</v>
      </c>
      <c r="CY86">
        <f>AA86</f>
        <v>23761.63</v>
      </c>
      <c r="CZ86">
        <f>AE86</f>
        <v>23114.43</v>
      </c>
      <c r="DA86">
        <f>AI86</f>
        <v>1</v>
      </c>
      <c r="DB86">
        <f>ROUND((ROUND(AT86*CZ86,2)*1),6)</f>
        <v>0.69</v>
      </c>
      <c r="DC86">
        <f>ROUND((ROUND(AT86*AG86,2)*1),6)</f>
        <v>0</v>
      </c>
      <c r="DD86" t="s">
        <v>3</v>
      </c>
      <c r="DE86" t="s">
        <v>3</v>
      </c>
      <c r="DF86">
        <f>ROUND(ROUND(AE86,2)*CX86,2)</f>
        <v>2.08</v>
      </c>
      <c r="DG86">
        <f t="shared" si="31"/>
        <v>0</v>
      </c>
      <c r="DH86">
        <f t="shared" si="32"/>
        <v>0</v>
      </c>
      <c r="DI86">
        <f t="shared" si="28"/>
        <v>0</v>
      </c>
      <c r="DJ86">
        <f>DF86</f>
        <v>2.08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ROW(Source!A43)</f>
        <v>43</v>
      </c>
      <c r="B87">
        <v>85739207</v>
      </c>
      <c r="C87">
        <v>85739518</v>
      </c>
      <c r="D87">
        <v>85164021</v>
      </c>
      <c r="E87">
        <v>1081</v>
      </c>
      <c r="F87">
        <v>1</v>
      </c>
      <c r="G87">
        <v>1081</v>
      </c>
      <c r="H87">
        <v>1</v>
      </c>
      <c r="I87" t="s">
        <v>472</v>
      </c>
      <c r="J87" t="s">
        <v>3</v>
      </c>
      <c r="K87" t="s">
        <v>473</v>
      </c>
      <c r="L87">
        <v>1191</v>
      </c>
      <c r="N87">
        <v>1013</v>
      </c>
      <c r="O87" t="s">
        <v>474</v>
      </c>
      <c r="P87" t="s">
        <v>474</v>
      </c>
      <c r="Q87">
        <v>1</v>
      </c>
      <c r="W87">
        <v>0</v>
      </c>
      <c r="X87">
        <v>476480486</v>
      </c>
      <c r="Y87">
        <f>(AT87*1.2)</f>
        <v>3.5999999999999996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5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3</v>
      </c>
      <c r="AU87" t="s">
        <v>36</v>
      </c>
      <c r="AV87">
        <v>1</v>
      </c>
      <c r="AW87">
        <v>2</v>
      </c>
      <c r="AX87">
        <v>85739608</v>
      </c>
      <c r="AY87">
        <v>1</v>
      </c>
      <c r="AZ87">
        <v>0</v>
      </c>
      <c r="BA87">
        <v>107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ROUND(AT87*Source!I43*AH87*AL87,2)</f>
        <v>0</v>
      </c>
      <c r="CV87">
        <f>ROUND(Y87*Source!I43,9)</f>
        <v>10.8</v>
      </c>
      <c r="CW87">
        <v>0</v>
      </c>
      <c r="CX87">
        <f>ROUND(Y87*Source!I43,9)</f>
        <v>10.8</v>
      </c>
      <c r="CY87">
        <f>AD87</f>
        <v>0</v>
      </c>
      <c r="CZ87">
        <f>AH87</f>
        <v>0</v>
      </c>
      <c r="DA87">
        <f>AL87</f>
        <v>1</v>
      </c>
      <c r="DB87">
        <f>ROUND((ROUND(AT87*CZ87,2)*1.2),6)</f>
        <v>0</v>
      </c>
      <c r="DC87">
        <f>ROUND((ROUND(AT87*AG87,2)*1.2),6)</f>
        <v>0</v>
      </c>
      <c r="DD87" t="s">
        <v>3</v>
      </c>
      <c r="DE87" t="s">
        <v>3</v>
      </c>
      <c r="DF87">
        <f>ROUND(ROUND(AE87,2)*CX87,2)</f>
        <v>0</v>
      </c>
      <c r="DG87">
        <f t="shared" si="31"/>
        <v>0</v>
      </c>
      <c r="DH87">
        <f t="shared" si="32"/>
        <v>0</v>
      </c>
      <c r="DI87">
        <f t="shared" si="28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ROW(Source!A43)</f>
        <v>43</v>
      </c>
      <c r="B88">
        <v>85739207</v>
      </c>
      <c r="C88">
        <v>85739518</v>
      </c>
      <c r="D88">
        <v>85199562</v>
      </c>
      <c r="E88">
        <v>1</v>
      </c>
      <c r="F88">
        <v>1</v>
      </c>
      <c r="G88">
        <v>1081</v>
      </c>
      <c r="H88">
        <v>3</v>
      </c>
      <c r="I88" t="s">
        <v>537</v>
      </c>
      <c r="J88" t="s">
        <v>538</v>
      </c>
      <c r="K88" t="s">
        <v>539</v>
      </c>
      <c r="L88">
        <v>1348</v>
      </c>
      <c r="N88">
        <v>1009</v>
      </c>
      <c r="O88" t="s">
        <v>266</v>
      </c>
      <c r="P88" t="s">
        <v>266</v>
      </c>
      <c r="Q88">
        <v>1000</v>
      </c>
      <c r="W88">
        <v>0</v>
      </c>
      <c r="X88">
        <v>-287838193</v>
      </c>
      <c r="Y88">
        <f>(AT88*1)</f>
        <v>3.0000000000000001E-5</v>
      </c>
      <c r="AA88">
        <v>106689.74</v>
      </c>
      <c r="AB88">
        <v>0</v>
      </c>
      <c r="AC88">
        <v>0</v>
      </c>
      <c r="AD88">
        <v>0</v>
      </c>
      <c r="AE88">
        <v>23114.43</v>
      </c>
      <c r="AF88">
        <v>0</v>
      </c>
      <c r="AG88">
        <v>0</v>
      </c>
      <c r="AH88">
        <v>0</v>
      </c>
      <c r="AI88">
        <v>4.49</v>
      </c>
      <c r="AJ88">
        <v>1</v>
      </c>
      <c r="AK88">
        <v>1</v>
      </c>
      <c r="AL88">
        <v>1</v>
      </c>
      <c r="AM88">
        <v>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3.0000000000000001E-5</v>
      </c>
      <c r="AU88" t="s">
        <v>35</v>
      </c>
      <c r="AV88">
        <v>0</v>
      </c>
      <c r="AW88">
        <v>2</v>
      </c>
      <c r="AX88">
        <v>85739609</v>
      </c>
      <c r="AY88">
        <v>1</v>
      </c>
      <c r="AZ88">
        <v>0</v>
      </c>
      <c r="BA88">
        <v>108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v>0</v>
      </c>
      <c r="CX88">
        <f>ROUND(Y88*Source!I43,9)</f>
        <v>9.0000000000000006E-5</v>
      </c>
      <c r="CY88">
        <f>AA88</f>
        <v>106689.74</v>
      </c>
      <c r="CZ88">
        <f>AE88</f>
        <v>23114.43</v>
      </c>
      <c r="DA88">
        <f>AI88</f>
        <v>4.49</v>
      </c>
      <c r="DB88">
        <f>ROUND((ROUND(AT88*CZ88,2)*1),6)</f>
        <v>0.69</v>
      </c>
      <c r="DC88">
        <f>ROUND((ROUND(AT88*AG88,2)*1),6)</f>
        <v>0</v>
      </c>
      <c r="DD88" t="s">
        <v>3</v>
      </c>
      <c r="DE88" t="s">
        <v>3</v>
      </c>
      <c r="DF88">
        <f>ROUND(ROUND(AE88*AI88,2)*CX88,2)</f>
        <v>9.34</v>
      </c>
      <c r="DG88">
        <f t="shared" si="31"/>
        <v>0</v>
      </c>
      <c r="DH88">
        <f t="shared" si="32"/>
        <v>0</v>
      </c>
      <c r="DI88">
        <f t="shared" si="28"/>
        <v>0</v>
      </c>
      <c r="DJ88">
        <f>DF88</f>
        <v>9.34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ROW(Source!A44)</f>
        <v>44</v>
      </c>
      <c r="B89">
        <v>85739205</v>
      </c>
      <c r="C89">
        <v>85739615</v>
      </c>
      <c r="D89">
        <v>85164021</v>
      </c>
      <c r="E89">
        <v>1081</v>
      </c>
      <c r="F89">
        <v>1</v>
      </c>
      <c r="G89">
        <v>1081</v>
      </c>
      <c r="H89">
        <v>1</v>
      </c>
      <c r="I89" t="s">
        <v>472</v>
      </c>
      <c r="J89" t="s">
        <v>3</v>
      </c>
      <c r="K89" t="s">
        <v>473</v>
      </c>
      <c r="L89">
        <v>1191</v>
      </c>
      <c r="N89">
        <v>1013</v>
      </c>
      <c r="O89" t="s">
        <v>474</v>
      </c>
      <c r="P89" t="s">
        <v>474</v>
      </c>
      <c r="Q89">
        <v>1</v>
      </c>
      <c r="W89">
        <v>0</v>
      </c>
      <c r="X89">
        <v>476480486</v>
      </c>
      <c r="Y89">
        <f>((AT89*1.15)*1.2)</f>
        <v>0.30359999999999998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0.22</v>
      </c>
      <c r="AU89" t="s">
        <v>79</v>
      </c>
      <c r="AV89">
        <v>1</v>
      </c>
      <c r="AW89">
        <v>2</v>
      </c>
      <c r="AX89">
        <v>85739620</v>
      </c>
      <c r="AY89">
        <v>1</v>
      </c>
      <c r="AZ89">
        <v>0</v>
      </c>
      <c r="BA89">
        <v>111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U89">
        <f>ROUND(AT89*Source!I44*AH89*AL89,2)</f>
        <v>0</v>
      </c>
      <c r="CV89">
        <f>ROUND(Y89*Source!I44,9)</f>
        <v>2.4287999999999998</v>
      </c>
      <c r="CW89">
        <v>0</v>
      </c>
      <c r="CX89">
        <f>ROUND(Y89*Source!I44,9)</f>
        <v>2.4287999999999998</v>
      </c>
      <c r="CY89">
        <f>AD89</f>
        <v>0</v>
      </c>
      <c r="CZ89">
        <f>AH89</f>
        <v>0</v>
      </c>
      <c r="DA89">
        <f>AL89</f>
        <v>1</v>
      </c>
      <c r="DB89">
        <f>ROUND(((ROUND(AT89*CZ89,2)*1.15)*1.2),6)</f>
        <v>0</v>
      </c>
      <c r="DC89">
        <f>ROUND(((ROUND(AT89*AG89,2)*1.15)*1.2),6)</f>
        <v>0</v>
      </c>
      <c r="DD89" t="s">
        <v>3</v>
      </c>
      <c r="DE89" t="s">
        <v>3</v>
      </c>
      <c r="DF89">
        <f>ROUND(ROUND(AE89,2)*CX89,2)</f>
        <v>0</v>
      </c>
      <c r="DG89">
        <f t="shared" si="31"/>
        <v>0</v>
      </c>
      <c r="DH89">
        <f t="shared" si="32"/>
        <v>0</v>
      </c>
      <c r="DI89">
        <f t="shared" si="28"/>
        <v>0</v>
      </c>
      <c r="DJ89">
        <f>DI89</f>
        <v>0</v>
      </c>
      <c r="DK89">
        <v>0</v>
      </c>
      <c r="DL89" t="s">
        <v>3</v>
      </c>
      <c r="DM89">
        <v>0</v>
      </c>
      <c r="DN89" t="s">
        <v>3</v>
      </c>
      <c r="DO89">
        <v>0</v>
      </c>
    </row>
    <row r="90" spans="1:119" x14ac:dyDescent="0.2">
      <c r="A90">
        <f>ROW(Source!A44)</f>
        <v>44</v>
      </c>
      <c r="B90">
        <v>85739205</v>
      </c>
      <c r="C90">
        <v>85739615</v>
      </c>
      <c r="D90">
        <v>85200671</v>
      </c>
      <c r="E90">
        <v>1</v>
      </c>
      <c r="F90">
        <v>1</v>
      </c>
      <c r="G90">
        <v>1081</v>
      </c>
      <c r="H90">
        <v>3</v>
      </c>
      <c r="I90" t="s">
        <v>516</v>
      </c>
      <c r="J90" t="s">
        <v>517</v>
      </c>
      <c r="K90" t="s">
        <v>518</v>
      </c>
      <c r="L90">
        <v>1346</v>
      </c>
      <c r="N90">
        <v>1009</v>
      </c>
      <c r="O90" t="s">
        <v>502</v>
      </c>
      <c r="P90" t="s">
        <v>502</v>
      </c>
      <c r="Q90">
        <v>1</v>
      </c>
      <c r="W90">
        <v>0</v>
      </c>
      <c r="X90">
        <v>1021383118</v>
      </c>
      <c r="Y90">
        <f>((AT90*1)*1)</f>
        <v>0.01</v>
      </c>
      <c r="AA90">
        <v>37.979999999999997</v>
      </c>
      <c r="AB90">
        <v>0</v>
      </c>
      <c r="AC90">
        <v>0</v>
      </c>
      <c r="AD90">
        <v>0</v>
      </c>
      <c r="AE90">
        <v>37.979999999999997</v>
      </c>
      <c r="AF90">
        <v>0</v>
      </c>
      <c r="AG90">
        <v>0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0.01</v>
      </c>
      <c r="AU90" t="s">
        <v>77</v>
      </c>
      <c r="AV90">
        <v>0</v>
      </c>
      <c r="AW90">
        <v>2</v>
      </c>
      <c r="AX90">
        <v>85739621</v>
      </c>
      <c r="AY90">
        <v>1</v>
      </c>
      <c r="AZ90">
        <v>0</v>
      </c>
      <c r="BA90">
        <v>112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v>0</v>
      </c>
      <c r="CX90">
        <f>ROUND(Y90*Source!I44,9)</f>
        <v>0.08</v>
      </c>
      <c r="CY90">
        <f>AA90</f>
        <v>37.979999999999997</v>
      </c>
      <c r="CZ90">
        <f>AE90</f>
        <v>37.979999999999997</v>
      </c>
      <c r="DA90">
        <f>AI90</f>
        <v>1</v>
      </c>
      <c r="DB90">
        <f>ROUND(((ROUND(AT90*CZ90,2)*1)*1),6)</f>
        <v>0.38</v>
      </c>
      <c r="DC90">
        <f>ROUND(((ROUND(AT90*AG90,2)*1)*1),6)</f>
        <v>0</v>
      </c>
      <c r="DD90" t="s">
        <v>3</v>
      </c>
      <c r="DE90" t="s">
        <v>3</v>
      </c>
      <c r="DF90">
        <f>ROUND(ROUND(AE90,2)*CX90,2)</f>
        <v>3.04</v>
      </c>
      <c r="DG90">
        <f t="shared" si="31"/>
        <v>0</v>
      </c>
      <c r="DH90">
        <f t="shared" si="32"/>
        <v>0</v>
      </c>
      <c r="DI90">
        <f t="shared" si="28"/>
        <v>0</v>
      </c>
      <c r="DJ90">
        <f>DF90</f>
        <v>3.04</v>
      </c>
      <c r="DK90">
        <v>0</v>
      </c>
      <c r="DL90" t="s">
        <v>3</v>
      </c>
      <c r="DM90">
        <v>0</v>
      </c>
      <c r="DN90" t="s">
        <v>3</v>
      </c>
      <c r="DO90">
        <v>0</v>
      </c>
    </row>
    <row r="91" spans="1:119" x14ac:dyDescent="0.2">
      <c r="A91">
        <f>ROW(Source!A44)</f>
        <v>44</v>
      </c>
      <c r="B91">
        <v>85739205</v>
      </c>
      <c r="C91">
        <v>85739615</v>
      </c>
      <c r="D91">
        <v>85199230</v>
      </c>
      <c r="E91">
        <v>1</v>
      </c>
      <c r="F91">
        <v>1</v>
      </c>
      <c r="G91">
        <v>1081</v>
      </c>
      <c r="H91">
        <v>3</v>
      </c>
      <c r="I91" t="s">
        <v>519</v>
      </c>
      <c r="J91" t="s">
        <v>520</v>
      </c>
      <c r="K91" t="s">
        <v>521</v>
      </c>
      <c r="L91">
        <v>1348</v>
      </c>
      <c r="N91">
        <v>1009</v>
      </c>
      <c r="O91" t="s">
        <v>266</v>
      </c>
      <c r="P91" t="s">
        <v>266</v>
      </c>
      <c r="Q91">
        <v>1000</v>
      </c>
      <c r="W91">
        <v>0</v>
      </c>
      <c r="X91">
        <v>1270042986</v>
      </c>
      <c r="Y91">
        <f>((AT91*1)*1)</f>
        <v>3.0000000000000001E-5</v>
      </c>
      <c r="AA91">
        <v>16214.84</v>
      </c>
      <c r="AB91">
        <v>0</v>
      </c>
      <c r="AC91">
        <v>0</v>
      </c>
      <c r="AD91">
        <v>0</v>
      </c>
      <c r="AE91">
        <v>16214.84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3.0000000000000001E-5</v>
      </c>
      <c r="AU91" t="s">
        <v>77</v>
      </c>
      <c r="AV91">
        <v>0</v>
      </c>
      <c r="AW91">
        <v>2</v>
      </c>
      <c r="AX91">
        <v>85739622</v>
      </c>
      <c r="AY91">
        <v>1</v>
      </c>
      <c r="AZ91">
        <v>0</v>
      </c>
      <c r="BA91">
        <v>113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v>0</v>
      </c>
      <c r="CX91">
        <f>ROUND(Y91*Source!I44,9)</f>
        <v>2.4000000000000001E-4</v>
      </c>
      <c r="CY91">
        <f>AA91</f>
        <v>16214.84</v>
      </c>
      <c r="CZ91">
        <f>AE91</f>
        <v>16214.84</v>
      </c>
      <c r="DA91">
        <f>AI91</f>
        <v>1</v>
      </c>
      <c r="DB91">
        <f>ROUND(((ROUND(AT91*CZ91,2)*1)*1),6)</f>
        <v>0.49</v>
      </c>
      <c r="DC91">
        <f>ROUND(((ROUND(AT91*AG91,2)*1)*1),6)</f>
        <v>0</v>
      </c>
      <c r="DD91" t="s">
        <v>3</v>
      </c>
      <c r="DE91" t="s">
        <v>3</v>
      </c>
      <c r="DF91">
        <f>ROUND(ROUND(AE91,2)*CX91,2)</f>
        <v>3.89</v>
      </c>
      <c r="DG91">
        <f t="shared" si="31"/>
        <v>0</v>
      </c>
      <c r="DH91">
        <f t="shared" si="32"/>
        <v>0</v>
      </c>
      <c r="DI91">
        <f t="shared" si="28"/>
        <v>0</v>
      </c>
      <c r="DJ91">
        <f>DF91</f>
        <v>3.89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ROW(Source!A44)</f>
        <v>44</v>
      </c>
      <c r="B92">
        <v>85739205</v>
      </c>
      <c r="C92">
        <v>85739615</v>
      </c>
      <c r="D92">
        <v>85199398</v>
      </c>
      <c r="E92">
        <v>1</v>
      </c>
      <c r="F92">
        <v>1</v>
      </c>
      <c r="G92">
        <v>1081</v>
      </c>
      <c r="H92">
        <v>3</v>
      </c>
      <c r="I92" t="s">
        <v>522</v>
      </c>
      <c r="J92" t="s">
        <v>523</v>
      </c>
      <c r="K92" t="s">
        <v>524</v>
      </c>
      <c r="L92">
        <v>1346</v>
      </c>
      <c r="N92">
        <v>1009</v>
      </c>
      <c r="O92" t="s">
        <v>502</v>
      </c>
      <c r="P92" t="s">
        <v>502</v>
      </c>
      <c r="Q92">
        <v>1</v>
      </c>
      <c r="W92">
        <v>0</v>
      </c>
      <c r="X92">
        <v>488689173</v>
      </c>
      <c r="Y92">
        <f>((AT92*1)*1)</f>
        <v>3.0000000000000001E-3</v>
      </c>
      <c r="AA92">
        <v>20.190000000000001</v>
      </c>
      <c r="AB92">
        <v>0</v>
      </c>
      <c r="AC92">
        <v>0</v>
      </c>
      <c r="AD92">
        <v>0</v>
      </c>
      <c r="AE92">
        <v>20.190000000000001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3.0000000000000001E-3</v>
      </c>
      <c r="AU92" t="s">
        <v>77</v>
      </c>
      <c r="AV92">
        <v>0</v>
      </c>
      <c r="AW92">
        <v>2</v>
      </c>
      <c r="AX92">
        <v>85739623</v>
      </c>
      <c r="AY92">
        <v>1</v>
      </c>
      <c r="AZ92">
        <v>0</v>
      </c>
      <c r="BA92">
        <v>114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ROUND(Y92*Source!I44,9)</f>
        <v>2.4E-2</v>
      </c>
      <c r="CY92">
        <f>AA92</f>
        <v>20.190000000000001</v>
      </c>
      <c r="CZ92">
        <f>AE92</f>
        <v>20.190000000000001</v>
      </c>
      <c r="DA92">
        <f>AI92</f>
        <v>1</v>
      </c>
      <c r="DB92">
        <f>ROUND(((ROUND(AT92*CZ92,2)*1)*1),6)</f>
        <v>0.06</v>
      </c>
      <c r="DC92">
        <f>ROUND(((ROUND(AT92*AG92,2)*1)*1),6)</f>
        <v>0</v>
      </c>
      <c r="DD92" t="s">
        <v>3</v>
      </c>
      <c r="DE92" t="s">
        <v>3</v>
      </c>
      <c r="DF92">
        <f>ROUND(ROUND(AE92,2)*CX92,2)</f>
        <v>0.48</v>
      </c>
      <c r="DG92">
        <f t="shared" si="31"/>
        <v>0</v>
      </c>
      <c r="DH92">
        <f t="shared" si="32"/>
        <v>0</v>
      </c>
      <c r="DI92">
        <f t="shared" si="28"/>
        <v>0</v>
      </c>
      <c r="DJ92">
        <f>DF92</f>
        <v>0.48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ROW(Source!A45)</f>
        <v>45</v>
      </c>
      <c r="B93">
        <v>85739207</v>
      </c>
      <c r="C93">
        <v>85739615</v>
      </c>
      <c r="D93">
        <v>85164021</v>
      </c>
      <c r="E93">
        <v>1081</v>
      </c>
      <c r="F93">
        <v>1</v>
      </c>
      <c r="G93">
        <v>1081</v>
      </c>
      <c r="H93">
        <v>1</v>
      </c>
      <c r="I93" t="s">
        <v>472</v>
      </c>
      <c r="J93" t="s">
        <v>3</v>
      </c>
      <c r="K93" t="s">
        <v>473</v>
      </c>
      <c r="L93">
        <v>1191</v>
      </c>
      <c r="N93">
        <v>1013</v>
      </c>
      <c r="O93" t="s">
        <v>474</v>
      </c>
      <c r="P93" t="s">
        <v>474</v>
      </c>
      <c r="Q93">
        <v>1</v>
      </c>
      <c r="W93">
        <v>0</v>
      </c>
      <c r="X93">
        <v>476480486</v>
      </c>
      <c r="Y93">
        <f>((AT93*1.15)*1.2)</f>
        <v>0.30359999999999998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5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0.22</v>
      </c>
      <c r="AU93" t="s">
        <v>79</v>
      </c>
      <c r="AV93">
        <v>1</v>
      </c>
      <c r="AW93">
        <v>2</v>
      </c>
      <c r="AX93">
        <v>85739620</v>
      </c>
      <c r="AY93">
        <v>1</v>
      </c>
      <c r="AZ93">
        <v>0</v>
      </c>
      <c r="BA93">
        <v>117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U93">
        <f>ROUND(AT93*Source!I45*AH93*AL93,2)</f>
        <v>0</v>
      </c>
      <c r="CV93">
        <f>ROUND(Y93*Source!I45,9)</f>
        <v>2.4287999999999998</v>
      </c>
      <c r="CW93">
        <v>0</v>
      </c>
      <c r="CX93">
        <f>ROUND(Y93*Source!I45,9)</f>
        <v>2.4287999999999998</v>
      </c>
      <c r="CY93">
        <f>AD93</f>
        <v>0</v>
      </c>
      <c r="CZ93">
        <f>AH93</f>
        <v>0</v>
      </c>
      <c r="DA93">
        <f>AL93</f>
        <v>1</v>
      </c>
      <c r="DB93">
        <f>ROUND(((ROUND(AT93*CZ93,2)*1.15)*1.2),6)</f>
        <v>0</v>
      </c>
      <c r="DC93">
        <f>ROUND(((ROUND(AT93*AG93,2)*1.15)*1.2),6)</f>
        <v>0</v>
      </c>
      <c r="DD93" t="s">
        <v>3</v>
      </c>
      <c r="DE93" t="s">
        <v>3</v>
      </c>
      <c r="DF93">
        <f>ROUND(ROUND(AE93,2)*CX93,2)</f>
        <v>0</v>
      </c>
      <c r="DG93">
        <f t="shared" si="31"/>
        <v>0</v>
      </c>
      <c r="DH93">
        <f t="shared" si="32"/>
        <v>0</v>
      </c>
      <c r="DI93">
        <f t="shared" si="28"/>
        <v>0</v>
      </c>
      <c r="DJ93">
        <f>DI93</f>
        <v>0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ROW(Source!A45)</f>
        <v>45</v>
      </c>
      <c r="B94">
        <v>85739207</v>
      </c>
      <c r="C94">
        <v>85739615</v>
      </c>
      <c r="D94">
        <v>85200671</v>
      </c>
      <c r="E94">
        <v>1</v>
      </c>
      <c r="F94">
        <v>1</v>
      </c>
      <c r="G94">
        <v>1081</v>
      </c>
      <c r="H94">
        <v>3</v>
      </c>
      <c r="I94" t="s">
        <v>516</v>
      </c>
      <c r="J94" t="s">
        <v>517</v>
      </c>
      <c r="K94" t="s">
        <v>518</v>
      </c>
      <c r="L94">
        <v>1346</v>
      </c>
      <c r="N94">
        <v>1009</v>
      </c>
      <c r="O94" t="s">
        <v>502</v>
      </c>
      <c r="P94" t="s">
        <v>502</v>
      </c>
      <c r="Q94">
        <v>1</v>
      </c>
      <c r="W94">
        <v>0</v>
      </c>
      <c r="X94">
        <v>1021383118</v>
      </c>
      <c r="Y94">
        <f>((AT94*1)*1)</f>
        <v>0.01</v>
      </c>
      <c r="AA94">
        <v>315.23</v>
      </c>
      <c r="AB94">
        <v>0</v>
      </c>
      <c r="AC94">
        <v>0</v>
      </c>
      <c r="AD94">
        <v>0</v>
      </c>
      <c r="AE94">
        <v>37.979999999999997</v>
      </c>
      <c r="AF94">
        <v>0</v>
      </c>
      <c r="AG94">
        <v>0</v>
      </c>
      <c r="AH94">
        <v>0</v>
      </c>
      <c r="AI94">
        <v>8.3000000000000007</v>
      </c>
      <c r="AJ94">
        <v>1</v>
      </c>
      <c r="AK94">
        <v>1</v>
      </c>
      <c r="AL94">
        <v>1</v>
      </c>
      <c r="AM94">
        <v>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0.01</v>
      </c>
      <c r="AU94" t="s">
        <v>77</v>
      </c>
      <c r="AV94">
        <v>0</v>
      </c>
      <c r="AW94">
        <v>2</v>
      </c>
      <c r="AX94">
        <v>85739621</v>
      </c>
      <c r="AY94">
        <v>1</v>
      </c>
      <c r="AZ94">
        <v>0</v>
      </c>
      <c r="BA94">
        <v>118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ROUND(Y94*Source!I45,9)</f>
        <v>0.08</v>
      </c>
      <c r="CY94">
        <f>AA94</f>
        <v>315.23</v>
      </c>
      <c r="CZ94">
        <f>AE94</f>
        <v>37.979999999999997</v>
      </c>
      <c r="DA94">
        <f>AI94</f>
        <v>8.3000000000000007</v>
      </c>
      <c r="DB94">
        <f>ROUND(((ROUND(AT94*CZ94,2)*1)*1),6)</f>
        <v>0.38</v>
      </c>
      <c r="DC94">
        <f>ROUND(((ROUND(AT94*AG94,2)*1)*1),6)</f>
        <v>0</v>
      </c>
      <c r="DD94" t="s">
        <v>3</v>
      </c>
      <c r="DE94" t="s">
        <v>3</v>
      </c>
      <c r="DF94">
        <f>ROUND(ROUND(AE94*AI94,2)*CX94,2)</f>
        <v>25.22</v>
      </c>
      <c r="DG94">
        <f t="shared" si="31"/>
        <v>0</v>
      </c>
      <c r="DH94">
        <f t="shared" si="32"/>
        <v>0</v>
      </c>
      <c r="DI94">
        <f t="shared" si="28"/>
        <v>0</v>
      </c>
      <c r="DJ94">
        <f>DF94</f>
        <v>25.22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ROW(Source!A45)</f>
        <v>45</v>
      </c>
      <c r="B95">
        <v>85739207</v>
      </c>
      <c r="C95">
        <v>85739615</v>
      </c>
      <c r="D95">
        <v>85199230</v>
      </c>
      <c r="E95">
        <v>1</v>
      </c>
      <c r="F95">
        <v>1</v>
      </c>
      <c r="G95">
        <v>1081</v>
      </c>
      <c r="H95">
        <v>3</v>
      </c>
      <c r="I95" t="s">
        <v>519</v>
      </c>
      <c r="J95" t="s">
        <v>520</v>
      </c>
      <c r="K95" t="s">
        <v>521</v>
      </c>
      <c r="L95">
        <v>1348</v>
      </c>
      <c r="N95">
        <v>1009</v>
      </c>
      <c r="O95" t="s">
        <v>266</v>
      </c>
      <c r="P95" t="s">
        <v>266</v>
      </c>
      <c r="Q95">
        <v>1000</v>
      </c>
      <c r="W95">
        <v>0</v>
      </c>
      <c r="X95">
        <v>1270042986</v>
      </c>
      <c r="Y95">
        <f>((AT95*1)*1)</f>
        <v>3.0000000000000001E-5</v>
      </c>
      <c r="AA95">
        <v>55941.2</v>
      </c>
      <c r="AB95">
        <v>0</v>
      </c>
      <c r="AC95">
        <v>0</v>
      </c>
      <c r="AD95">
        <v>0</v>
      </c>
      <c r="AE95">
        <v>16214.84</v>
      </c>
      <c r="AF95">
        <v>0</v>
      </c>
      <c r="AG95">
        <v>0</v>
      </c>
      <c r="AH95">
        <v>0</v>
      </c>
      <c r="AI95">
        <v>3.45</v>
      </c>
      <c r="AJ95">
        <v>1</v>
      </c>
      <c r="AK95">
        <v>1</v>
      </c>
      <c r="AL95">
        <v>1</v>
      </c>
      <c r="AM95">
        <v>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3.0000000000000001E-5</v>
      </c>
      <c r="AU95" t="s">
        <v>77</v>
      </c>
      <c r="AV95">
        <v>0</v>
      </c>
      <c r="AW95">
        <v>2</v>
      </c>
      <c r="AX95">
        <v>85739622</v>
      </c>
      <c r="AY95">
        <v>1</v>
      </c>
      <c r="AZ95">
        <v>0</v>
      </c>
      <c r="BA95">
        <v>119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ROUND(Y95*Source!I45,9)</f>
        <v>2.4000000000000001E-4</v>
      </c>
      <c r="CY95">
        <f>AA95</f>
        <v>55941.2</v>
      </c>
      <c r="CZ95">
        <f>AE95</f>
        <v>16214.84</v>
      </c>
      <c r="DA95">
        <f>AI95</f>
        <v>3.45</v>
      </c>
      <c r="DB95">
        <f>ROUND(((ROUND(AT95*CZ95,2)*1)*1),6)</f>
        <v>0.49</v>
      </c>
      <c r="DC95">
        <f>ROUND(((ROUND(AT95*AG95,2)*1)*1),6)</f>
        <v>0</v>
      </c>
      <c r="DD95" t="s">
        <v>3</v>
      </c>
      <c r="DE95" t="s">
        <v>3</v>
      </c>
      <c r="DF95">
        <f>ROUND(ROUND(AE95*AI95,2)*CX95,2)</f>
        <v>13.43</v>
      </c>
      <c r="DG95">
        <f t="shared" si="31"/>
        <v>0</v>
      </c>
      <c r="DH95">
        <f t="shared" si="32"/>
        <v>0</v>
      </c>
      <c r="DI95">
        <f t="shared" si="28"/>
        <v>0</v>
      </c>
      <c r="DJ95">
        <f>DF95</f>
        <v>13.43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ROW(Source!A45)</f>
        <v>45</v>
      </c>
      <c r="B96">
        <v>85739207</v>
      </c>
      <c r="C96">
        <v>85739615</v>
      </c>
      <c r="D96">
        <v>85199398</v>
      </c>
      <c r="E96">
        <v>1</v>
      </c>
      <c r="F96">
        <v>1</v>
      </c>
      <c r="G96">
        <v>1081</v>
      </c>
      <c r="H96">
        <v>3</v>
      </c>
      <c r="I96" t="s">
        <v>522</v>
      </c>
      <c r="J96" t="s">
        <v>523</v>
      </c>
      <c r="K96" t="s">
        <v>524</v>
      </c>
      <c r="L96">
        <v>1346</v>
      </c>
      <c r="N96">
        <v>1009</v>
      </c>
      <c r="O96" t="s">
        <v>502</v>
      </c>
      <c r="P96" t="s">
        <v>502</v>
      </c>
      <c r="Q96">
        <v>1</v>
      </c>
      <c r="W96">
        <v>0</v>
      </c>
      <c r="X96">
        <v>488689173</v>
      </c>
      <c r="Y96">
        <f>((AT96*1)*1)</f>
        <v>3.0000000000000001E-3</v>
      </c>
      <c r="AA96">
        <v>85.81</v>
      </c>
      <c r="AB96">
        <v>0</v>
      </c>
      <c r="AC96">
        <v>0</v>
      </c>
      <c r="AD96">
        <v>0</v>
      </c>
      <c r="AE96">
        <v>20.190000000000001</v>
      </c>
      <c r="AF96">
        <v>0</v>
      </c>
      <c r="AG96">
        <v>0</v>
      </c>
      <c r="AH96">
        <v>0</v>
      </c>
      <c r="AI96">
        <v>4.25</v>
      </c>
      <c r="AJ96">
        <v>1</v>
      </c>
      <c r="AK96">
        <v>1</v>
      </c>
      <c r="AL96">
        <v>1</v>
      </c>
      <c r="AM96">
        <v>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3.0000000000000001E-3</v>
      </c>
      <c r="AU96" t="s">
        <v>77</v>
      </c>
      <c r="AV96">
        <v>0</v>
      </c>
      <c r="AW96">
        <v>2</v>
      </c>
      <c r="AX96">
        <v>85739623</v>
      </c>
      <c r="AY96">
        <v>1</v>
      </c>
      <c r="AZ96">
        <v>0</v>
      </c>
      <c r="BA96">
        <v>120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ROUND(Y96*Source!I45,9)</f>
        <v>2.4E-2</v>
      </c>
      <c r="CY96">
        <f>AA96</f>
        <v>85.81</v>
      </c>
      <c r="CZ96">
        <f>AE96</f>
        <v>20.190000000000001</v>
      </c>
      <c r="DA96">
        <f>AI96</f>
        <v>4.25</v>
      </c>
      <c r="DB96">
        <f>ROUND(((ROUND(AT96*CZ96,2)*1)*1),6)</f>
        <v>0.06</v>
      </c>
      <c r="DC96">
        <f>ROUND(((ROUND(AT96*AG96,2)*1)*1),6)</f>
        <v>0</v>
      </c>
      <c r="DD96" t="s">
        <v>3</v>
      </c>
      <c r="DE96" t="s">
        <v>3</v>
      </c>
      <c r="DF96">
        <f>ROUND(ROUND(AE96*AI96,2)*CX96,2)</f>
        <v>2.06</v>
      </c>
      <c r="DG96">
        <f t="shared" si="31"/>
        <v>0</v>
      </c>
      <c r="DH96">
        <f t="shared" si="32"/>
        <v>0</v>
      </c>
      <c r="DI96">
        <f t="shared" si="28"/>
        <v>0</v>
      </c>
      <c r="DJ96">
        <f>DF96</f>
        <v>2.06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ROW(Source!A48)</f>
        <v>48</v>
      </c>
      <c r="B97">
        <v>85739205</v>
      </c>
      <c r="C97">
        <v>85739616</v>
      </c>
      <c r="D97">
        <v>85164021</v>
      </c>
      <c r="E97">
        <v>1081</v>
      </c>
      <c r="F97">
        <v>1</v>
      </c>
      <c r="G97">
        <v>1081</v>
      </c>
      <c r="H97">
        <v>1</v>
      </c>
      <c r="I97" t="s">
        <v>472</v>
      </c>
      <c r="J97" t="s">
        <v>3</v>
      </c>
      <c r="K97" t="s">
        <v>473</v>
      </c>
      <c r="L97">
        <v>1191</v>
      </c>
      <c r="N97">
        <v>1013</v>
      </c>
      <c r="O97" t="s">
        <v>474</v>
      </c>
      <c r="P97" t="s">
        <v>474</v>
      </c>
      <c r="Q97">
        <v>1</v>
      </c>
      <c r="W97">
        <v>0</v>
      </c>
      <c r="X97">
        <v>476480486</v>
      </c>
      <c r="Y97">
        <f>(AT97*1.2)</f>
        <v>6.6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5.5</v>
      </c>
      <c r="AU97" t="s">
        <v>36</v>
      </c>
      <c r="AV97">
        <v>1</v>
      </c>
      <c r="AW97">
        <v>2</v>
      </c>
      <c r="AX97">
        <v>85739637</v>
      </c>
      <c r="AY97">
        <v>1</v>
      </c>
      <c r="AZ97">
        <v>0</v>
      </c>
      <c r="BA97">
        <v>123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U97">
        <f>ROUND(AT97*Source!I48*AH97*AL97,2)</f>
        <v>0</v>
      </c>
      <c r="CV97">
        <f>ROUND(Y97*Source!I48,9)</f>
        <v>6.6</v>
      </c>
      <c r="CW97">
        <v>0</v>
      </c>
      <c r="CX97">
        <f>ROUND(Y97*Source!I48,9)</f>
        <v>6.6</v>
      </c>
      <c r="CY97">
        <f>AD97</f>
        <v>0</v>
      </c>
      <c r="CZ97">
        <f>AH97</f>
        <v>0</v>
      </c>
      <c r="DA97">
        <f>AL97</f>
        <v>1</v>
      </c>
      <c r="DB97">
        <f>ROUND((ROUND(AT97*CZ97,2)*1.2),6)</f>
        <v>0</v>
      </c>
      <c r="DC97">
        <f>ROUND((ROUND(AT97*AG97,2)*1.2),6)</f>
        <v>0</v>
      </c>
      <c r="DD97" t="s">
        <v>3</v>
      </c>
      <c r="DE97" t="s">
        <v>3</v>
      </c>
      <c r="DF97">
        <f t="shared" ref="DF97:DF102" si="33">ROUND(ROUND(AE97,2)*CX97,2)</f>
        <v>0</v>
      </c>
      <c r="DG97">
        <f t="shared" si="31"/>
        <v>0</v>
      </c>
      <c r="DH97">
        <f t="shared" si="32"/>
        <v>0</v>
      </c>
      <c r="DI97">
        <f t="shared" si="28"/>
        <v>0</v>
      </c>
      <c r="DJ97">
        <f>DI97</f>
        <v>0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ROW(Source!A48)</f>
        <v>48</v>
      </c>
      <c r="B98">
        <v>85739205</v>
      </c>
      <c r="C98">
        <v>85739616</v>
      </c>
      <c r="D98">
        <v>85229932</v>
      </c>
      <c r="E98">
        <v>1</v>
      </c>
      <c r="F98">
        <v>1</v>
      </c>
      <c r="G98">
        <v>1081</v>
      </c>
      <c r="H98">
        <v>2</v>
      </c>
      <c r="I98" t="s">
        <v>482</v>
      </c>
      <c r="J98" t="s">
        <v>483</v>
      </c>
      <c r="K98" t="s">
        <v>484</v>
      </c>
      <c r="L98">
        <v>1368</v>
      </c>
      <c r="N98">
        <v>1011</v>
      </c>
      <c r="O98" t="s">
        <v>478</v>
      </c>
      <c r="P98" t="s">
        <v>478</v>
      </c>
      <c r="Q98">
        <v>1</v>
      </c>
      <c r="W98">
        <v>0</v>
      </c>
      <c r="X98">
        <v>874612079</v>
      </c>
      <c r="Y98">
        <f>(AT98*1.2)</f>
        <v>0.108</v>
      </c>
      <c r="AA98">
        <v>0</v>
      </c>
      <c r="AB98">
        <v>88.67</v>
      </c>
      <c r="AC98">
        <v>13.47</v>
      </c>
      <c r="AD98">
        <v>0</v>
      </c>
      <c r="AE98">
        <v>0</v>
      </c>
      <c r="AF98">
        <v>83.1</v>
      </c>
      <c r="AG98">
        <v>12.62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0.09</v>
      </c>
      <c r="AU98" t="s">
        <v>36</v>
      </c>
      <c r="AV98">
        <v>0</v>
      </c>
      <c r="AW98">
        <v>2</v>
      </c>
      <c r="AX98">
        <v>85739638</v>
      </c>
      <c r="AY98">
        <v>1</v>
      </c>
      <c r="AZ98">
        <v>0</v>
      </c>
      <c r="BA98">
        <v>124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f>ROUND(Y98*Source!I48*DO98,9)</f>
        <v>1.3629599999999999</v>
      </c>
      <c r="CX98">
        <f>ROUND(Y98*Source!I48,9)</f>
        <v>0.108</v>
      </c>
      <c r="CY98">
        <f>AB98</f>
        <v>88.67</v>
      </c>
      <c r="CZ98">
        <f>AF98</f>
        <v>83.1</v>
      </c>
      <c r="DA98">
        <f>AJ98</f>
        <v>1</v>
      </c>
      <c r="DB98">
        <f>ROUND((ROUND(AT98*CZ98,2)*1.2),6)</f>
        <v>8.9760000000000009</v>
      </c>
      <c r="DC98">
        <f>ROUND((ROUND(AT98*AG98,2)*1.2),6)</f>
        <v>1.3680000000000001</v>
      </c>
      <c r="DD98" t="s">
        <v>3</v>
      </c>
      <c r="DE98" t="s">
        <v>3</v>
      </c>
      <c r="DF98">
        <f t="shared" si="33"/>
        <v>0</v>
      </c>
      <c r="DG98">
        <f t="shared" si="31"/>
        <v>8.9700000000000006</v>
      </c>
      <c r="DH98">
        <f t="shared" si="32"/>
        <v>1.36</v>
      </c>
      <c r="DI98">
        <f t="shared" si="28"/>
        <v>0</v>
      </c>
      <c r="DJ98">
        <f>DG98</f>
        <v>8.9700000000000006</v>
      </c>
      <c r="DK98">
        <v>0</v>
      </c>
      <c r="DL98" t="s">
        <v>485</v>
      </c>
      <c r="DM98">
        <v>0</v>
      </c>
      <c r="DN98" t="s">
        <v>474</v>
      </c>
      <c r="DO98">
        <v>12.62</v>
      </c>
    </row>
    <row r="99" spans="1:119" x14ac:dyDescent="0.2">
      <c r="A99">
        <f>ROW(Source!A48)</f>
        <v>48</v>
      </c>
      <c r="B99">
        <v>85739205</v>
      </c>
      <c r="C99">
        <v>85739616</v>
      </c>
      <c r="D99">
        <v>85199562</v>
      </c>
      <c r="E99">
        <v>1</v>
      </c>
      <c r="F99">
        <v>1</v>
      </c>
      <c r="G99">
        <v>1081</v>
      </c>
      <c r="H99">
        <v>3</v>
      </c>
      <c r="I99" t="s">
        <v>537</v>
      </c>
      <c r="J99" t="s">
        <v>538</v>
      </c>
      <c r="K99" t="s">
        <v>539</v>
      </c>
      <c r="L99">
        <v>1348</v>
      </c>
      <c r="N99">
        <v>1009</v>
      </c>
      <c r="O99" t="s">
        <v>266</v>
      </c>
      <c r="P99" t="s">
        <v>266</v>
      </c>
      <c r="Q99">
        <v>1000</v>
      </c>
      <c r="W99">
        <v>0</v>
      </c>
      <c r="X99">
        <v>-287838193</v>
      </c>
      <c r="Y99">
        <f>(AT99*1)</f>
        <v>1.7000000000000001E-4</v>
      </c>
      <c r="AA99">
        <v>23761.63</v>
      </c>
      <c r="AB99">
        <v>0</v>
      </c>
      <c r="AC99">
        <v>0</v>
      </c>
      <c r="AD99">
        <v>0</v>
      </c>
      <c r="AE99">
        <v>23114.43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-2</v>
      </c>
      <c r="AN99">
        <v>0</v>
      </c>
      <c r="AO99">
        <v>1</v>
      </c>
      <c r="AP99">
        <v>1</v>
      </c>
      <c r="AQ99">
        <v>0</v>
      </c>
      <c r="AR99">
        <v>0</v>
      </c>
      <c r="AS99" t="s">
        <v>3</v>
      </c>
      <c r="AT99">
        <v>1.7000000000000001E-4</v>
      </c>
      <c r="AU99" t="s">
        <v>35</v>
      </c>
      <c r="AV99">
        <v>0</v>
      </c>
      <c r="AW99">
        <v>2</v>
      </c>
      <c r="AX99">
        <v>85739639</v>
      </c>
      <c r="AY99">
        <v>1</v>
      </c>
      <c r="AZ99">
        <v>0</v>
      </c>
      <c r="BA99">
        <v>125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v>0</v>
      </c>
      <c r="CX99">
        <f>ROUND(Y99*Source!I48,9)</f>
        <v>1.7000000000000001E-4</v>
      </c>
      <c r="CY99">
        <f>AA99</f>
        <v>23761.63</v>
      </c>
      <c r="CZ99">
        <f>AE99</f>
        <v>23114.43</v>
      </c>
      <c r="DA99">
        <f>AI99</f>
        <v>1</v>
      </c>
      <c r="DB99">
        <f>ROUND((ROUND(AT99*CZ99,2)*1),6)</f>
        <v>3.93</v>
      </c>
      <c r="DC99">
        <f>ROUND((ROUND(AT99*AG99,2)*1),6)</f>
        <v>0</v>
      </c>
      <c r="DD99" t="s">
        <v>3</v>
      </c>
      <c r="DE99" t="s">
        <v>3</v>
      </c>
      <c r="DF99">
        <f t="shared" si="33"/>
        <v>3.93</v>
      </c>
      <c r="DG99">
        <f t="shared" si="31"/>
        <v>0</v>
      </c>
      <c r="DH99">
        <f t="shared" si="32"/>
        <v>0</v>
      </c>
      <c r="DI99">
        <f t="shared" si="28"/>
        <v>0</v>
      </c>
      <c r="DJ99">
        <f>DF99</f>
        <v>3.93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ROW(Source!A48)</f>
        <v>48</v>
      </c>
      <c r="B100">
        <v>85739205</v>
      </c>
      <c r="C100">
        <v>85739616</v>
      </c>
      <c r="D100">
        <v>0</v>
      </c>
      <c r="E100">
        <v>0</v>
      </c>
      <c r="F100">
        <v>1</v>
      </c>
      <c r="G100">
        <v>1081</v>
      </c>
      <c r="H100">
        <v>3</v>
      </c>
      <c r="I100" t="s">
        <v>97</v>
      </c>
      <c r="J100" t="s">
        <v>3</v>
      </c>
      <c r="K100" t="s">
        <v>98</v>
      </c>
      <c r="L100">
        <v>1354</v>
      </c>
      <c r="N100">
        <v>1010</v>
      </c>
      <c r="O100" t="s">
        <v>99</v>
      </c>
      <c r="P100" t="s">
        <v>99</v>
      </c>
      <c r="Q100">
        <v>1</v>
      </c>
      <c r="W100">
        <v>0</v>
      </c>
      <c r="X100">
        <v>1774211457</v>
      </c>
      <c r="Y100">
        <f>(AT100*1)</f>
        <v>1</v>
      </c>
      <c r="AA100">
        <v>8238.9500000000007</v>
      </c>
      <c r="AB100">
        <v>0</v>
      </c>
      <c r="AC100">
        <v>0</v>
      </c>
      <c r="AD100">
        <v>0</v>
      </c>
      <c r="AE100">
        <v>8238.9500000000007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 t="s">
        <v>3</v>
      </c>
      <c r="AT100">
        <v>1</v>
      </c>
      <c r="AU100" t="s">
        <v>35</v>
      </c>
      <c r="AV100">
        <v>0</v>
      </c>
      <c r="AW100">
        <v>1</v>
      </c>
      <c r="AX100">
        <v>-1</v>
      </c>
      <c r="AY100">
        <v>0</v>
      </c>
      <c r="AZ100">
        <v>0</v>
      </c>
      <c r="BA100" t="s">
        <v>3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ROUND(Y100*Source!I48,9)</f>
        <v>1</v>
      </c>
      <c r="CY100">
        <f>AA100</f>
        <v>8238.9500000000007</v>
      </c>
      <c r="CZ100">
        <f>AE100</f>
        <v>8238.9500000000007</v>
      </c>
      <c r="DA100">
        <f>AI100</f>
        <v>1</v>
      </c>
      <c r="DB100">
        <f>ROUND((ROUND(AT100*CZ100,2)*1),6)</f>
        <v>8238.9500000000007</v>
      </c>
      <c r="DC100">
        <f>ROUND((ROUND(AT100*AG100,2)*1),6)</f>
        <v>0</v>
      </c>
      <c r="DD100" t="s">
        <v>3</v>
      </c>
      <c r="DE100" t="s">
        <v>3</v>
      </c>
      <c r="DF100">
        <f t="shared" si="33"/>
        <v>8238.9500000000007</v>
      </c>
      <c r="DG100">
        <f t="shared" si="31"/>
        <v>0</v>
      </c>
      <c r="DH100">
        <f t="shared" si="32"/>
        <v>0</v>
      </c>
      <c r="DI100">
        <f t="shared" si="28"/>
        <v>0</v>
      </c>
      <c r="DJ100">
        <f>DF100</f>
        <v>8238.9500000000007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ROW(Source!A49)</f>
        <v>49</v>
      </c>
      <c r="B101">
        <v>85739207</v>
      </c>
      <c r="C101">
        <v>85739616</v>
      </c>
      <c r="D101">
        <v>85164021</v>
      </c>
      <c r="E101">
        <v>1081</v>
      </c>
      <c r="F101">
        <v>1</v>
      </c>
      <c r="G101">
        <v>1081</v>
      </c>
      <c r="H101">
        <v>1</v>
      </c>
      <c r="I101" t="s">
        <v>472</v>
      </c>
      <c r="J101" t="s">
        <v>3</v>
      </c>
      <c r="K101" t="s">
        <v>473</v>
      </c>
      <c r="L101">
        <v>1191</v>
      </c>
      <c r="N101">
        <v>1013</v>
      </c>
      <c r="O101" t="s">
        <v>474</v>
      </c>
      <c r="P101" t="s">
        <v>474</v>
      </c>
      <c r="Q101">
        <v>1</v>
      </c>
      <c r="W101">
        <v>0</v>
      </c>
      <c r="X101">
        <v>476480486</v>
      </c>
      <c r="Y101">
        <f>(AT101*1.2)</f>
        <v>6.6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5</v>
      </c>
      <c r="AN101">
        <v>0</v>
      </c>
      <c r="AO101">
        <v>1</v>
      </c>
      <c r="AP101">
        <v>1</v>
      </c>
      <c r="AQ101">
        <v>0</v>
      </c>
      <c r="AR101">
        <v>0</v>
      </c>
      <c r="AS101" t="s">
        <v>3</v>
      </c>
      <c r="AT101">
        <v>5.5</v>
      </c>
      <c r="AU101" t="s">
        <v>36</v>
      </c>
      <c r="AV101">
        <v>1</v>
      </c>
      <c r="AW101">
        <v>2</v>
      </c>
      <c r="AX101">
        <v>85739637</v>
      </c>
      <c r="AY101">
        <v>1</v>
      </c>
      <c r="AZ101">
        <v>0</v>
      </c>
      <c r="BA101">
        <v>128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U101">
        <f>ROUND(AT101*Source!I49*AH101*AL101,2)</f>
        <v>0</v>
      </c>
      <c r="CV101">
        <f>ROUND(Y101*Source!I49,9)</f>
        <v>6.6</v>
      </c>
      <c r="CW101">
        <v>0</v>
      </c>
      <c r="CX101">
        <f>ROUND(Y101*Source!I49,9)</f>
        <v>6.6</v>
      </c>
      <c r="CY101">
        <f>AD101</f>
        <v>0</v>
      </c>
      <c r="CZ101">
        <f>AH101</f>
        <v>0</v>
      </c>
      <c r="DA101">
        <f>AL101</f>
        <v>1</v>
      </c>
      <c r="DB101">
        <f>ROUND((ROUND(AT101*CZ101,2)*1.2),6)</f>
        <v>0</v>
      </c>
      <c r="DC101">
        <f>ROUND((ROUND(AT101*AG101,2)*1.2),6)</f>
        <v>0</v>
      </c>
      <c r="DD101" t="s">
        <v>3</v>
      </c>
      <c r="DE101" t="s">
        <v>3</v>
      </c>
      <c r="DF101">
        <f t="shared" si="33"/>
        <v>0</v>
      </c>
      <c r="DG101">
        <f t="shared" si="31"/>
        <v>0</v>
      </c>
      <c r="DH101">
        <f t="shared" si="32"/>
        <v>0</v>
      </c>
      <c r="DI101">
        <f t="shared" si="28"/>
        <v>0</v>
      </c>
      <c r="DJ101">
        <f>DI101</f>
        <v>0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ROW(Source!A49)</f>
        <v>49</v>
      </c>
      <c r="B102">
        <v>85739207</v>
      </c>
      <c r="C102">
        <v>85739616</v>
      </c>
      <c r="D102">
        <v>85229932</v>
      </c>
      <c r="E102">
        <v>1</v>
      </c>
      <c r="F102">
        <v>1</v>
      </c>
      <c r="G102">
        <v>1081</v>
      </c>
      <c r="H102">
        <v>2</v>
      </c>
      <c r="I102" t="s">
        <v>482</v>
      </c>
      <c r="J102" t="s">
        <v>483</v>
      </c>
      <c r="K102" t="s">
        <v>484</v>
      </c>
      <c r="L102">
        <v>1368</v>
      </c>
      <c r="N102">
        <v>1011</v>
      </c>
      <c r="O102" t="s">
        <v>478</v>
      </c>
      <c r="P102" t="s">
        <v>478</v>
      </c>
      <c r="Q102">
        <v>1</v>
      </c>
      <c r="W102">
        <v>0</v>
      </c>
      <c r="X102">
        <v>874612079</v>
      </c>
      <c r="Y102">
        <f>(AT102*1.2)</f>
        <v>0.108</v>
      </c>
      <c r="AA102">
        <v>0</v>
      </c>
      <c r="AB102">
        <v>1513.56</v>
      </c>
      <c r="AC102">
        <v>758.78</v>
      </c>
      <c r="AD102">
        <v>0</v>
      </c>
      <c r="AE102">
        <v>0</v>
      </c>
      <c r="AF102">
        <v>83.1</v>
      </c>
      <c r="AG102">
        <v>12.62</v>
      </c>
      <c r="AH102">
        <v>0</v>
      </c>
      <c r="AI102">
        <v>1</v>
      </c>
      <c r="AJ102">
        <v>17.07</v>
      </c>
      <c r="AK102">
        <v>56.35</v>
      </c>
      <c r="AL102">
        <v>1</v>
      </c>
      <c r="AM102">
        <v>2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0.09</v>
      </c>
      <c r="AU102" t="s">
        <v>36</v>
      </c>
      <c r="AV102">
        <v>0</v>
      </c>
      <c r="AW102">
        <v>2</v>
      </c>
      <c r="AX102">
        <v>85739638</v>
      </c>
      <c r="AY102">
        <v>1</v>
      </c>
      <c r="AZ102">
        <v>0</v>
      </c>
      <c r="BA102">
        <v>129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V102">
        <v>0</v>
      </c>
      <c r="CW102">
        <f>ROUND(Y102*Source!I49*DO102,9)</f>
        <v>1.3629599999999999</v>
      </c>
      <c r="CX102">
        <f>ROUND(Y102*Source!I49,9)</f>
        <v>0.108</v>
      </c>
      <c r="CY102">
        <f>AB102</f>
        <v>1513.56</v>
      </c>
      <c r="CZ102">
        <f>AF102</f>
        <v>83.1</v>
      </c>
      <c r="DA102">
        <f>AJ102</f>
        <v>17.07</v>
      </c>
      <c r="DB102">
        <f>ROUND((ROUND(AT102*CZ102,2)*1.2),6)</f>
        <v>8.9760000000000009</v>
      </c>
      <c r="DC102">
        <f>ROUND((ROUND(AT102*AG102,2)*1.2),6)</f>
        <v>1.3680000000000001</v>
      </c>
      <c r="DD102" t="s">
        <v>3</v>
      </c>
      <c r="DE102" t="s">
        <v>3</v>
      </c>
      <c r="DF102">
        <f t="shared" si="33"/>
        <v>0</v>
      </c>
      <c r="DG102">
        <f>ROUND(ROUND(AF102*AJ102,2)*CX102,2)</f>
        <v>153.19999999999999</v>
      </c>
      <c r="DH102">
        <f>ROUND(ROUND(AG102*AK102,2)*CX102,2)</f>
        <v>76.8</v>
      </c>
      <c r="DI102">
        <f t="shared" si="28"/>
        <v>0</v>
      </c>
      <c r="DJ102">
        <f>DG102</f>
        <v>153.19999999999999</v>
      </c>
      <c r="DK102">
        <v>0</v>
      </c>
      <c r="DL102" t="s">
        <v>485</v>
      </c>
      <c r="DM102">
        <v>0</v>
      </c>
      <c r="DN102" t="s">
        <v>474</v>
      </c>
      <c r="DO102">
        <v>12.62</v>
      </c>
    </row>
    <row r="103" spans="1:119" x14ac:dyDescent="0.2">
      <c r="A103">
        <f>ROW(Source!A49)</f>
        <v>49</v>
      </c>
      <c r="B103">
        <v>85739207</v>
      </c>
      <c r="C103">
        <v>85739616</v>
      </c>
      <c r="D103">
        <v>85199562</v>
      </c>
      <c r="E103">
        <v>1</v>
      </c>
      <c r="F103">
        <v>1</v>
      </c>
      <c r="G103">
        <v>1081</v>
      </c>
      <c r="H103">
        <v>3</v>
      </c>
      <c r="I103" t="s">
        <v>537</v>
      </c>
      <c r="J103" t="s">
        <v>538</v>
      </c>
      <c r="K103" t="s">
        <v>539</v>
      </c>
      <c r="L103">
        <v>1348</v>
      </c>
      <c r="N103">
        <v>1009</v>
      </c>
      <c r="O103" t="s">
        <v>266</v>
      </c>
      <c r="P103" t="s">
        <v>266</v>
      </c>
      <c r="Q103">
        <v>1000</v>
      </c>
      <c r="W103">
        <v>0</v>
      </c>
      <c r="X103">
        <v>-287838193</v>
      </c>
      <c r="Y103">
        <f>(AT103*1)</f>
        <v>1.7000000000000001E-4</v>
      </c>
      <c r="AA103">
        <v>106689.74</v>
      </c>
      <c r="AB103">
        <v>0</v>
      </c>
      <c r="AC103">
        <v>0</v>
      </c>
      <c r="AD103">
        <v>0</v>
      </c>
      <c r="AE103">
        <v>23114.43</v>
      </c>
      <c r="AF103">
        <v>0</v>
      </c>
      <c r="AG103">
        <v>0</v>
      </c>
      <c r="AH103">
        <v>0</v>
      </c>
      <c r="AI103">
        <v>4.49</v>
      </c>
      <c r="AJ103">
        <v>1</v>
      </c>
      <c r="AK103">
        <v>1</v>
      </c>
      <c r="AL103">
        <v>1</v>
      </c>
      <c r="AM103">
        <v>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1.7000000000000001E-4</v>
      </c>
      <c r="AU103" t="s">
        <v>35</v>
      </c>
      <c r="AV103">
        <v>0</v>
      </c>
      <c r="AW103">
        <v>2</v>
      </c>
      <c r="AX103">
        <v>85739639</v>
      </c>
      <c r="AY103">
        <v>1</v>
      </c>
      <c r="AZ103">
        <v>0</v>
      </c>
      <c r="BA103">
        <v>130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v>0</v>
      </c>
      <c r="CX103">
        <f>ROUND(Y103*Source!I49,9)</f>
        <v>1.7000000000000001E-4</v>
      </c>
      <c r="CY103">
        <f>AA103</f>
        <v>106689.74</v>
      </c>
      <c r="CZ103">
        <f>AE103</f>
        <v>23114.43</v>
      </c>
      <c r="DA103">
        <f>AI103</f>
        <v>4.49</v>
      </c>
      <c r="DB103">
        <f>ROUND((ROUND(AT103*CZ103,2)*1),6)</f>
        <v>3.93</v>
      </c>
      <c r="DC103">
        <f>ROUND((ROUND(AT103*AG103,2)*1),6)</f>
        <v>0</v>
      </c>
      <c r="DD103" t="s">
        <v>3</v>
      </c>
      <c r="DE103" t="s">
        <v>3</v>
      </c>
      <c r="DF103">
        <f>ROUND(ROUND(AE103*AI103,2)*CX103,2)</f>
        <v>17.64</v>
      </c>
      <c r="DG103">
        <f t="shared" ref="DG103:DG109" si="34">ROUND(ROUND(AF103,2)*CX103,2)</f>
        <v>0</v>
      </c>
      <c r="DH103">
        <f t="shared" ref="DH103:DH109" si="35">ROUND(ROUND(AG103,2)*CX103,2)</f>
        <v>0</v>
      </c>
      <c r="DI103">
        <f t="shared" si="28"/>
        <v>0</v>
      </c>
      <c r="DJ103">
        <f>DF103</f>
        <v>17.64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ROW(Source!A49)</f>
        <v>49</v>
      </c>
      <c r="B104">
        <v>85739207</v>
      </c>
      <c r="C104">
        <v>85739616</v>
      </c>
      <c r="D104">
        <v>0</v>
      </c>
      <c r="E104">
        <v>0</v>
      </c>
      <c r="F104">
        <v>1</v>
      </c>
      <c r="G104">
        <v>1081</v>
      </c>
      <c r="H104">
        <v>3</v>
      </c>
      <c r="I104" t="s">
        <v>97</v>
      </c>
      <c r="J104" t="s">
        <v>3</v>
      </c>
      <c r="K104" t="s">
        <v>98</v>
      </c>
      <c r="L104">
        <v>1354</v>
      </c>
      <c r="N104">
        <v>1010</v>
      </c>
      <c r="O104" t="s">
        <v>99</v>
      </c>
      <c r="P104" t="s">
        <v>99</v>
      </c>
      <c r="Q104">
        <v>1</v>
      </c>
      <c r="W104">
        <v>0</v>
      </c>
      <c r="X104">
        <v>1774211457</v>
      </c>
      <c r="Y104">
        <f>(AT104*1)</f>
        <v>1</v>
      </c>
      <c r="AA104">
        <v>62368.85</v>
      </c>
      <c r="AB104">
        <v>0</v>
      </c>
      <c r="AC104">
        <v>0</v>
      </c>
      <c r="AD104">
        <v>0</v>
      </c>
      <c r="AE104">
        <v>8238.9500000000007</v>
      </c>
      <c r="AF104">
        <v>0</v>
      </c>
      <c r="AG104">
        <v>0</v>
      </c>
      <c r="AH104">
        <v>0</v>
      </c>
      <c r="AI104">
        <v>7.57</v>
      </c>
      <c r="AJ104">
        <v>1</v>
      </c>
      <c r="AK104">
        <v>1</v>
      </c>
      <c r="AL104">
        <v>1</v>
      </c>
      <c r="AM104">
        <v>0</v>
      </c>
      <c r="AN104">
        <v>0</v>
      </c>
      <c r="AO104">
        <v>0</v>
      </c>
      <c r="AP104">
        <v>1</v>
      </c>
      <c r="AQ104">
        <v>0</v>
      </c>
      <c r="AR104">
        <v>0</v>
      </c>
      <c r="AS104" t="s">
        <v>3</v>
      </c>
      <c r="AT104">
        <v>1</v>
      </c>
      <c r="AU104" t="s">
        <v>35</v>
      </c>
      <c r="AV104">
        <v>0</v>
      </c>
      <c r="AW104">
        <v>1</v>
      </c>
      <c r="AX104">
        <v>-1</v>
      </c>
      <c r="AY104">
        <v>0</v>
      </c>
      <c r="AZ104">
        <v>0</v>
      </c>
      <c r="BA104" t="s">
        <v>3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v>0</v>
      </c>
      <c r="CX104">
        <f>ROUND(Y104*Source!I49,9)</f>
        <v>1</v>
      </c>
      <c r="CY104">
        <f>AA104</f>
        <v>62368.85</v>
      </c>
      <c r="CZ104">
        <f>AE104</f>
        <v>8238.9500000000007</v>
      </c>
      <c r="DA104">
        <f>AI104</f>
        <v>7.57</v>
      </c>
      <c r="DB104">
        <f>ROUND((ROUND(AT104*CZ104,2)*1),6)</f>
        <v>8238.9500000000007</v>
      </c>
      <c r="DC104">
        <f>ROUND((ROUND(AT104*AG104,2)*1),6)</f>
        <v>0</v>
      </c>
      <c r="DD104" t="s">
        <v>3</v>
      </c>
      <c r="DE104" t="s">
        <v>3</v>
      </c>
      <c r="DF104">
        <f>ROUND(ROUND(AE104*AI104,2)*CX104,2)</f>
        <v>62368.85</v>
      </c>
      <c r="DG104">
        <f t="shared" si="34"/>
        <v>0</v>
      </c>
      <c r="DH104">
        <f t="shared" si="35"/>
        <v>0</v>
      </c>
      <c r="DI104">
        <f t="shared" si="28"/>
        <v>0</v>
      </c>
      <c r="DJ104">
        <f>DF104</f>
        <v>62368.85</v>
      </c>
      <c r="DK104">
        <v>0</v>
      </c>
      <c r="DL104" t="s">
        <v>3</v>
      </c>
      <c r="DM104">
        <v>0</v>
      </c>
      <c r="DN104" t="s">
        <v>3</v>
      </c>
      <c r="DO104">
        <v>0</v>
      </c>
    </row>
    <row r="105" spans="1:119" x14ac:dyDescent="0.2">
      <c r="A105">
        <f>ROW(Source!A52)</f>
        <v>52</v>
      </c>
      <c r="B105">
        <v>85739205</v>
      </c>
      <c r="C105">
        <v>85739647</v>
      </c>
      <c r="D105">
        <v>85164021</v>
      </c>
      <c r="E105">
        <v>1081</v>
      </c>
      <c r="F105">
        <v>1</v>
      </c>
      <c r="G105">
        <v>1081</v>
      </c>
      <c r="H105">
        <v>1</v>
      </c>
      <c r="I105" t="s">
        <v>472</v>
      </c>
      <c r="J105" t="s">
        <v>3</v>
      </c>
      <c r="K105" t="s">
        <v>473</v>
      </c>
      <c r="L105">
        <v>1191</v>
      </c>
      <c r="N105">
        <v>1013</v>
      </c>
      <c r="O105" t="s">
        <v>474</v>
      </c>
      <c r="P105" t="s">
        <v>474</v>
      </c>
      <c r="Q105">
        <v>1</v>
      </c>
      <c r="W105">
        <v>0</v>
      </c>
      <c r="X105">
        <v>476480486</v>
      </c>
      <c r="Y105">
        <f>(AT105*1.2)</f>
        <v>4.919999999999999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1</v>
      </c>
      <c r="AK105">
        <v>1</v>
      </c>
      <c r="AL105">
        <v>1</v>
      </c>
      <c r="AM105">
        <v>-2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4.0999999999999996</v>
      </c>
      <c r="AU105" t="s">
        <v>36</v>
      </c>
      <c r="AV105">
        <v>1</v>
      </c>
      <c r="AW105">
        <v>2</v>
      </c>
      <c r="AX105">
        <v>85739653</v>
      </c>
      <c r="AY105">
        <v>1</v>
      </c>
      <c r="AZ105">
        <v>0</v>
      </c>
      <c r="BA105">
        <v>133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U105">
        <f>ROUND(AT105*Source!I52*AH105*AL105,2)</f>
        <v>0</v>
      </c>
      <c r="CV105">
        <f>ROUND(Y105*Source!I52,9)</f>
        <v>44.28</v>
      </c>
      <c r="CW105">
        <v>0</v>
      </c>
      <c r="CX105">
        <f>ROUND(Y105*Source!I52,9)</f>
        <v>44.28</v>
      </c>
      <c r="CY105">
        <f>AD105</f>
        <v>0</v>
      </c>
      <c r="CZ105">
        <f>AH105</f>
        <v>0</v>
      </c>
      <c r="DA105">
        <f>AL105</f>
        <v>1</v>
      </c>
      <c r="DB105">
        <f>ROUND((ROUND(AT105*CZ105,2)*1.2),6)</f>
        <v>0</v>
      </c>
      <c r="DC105">
        <f>ROUND((ROUND(AT105*AG105,2)*1.2),6)</f>
        <v>0</v>
      </c>
      <c r="DD105" t="s">
        <v>3</v>
      </c>
      <c r="DE105" t="s">
        <v>3</v>
      </c>
      <c r="DF105">
        <f t="shared" ref="DF105:DF110" si="36">ROUND(ROUND(AE105,2)*CX105,2)</f>
        <v>0</v>
      </c>
      <c r="DG105">
        <f t="shared" si="34"/>
        <v>0</v>
      </c>
      <c r="DH105">
        <f t="shared" si="35"/>
        <v>0</v>
      </c>
      <c r="DI105">
        <f t="shared" si="28"/>
        <v>0</v>
      </c>
      <c r="DJ105">
        <f>DI105</f>
        <v>0</v>
      </c>
      <c r="DK105">
        <v>0</v>
      </c>
      <c r="DL105" t="s">
        <v>3</v>
      </c>
      <c r="DM105">
        <v>0</v>
      </c>
      <c r="DN105" t="s">
        <v>3</v>
      </c>
      <c r="DO105">
        <v>0</v>
      </c>
    </row>
    <row r="106" spans="1:119" x14ac:dyDescent="0.2">
      <c r="A106">
        <f>ROW(Source!A52)</f>
        <v>52</v>
      </c>
      <c r="B106">
        <v>85739205</v>
      </c>
      <c r="C106">
        <v>85739647</v>
      </c>
      <c r="D106">
        <v>85229932</v>
      </c>
      <c r="E106">
        <v>1</v>
      </c>
      <c r="F106">
        <v>1</v>
      </c>
      <c r="G106">
        <v>1081</v>
      </c>
      <c r="H106">
        <v>2</v>
      </c>
      <c r="I106" t="s">
        <v>482</v>
      </c>
      <c r="J106" t="s">
        <v>483</v>
      </c>
      <c r="K106" t="s">
        <v>484</v>
      </c>
      <c r="L106">
        <v>1368</v>
      </c>
      <c r="N106">
        <v>1011</v>
      </c>
      <c r="O106" t="s">
        <v>478</v>
      </c>
      <c r="P106" t="s">
        <v>478</v>
      </c>
      <c r="Q106">
        <v>1</v>
      </c>
      <c r="W106">
        <v>0</v>
      </c>
      <c r="X106">
        <v>874612079</v>
      </c>
      <c r="Y106">
        <f>(AT106*1.2)</f>
        <v>3.5999999999999997E-2</v>
      </c>
      <c r="AA106">
        <v>0</v>
      </c>
      <c r="AB106">
        <v>88.67</v>
      </c>
      <c r="AC106">
        <v>13.47</v>
      </c>
      <c r="AD106">
        <v>0</v>
      </c>
      <c r="AE106">
        <v>0</v>
      </c>
      <c r="AF106">
        <v>83.1</v>
      </c>
      <c r="AG106">
        <v>12.62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-2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0.03</v>
      </c>
      <c r="AU106" t="s">
        <v>36</v>
      </c>
      <c r="AV106">
        <v>0</v>
      </c>
      <c r="AW106">
        <v>2</v>
      </c>
      <c r="AX106">
        <v>85739654</v>
      </c>
      <c r="AY106">
        <v>1</v>
      </c>
      <c r="AZ106">
        <v>0</v>
      </c>
      <c r="BA106">
        <v>134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f>ROUND(Y106*Source!I52*DO106,9)</f>
        <v>4.0888799999999996</v>
      </c>
      <c r="CX106">
        <f>ROUND(Y106*Source!I52,9)</f>
        <v>0.32400000000000001</v>
      </c>
      <c r="CY106">
        <f>AB106</f>
        <v>88.67</v>
      </c>
      <c r="CZ106">
        <f>AF106</f>
        <v>83.1</v>
      </c>
      <c r="DA106">
        <f>AJ106</f>
        <v>1</v>
      </c>
      <c r="DB106">
        <f>ROUND((ROUND(AT106*CZ106,2)*1.2),6)</f>
        <v>2.988</v>
      </c>
      <c r="DC106">
        <f>ROUND((ROUND(AT106*AG106,2)*1.2),6)</f>
        <v>0.45600000000000002</v>
      </c>
      <c r="DD106" t="s">
        <v>3</v>
      </c>
      <c r="DE106" t="s">
        <v>3</v>
      </c>
      <c r="DF106">
        <f t="shared" si="36"/>
        <v>0</v>
      </c>
      <c r="DG106">
        <f t="shared" si="34"/>
        <v>26.92</v>
      </c>
      <c r="DH106">
        <f t="shared" si="35"/>
        <v>4.09</v>
      </c>
      <c r="DI106">
        <f t="shared" si="28"/>
        <v>0</v>
      </c>
      <c r="DJ106">
        <f>DG106</f>
        <v>26.92</v>
      </c>
      <c r="DK106">
        <v>0</v>
      </c>
      <c r="DL106" t="s">
        <v>485</v>
      </c>
      <c r="DM106">
        <v>0</v>
      </c>
      <c r="DN106" t="s">
        <v>474</v>
      </c>
      <c r="DO106">
        <v>12.62</v>
      </c>
    </row>
    <row r="107" spans="1:119" x14ac:dyDescent="0.2">
      <c r="A107">
        <f>ROW(Source!A52)</f>
        <v>52</v>
      </c>
      <c r="B107">
        <v>85739205</v>
      </c>
      <c r="C107">
        <v>85739647</v>
      </c>
      <c r="D107">
        <v>85199562</v>
      </c>
      <c r="E107">
        <v>1</v>
      </c>
      <c r="F107">
        <v>1</v>
      </c>
      <c r="G107">
        <v>1081</v>
      </c>
      <c r="H107">
        <v>3</v>
      </c>
      <c r="I107" t="s">
        <v>537</v>
      </c>
      <c r="J107" t="s">
        <v>538</v>
      </c>
      <c r="K107" t="s">
        <v>539</v>
      </c>
      <c r="L107">
        <v>1348</v>
      </c>
      <c r="N107">
        <v>1009</v>
      </c>
      <c r="O107" t="s">
        <v>266</v>
      </c>
      <c r="P107" t="s">
        <v>266</v>
      </c>
      <c r="Q107">
        <v>1000</v>
      </c>
      <c r="W107">
        <v>0</v>
      </c>
      <c r="X107">
        <v>-287838193</v>
      </c>
      <c r="Y107">
        <f>(AT107*1)</f>
        <v>1.7000000000000001E-4</v>
      </c>
      <c r="AA107">
        <v>23761.63</v>
      </c>
      <c r="AB107">
        <v>0</v>
      </c>
      <c r="AC107">
        <v>0</v>
      </c>
      <c r="AD107">
        <v>0</v>
      </c>
      <c r="AE107">
        <v>23114.43</v>
      </c>
      <c r="AF107">
        <v>0</v>
      </c>
      <c r="AG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-2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1.7000000000000001E-4</v>
      </c>
      <c r="AU107" t="s">
        <v>35</v>
      </c>
      <c r="AV107">
        <v>0</v>
      </c>
      <c r="AW107">
        <v>2</v>
      </c>
      <c r="AX107">
        <v>85739655</v>
      </c>
      <c r="AY107">
        <v>1</v>
      </c>
      <c r="AZ107">
        <v>0</v>
      </c>
      <c r="BA107">
        <v>135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ROUND(Y107*Source!I52,9)</f>
        <v>1.5299999999999999E-3</v>
      </c>
      <c r="CY107">
        <f>AA107</f>
        <v>23761.63</v>
      </c>
      <c r="CZ107">
        <f>AE107</f>
        <v>23114.43</v>
      </c>
      <c r="DA107">
        <f>AI107</f>
        <v>1</v>
      </c>
      <c r="DB107">
        <f>ROUND((ROUND(AT107*CZ107,2)*1),6)</f>
        <v>3.93</v>
      </c>
      <c r="DC107">
        <f>ROUND((ROUND(AT107*AG107,2)*1),6)</f>
        <v>0</v>
      </c>
      <c r="DD107" t="s">
        <v>3</v>
      </c>
      <c r="DE107" t="s">
        <v>3</v>
      </c>
      <c r="DF107">
        <f t="shared" si="36"/>
        <v>35.369999999999997</v>
      </c>
      <c r="DG107">
        <f t="shared" si="34"/>
        <v>0</v>
      </c>
      <c r="DH107">
        <f t="shared" si="35"/>
        <v>0</v>
      </c>
      <c r="DI107">
        <f t="shared" si="28"/>
        <v>0</v>
      </c>
      <c r="DJ107">
        <f>DF107</f>
        <v>35.369999999999997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ROW(Source!A52)</f>
        <v>52</v>
      </c>
      <c r="B108">
        <v>85739205</v>
      </c>
      <c r="C108">
        <v>85739647</v>
      </c>
      <c r="D108">
        <v>85217000</v>
      </c>
      <c r="E108">
        <v>1</v>
      </c>
      <c r="F108">
        <v>1</v>
      </c>
      <c r="G108">
        <v>1081</v>
      </c>
      <c r="H108">
        <v>3</v>
      </c>
      <c r="I108" t="s">
        <v>106</v>
      </c>
      <c r="J108" t="s">
        <v>108</v>
      </c>
      <c r="K108" t="s">
        <v>107</v>
      </c>
      <c r="L108">
        <v>1354</v>
      </c>
      <c r="N108">
        <v>1010</v>
      </c>
      <c r="O108" t="s">
        <v>99</v>
      </c>
      <c r="P108" t="s">
        <v>99</v>
      </c>
      <c r="Q108">
        <v>1</v>
      </c>
      <c r="W108">
        <v>0</v>
      </c>
      <c r="X108">
        <v>873960273</v>
      </c>
      <c r="Y108">
        <f>(AT108*1)</f>
        <v>1</v>
      </c>
      <c r="AA108">
        <v>2177.9299999999998</v>
      </c>
      <c r="AB108">
        <v>0</v>
      </c>
      <c r="AC108">
        <v>0</v>
      </c>
      <c r="AD108">
        <v>0</v>
      </c>
      <c r="AE108">
        <v>2177.9299999999998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1</v>
      </c>
      <c r="AL108">
        <v>1</v>
      </c>
      <c r="AM108">
        <v>0</v>
      </c>
      <c r="AN108">
        <v>0</v>
      </c>
      <c r="AO108">
        <v>0</v>
      </c>
      <c r="AP108">
        <v>1</v>
      </c>
      <c r="AQ108">
        <v>0</v>
      </c>
      <c r="AR108">
        <v>0</v>
      </c>
      <c r="AS108" t="s">
        <v>3</v>
      </c>
      <c r="AT108">
        <v>1</v>
      </c>
      <c r="AU108" t="s">
        <v>35</v>
      </c>
      <c r="AV108">
        <v>0</v>
      </c>
      <c r="AW108">
        <v>1</v>
      </c>
      <c r="AX108">
        <v>-1</v>
      </c>
      <c r="AY108">
        <v>0</v>
      </c>
      <c r="AZ108">
        <v>0</v>
      </c>
      <c r="BA108" t="s">
        <v>3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ROUND(Y108*Source!I52,9)</f>
        <v>9</v>
      </c>
      <c r="CY108">
        <f>AA108</f>
        <v>2177.9299999999998</v>
      </c>
      <c r="CZ108">
        <f>AE108</f>
        <v>2177.9299999999998</v>
      </c>
      <c r="DA108">
        <f>AI108</f>
        <v>1</v>
      </c>
      <c r="DB108">
        <f>ROUND((ROUND(AT108*CZ108,2)*1),6)</f>
        <v>2177.9299999999998</v>
      </c>
      <c r="DC108">
        <f>ROUND((ROUND(AT108*AG108,2)*1),6)</f>
        <v>0</v>
      </c>
      <c r="DD108" t="s">
        <v>3</v>
      </c>
      <c r="DE108" t="s">
        <v>3</v>
      </c>
      <c r="DF108">
        <f t="shared" si="36"/>
        <v>19601.37</v>
      </c>
      <c r="DG108">
        <f t="shared" si="34"/>
        <v>0</v>
      </c>
      <c r="DH108">
        <f t="shared" si="35"/>
        <v>0</v>
      </c>
      <c r="DI108">
        <f t="shared" si="28"/>
        <v>0</v>
      </c>
      <c r="DJ108">
        <f>DF108</f>
        <v>19601.37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ROW(Source!A53)</f>
        <v>53</v>
      </c>
      <c r="B109">
        <v>85739207</v>
      </c>
      <c r="C109">
        <v>85739647</v>
      </c>
      <c r="D109">
        <v>85164021</v>
      </c>
      <c r="E109">
        <v>1081</v>
      </c>
      <c r="F109">
        <v>1</v>
      </c>
      <c r="G109">
        <v>1081</v>
      </c>
      <c r="H109">
        <v>1</v>
      </c>
      <c r="I109" t="s">
        <v>472</v>
      </c>
      <c r="J109" t="s">
        <v>3</v>
      </c>
      <c r="K109" t="s">
        <v>473</v>
      </c>
      <c r="L109">
        <v>1191</v>
      </c>
      <c r="N109">
        <v>1013</v>
      </c>
      <c r="O109" t="s">
        <v>474</v>
      </c>
      <c r="P109" t="s">
        <v>474</v>
      </c>
      <c r="Q109">
        <v>1</v>
      </c>
      <c r="W109">
        <v>0</v>
      </c>
      <c r="X109">
        <v>476480486</v>
      </c>
      <c r="Y109">
        <f>(AT109*1.2)</f>
        <v>4.919999999999999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5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4.0999999999999996</v>
      </c>
      <c r="AU109" t="s">
        <v>36</v>
      </c>
      <c r="AV109">
        <v>1</v>
      </c>
      <c r="AW109">
        <v>2</v>
      </c>
      <c r="AX109">
        <v>85739653</v>
      </c>
      <c r="AY109">
        <v>1</v>
      </c>
      <c r="AZ109">
        <v>0</v>
      </c>
      <c r="BA109">
        <v>138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U109">
        <f>ROUND(AT109*Source!I53*AH109*AL109,2)</f>
        <v>0</v>
      </c>
      <c r="CV109">
        <f>ROUND(Y109*Source!I53,9)</f>
        <v>44.28</v>
      </c>
      <c r="CW109">
        <v>0</v>
      </c>
      <c r="CX109">
        <f>ROUND(Y109*Source!I53,9)</f>
        <v>44.28</v>
      </c>
      <c r="CY109">
        <f>AD109</f>
        <v>0</v>
      </c>
      <c r="CZ109">
        <f>AH109</f>
        <v>0</v>
      </c>
      <c r="DA109">
        <f>AL109</f>
        <v>1</v>
      </c>
      <c r="DB109">
        <f>ROUND((ROUND(AT109*CZ109,2)*1.2),6)</f>
        <v>0</v>
      </c>
      <c r="DC109">
        <f>ROUND((ROUND(AT109*AG109,2)*1.2),6)</f>
        <v>0</v>
      </c>
      <c r="DD109" t="s">
        <v>3</v>
      </c>
      <c r="DE109" t="s">
        <v>3</v>
      </c>
      <c r="DF109">
        <f t="shared" si="36"/>
        <v>0</v>
      </c>
      <c r="DG109">
        <f t="shared" si="34"/>
        <v>0</v>
      </c>
      <c r="DH109">
        <f t="shared" si="35"/>
        <v>0</v>
      </c>
      <c r="DI109">
        <f t="shared" si="28"/>
        <v>0</v>
      </c>
      <c r="DJ109">
        <f>DI109</f>
        <v>0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ROW(Source!A53)</f>
        <v>53</v>
      </c>
      <c r="B110">
        <v>85739207</v>
      </c>
      <c r="C110">
        <v>85739647</v>
      </c>
      <c r="D110">
        <v>85229932</v>
      </c>
      <c r="E110">
        <v>1</v>
      </c>
      <c r="F110">
        <v>1</v>
      </c>
      <c r="G110">
        <v>1081</v>
      </c>
      <c r="H110">
        <v>2</v>
      </c>
      <c r="I110" t="s">
        <v>482</v>
      </c>
      <c r="J110" t="s">
        <v>483</v>
      </c>
      <c r="K110" t="s">
        <v>484</v>
      </c>
      <c r="L110">
        <v>1368</v>
      </c>
      <c r="N110">
        <v>1011</v>
      </c>
      <c r="O110" t="s">
        <v>478</v>
      </c>
      <c r="P110" t="s">
        <v>478</v>
      </c>
      <c r="Q110">
        <v>1</v>
      </c>
      <c r="W110">
        <v>0</v>
      </c>
      <c r="X110">
        <v>874612079</v>
      </c>
      <c r="Y110">
        <f>(AT110*1.2)</f>
        <v>3.5999999999999997E-2</v>
      </c>
      <c r="AA110">
        <v>0</v>
      </c>
      <c r="AB110">
        <v>1513.56</v>
      </c>
      <c r="AC110">
        <v>758.78</v>
      </c>
      <c r="AD110">
        <v>0</v>
      </c>
      <c r="AE110">
        <v>0</v>
      </c>
      <c r="AF110">
        <v>83.1</v>
      </c>
      <c r="AG110">
        <v>12.62</v>
      </c>
      <c r="AH110">
        <v>0</v>
      </c>
      <c r="AI110">
        <v>1</v>
      </c>
      <c r="AJ110">
        <v>17.07</v>
      </c>
      <c r="AK110">
        <v>56.35</v>
      </c>
      <c r="AL110">
        <v>1</v>
      </c>
      <c r="AM110">
        <v>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0.03</v>
      </c>
      <c r="AU110" t="s">
        <v>36</v>
      </c>
      <c r="AV110">
        <v>0</v>
      </c>
      <c r="AW110">
        <v>2</v>
      </c>
      <c r="AX110">
        <v>85739654</v>
      </c>
      <c r="AY110">
        <v>1</v>
      </c>
      <c r="AZ110">
        <v>0</v>
      </c>
      <c r="BA110">
        <v>139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f>ROUND(Y110*Source!I53*DO110,9)</f>
        <v>4.0888799999999996</v>
      </c>
      <c r="CX110">
        <f>ROUND(Y110*Source!I53,9)</f>
        <v>0.32400000000000001</v>
      </c>
      <c r="CY110">
        <f>AB110</f>
        <v>1513.56</v>
      </c>
      <c r="CZ110">
        <f>AF110</f>
        <v>83.1</v>
      </c>
      <c r="DA110">
        <f>AJ110</f>
        <v>17.07</v>
      </c>
      <c r="DB110">
        <f>ROUND((ROUND(AT110*CZ110,2)*1.2),6)</f>
        <v>2.988</v>
      </c>
      <c r="DC110">
        <f>ROUND((ROUND(AT110*AG110,2)*1.2),6)</f>
        <v>0.45600000000000002</v>
      </c>
      <c r="DD110" t="s">
        <v>3</v>
      </c>
      <c r="DE110" t="s">
        <v>3</v>
      </c>
      <c r="DF110">
        <f t="shared" si="36"/>
        <v>0</v>
      </c>
      <c r="DG110">
        <f>ROUND(ROUND(AF110*AJ110,2)*CX110,2)</f>
        <v>459.6</v>
      </c>
      <c r="DH110">
        <f>ROUND(ROUND(AG110*AK110,2)*CX110,2)</f>
        <v>230.41</v>
      </c>
      <c r="DI110">
        <f t="shared" si="28"/>
        <v>0</v>
      </c>
      <c r="DJ110">
        <f>DG110</f>
        <v>459.6</v>
      </c>
      <c r="DK110">
        <v>0</v>
      </c>
      <c r="DL110" t="s">
        <v>485</v>
      </c>
      <c r="DM110">
        <v>0</v>
      </c>
      <c r="DN110" t="s">
        <v>474</v>
      </c>
      <c r="DO110">
        <v>12.62</v>
      </c>
    </row>
    <row r="111" spans="1:119" x14ac:dyDescent="0.2">
      <c r="A111">
        <f>ROW(Source!A53)</f>
        <v>53</v>
      </c>
      <c r="B111">
        <v>85739207</v>
      </c>
      <c r="C111">
        <v>85739647</v>
      </c>
      <c r="D111">
        <v>85199562</v>
      </c>
      <c r="E111">
        <v>1</v>
      </c>
      <c r="F111">
        <v>1</v>
      </c>
      <c r="G111">
        <v>1081</v>
      </c>
      <c r="H111">
        <v>3</v>
      </c>
      <c r="I111" t="s">
        <v>537</v>
      </c>
      <c r="J111" t="s">
        <v>538</v>
      </c>
      <c r="K111" t="s">
        <v>539</v>
      </c>
      <c r="L111">
        <v>1348</v>
      </c>
      <c r="N111">
        <v>1009</v>
      </c>
      <c r="O111" t="s">
        <v>266</v>
      </c>
      <c r="P111" t="s">
        <v>266</v>
      </c>
      <c r="Q111">
        <v>1000</v>
      </c>
      <c r="W111">
        <v>0</v>
      </c>
      <c r="X111">
        <v>-287838193</v>
      </c>
      <c r="Y111">
        <f>(AT111*1)</f>
        <v>1.7000000000000001E-4</v>
      </c>
      <c r="AA111">
        <v>106689.74</v>
      </c>
      <c r="AB111">
        <v>0</v>
      </c>
      <c r="AC111">
        <v>0</v>
      </c>
      <c r="AD111">
        <v>0</v>
      </c>
      <c r="AE111">
        <v>23114.43</v>
      </c>
      <c r="AF111">
        <v>0</v>
      </c>
      <c r="AG111">
        <v>0</v>
      </c>
      <c r="AH111">
        <v>0</v>
      </c>
      <c r="AI111">
        <v>4.49</v>
      </c>
      <c r="AJ111">
        <v>1</v>
      </c>
      <c r="AK111">
        <v>1</v>
      </c>
      <c r="AL111">
        <v>1</v>
      </c>
      <c r="AM111">
        <v>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1.7000000000000001E-4</v>
      </c>
      <c r="AU111" t="s">
        <v>35</v>
      </c>
      <c r="AV111">
        <v>0</v>
      </c>
      <c r="AW111">
        <v>2</v>
      </c>
      <c r="AX111">
        <v>85739655</v>
      </c>
      <c r="AY111">
        <v>1</v>
      </c>
      <c r="AZ111">
        <v>0</v>
      </c>
      <c r="BA111">
        <v>140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ROUND(Y111*Source!I53,9)</f>
        <v>1.5299999999999999E-3</v>
      </c>
      <c r="CY111">
        <f>AA111</f>
        <v>106689.74</v>
      </c>
      <c r="CZ111">
        <f>AE111</f>
        <v>23114.43</v>
      </c>
      <c r="DA111">
        <f>AI111</f>
        <v>4.49</v>
      </c>
      <c r="DB111">
        <f>ROUND((ROUND(AT111*CZ111,2)*1),6)</f>
        <v>3.93</v>
      </c>
      <c r="DC111">
        <f>ROUND((ROUND(AT111*AG111,2)*1),6)</f>
        <v>0</v>
      </c>
      <c r="DD111" t="s">
        <v>3</v>
      </c>
      <c r="DE111" t="s">
        <v>3</v>
      </c>
      <c r="DF111">
        <f>ROUND(ROUND(AE111*AI111,2)*CX111,2)</f>
        <v>158.79</v>
      </c>
      <c r="DG111">
        <f t="shared" ref="DG111:DG118" si="37">ROUND(ROUND(AF111,2)*CX111,2)</f>
        <v>0</v>
      </c>
      <c r="DH111">
        <f t="shared" ref="DH111:DH118" si="38">ROUND(ROUND(AG111,2)*CX111,2)</f>
        <v>0</v>
      </c>
      <c r="DI111">
        <f t="shared" si="28"/>
        <v>0</v>
      </c>
      <c r="DJ111">
        <f>DF111</f>
        <v>158.79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ROW(Source!A53)</f>
        <v>53</v>
      </c>
      <c r="B112">
        <v>85739207</v>
      </c>
      <c r="C112">
        <v>85739647</v>
      </c>
      <c r="D112">
        <v>85217000</v>
      </c>
      <c r="E112">
        <v>1</v>
      </c>
      <c r="F112">
        <v>1</v>
      </c>
      <c r="G112">
        <v>1081</v>
      </c>
      <c r="H112">
        <v>3</v>
      </c>
      <c r="I112" t="s">
        <v>106</v>
      </c>
      <c r="J112" t="s">
        <v>108</v>
      </c>
      <c r="K112" t="s">
        <v>107</v>
      </c>
      <c r="L112">
        <v>1354</v>
      </c>
      <c r="N112">
        <v>1010</v>
      </c>
      <c r="O112" t="s">
        <v>99</v>
      </c>
      <c r="P112" t="s">
        <v>99</v>
      </c>
      <c r="Q112">
        <v>1</v>
      </c>
      <c r="W112">
        <v>0</v>
      </c>
      <c r="X112">
        <v>873960273</v>
      </c>
      <c r="Y112">
        <f>(AT112*1)</f>
        <v>1</v>
      </c>
      <c r="AA112">
        <v>6773.36</v>
      </c>
      <c r="AB112">
        <v>0</v>
      </c>
      <c r="AC112">
        <v>0</v>
      </c>
      <c r="AD112">
        <v>0</v>
      </c>
      <c r="AE112">
        <v>2177.9299999999998</v>
      </c>
      <c r="AF112">
        <v>0</v>
      </c>
      <c r="AG112">
        <v>0</v>
      </c>
      <c r="AH112">
        <v>0</v>
      </c>
      <c r="AI112">
        <v>3.11</v>
      </c>
      <c r="AJ112">
        <v>1</v>
      </c>
      <c r="AK112">
        <v>1</v>
      </c>
      <c r="AL112">
        <v>1</v>
      </c>
      <c r="AM112">
        <v>0</v>
      </c>
      <c r="AN112">
        <v>0</v>
      </c>
      <c r="AO112">
        <v>0</v>
      </c>
      <c r="AP112">
        <v>1</v>
      </c>
      <c r="AQ112">
        <v>0</v>
      </c>
      <c r="AR112">
        <v>0</v>
      </c>
      <c r="AS112" t="s">
        <v>3</v>
      </c>
      <c r="AT112">
        <v>1</v>
      </c>
      <c r="AU112" t="s">
        <v>35</v>
      </c>
      <c r="AV112">
        <v>0</v>
      </c>
      <c r="AW112">
        <v>1</v>
      </c>
      <c r="AX112">
        <v>-1</v>
      </c>
      <c r="AY112">
        <v>0</v>
      </c>
      <c r="AZ112">
        <v>0</v>
      </c>
      <c r="BA112" t="s">
        <v>3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ROUND(Y112*Source!I53,9)</f>
        <v>9</v>
      </c>
      <c r="CY112">
        <f>AA112</f>
        <v>6773.36</v>
      </c>
      <c r="CZ112">
        <f>AE112</f>
        <v>2177.9299999999998</v>
      </c>
      <c r="DA112">
        <f>AI112</f>
        <v>3.11</v>
      </c>
      <c r="DB112">
        <f>ROUND((ROUND(AT112*CZ112,2)*1),6)</f>
        <v>2177.9299999999998</v>
      </c>
      <c r="DC112">
        <f>ROUND((ROUND(AT112*AG112,2)*1),6)</f>
        <v>0</v>
      </c>
      <c r="DD112" t="s">
        <v>3</v>
      </c>
      <c r="DE112" t="s">
        <v>3</v>
      </c>
      <c r="DF112">
        <f>ROUND(ROUND(AE112*AI112,2)*CX112,2)</f>
        <v>60960.24</v>
      </c>
      <c r="DG112">
        <f t="shared" si="37"/>
        <v>0</v>
      </c>
      <c r="DH112">
        <f t="shared" si="38"/>
        <v>0</v>
      </c>
      <c r="DI112">
        <f t="shared" si="28"/>
        <v>0</v>
      </c>
      <c r="DJ112">
        <f>DF112</f>
        <v>60960.24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ROW(Source!A56)</f>
        <v>56</v>
      </c>
      <c r="B113">
        <v>85739205</v>
      </c>
      <c r="C113">
        <v>85739648</v>
      </c>
      <c r="D113">
        <v>85164021</v>
      </c>
      <c r="E113">
        <v>1081</v>
      </c>
      <c r="F113">
        <v>1</v>
      </c>
      <c r="G113">
        <v>1081</v>
      </c>
      <c r="H113">
        <v>1</v>
      </c>
      <c r="I113" t="s">
        <v>472</v>
      </c>
      <c r="J113" t="s">
        <v>3</v>
      </c>
      <c r="K113" t="s">
        <v>473</v>
      </c>
      <c r="L113">
        <v>1191</v>
      </c>
      <c r="N113">
        <v>1013</v>
      </c>
      <c r="O113" t="s">
        <v>474</v>
      </c>
      <c r="P113" t="s">
        <v>474</v>
      </c>
      <c r="Q113">
        <v>1</v>
      </c>
      <c r="W113">
        <v>0</v>
      </c>
      <c r="X113">
        <v>476480486</v>
      </c>
      <c r="Y113">
        <f>(AT113*1.2)</f>
        <v>4.8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1</v>
      </c>
      <c r="AK113">
        <v>1</v>
      </c>
      <c r="AL113">
        <v>1</v>
      </c>
      <c r="AM113">
        <v>-2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4</v>
      </c>
      <c r="AU113" t="s">
        <v>36</v>
      </c>
      <c r="AV113">
        <v>1</v>
      </c>
      <c r="AW113">
        <v>2</v>
      </c>
      <c r="AX113">
        <v>85739663</v>
      </c>
      <c r="AY113">
        <v>1</v>
      </c>
      <c r="AZ113">
        <v>0</v>
      </c>
      <c r="BA113">
        <v>143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U113">
        <f>ROUND(AT113*Source!I56*AH113*AL113,2)</f>
        <v>0</v>
      </c>
      <c r="CV113">
        <f>ROUND(Y113*Source!I56,9)</f>
        <v>38.4</v>
      </c>
      <c r="CW113">
        <v>0</v>
      </c>
      <c r="CX113">
        <f>ROUND(Y113*Source!I56,9)</f>
        <v>38.4</v>
      </c>
      <c r="CY113">
        <f>AD113</f>
        <v>0</v>
      </c>
      <c r="CZ113">
        <f>AH113</f>
        <v>0</v>
      </c>
      <c r="DA113">
        <f>AL113</f>
        <v>1</v>
      </c>
      <c r="DB113">
        <f>ROUND((ROUND(AT113*CZ113,2)*1.2),6)</f>
        <v>0</v>
      </c>
      <c r="DC113">
        <f>ROUND((ROUND(AT113*AG113,2)*1.2),6)</f>
        <v>0</v>
      </c>
      <c r="DD113" t="s">
        <v>3</v>
      </c>
      <c r="DE113" t="s">
        <v>3</v>
      </c>
      <c r="DF113">
        <f t="shared" ref="DF113:DF119" si="39">ROUND(ROUND(AE113,2)*CX113,2)</f>
        <v>0</v>
      </c>
      <c r="DG113">
        <f t="shared" si="37"/>
        <v>0</v>
      </c>
      <c r="DH113">
        <f t="shared" si="38"/>
        <v>0</v>
      </c>
      <c r="DI113">
        <f t="shared" si="28"/>
        <v>0</v>
      </c>
      <c r="DJ113">
        <f>DI113</f>
        <v>0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ROW(Source!A56)</f>
        <v>56</v>
      </c>
      <c r="B114">
        <v>85739205</v>
      </c>
      <c r="C114">
        <v>85739648</v>
      </c>
      <c r="D114">
        <v>85229932</v>
      </c>
      <c r="E114">
        <v>1</v>
      </c>
      <c r="F114">
        <v>1</v>
      </c>
      <c r="G114">
        <v>1081</v>
      </c>
      <c r="H114">
        <v>2</v>
      </c>
      <c r="I114" t="s">
        <v>482</v>
      </c>
      <c r="J114" t="s">
        <v>483</v>
      </c>
      <c r="K114" t="s">
        <v>484</v>
      </c>
      <c r="L114">
        <v>1368</v>
      </c>
      <c r="N114">
        <v>1011</v>
      </c>
      <c r="O114" t="s">
        <v>478</v>
      </c>
      <c r="P114" t="s">
        <v>478</v>
      </c>
      <c r="Q114">
        <v>1</v>
      </c>
      <c r="W114">
        <v>0</v>
      </c>
      <c r="X114">
        <v>874612079</v>
      </c>
      <c r="Y114">
        <f>(AT114*1.2)</f>
        <v>2.4E-2</v>
      </c>
      <c r="AA114">
        <v>0</v>
      </c>
      <c r="AB114">
        <v>88.67</v>
      </c>
      <c r="AC114">
        <v>13.47</v>
      </c>
      <c r="AD114">
        <v>0</v>
      </c>
      <c r="AE114">
        <v>0</v>
      </c>
      <c r="AF114">
        <v>83.1</v>
      </c>
      <c r="AG114">
        <v>12.62</v>
      </c>
      <c r="AH114">
        <v>0</v>
      </c>
      <c r="AI114">
        <v>1</v>
      </c>
      <c r="AJ114">
        <v>1</v>
      </c>
      <c r="AK114">
        <v>1</v>
      </c>
      <c r="AL114">
        <v>1</v>
      </c>
      <c r="AM114">
        <v>-2</v>
      </c>
      <c r="AN114">
        <v>0</v>
      </c>
      <c r="AO114">
        <v>1</v>
      </c>
      <c r="AP114">
        <v>1</v>
      </c>
      <c r="AQ114">
        <v>0</v>
      </c>
      <c r="AR114">
        <v>0</v>
      </c>
      <c r="AS114" t="s">
        <v>3</v>
      </c>
      <c r="AT114">
        <v>0.02</v>
      </c>
      <c r="AU114" t="s">
        <v>36</v>
      </c>
      <c r="AV114">
        <v>0</v>
      </c>
      <c r="AW114">
        <v>2</v>
      </c>
      <c r="AX114">
        <v>85739664</v>
      </c>
      <c r="AY114">
        <v>1</v>
      </c>
      <c r="AZ114">
        <v>0</v>
      </c>
      <c r="BA114">
        <v>144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f>ROUND(Y114*Source!I56*DO114,9)</f>
        <v>2.4230399999999999</v>
      </c>
      <c r="CX114">
        <f>ROUND(Y114*Source!I56,9)</f>
        <v>0.192</v>
      </c>
      <c r="CY114">
        <f>AB114</f>
        <v>88.67</v>
      </c>
      <c r="CZ114">
        <f>AF114</f>
        <v>83.1</v>
      </c>
      <c r="DA114">
        <f>AJ114</f>
        <v>1</v>
      </c>
      <c r="DB114">
        <f>ROUND((ROUND(AT114*CZ114,2)*1.2),6)</f>
        <v>1.992</v>
      </c>
      <c r="DC114">
        <f>ROUND((ROUND(AT114*AG114,2)*1.2),6)</f>
        <v>0.3</v>
      </c>
      <c r="DD114" t="s">
        <v>3</v>
      </c>
      <c r="DE114" t="s">
        <v>3</v>
      </c>
      <c r="DF114">
        <f t="shared" si="39"/>
        <v>0</v>
      </c>
      <c r="DG114">
        <f t="shared" si="37"/>
        <v>15.96</v>
      </c>
      <c r="DH114">
        <f t="shared" si="38"/>
        <v>2.42</v>
      </c>
      <c r="DI114">
        <f t="shared" si="28"/>
        <v>0</v>
      </c>
      <c r="DJ114">
        <f>DG114</f>
        <v>15.96</v>
      </c>
      <c r="DK114">
        <v>0</v>
      </c>
      <c r="DL114" t="s">
        <v>485</v>
      </c>
      <c r="DM114">
        <v>0</v>
      </c>
      <c r="DN114" t="s">
        <v>474</v>
      </c>
      <c r="DO114">
        <v>12.62</v>
      </c>
    </row>
    <row r="115" spans="1:119" x14ac:dyDescent="0.2">
      <c r="A115">
        <f>ROW(Source!A56)</f>
        <v>56</v>
      </c>
      <c r="B115">
        <v>85739205</v>
      </c>
      <c r="C115">
        <v>85739648</v>
      </c>
      <c r="D115">
        <v>85199562</v>
      </c>
      <c r="E115">
        <v>1</v>
      </c>
      <c r="F115">
        <v>1</v>
      </c>
      <c r="G115">
        <v>1081</v>
      </c>
      <c r="H115">
        <v>3</v>
      </c>
      <c r="I115" t="s">
        <v>537</v>
      </c>
      <c r="J115" t="s">
        <v>538</v>
      </c>
      <c r="K115" t="s">
        <v>539</v>
      </c>
      <c r="L115">
        <v>1348</v>
      </c>
      <c r="N115">
        <v>1009</v>
      </c>
      <c r="O115" t="s">
        <v>266</v>
      </c>
      <c r="P115" t="s">
        <v>266</v>
      </c>
      <c r="Q115">
        <v>1000</v>
      </c>
      <c r="W115">
        <v>0</v>
      </c>
      <c r="X115">
        <v>-287838193</v>
      </c>
      <c r="Y115">
        <f>(AT115*1)</f>
        <v>1.2E-4</v>
      </c>
      <c r="AA115">
        <v>23761.63</v>
      </c>
      <c r="AB115">
        <v>0</v>
      </c>
      <c r="AC115">
        <v>0</v>
      </c>
      <c r="AD115">
        <v>0</v>
      </c>
      <c r="AE115">
        <v>23114.43</v>
      </c>
      <c r="AF115">
        <v>0</v>
      </c>
      <c r="AG115">
        <v>0</v>
      </c>
      <c r="AH115">
        <v>0</v>
      </c>
      <c r="AI115">
        <v>1</v>
      </c>
      <c r="AJ115">
        <v>1</v>
      </c>
      <c r="AK115">
        <v>1</v>
      </c>
      <c r="AL115">
        <v>1</v>
      </c>
      <c r="AM115">
        <v>-2</v>
      </c>
      <c r="AN115">
        <v>0</v>
      </c>
      <c r="AO115">
        <v>1</v>
      </c>
      <c r="AP115">
        <v>1</v>
      </c>
      <c r="AQ115">
        <v>0</v>
      </c>
      <c r="AR115">
        <v>0</v>
      </c>
      <c r="AS115" t="s">
        <v>3</v>
      </c>
      <c r="AT115">
        <v>1.2E-4</v>
      </c>
      <c r="AU115" t="s">
        <v>35</v>
      </c>
      <c r="AV115">
        <v>0</v>
      </c>
      <c r="AW115">
        <v>2</v>
      </c>
      <c r="AX115">
        <v>85739665</v>
      </c>
      <c r="AY115">
        <v>1</v>
      </c>
      <c r="AZ115">
        <v>0</v>
      </c>
      <c r="BA115">
        <v>145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ROUND(Y115*Source!I56,9)</f>
        <v>9.6000000000000002E-4</v>
      </c>
      <c r="CY115">
        <f>AA115</f>
        <v>23761.63</v>
      </c>
      <c r="CZ115">
        <f>AE115</f>
        <v>23114.43</v>
      </c>
      <c r="DA115">
        <f>AI115</f>
        <v>1</v>
      </c>
      <c r="DB115">
        <f>ROUND((ROUND(AT115*CZ115,2)*1),6)</f>
        <v>2.77</v>
      </c>
      <c r="DC115">
        <f>ROUND((ROUND(AT115*AG115,2)*1),6)</f>
        <v>0</v>
      </c>
      <c r="DD115" t="s">
        <v>3</v>
      </c>
      <c r="DE115" t="s">
        <v>3</v>
      </c>
      <c r="DF115">
        <f t="shared" si="39"/>
        <v>22.19</v>
      </c>
      <c r="DG115">
        <f t="shared" si="37"/>
        <v>0</v>
      </c>
      <c r="DH115">
        <f t="shared" si="38"/>
        <v>0</v>
      </c>
      <c r="DI115">
        <f t="shared" si="28"/>
        <v>0</v>
      </c>
      <c r="DJ115">
        <f>DF115</f>
        <v>22.19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ROW(Source!A56)</f>
        <v>56</v>
      </c>
      <c r="B116">
        <v>85739205</v>
      </c>
      <c r="C116">
        <v>85739648</v>
      </c>
      <c r="D116">
        <v>85216582</v>
      </c>
      <c r="E116">
        <v>1</v>
      </c>
      <c r="F116">
        <v>1</v>
      </c>
      <c r="G116">
        <v>1081</v>
      </c>
      <c r="H116">
        <v>3</v>
      </c>
      <c r="I116" t="s">
        <v>112</v>
      </c>
      <c r="J116" t="s">
        <v>114</v>
      </c>
      <c r="K116" t="s">
        <v>113</v>
      </c>
      <c r="L116">
        <v>1354</v>
      </c>
      <c r="N116">
        <v>1010</v>
      </c>
      <c r="O116" t="s">
        <v>99</v>
      </c>
      <c r="P116" t="s">
        <v>99</v>
      </c>
      <c r="Q116">
        <v>1</v>
      </c>
      <c r="W116">
        <v>0</v>
      </c>
      <c r="X116">
        <v>-1962529768</v>
      </c>
      <c r="Y116">
        <f>(AT116*1)</f>
        <v>0.5</v>
      </c>
      <c r="AA116">
        <v>3030.49</v>
      </c>
      <c r="AB116">
        <v>0</v>
      </c>
      <c r="AC116">
        <v>0</v>
      </c>
      <c r="AD116">
        <v>0</v>
      </c>
      <c r="AE116">
        <v>3030.49</v>
      </c>
      <c r="AF116">
        <v>0</v>
      </c>
      <c r="AG116">
        <v>0</v>
      </c>
      <c r="AH116">
        <v>0</v>
      </c>
      <c r="AI116">
        <v>1</v>
      </c>
      <c r="AJ116">
        <v>1</v>
      </c>
      <c r="AK116">
        <v>1</v>
      </c>
      <c r="AL116">
        <v>1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 t="s">
        <v>3</v>
      </c>
      <c r="AT116">
        <v>0.5</v>
      </c>
      <c r="AU116" t="s">
        <v>35</v>
      </c>
      <c r="AV116">
        <v>0</v>
      </c>
      <c r="AW116">
        <v>1</v>
      </c>
      <c r="AX116">
        <v>-1</v>
      </c>
      <c r="AY116">
        <v>0</v>
      </c>
      <c r="AZ116">
        <v>0</v>
      </c>
      <c r="BA116" t="s">
        <v>3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ROUND(Y116*Source!I56,9)</f>
        <v>4</v>
      </c>
      <c r="CY116">
        <f>AA116</f>
        <v>3030.49</v>
      </c>
      <c r="CZ116">
        <f>AE116</f>
        <v>3030.49</v>
      </c>
      <c r="DA116">
        <f>AI116</f>
        <v>1</v>
      </c>
      <c r="DB116">
        <f>ROUND((ROUND(AT116*CZ116,2)*1),6)</f>
        <v>1515.25</v>
      </c>
      <c r="DC116">
        <f>ROUND((ROUND(AT116*AG116,2)*1),6)</f>
        <v>0</v>
      </c>
      <c r="DD116" t="s">
        <v>3</v>
      </c>
      <c r="DE116" t="s">
        <v>3</v>
      </c>
      <c r="DF116">
        <f t="shared" si="39"/>
        <v>12121.96</v>
      </c>
      <c r="DG116">
        <f t="shared" si="37"/>
        <v>0</v>
      </c>
      <c r="DH116">
        <f t="shared" si="38"/>
        <v>0</v>
      </c>
      <c r="DI116">
        <f t="shared" si="28"/>
        <v>0</v>
      </c>
      <c r="DJ116">
        <f>DF116</f>
        <v>12121.96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ROW(Source!A56)</f>
        <v>56</v>
      </c>
      <c r="B117">
        <v>85739205</v>
      </c>
      <c r="C117">
        <v>85739648</v>
      </c>
      <c r="D117">
        <v>85216999</v>
      </c>
      <c r="E117">
        <v>1</v>
      </c>
      <c r="F117">
        <v>1</v>
      </c>
      <c r="G117">
        <v>1081</v>
      </c>
      <c r="H117">
        <v>3</v>
      </c>
      <c r="I117" t="s">
        <v>116</v>
      </c>
      <c r="J117" t="s">
        <v>118</v>
      </c>
      <c r="K117" t="s">
        <v>117</v>
      </c>
      <c r="L117">
        <v>1354</v>
      </c>
      <c r="N117">
        <v>1010</v>
      </c>
      <c r="O117" t="s">
        <v>99</v>
      </c>
      <c r="P117" t="s">
        <v>99</v>
      </c>
      <c r="Q117">
        <v>1</v>
      </c>
      <c r="W117">
        <v>0</v>
      </c>
      <c r="X117">
        <v>-2105799508</v>
      </c>
      <c r="Y117">
        <f>(AT117*1)</f>
        <v>0.5</v>
      </c>
      <c r="AA117">
        <v>1974.43</v>
      </c>
      <c r="AB117">
        <v>0</v>
      </c>
      <c r="AC117">
        <v>0</v>
      </c>
      <c r="AD117">
        <v>0</v>
      </c>
      <c r="AE117">
        <v>1974.43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0</v>
      </c>
      <c r="AS117" t="s">
        <v>3</v>
      </c>
      <c r="AT117">
        <v>0.5</v>
      </c>
      <c r="AU117" t="s">
        <v>35</v>
      </c>
      <c r="AV117">
        <v>0</v>
      </c>
      <c r="AW117">
        <v>1</v>
      </c>
      <c r="AX117">
        <v>-1</v>
      </c>
      <c r="AY117">
        <v>0</v>
      </c>
      <c r="AZ117">
        <v>0</v>
      </c>
      <c r="BA117" t="s">
        <v>3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V117">
        <v>0</v>
      </c>
      <c r="CW117">
        <v>0</v>
      </c>
      <c r="CX117">
        <f>ROUND(Y117*Source!I56,9)</f>
        <v>4</v>
      </c>
      <c r="CY117">
        <f>AA117</f>
        <v>1974.43</v>
      </c>
      <c r="CZ117">
        <f>AE117</f>
        <v>1974.43</v>
      </c>
      <c r="DA117">
        <f>AI117</f>
        <v>1</v>
      </c>
      <c r="DB117">
        <f>ROUND((ROUND(AT117*CZ117,2)*1),6)</f>
        <v>987.22</v>
      </c>
      <c r="DC117">
        <f>ROUND((ROUND(AT117*AG117,2)*1),6)</f>
        <v>0</v>
      </c>
      <c r="DD117" t="s">
        <v>3</v>
      </c>
      <c r="DE117" t="s">
        <v>3</v>
      </c>
      <c r="DF117">
        <f t="shared" si="39"/>
        <v>7897.72</v>
      </c>
      <c r="DG117">
        <f t="shared" si="37"/>
        <v>0</v>
      </c>
      <c r="DH117">
        <f t="shared" si="38"/>
        <v>0</v>
      </c>
      <c r="DI117">
        <f t="shared" si="28"/>
        <v>0</v>
      </c>
      <c r="DJ117">
        <f>DF117</f>
        <v>7897.72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ROW(Source!A57)</f>
        <v>57</v>
      </c>
      <c r="B118">
        <v>85739207</v>
      </c>
      <c r="C118">
        <v>85739648</v>
      </c>
      <c r="D118">
        <v>85164021</v>
      </c>
      <c r="E118">
        <v>1081</v>
      </c>
      <c r="F118">
        <v>1</v>
      </c>
      <c r="G118">
        <v>1081</v>
      </c>
      <c r="H118">
        <v>1</v>
      </c>
      <c r="I118" t="s">
        <v>472</v>
      </c>
      <c r="J118" t="s">
        <v>3</v>
      </c>
      <c r="K118" t="s">
        <v>473</v>
      </c>
      <c r="L118">
        <v>1191</v>
      </c>
      <c r="N118">
        <v>1013</v>
      </c>
      <c r="O118" t="s">
        <v>474</v>
      </c>
      <c r="P118" t="s">
        <v>474</v>
      </c>
      <c r="Q118">
        <v>1</v>
      </c>
      <c r="W118">
        <v>0</v>
      </c>
      <c r="X118">
        <v>476480486</v>
      </c>
      <c r="Y118">
        <f>(AT118*1.2)</f>
        <v>4.8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5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4</v>
      </c>
      <c r="AU118" t="s">
        <v>36</v>
      </c>
      <c r="AV118">
        <v>1</v>
      </c>
      <c r="AW118">
        <v>2</v>
      </c>
      <c r="AX118">
        <v>85739663</v>
      </c>
      <c r="AY118">
        <v>1</v>
      </c>
      <c r="AZ118">
        <v>0</v>
      </c>
      <c r="BA118">
        <v>148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U118">
        <f>ROUND(AT118*Source!I57*AH118*AL118,2)</f>
        <v>0</v>
      </c>
      <c r="CV118">
        <f>ROUND(Y118*Source!I57,9)</f>
        <v>38.4</v>
      </c>
      <c r="CW118">
        <v>0</v>
      </c>
      <c r="CX118">
        <f>ROUND(Y118*Source!I57,9)</f>
        <v>38.4</v>
      </c>
      <c r="CY118">
        <f>AD118</f>
        <v>0</v>
      </c>
      <c r="CZ118">
        <f>AH118</f>
        <v>0</v>
      </c>
      <c r="DA118">
        <f>AL118</f>
        <v>1</v>
      </c>
      <c r="DB118">
        <f>ROUND((ROUND(AT118*CZ118,2)*1.2),6)</f>
        <v>0</v>
      </c>
      <c r="DC118">
        <f>ROUND((ROUND(AT118*AG118,2)*1.2),6)</f>
        <v>0</v>
      </c>
      <c r="DD118" t="s">
        <v>3</v>
      </c>
      <c r="DE118" t="s">
        <v>3</v>
      </c>
      <c r="DF118">
        <f t="shared" si="39"/>
        <v>0</v>
      </c>
      <c r="DG118">
        <f t="shared" si="37"/>
        <v>0</v>
      </c>
      <c r="DH118">
        <f t="shared" si="38"/>
        <v>0</v>
      </c>
      <c r="DI118">
        <f t="shared" si="28"/>
        <v>0</v>
      </c>
      <c r="DJ118">
        <f>DI118</f>
        <v>0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ROW(Source!A57)</f>
        <v>57</v>
      </c>
      <c r="B119">
        <v>85739207</v>
      </c>
      <c r="C119">
        <v>85739648</v>
      </c>
      <c r="D119">
        <v>85229932</v>
      </c>
      <c r="E119">
        <v>1</v>
      </c>
      <c r="F119">
        <v>1</v>
      </c>
      <c r="G119">
        <v>1081</v>
      </c>
      <c r="H119">
        <v>2</v>
      </c>
      <c r="I119" t="s">
        <v>482</v>
      </c>
      <c r="J119" t="s">
        <v>483</v>
      </c>
      <c r="K119" t="s">
        <v>484</v>
      </c>
      <c r="L119">
        <v>1368</v>
      </c>
      <c r="N119">
        <v>1011</v>
      </c>
      <c r="O119" t="s">
        <v>478</v>
      </c>
      <c r="P119" t="s">
        <v>478</v>
      </c>
      <c r="Q119">
        <v>1</v>
      </c>
      <c r="W119">
        <v>0</v>
      </c>
      <c r="X119">
        <v>874612079</v>
      </c>
      <c r="Y119">
        <f>(AT119*1.2)</f>
        <v>2.4E-2</v>
      </c>
      <c r="AA119">
        <v>0</v>
      </c>
      <c r="AB119">
        <v>1513.56</v>
      </c>
      <c r="AC119">
        <v>758.78</v>
      </c>
      <c r="AD119">
        <v>0</v>
      </c>
      <c r="AE119">
        <v>0</v>
      </c>
      <c r="AF119">
        <v>83.1</v>
      </c>
      <c r="AG119">
        <v>12.62</v>
      </c>
      <c r="AH119">
        <v>0</v>
      </c>
      <c r="AI119">
        <v>1</v>
      </c>
      <c r="AJ119">
        <v>17.07</v>
      </c>
      <c r="AK119">
        <v>56.35</v>
      </c>
      <c r="AL119">
        <v>1</v>
      </c>
      <c r="AM119">
        <v>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0.02</v>
      </c>
      <c r="AU119" t="s">
        <v>36</v>
      </c>
      <c r="AV119">
        <v>0</v>
      </c>
      <c r="AW119">
        <v>2</v>
      </c>
      <c r="AX119">
        <v>85739664</v>
      </c>
      <c r="AY119">
        <v>1</v>
      </c>
      <c r="AZ119">
        <v>0</v>
      </c>
      <c r="BA119">
        <v>149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f>ROUND(Y119*Source!I57*DO119,9)</f>
        <v>2.4230399999999999</v>
      </c>
      <c r="CX119">
        <f>ROUND(Y119*Source!I57,9)</f>
        <v>0.192</v>
      </c>
      <c r="CY119">
        <f>AB119</f>
        <v>1513.56</v>
      </c>
      <c r="CZ119">
        <f>AF119</f>
        <v>83.1</v>
      </c>
      <c r="DA119">
        <f>AJ119</f>
        <v>17.07</v>
      </c>
      <c r="DB119">
        <f>ROUND((ROUND(AT119*CZ119,2)*1.2),6)</f>
        <v>1.992</v>
      </c>
      <c r="DC119">
        <f>ROUND((ROUND(AT119*AG119,2)*1.2),6)</f>
        <v>0.3</v>
      </c>
      <c r="DD119" t="s">
        <v>3</v>
      </c>
      <c r="DE119" t="s">
        <v>3</v>
      </c>
      <c r="DF119">
        <f t="shared" si="39"/>
        <v>0</v>
      </c>
      <c r="DG119">
        <f>ROUND(ROUND(AF119*AJ119,2)*CX119,2)</f>
        <v>272.36</v>
      </c>
      <c r="DH119">
        <f>ROUND(ROUND(AG119*AK119,2)*CX119,2)</f>
        <v>136.54</v>
      </c>
      <c r="DI119">
        <f t="shared" si="28"/>
        <v>0</v>
      </c>
      <c r="DJ119">
        <f>DG119</f>
        <v>272.36</v>
      </c>
      <c r="DK119">
        <v>0</v>
      </c>
      <c r="DL119" t="s">
        <v>485</v>
      </c>
      <c r="DM119">
        <v>0</v>
      </c>
      <c r="DN119" t="s">
        <v>474</v>
      </c>
      <c r="DO119">
        <v>12.62</v>
      </c>
    </row>
    <row r="120" spans="1:119" x14ac:dyDescent="0.2">
      <c r="A120">
        <f>ROW(Source!A57)</f>
        <v>57</v>
      </c>
      <c r="B120">
        <v>85739207</v>
      </c>
      <c r="C120">
        <v>85739648</v>
      </c>
      <c r="D120">
        <v>85199562</v>
      </c>
      <c r="E120">
        <v>1</v>
      </c>
      <c r="F120">
        <v>1</v>
      </c>
      <c r="G120">
        <v>1081</v>
      </c>
      <c r="H120">
        <v>3</v>
      </c>
      <c r="I120" t="s">
        <v>537</v>
      </c>
      <c r="J120" t="s">
        <v>538</v>
      </c>
      <c r="K120" t="s">
        <v>539</v>
      </c>
      <c r="L120">
        <v>1348</v>
      </c>
      <c r="N120">
        <v>1009</v>
      </c>
      <c r="O120" t="s">
        <v>266</v>
      </c>
      <c r="P120" t="s">
        <v>266</v>
      </c>
      <c r="Q120">
        <v>1000</v>
      </c>
      <c r="W120">
        <v>0</v>
      </c>
      <c r="X120">
        <v>-287838193</v>
      </c>
      <c r="Y120">
        <f>(AT120*1)</f>
        <v>1.2E-4</v>
      </c>
      <c r="AA120">
        <v>106689.74</v>
      </c>
      <c r="AB120">
        <v>0</v>
      </c>
      <c r="AC120">
        <v>0</v>
      </c>
      <c r="AD120">
        <v>0</v>
      </c>
      <c r="AE120">
        <v>23114.43</v>
      </c>
      <c r="AF120">
        <v>0</v>
      </c>
      <c r="AG120">
        <v>0</v>
      </c>
      <c r="AH120">
        <v>0</v>
      </c>
      <c r="AI120">
        <v>4.49</v>
      </c>
      <c r="AJ120">
        <v>1</v>
      </c>
      <c r="AK120">
        <v>1</v>
      </c>
      <c r="AL120">
        <v>1</v>
      </c>
      <c r="AM120">
        <v>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1.2E-4</v>
      </c>
      <c r="AU120" t="s">
        <v>35</v>
      </c>
      <c r="AV120">
        <v>0</v>
      </c>
      <c r="AW120">
        <v>2</v>
      </c>
      <c r="AX120">
        <v>85739665</v>
      </c>
      <c r="AY120">
        <v>1</v>
      </c>
      <c r="AZ120">
        <v>0</v>
      </c>
      <c r="BA120">
        <v>150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v>0</v>
      </c>
      <c r="CX120">
        <f>ROUND(Y120*Source!I57,9)</f>
        <v>9.6000000000000002E-4</v>
      </c>
      <c r="CY120">
        <f>AA120</f>
        <v>106689.74</v>
      </c>
      <c r="CZ120">
        <f>AE120</f>
        <v>23114.43</v>
      </c>
      <c r="DA120">
        <f>AI120</f>
        <v>4.49</v>
      </c>
      <c r="DB120">
        <f>ROUND((ROUND(AT120*CZ120,2)*1),6)</f>
        <v>2.77</v>
      </c>
      <c r="DC120">
        <f>ROUND((ROUND(AT120*AG120,2)*1),6)</f>
        <v>0</v>
      </c>
      <c r="DD120" t="s">
        <v>3</v>
      </c>
      <c r="DE120" t="s">
        <v>3</v>
      </c>
      <c r="DF120">
        <f>ROUND(ROUND(AE120*AI120,2)*CX120,2)</f>
        <v>99.63</v>
      </c>
      <c r="DG120">
        <f t="shared" ref="DG120:DG130" si="40">ROUND(ROUND(AF120,2)*CX120,2)</f>
        <v>0</v>
      </c>
      <c r="DH120">
        <f t="shared" ref="DH120:DH131" si="41">ROUND(ROUND(AG120,2)*CX120,2)</f>
        <v>0</v>
      </c>
      <c r="DI120">
        <f t="shared" si="28"/>
        <v>0</v>
      </c>
      <c r="DJ120">
        <f>DF120</f>
        <v>99.63</v>
      </c>
      <c r="DK120">
        <v>0</v>
      </c>
      <c r="DL120" t="s">
        <v>3</v>
      </c>
      <c r="DM120">
        <v>0</v>
      </c>
      <c r="DN120" t="s">
        <v>3</v>
      </c>
      <c r="DO120">
        <v>0</v>
      </c>
    </row>
    <row r="121" spans="1:119" x14ac:dyDescent="0.2">
      <c r="A121">
        <f>ROW(Source!A57)</f>
        <v>57</v>
      </c>
      <c r="B121">
        <v>85739207</v>
      </c>
      <c r="C121">
        <v>85739648</v>
      </c>
      <c r="D121">
        <v>85216582</v>
      </c>
      <c r="E121">
        <v>1</v>
      </c>
      <c r="F121">
        <v>1</v>
      </c>
      <c r="G121">
        <v>1081</v>
      </c>
      <c r="H121">
        <v>3</v>
      </c>
      <c r="I121" t="s">
        <v>112</v>
      </c>
      <c r="J121" t="s">
        <v>114</v>
      </c>
      <c r="K121" t="s">
        <v>113</v>
      </c>
      <c r="L121">
        <v>1354</v>
      </c>
      <c r="N121">
        <v>1010</v>
      </c>
      <c r="O121" t="s">
        <v>99</v>
      </c>
      <c r="P121" t="s">
        <v>99</v>
      </c>
      <c r="Q121">
        <v>1</v>
      </c>
      <c r="W121">
        <v>0</v>
      </c>
      <c r="X121">
        <v>-1962529768</v>
      </c>
      <c r="Y121">
        <f>(AT121*1)</f>
        <v>0.5</v>
      </c>
      <c r="AA121">
        <v>18940.560000000001</v>
      </c>
      <c r="AB121">
        <v>0</v>
      </c>
      <c r="AC121">
        <v>0</v>
      </c>
      <c r="AD121">
        <v>0</v>
      </c>
      <c r="AE121">
        <v>3030.49</v>
      </c>
      <c r="AF121">
        <v>0</v>
      </c>
      <c r="AG121">
        <v>0</v>
      </c>
      <c r="AH121">
        <v>0</v>
      </c>
      <c r="AI121">
        <v>6.25</v>
      </c>
      <c r="AJ121">
        <v>1</v>
      </c>
      <c r="AK121">
        <v>1</v>
      </c>
      <c r="AL121">
        <v>1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 t="s">
        <v>3</v>
      </c>
      <c r="AT121">
        <v>0.5</v>
      </c>
      <c r="AU121" t="s">
        <v>35</v>
      </c>
      <c r="AV121">
        <v>0</v>
      </c>
      <c r="AW121">
        <v>1</v>
      </c>
      <c r="AX121">
        <v>-1</v>
      </c>
      <c r="AY121">
        <v>0</v>
      </c>
      <c r="AZ121">
        <v>0</v>
      </c>
      <c r="BA121" t="s">
        <v>3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ROUND(Y121*Source!I57,9)</f>
        <v>4</v>
      </c>
      <c r="CY121">
        <f>AA121</f>
        <v>18940.560000000001</v>
      </c>
      <c r="CZ121">
        <f>AE121</f>
        <v>3030.49</v>
      </c>
      <c r="DA121">
        <f>AI121</f>
        <v>6.25</v>
      </c>
      <c r="DB121">
        <f>ROUND((ROUND(AT121*CZ121,2)*1),6)</f>
        <v>1515.25</v>
      </c>
      <c r="DC121">
        <f>ROUND((ROUND(AT121*AG121,2)*1),6)</f>
        <v>0</v>
      </c>
      <c r="DD121" t="s">
        <v>3</v>
      </c>
      <c r="DE121" t="s">
        <v>3</v>
      </c>
      <c r="DF121">
        <f>ROUND(ROUND(AE121*AI121,2)*CX121,2)</f>
        <v>75762.240000000005</v>
      </c>
      <c r="DG121">
        <f t="shared" si="40"/>
        <v>0</v>
      </c>
      <c r="DH121">
        <f t="shared" si="41"/>
        <v>0</v>
      </c>
      <c r="DI121">
        <f t="shared" si="28"/>
        <v>0</v>
      </c>
      <c r="DJ121">
        <f>DF121</f>
        <v>75762.240000000005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ROW(Source!A57)</f>
        <v>57</v>
      </c>
      <c r="B122">
        <v>85739207</v>
      </c>
      <c r="C122">
        <v>85739648</v>
      </c>
      <c r="D122">
        <v>85216999</v>
      </c>
      <c r="E122">
        <v>1</v>
      </c>
      <c r="F122">
        <v>1</v>
      </c>
      <c r="G122">
        <v>1081</v>
      </c>
      <c r="H122">
        <v>3</v>
      </c>
      <c r="I122" t="s">
        <v>116</v>
      </c>
      <c r="J122" t="s">
        <v>118</v>
      </c>
      <c r="K122" t="s">
        <v>117</v>
      </c>
      <c r="L122">
        <v>1354</v>
      </c>
      <c r="N122">
        <v>1010</v>
      </c>
      <c r="O122" t="s">
        <v>99</v>
      </c>
      <c r="P122" t="s">
        <v>99</v>
      </c>
      <c r="Q122">
        <v>1</v>
      </c>
      <c r="W122">
        <v>0</v>
      </c>
      <c r="X122">
        <v>-2105799508</v>
      </c>
      <c r="Y122">
        <f>(AT122*1)</f>
        <v>0.5</v>
      </c>
      <c r="AA122">
        <v>3514.49</v>
      </c>
      <c r="AB122">
        <v>0</v>
      </c>
      <c r="AC122">
        <v>0</v>
      </c>
      <c r="AD122">
        <v>0</v>
      </c>
      <c r="AE122">
        <v>1974.43</v>
      </c>
      <c r="AF122">
        <v>0</v>
      </c>
      <c r="AG122">
        <v>0</v>
      </c>
      <c r="AH122">
        <v>0</v>
      </c>
      <c r="AI122">
        <v>1.78</v>
      </c>
      <c r="AJ122">
        <v>1</v>
      </c>
      <c r="AK122">
        <v>1</v>
      </c>
      <c r="AL122">
        <v>1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 t="s">
        <v>3</v>
      </c>
      <c r="AT122">
        <v>0.5</v>
      </c>
      <c r="AU122" t="s">
        <v>35</v>
      </c>
      <c r="AV122">
        <v>0</v>
      </c>
      <c r="AW122">
        <v>1</v>
      </c>
      <c r="AX122">
        <v>-1</v>
      </c>
      <c r="AY122">
        <v>0</v>
      </c>
      <c r="AZ122">
        <v>0</v>
      </c>
      <c r="BA122" t="s">
        <v>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ROUND(Y122*Source!I57,9)</f>
        <v>4</v>
      </c>
      <c r="CY122">
        <f>AA122</f>
        <v>3514.49</v>
      </c>
      <c r="CZ122">
        <f>AE122</f>
        <v>1974.43</v>
      </c>
      <c r="DA122">
        <f>AI122</f>
        <v>1.78</v>
      </c>
      <c r="DB122">
        <f>ROUND((ROUND(AT122*CZ122,2)*1),6)</f>
        <v>987.22</v>
      </c>
      <c r="DC122">
        <f>ROUND((ROUND(AT122*AG122,2)*1),6)</f>
        <v>0</v>
      </c>
      <c r="DD122" t="s">
        <v>3</v>
      </c>
      <c r="DE122" t="s">
        <v>3</v>
      </c>
      <c r="DF122">
        <f>ROUND(ROUND(AE122*AI122,2)*CX122,2)</f>
        <v>14057.96</v>
      </c>
      <c r="DG122">
        <f t="shared" si="40"/>
        <v>0</v>
      </c>
      <c r="DH122">
        <f t="shared" si="41"/>
        <v>0</v>
      </c>
      <c r="DI122">
        <f t="shared" si="28"/>
        <v>0</v>
      </c>
      <c r="DJ122">
        <f>DF122</f>
        <v>14057.96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ROW(Source!A62)</f>
        <v>62</v>
      </c>
      <c r="B123">
        <v>85739205</v>
      </c>
      <c r="C123">
        <v>85739772</v>
      </c>
      <c r="D123">
        <v>85164021</v>
      </c>
      <c r="E123">
        <v>1081</v>
      </c>
      <c r="F123">
        <v>1</v>
      </c>
      <c r="G123">
        <v>1081</v>
      </c>
      <c r="H123">
        <v>1</v>
      </c>
      <c r="I123" t="s">
        <v>472</v>
      </c>
      <c r="J123" t="s">
        <v>3</v>
      </c>
      <c r="K123" t="s">
        <v>473</v>
      </c>
      <c r="L123">
        <v>1191</v>
      </c>
      <c r="N123">
        <v>1013</v>
      </c>
      <c r="O123" t="s">
        <v>474</v>
      </c>
      <c r="P123" t="s">
        <v>474</v>
      </c>
      <c r="Q123">
        <v>1</v>
      </c>
      <c r="W123">
        <v>0</v>
      </c>
      <c r="X123">
        <v>476480486</v>
      </c>
      <c r="Y123">
        <f>(AT123*1.2)</f>
        <v>9.1199999999999992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7.6</v>
      </c>
      <c r="AU123" t="s">
        <v>36</v>
      </c>
      <c r="AV123">
        <v>1</v>
      </c>
      <c r="AW123">
        <v>2</v>
      </c>
      <c r="AX123">
        <v>85739783</v>
      </c>
      <c r="AY123">
        <v>1</v>
      </c>
      <c r="AZ123">
        <v>0</v>
      </c>
      <c r="BA123">
        <v>153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U123">
        <f>ROUND(AT123*Source!I62*AH123*AL123,2)</f>
        <v>0</v>
      </c>
      <c r="CV123">
        <f>ROUND(Y123*Source!I62,9)</f>
        <v>36.479999999999997</v>
      </c>
      <c r="CW123">
        <v>0</v>
      </c>
      <c r="CX123">
        <f>ROUND(Y123*Source!I62,9)</f>
        <v>36.479999999999997</v>
      </c>
      <c r="CY123">
        <f>AD123</f>
        <v>0</v>
      </c>
      <c r="CZ123">
        <f>AH123</f>
        <v>0</v>
      </c>
      <c r="DA123">
        <f>AL123</f>
        <v>1</v>
      </c>
      <c r="DB123">
        <f>ROUND((ROUND(AT123*CZ123,2)*1.2),6)</f>
        <v>0</v>
      </c>
      <c r="DC123">
        <f>ROUND((ROUND(AT123*AG123,2)*1.2),6)</f>
        <v>0</v>
      </c>
      <c r="DD123" t="s">
        <v>3</v>
      </c>
      <c r="DE123" t="s">
        <v>3</v>
      </c>
      <c r="DF123">
        <f t="shared" ref="DF123:DF132" si="42">ROUND(ROUND(AE123,2)*CX123,2)</f>
        <v>0</v>
      </c>
      <c r="DG123">
        <f t="shared" si="40"/>
        <v>0</v>
      </c>
      <c r="DH123">
        <f t="shared" si="41"/>
        <v>0</v>
      </c>
      <c r="DI123">
        <f t="shared" si="28"/>
        <v>0</v>
      </c>
      <c r="DJ123">
        <f>DI123</f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ROW(Source!A62)</f>
        <v>62</v>
      </c>
      <c r="B124">
        <v>85739205</v>
      </c>
      <c r="C124">
        <v>85739772</v>
      </c>
      <c r="D124">
        <v>85229633</v>
      </c>
      <c r="E124">
        <v>1</v>
      </c>
      <c r="F124">
        <v>1</v>
      </c>
      <c r="G124">
        <v>1081</v>
      </c>
      <c r="H124">
        <v>2</v>
      </c>
      <c r="I124" t="s">
        <v>475</v>
      </c>
      <c r="J124" t="s">
        <v>476</v>
      </c>
      <c r="K124" t="s">
        <v>477</v>
      </c>
      <c r="L124">
        <v>1368</v>
      </c>
      <c r="N124">
        <v>1011</v>
      </c>
      <c r="O124" t="s">
        <v>478</v>
      </c>
      <c r="P124" t="s">
        <v>478</v>
      </c>
      <c r="Q124">
        <v>1</v>
      </c>
      <c r="W124">
        <v>0</v>
      </c>
      <c r="X124">
        <v>1498588441</v>
      </c>
      <c r="Y124">
        <f>(AT124*1.2)</f>
        <v>2.04</v>
      </c>
      <c r="AA124">
        <v>0</v>
      </c>
      <c r="AB124">
        <v>7.59</v>
      </c>
      <c r="AC124">
        <v>0</v>
      </c>
      <c r="AD124">
        <v>0</v>
      </c>
      <c r="AE124">
        <v>0</v>
      </c>
      <c r="AF124">
        <v>7.11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1.7</v>
      </c>
      <c r="AU124" t="s">
        <v>36</v>
      </c>
      <c r="AV124">
        <v>0</v>
      </c>
      <c r="AW124">
        <v>2</v>
      </c>
      <c r="AX124">
        <v>85739784</v>
      </c>
      <c r="AY124">
        <v>1</v>
      </c>
      <c r="AZ124">
        <v>0</v>
      </c>
      <c r="BA124">
        <v>154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f>ROUND(Y124*Source!I62*DO124,9)</f>
        <v>0</v>
      </c>
      <c r="CX124">
        <f>ROUND(Y124*Source!I62,9)</f>
        <v>8.16</v>
      </c>
      <c r="CY124">
        <f>AB124</f>
        <v>7.59</v>
      </c>
      <c r="CZ124">
        <f>AF124</f>
        <v>7.11</v>
      </c>
      <c r="DA124">
        <f>AJ124</f>
        <v>1</v>
      </c>
      <c r="DB124">
        <f>ROUND((ROUND(AT124*CZ124,2)*1.2),6)</f>
        <v>14.507999999999999</v>
      </c>
      <c r="DC124">
        <f>ROUND((ROUND(AT124*AG124,2)*1.2),6)</f>
        <v>0</v>
      </c>
      <c r="DD124" t="s">
        <v>3</v>
      </c>
      <c r="DE124" t="s">
        <v>3</v>
      </c>
      <c r="DF124">
        <f t="shared" si="42"/>
        <v>0</v>
      </c>
      <c r="DG124">
        <f t="shared" si="40"/>
        <v>58.02</v>
      </c>
      <c r="DH124">
        <f t="shared" si="41"/>
        <v>0</v>
      </c>
      <c r="DI124">
        <f t="shared" si="28"/>
        <v>0</v>
      </c>
      <c r="DJ124">
        <f>DG124</f>
        <v>58.02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ROW(Source!A62)</f>
        <v>62</v>
      </c>
      <c r="B125">
        <v>85739205</v>
      </c>
      <c r="C125">
        <v>85739772</v>
      </c>
      <c r="D125">
        <v>85229932</v>
      </c>
      <c r="E125">
        <v>1</v>
      </c>
      <c r="F125">
        <v>1</v>
      </c>
      <c r="G125">
        <v>1081</v>
      </c>
      <c r="H125">
        <v>2</v>
      </c>
      <c r="I125" t="s">
        <v>482</v>
      </c>
      <c r="J125" t="s">
        <v>483</v>
      </c>
      <c r="K125" t="s">
        <v>484</v>
      </c>
      <c r="L125">
        <v>1368</v>
      </c>
      <c r="N125">
        <v>1011</v>
      </c>
      <c r="O125" t="s">
        <v>478</v>
      </c>
      <c r="P125" t="s">
        <v>478</v>
      </c>
      <c r="Q125">
        <v>1</v>
      </c>
      <c r="W125">
        <v>0</v>
      </c>
      <c r="X125">
        <v>874612079</v>
      </c>
      <c r="Y125">
        <f>(AT125*1.2)</f>
        <v>3.5999999999999997E-2</v>
      </c>
      <c r="AA125">
        <v>0</v>
      </c>
      <c r="AB125">
        <v>88.67</v>
      </c>
      <c r="AC125">
        <v>13.47</v>
      </c>
      <c r="AD125">
        <v>0</v>
      </c>
      <c r="AE125">
        <v>0</v>
      </c>
      <c r="AF125">
        <v>83.1</v>
      </c>
      <c r="AG125">
        <v>12.62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0.03</v>
      </c>
      <c r="AU125" t="s">
        <v>36</v>
      </c>
      <c r="AV125">
        <v>0</v>
      </c>
      <c r="AW125">
        <v>2</v>
      </c>
      <c r="AX125">
        <v>85739785</v>
      </c>
      <c r="AY125">
        <v>1</v>
      </c>
      <c r="AZ125">
        <v>0</v>
      </c>
      <c r="BA125">
        <v>155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f>ROUND(Y125*Source!I62*DO125,9)</f>
        <v>1.81728</v>
      </c>
      <c r="CX125">
        <f>ROUND(Y125*Source!I62,9)</f>
        <v>0.14399999999999999</v>
      </c>
      <c r="CY125">
        <f>AB125</f>
        <v>88.67</v>
      </c>
      <c r="CZ125">
        <f>AF125</f>
        <v>83.1</v>
      </c>
      <c r="DA125">
        <f>AJ125</f>
        <v>1</v>
      </c>
      <c r="DB125">
        <f>ROUND((ROUND(AT125*CZ125,2)*1.2),6)</f>
        <v>2.988</v>
      </c>
      <c r="DC125">
        <f>ROUND((ROUND(AT125*AG125,2)*1.2),6)</f>
        <v>0.45600000000000002</v>
      </c>
      <c r="DD125" t="s">
        <v>3</v>
      </c>
      <c r="DE125" t="s">
        <v>3</v>
      </c>
      <c r="DF125">
        <f t="shared" si="42"/>
        <v>0</v>
      </c>
      <c r="DG125">
        <f t="shared" si="40"/>
        <v>11.97</v>
      </c>
      <c r="DH125">
        <f t="shared" si="41"/>
        <v>1.82</v>
      </c>
      <c r="DI125">
        <f t="shared" si="28"/>
        <v>0</v>
      </c>
      <c r="DJ125">
        <f>DG125</f>
        <v>11.97</v>
      </c>
      <c r="DK125">
        <v>0</v>
      </c>
      <c r="DL125" t="s">
        <v>485</v>
      </c>
      <c r="DM125">
        <v>0</v>
      </c>
      <c r="DN125" t="s">
        <v>474</v>
      </c>
      <c r="DO125">
        <v>12.62</v>
      </c>
    </row>
    <row r="126" spans="1:119" x14ac:dyDescent="0.2">
      <c r="A126">
        <f>ROW(Source!A62)</f>
        <v>62</v>
      </c>
      <c r="B126">
        <v>85739205</v>
      </c>
      <c r="C126">
        <v>85739772</v>
      </c>
      <c r="D126">
        <v>85200111</v>
      </c>
      <c r="E126">
        <v>1</v>
      </c>
      <c r="F126">
        <v>1</v>
      </c>
      <c r="G126">
        <v>1081</v>
      </c>
      <c r="H126">
        <v>3</v>
      </c>
      <c r="I126" t="s">
        <v>492</v>
      </c>
      <c r="J126" t="s">
        <v>493</v>
      </c>
      <c r="K126" t="s">
        <v>494</v>
      </c>
      <c r="L126">
        <v>1348</v>
      </c>
      <c r="N126">
        <v>1009</v>
      </c>
      <c r="O126" t="s">
        <v>266</v>
      </c>
      <c r="P126" t="s">
        <v>266</v>
      </c>
      <c r="Q126">
        <v>1000</v>
      </c>
      <c r="W126">
        <v>0</v>
      </c>
      <c r="X126">
        <v>205566664</v>
      </c>
      <c r="Y126">
        <f>(AT126*1)</f>
        <v>6.6E-4</v>
      </c>
      <c r="AA126">
        <v>9367.64</v>
      </c>
      <c r="AB126">
        <v>0</v>
      </c>
      <c r="AC126">
        <v>0</v>
      </c>
      <c r="AD126">
        <v>0</v>
      </c>
      <c r="AE126">
        <v>9112.49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6.6E-4</v>
      </c>
      <c r="AU126" t="s">
        <v>35</v>
      </c>
      <c r="AV126">
        <v>0</v>
      </c>
      <c r="AW126">
        <v>2</v>
      </c>
      <c r="AX126">
        <v>85739786</v>
      </c>
      <c r="AY126">
        <v>1</v>
      </c>
      <c r="AZ126">
        <v>0</v>
      </c>
      <c r="BA126">
        <v>156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ROUND(Y126*Source!I62,9)</f>
        <v>2.64E-3</v>
      </c>
      <c r="CY126">
        <f>AA126</f>
        <v>9367.64</v>
      </c>
      <c r="CZ126">
        <f>AE126</f>
        <v>9112.49</v>
      </c>
      <c r="DA126">
        <f>AI126</f>
        <v>1</v>
      </c>
      <c r="DB126">
        <f>ROUND((ROUND(AT126*CZ126,2)*1),6)</f>
        <v>6.01</v>
      </c>
      <c r="DC126">
        <f>ROUND((ROUND(AT126*AG126,2)*1),6)</f>
        <v>0</v>
      </c>
      <c r="DD126" t="s">
        <v>3</v>
      </c>
      <c r="DE126" t="s">
        <v>3</v>
      </c>
      <c r="DF126">
        <f t="shared" si="42"/>
        <v>24.06</v>
      </c>
      <c r="DG126">
        <f t="shared" si="40"/>
        <v>0</v>
      </c>
      <c r="DH126">
        <f t="shared" si="41"/>
        <v>0</v>
      </c>
      <c r="DI126">
        <f t="shared" si="28"/>
        <v>0</v>
      </c>
      <c r="DJ126">
        <f>DF126</f>
        <v>24.06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ROW(Source!A62)</f>
        <v>62</v>
      </c>
      <c r="B127">
        <v>85739205</v>
      </c>
      <c r="C127">
        <v>85739772</v>
      </c>
      <c r="D127">
        <v>85200784</v>
      </c>
      <c r="E127">
        <v>1</v>
      </c>
      <c r="F127">
        <v>1</v>
      </c>
      <c r="G127">
        <v>1081</v>
      </c>
      <c r="H127">
        <v>3</v>
      </c>
      <c r="I127" t="s">
        <v>499</v>
      </c>
      <c r="J127" t="s">
        <v>500</v>
      </c>
      <c r="K127" t="s">
        <v>501</v>
      </c>
      <c r="L127">
        <v>1346</v>
      </c>
      <c r="N127">
        <v>1009</v>
      </c>
      <c r="O127" t="s">
        <v>502</v>
      </c>
      <c r="P127" t="s">
        <v>502</v>
      </c>
      <c r="Q127">
        <v>1</v>
      </c>
      <c r="W127">
        <v>0</v>
      </c>
      <c r="X127">
        <v>-2132327540</v>
      </c>
      <c r="Y127">
        <f>(AT127*1)</f>
        <v>2.1000000000000001E-2</v>
      </c>
      <c r="AA127">
        <v>6.43</v>
      </c>
      <c r="AB127">
        <v>0</v>
      </c>
      <c r="AC127">
        <v>0</v>
      </c>
      <c r="AD127">
        <v>0</v>
      </c>
      <c r="AE127">
        <v>6.25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2.1000000000000001E-2</v>
      </c>
      <c r="AU127" t="s">
        <v>35</v>
      </c>
      <c r="AV127">
        <v>0</v>
      </c>
      <c r="AW127">
        <v>2</v>
      </c>
      <c r="AX127">
        <v>85739787</v>
      </c>
      <c r="AY127">
        <v>1</v>
      </c>
      <c r="AZ127">
        <v>0</v>
      </c>
      <c r="BA127">
        <v>157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ROUND(Y127*Source!I62,9)</f>
        <v>8.4000000000000005E-2</v>
      </c>
      <c r="CY127">
        <f>AA127</f>
        <v>6.43</v>
      </c>
      <c r="CZ127">
        <f>AE127</f>
        <v>6.25</v>
      </c>
      <c r="DA127">
        <f>AI127</f>
        <v>1</v>
      </c>
      <c r="DB127">
        <f>ROUND((ROUND(AT127*CZ127,2)*1),6)</f>
        <v>0.13</v>
      </c>
      <c r="DC127">
        <f>ROUND((ROUND(AT127*AG127,2)*1),6)</f>
        <v>0</v>
      </c>
      <c r="DD127" t="s">
        <v>3</v>
      </c>
      <c r="DE127" t="s">
        <v>3</v>
      </c>
      <c r="DF127">
        <f t="shared" si="42"/>
        <v>0.53</v>
      </c>
      <c r="DG127">
        <f t="shared" si="40"/>
        <v>0</v>
      </c>
      <c r="DH127">
        <f t="shared" si="41"/>
        <v>0</v>
      </c>
      <c r="DI127">
        <f t="shared" si="28"/>
        <v>0</v>
      </c>
      <c r="DJ127">
        <f>DF127</f>
        <v>0.53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ROW(Source!A62)</f>
        <v>62</v>
      </c>
      <c r="B128">
        <v>85739205</v>
      </c>
      <c r="C128">
        <v>85739772</v>
      </c>
      <c r="D128">
        <v>85199158</v>
      </c>
      <c r="E128">
        <v>1</v>
      </c>
      <c r="F128">
        <v>1</v>
      </c>
      <c r="G128">
        <v>1081</v>
      </c>
      <c r="H128">
        <v>3</v>
      </c>
      <c r="I128" t="s">
        <v>503</v>
      </c>
      <c r="J128" t="s">
        <v>504</v>
      </c>
      <c r="K128" t="s">
        <v>505</v>
      </c>
      <c r="L128">
        <v>1339</v>
      </c>
      <c r="N128">
        <v>1007</v>
      </c>
      <c r="O128" t="s">
        <v>506</v>
      </c>
      <c r="P128" t="s">
        <v>506</v>
      </c>
      <c r="Q128">
        <v>1</v>
      </c>
      <c r="W128">
        <v>0</v>
      </c>
      <c r="X128">
        <v>-1235260082</v>
      </c>
      <c r="Y128">
        <f>(AT128*1)</f>
        <v>8.6999999999999994E-2</v>
      </c>
      <c r="AA128">
        <v>5.98</v>
      </c>
      <c r="AB128">
        <v>0</v>
      </c>
      <c r="AC128">
        <v>0</v>
      </c>
      <c r="AD128">
        <v>0</v>
      </c>
      <c r="AE128">
        <v>5.82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8.6999999999999994E-2</v>
      </c>
      <c r="AU128" t="s">
        <v>35</v>
      </c>
      <c r="AV128">
        <v>0</v>
      </c>
      <c r="AW128">
        <v>2</v>
      </c>
      <c r="AX128">
        <v>85739788</v>
      </c>
      <c r="AY128">
        <v>1</v>
      </c>
      <c r="AZ128">
        <v>0</v>
      </c>
      <c r="BA128">
        <v>158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ROUND(Y128*Source!I62,9)</f>
        <v>0.34799999999999998</v>
      </c>
      <c r="CY128">
        <f>AA128</f>
        <v>5.98</v>
      </c>
      <c r="CZ128">
        <f>AE128</f>
        <v>5.82</v>
      </c>
      <c r="DA128">
        <f>AI128</f>
        <v>1</v>
      </c>
      <c r="DB128">
        <f>ROUND((ROUND(AT128*CZ128,2)*1),6)</f>
        <v>0.51</v>
      </c>
      <c r="DC128">
        <f>ROUND((ROUND(AT128*AG128,2)*1),6)</f>
        <v>0</v>
      </c>
      <c r="DD128" t="s">
        <v>3</v>
      </c>
      <c r="DE128" t="s">
        <v>3</v>
      </c>
      <c r="DF128">
        <f t="shared" si="42"/>
        <v>2.0299999999999998</v>
      </c>
      <c r="DG128">
        <f t="shared" si="40"/>
        <v>0</v>
      </c>
      <c r="DH128">
        <f t="shared" si="41"/>
        <v>0</v>
      </c>
      <c r="DI128">
        <f t="shared" si="28"/>
        <v>0</v>
      </c>
      <c r="DJ128">
        <f>DF128</f>
        <v>2.0299999999999998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ROW(Source!A62)</f>
        <v>62</v>
      </c>
      <c r="B129">
        <v>85739205</v>
      </c>
      <c r="C129">
        <v>85739772</v>
      </c>
      <c r="D129">
        <v>85215620</v>
      </c>
      <c r="E129">
        <v>1</v>
      </c>
      <c r="F129">
        <v>1</v>
      </c>
      <c r="G129">
        <v>1081</v>
      </c>
      <c r="H129">
        <v>3</v>
      </c>
      <c r="I129" t="s">
        <v>124</v>
      </c>
      <c r="J129" t="s">
        <v>126</v>
      </c>
      <c r="K129" t="s">
        <v>125</v>
      </c>
      <c r="L129">
        <v>1354</v>
      </c>
      <c r="N129">
        <v>1010</v>
      </c>
      <c r="O129" t="s">
        <v>99</v>
      </c>
      <c r="P129" t="s">
        <v>99</v>
      </c>
      <c r="Q129">
        <v>1</v>
      </c>
      <c r="W129">
        <v>0</v>
      </c>
      <c r="X129">
        <v>774186860</v>
      </c>
      <c r="Y129">
        <f>(AT129*1)</f>
        <v>1</v>
      </c>
      <c r="AA129">
        <v>340.41</v>
      </c>
      <c r="AB129">
        <v>0</v>
      </c>
      <c r="AC129">
        <v>0</v>
      </c>
      <c r="AD129">
        <v>0</v>
      </c>
      <c r="AE129">
        <v>340.41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  <c r="AS129" t="s">
        <v>3</v>
      </c>
      <c r="AT129">
        <v>1</v>
      </c>
      <c r="AU129" t="s">
        <v>35</v>
      </c>
      <c r="AV129">
        <v>0</v>
      </c>
      <c r="AW129">
        <v>1</v>
      </c>
      <c r="AX129">
        <v>-1</v>
      </c>
      <c r="AY129">
        <v>0</v>
      </c>
      <c r="AZ129">
        <v>0</v>
      </c>
      <c r="BA129" t="s">
        <v>3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ROUND(Y129*Source!I62,9)</f>
        <v>4</v>
      </c>
      <c r="CY129">
        <f>AA129</f>
        <v>340.41</v>
      </c>
      <c r="CZ129">
        <f>AE129</f>
        <v>340.41</v>
      </c>
      <c r="DA129">
        <f>AI129</f>
        <v>1</v>
      </c>
      <c r="DB129">
        <f>ROUND((ROUND(AT129*CZ129,2)*1),6)</f>
        <v>340.41</v>
      </c>
      <c r="DC129">
        <f>ROUND((ROUND(AT129*AG129,2)*1),6)</f>
        <v>0</v>
      </c>
      <c r="DD129" t="s">
        <v>3</v>
      </c>
      <c r="DE129" t="s">
        <v>3</v>
      </c>
      <c r="DF129">
        <f t="shared" si="42"/>
        <v>1361.64</v>
      </c>
      <c r="DG129">
        <f t="shared" si="40"/>
        <v>0</v>
      </c>
      <c r="DH129">
        <f t="shared" si="41"/>
        <v>0</v>
      </c>
      <c r="DI129">
        <f t="shared" ref="DI129:DI192" si="43">ROUND(ROUND(AH129,2)*CX129,2)</f>
        <v>0</v>
      </c>
      <c r="DJ129">
        <f>DF129</f>
        <v>1361.64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ROW(Source!A63)</f>
        <v>63</v>
      </c>
      <c r="B130">
        <v>85739207</v>
      </c>
      <c r="C130">
        <v>85739772</v>
      </c>
      <c r="D130">
        <v>85164021</v>
      </c>
      <c r="E130">
        <v>1081</v>
      </c>
      <c r="F130">
        <v>1</v>
      </c>
      <c r="G130">
        <v>1081</v>
      </c>
      <c r="H130">
        <v>1</v>
      </c>
      <c r="I130" t="s">
        <v>472</v>
      </c>
      <c r="J130" t="s">
        <v>3</v>
      </c>
      <c r="K130" t="s">
        <v>473</v>
      </c>
      <c r="L130">
        <v>1191</v>
      </c>
      <c r="N130">
        <v>1013</v>
      </c>
      <c r="O130" t="s">
        <v>474</v>
      </c>
      <c r="P130" t="s">
        <v>474</v>
      </c>
      <c r="Q130">
        <v>1</v>
      </c>
      <c r="W130">
        <v>0</v>
      </c>
      <c r="X130">
        <v>476480486</v>
      </c>
      <c r="Y130">
        <f>(AT130*1.2)</f>
        <v>9.1199999999999992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5</v>
      </c>
      <c r="AN130">
        <v>0</v>
      </c>
      <c r="AO130">
        <v>1</v>
      </c>
      <c r="AP130">
        <v>1</v>
      </c>
      <c r="AQ130">
        <v>0</v>
      </c>
      <c r="AR130">
        <v>0</v>
      </c>
      <c r="AS130" t="s">
        <v>3</v>
      </c>
      <c r="AT130">
        <v>7.6</v>
      </c>
      <c r="AU130" t="s">
        <v>36</v>
      </c>
      <c r="AV130">
        <v>1</v>
      </c>
      <c r="AW130">
        <v>2</v>
      </c>
      <c r="AX130">
        <v>85739783</v>
      </c>
      <c r="AY130">
        <v>1</v>
      </c>
      <c r="AZ130">
        <v>0</v>
      </c>
      <c r="BA130">
        <v>160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U130">
        <f>ROUND(AT130*Source!I63*AH130*AL130,2)</f>
        <v>0</v>
      </c>
      <c r="CV130">
        <f>ROUND(Y130*Source!I63,9)</f>
        <v>36.479999999999997</v>
      </c>
      <c r="CW130">
        <v>0</v>
      </c>
      <c r="CX130">
        <f>ROUND(Y130*Source!I63,9)</f>
        <v>36.479999999999997</v>
      </c>
      <c r="CY130">
        <f>AD130</f>
        <v>0</v>
      </c>
      <c r="CZ130">
        <f>AH130</f>
        <v>0</v>
      </c>
      <c r="DA130">
        <f>AL130</f>
        <v>1</v>
      </c>
      <c r="DB130">
        <f>ROUND((ROUND(AT130*CZ130,2)*1.2),6)</f>
        <v>0</v>
      </c>
      <c r="DC130">
        <f>ROUND((ROUND(AT130*AG130,2)*1.2),6)</f>
        <v>0</v>
      </c>
      <c r="DD130" t="s">
        <v>3</v>
      </c>
      <c r="DE130" t="s">
        <v>3</v>
      </c>
      <c r="DF130">
        <f t="shared" si="42"/>
        <v>0</v>
      </c>
      <c r="DG130">
        <f t="shared" si="40"/>
        <v>0</v>
      </c>
      <c r="DH130">
        <f t="shared" si="41"/>
        <v>0</v>
      </c>
      <c r="DI130">
        <f t="shared" si="43"/>
        <v>0</v>
      </c>
      <c r="DJ130">
        <f>DI130</f>
        <v>0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ROW(Source!A63)</f>
        <v>63</v>
      </c>
      <c r="B131">
        <v>85739207</v>
      </c>
      <c r="C131">
        <v>85739772</v>
      </c>
      <c r="D131">
        <v>85229633</v>
      </c>
      <c r="E131">
        <v>1</v>
      </c>
      <c r="F131">
        <v>1</v>
      </c>
      <c r="G131">
        <v>1081</v>
      </c>
      <c r="H131">
        <v>2</v>
      </c>
      <c r="I131" t="s">
        <v>475</v>
      </c>
      <c r="J131" t="s">
        <v>476</v>
      </c>
      <c r="K131" t="s">
        <v>477</v>
      </c>
      <c r="L131">
        <v>1368</v>
      </c>
      <c r="N131">
        <v>1011</v>
      </c>
      <c r="O131" t="s">
        <v>478</v>
      </c>
      <c r="P131" t="s">
        <v>478</v>
      </c>
      <c r="Q131">
        <v>1</v>
      </c>
      <c r="W131">
        <v>0</v>
      </c>
      <c r="X131">
        <v>1498588441</v>
      </c>
      <c r="Y131">
        <f>(AT131*1.2)</f>
        <v>2.04</v>
      </c>
      <c r="AA131">
        <v>0</v>
      </c>
      <c r="AB131">
        <v>102.11</v>
      </c>
      <c r="AC131">
        <v>0</v>
      </c>
      <c r="AD131">
        <v>0</v>
      </c>
      <c r="AE131">
        <v>0</v>
      </c>
      <c r="AF131">
        <v>7.11</v>
      </c>
      <c r="AG131">
        <v>0</v>
      </c>
      <c r="AH131">
        <v>0</v>
      </c>
      <c r="AI131">
        <v>1</v>
      </c>
      <c r="AJ131">
        <v>13.46</v>
      </c>
      <c r="AK131">
        <v>1</v>
      </c>
      <c r="AL131">
        <v>1</v>
      </c>
      <c r="AM131">
        <v>2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1.7</v>
      </c>
      <c r="AU131" t="s">
        <v>36</v>
      </c>
      <c r="AV131">
        <v>0</v>
      </c>
      <c r="AW131">
        <v>2</v>
      </c>
      <c r="AX131">
        <v>85739784</v>
      </c>
      <c r="AY131">
        <v>1</v>
      </c>
      <c r="AZ131">
        <v>0</v>
      </c>
      <c r="BA131">
        <v>161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V131">
        <v>0</v>
      </c>
      <c r="CW131">
        <f>ROUND(Y131*Source!I63*DO131,9)</f>
        <v>0</v>
      </c>
      <c r="CX131">
        <f>ROUND(Y131*Source!I63,9)</f>
        <v>8.16</v>
      </c>
      <c r="CY131">
        <f>AB131</f>
        <v>102.11</v>
      </c>
      <c r="CZ131">
        <f>AF131</f>
        <v>7.11</v>
      </c>
      <c r="DA131">
        <f>AJ131</f>
        <v>13.46</v>
      </c>
      <c r="DB131">
        <f>ROUND((ROUND(AT131*CZ131,2)*1.2),6)</f>
        <v>14.507999999999999</v>
      </c>
      <c r="DC131">
        <f>ROUND((ROUND(AT131*AG131,2)*1.2),6)</f>
        <v>0</v>
      </c>
      <c r="DD131" t="s">
        <v>3</v>
      </c>
      <c r="DE131" t="s">
        <v>3</v>
      </c>
      <c r="DF131">
        <f t="shared" si="42"/>
        <v>0</v>
      </c>
      <c r="DG131">
        <f>ROUND(ROUND(AF131*AJ131,2)*CX131,2)</f>
        <v>780.91</v>
      </c>
      <c r="DH131">
        <f t="shared" si="41"/>
        <v>0</v>
      </c>
      <c r="DI131">
        <f t="shared" si="43"/>
        <v>0</v>
      </c>
      <c r="DJ131">
        <f>DG131</f>
        <v>780.91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ROW(Source!A63)</f>
        <v>63</v>
      </c>
      <c r="B132">
        <v>85739207</v>
      </c>
      <c r="C132">
        <v>85739772</v>
      </c>
      <c r="D132">
        <v>85229932</v>
      </c>
      <c r="E132">
        <v>1</v>
      </c>
      <c r="F132">
        <v>1</v>
      </c>
      <c r="G132">
        <v>1081</v>
      </c>
      <c r="H132">
        <v>2</v>
      </c>
      <c r="I132" t="s">
        <v>482</v>
      </c>
      <c r="J132" t="s">
        <v>483</v>
      </c>
      <c r="K132" t="s">
        <v>484</v>
      </c>
      <c r="L132">
        <v>1368</v>
      </c>
      <c r="N132">
        <v>1011</v>
      </c>
      <c r="O132" t="s">
        <v>478</v>
      </c>
      <c r="P132" t="s">
        <v>478</v>
      </c>
      <c r="Q132">
        <v>1</v>
      </c>
      <c r="W132">
        <v>0</v>
      </c>
      <c r="X132">
        <v>874612079</v>
      </c>
      <c r="Y132">
        <f>(AT132*1.2)</f>
        <v>3.5999999999999997E-2</v>
      </c>
      <c r="AA132">
        <v>0</v>
      </c>
      <c r="AB132">
        <v>1513.56</v>
      </c>
      <c r="AC132">
        <v>758.78</v>
      </c>
      <c r="AD132">
        <v>0</v>
      </c>
      <c r="AE132">
        <v>0</v>
      </c>
      <c r="AF132">
        <v>83.1</v>
      </c>
      <c r="AG132">
        <v>12.62</v>
      </c>
      <c r="AH132">
        <v>0</v>
      </c>
      <c r="AI132">
        <v>1</v>
      </c>
      <c r="AJ132">
        <v>17.07</v>
      </c>
      <c r="AK132">
        <v>56.35</v>
      </c>
      <c r="AL132">
        <v>1</v>
      </c>
      <c r="AM132">
        <v>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0.03</v>
      </c>
      <c r="AU132" t="s">
        <v>36</v>
      </c>
      <c r="AV132">
        <v>0</v>
      </c>
      <c r="AW132">
        <v>2</v>
      </c>
      <c r="AX132">
        <v>85739785</v>
      </c>
      <c r="AY132">
        <v>1</v>
      </c>
      <c r="AZ132">
        <v>0</v>
      </c>
      <c r="BA132">
        <v>162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ROUND(Y132*Source!I63*DO132,9)</f>
        <v>1.81728</v>
      </c>
      <c r="CX132">
        <f>ROUND(Y132*Source!I63,9)</f>
        <v>0.14399999999999999</v>
      </c>
      <c r="CY132">
        <f>AB132</f>
        <v>1513.56</v>
      </c>
      <c r="CZ132">
        <f>AF132</f>
        <v>83.1</v>
      </c>
      <c r="DA132">
        <f>AJ132</f>
        <v>17.07</v>
      </c>
      <c r="DB132">
        <f>ROUND((ROUND(AT132*CZ132,2)*1.2),6)</f>
        <v>2.988</v>
      </c>
      <c r="DC132">
        <f>ROUND((ROUND(AT132*AG132,2)*1.2),6)</f>
        <v>0.45600000000000002</v>
      </c>
      <c r="DD132" t="s">
        <v>3</v>
      </c>
      <c r="DE132" t="s">
        <v>3</v>
      </c>
      <c r="DF132">
        <f t="shared" si="42"/>
        <v>0</v>
      </c>
      <c r="DG132">
        <f>ROUND(ROUND(AF132*AJ132,2)*CX132,2)</f>
        <v>204.27</v>
      </c>
      <c r="DH132">
        <f>ROUND(ROUND(AG132*AK132,2)*CX132,2)</f>
        <v>102.4</v>
      </c>
      <c r="DI132">
        <f t="shared" si="43"/>
        <v>0</v>
      </c>
      <c r="DJ132">
        <f>DG132</f>
        <v>204.27</v>
      </c>
      <c r="DK132">
        <v>0</v>
      </c>
      <c r="DL132" t="s">
        <v>485</v>
      </c>
      <c r="DM132">
        <v>0</v>
      </c>
      <c r="DN132" t="s">
        <v>474</v>
      </c>
      <c r="DO132">
        <v>12.62</v>
      </c>
    </row>
    <row r="133" spans="1:119" x14ac:dyDescent="0.2">
      <c r="A133">
        <f>ROW(Source!A63)</f>
        <v>63</v>
      </c>
      <c r="B133">
        <v>85739207</v>
      </c>
      <c r="C133">
        <v>85739772</v>
      </c>
      <c r="D133">
        <v>85200111</v>
      </c>
      <c r="E133">
        <v>1</v>
      </c>
      <c r="F133">
        <v>1</v>
      </c>
      <c r="G133">
        <v>1081</v>
      </c>
      <c r="H133">
        <v>3</v>
      </c>
      <c r="I133" t="s">
        <v>492</v>
      </c>
      <c r="J133" t="s">
        <v>493</v>
      </c>
      <c r="K133" t="s">
        <v>494</v>
      </c>
      <c r="L133">
        <v>1348</v>
      </c>
      <c r="N133">
        <v>1009</v>
      </c>
      <c r="O133" t="s">
        <v>266</v>
      </c>
      <c r="P133" t="s">
        <v>266</v>
      </c>
      <c r="Q133">
        <v>1000</v>
      </c>
      <c r="W133">
        <v>0</v>
      </c>
      <c r="X133">
        <v>205566664</v>
      </c>
      <c r="Y133">
        <f>(AT133*1)</f>
        <v>6.6E-4</v>
      </c>
      <c r="AA133">
        <v>95081.54</v>
      </c>
      <c r="AB133">
        <v>0</v>
      </c>
      <c r="AC133">
        <v>0</v>
      </c>
      <c r="AD133">
        <v>0</v>
      </c>
      <c r="AE133">
        <v>9112.49</v>
      </c>
      <c r="AF133">
        <v>0</v>
      </c>
      <c r="AG133">
        <v>0</v>
      </c>
      <c r="AH133">
        <v>0</v>
      </c>
      <c r="AI133">
        <v>10.15</v>
      </c>
      <c r="AJ133">
        <v>1</v>
      </c>
      <c r="AK133">
        <v>1</v>
      </c>
      <c r="AL133">
        <v>1</v>
      </c>
      <c r="AM133">
        <v>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6.6E-4</v>
      </c>
      <c r="AU133" t="s">
        <v>35</v>
      </c>
      <c r="AV133">
        <v>0</v>
      </c>
      <c r="AW133">
        <v>2</v>
      </c>
      <c r="AX133">
        <v>85739786</v>
      </c>
      <c r="AY133">
        <v>1</v>
      </c>
      <c r="AZ133">
        <v>0</v>
      </c>
      <c r="BA133">
        <v>163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v>0</v>
      </c>
      <c r="CX133">
        <f>ROUND(Y133*Source!I63,9)</f>
        <v>2.64E-3</v>
      </c>
      <c r="CY133">
        <f>AA133</f>
        <v>95081.54</v>
      </c>
      <c r="CZ133">
        <f>AE133</f>
        <v>9112.49</v>
      </c>
      <c r="DA133">
        <f>AI133</f>
        <v>10.15</v>
      </c>
      <c r="DB133">
        <f>ROUND((ROUND(AT133*CZ133,2)*1),6)</f>
        <v>6.01</v>
      </c>
      <c r="DC133">
        <f>ROUND((ROUND(AT133*AG133,2)*1),6)</f>
        <v>0</v>
      </c>
      <c r="DD133" t="s">
        <v>3</v>
      </c>
      <c r="DE133" t="s">
        <v>3</v>
      </c>
      <c r="DF133">
        <f>ROUND(ROUND(AE133*AI133,2)*CX133,2)</f>
        <v>244.18</v>
      </c>
      <c r="DG133">
        <f t="shared" ref="DG133:DG145" si="44">ROUND(ROUND(AF133,2)*CX133,2)</f>
        <v>0</v>
      </c>
      <c r="DH133">
        <f t="shared" ref="DH133:DH146" si="45">ROUND(ROUND(AG133,2)*CX133,2)</f>
        <v>0</v>
      </c>
      <c r="DI133">
        <f t="shared" si="43"/>
        <v>0</v>
      </c>
      <c r="DJ133">
        <f>DF133</f>
        <v>244.18</v>
      </c>
      <c r="DK133">
        <v>0</v>
      </c>
      <c r="DL133" t="s">
        <v>3</v>
      </c>
      <c r="DM133">
        <v>0</v>
      </c>
      <c r="DN133" t="s">
        <v>3</v>
      </c>
      <c r="DO133">
        <v>0</v>
      </c>
    </row>
    <row r="134" spans="1:119" x14ac:dyDescent="0.2">
      <c r="A134">
        <f>ROW(Source!A63)</f>
        <v>63</v>
      </c>
      <c r="B134">
        <v>85739207</v>
      </c>
      <c r="C134">
        <v>85739772</v>
      </c>
      <c r="D134">
        <v>85200784</v>
      </c>
      <c r="E134">
        <v>1</v>
      </c>
      <c r="F134">
        <v>1</v>
      </c>
      <c r="G134">
        <v>1081</v>
      </c>
      <c r="H134">
        <v>3</v>
      </c>
      <c r="I134" t="s">
        <v>499</v>
      </c>
      <c r="J134" t="s">
        <v>500</v>
      </c>
      <c r="K134" t="s">
        <v>501</v>
      </c>
      <c r="L134">
        <v>1346</v>
      </c>
      <c r="N134">
        <v>1009</v>
      </c>
      <c r="O134" t="s">
        <v>502</v>
      </c>
      <c r="P134" t="s">
        <v>502</v>
      </c>
      <c r="Q134">
        <v>1</v>
      </c>
      <c r="W134">
        <v>0</v>
      </c>
      <c r="X134">
        <v>-2132327540</v>
      </c>
      <c r="Y134">
        <f>(AT134*1)</f>
        <v>2.1000000000000001E-2</v>
      </c>
      <c r="AA134">
        <v>64.760000000000005</v>
      </c>
      <c r="AB134">
        <v>0</v>
      </c>
      <c r="AC134">
        <v>0</v>
      </c>
      <c r="AD134">
        <v>0</v>
      </c>
      <c r="AE134">
        <v>6.25</v>
      </c>
      <c r="AF134">
        <v>0</v>
      </c>
      <c r="AG134">
        <v>0</v>
      </c>
      <c r="AH134">
        <v>0</v>
      </c>
      <c r="AI134">
        <v>10.08</v>
      </c>
      <c r="AJ134">
        <v>1</v>
      </c>
      <c r="AK134">
        <v>1</v>
      </c>
      <c r="AL134">
        <v>1</v>
      </c>
      <c r="AM134">
        <v>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2.1000000000000001E-2</v>
      </c>
      <c r="AU134" t="s">
        <v>35</v>
      </c>
      <c r="AV134">
        <v>0</v>
      </c>
      <c r="AW134">
        <v>2</v>
      </c>
      <c r="AX134">
        <v>85739787</v>
      </c>
      <c r="AY134">
        <v>1</v>
      </c>
      <c r="AZ134">
        <v>0</v>
      </c>
      <c r="BA134">
        <v>164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v>0</v>
      </c>
      <c r="CX134">
        <f>ROUND(Y134*Source!I63,9)</f>
        <v>8.4000000000000005E-2</v>
      </c>
      <c r="CY134">
        <f>AA134</f>
        <v>64.760000000000005</v>
      </c>
      <c r="CZ134">
        <f>AE134</f>
        <v>6.25</v>
      </c>
      <c r="DA134">
        <f>AI134</f>
        <v>10.08</v>
      </c>
      <c r="DB134">
        <f>ROUND((ROUND(AT134*CZ134,2)*1),6)</f>
        <v>0.13</v>
      </c>
      <c r="DC134">
        <f>ROUND((ROUND(AT134*AG134,2)*1),6)</f>
        <v>0</v>
      </c>
      <c r="DD134" t="s">
        <v>3</v>
      </c>
      <c r="DE134" t="s">
        <v>3</v>
      </c>
      <c r="DF134">
        <f>ROUND(ROUND(AE134*AI134,2)*CX134,2)</f>
        <v>5.29</v>
      </c>
      <c r="DG134">
        <f t="shared" si="44"/>
        <v>0</v>
      </c>
      <c r="DH134">
        <f t="shared" si="45"/>
        <v>0</v>
      </c>
      <c r="DI134">
        <f t="shared" si="43"/>
        <v>0</v>
      </c>
      <c r="DJ134">
        <f>DF134</f>
        <v>5.29</v>
      </c>
      <c r="DK134">
        <v>0</v>
      </c>
      <c r="DL134" t="s">
        <v>3</v>
      </c>
      <c r="DM134">
        <v>0</v>
      </c>
      <c r="DN134" t="s">
        <v>3</v>
      </c>
      <c r="DO134">
        <v>0</v>
      </c>
    </row>
    <row r="135" spans="1:119" x14ac:dyDescent="0.2">
      <c r="A135">
        <f>ROW(Source!A63)</f>
        <v>63</v>
      </c>
      <c r="B135">
        <v>85739207</v>
      </c>
      <c r="C135">
        <v>85739772</v>
      </c>
      <c r="D135">
        <v>85199158</v>
      </c>
      <c r="E135">
        <v>1</v>
      </c>
      <c r="F135">
        <v>1</v>
      </c>
      <c r="G135">
        <v>1081</v>
      </c>
      <c r="H135">
        <v>3</v>
      </c>
      <c r="I135" t="s">
        <v>503</v>
      </c>
      <c r="J135" t="s">
        <v>504</v>
      </c>
      <c r="K135" t="s">
        <v>505</v>
      </c>
      <c r="L135">
        <v>1339</v>
      </c>
      <c r="N135">
        <v>1007</v>
      </c>
      <c r="O135" t="s">
        <v>506</v>
      </c>
      <c r="P135" t="s">
        <v>506</v>
      </c>
      <c r="Q135">
        <v>1</v>
      </c>
      <c r="W135">
        <v>0</v>
      </c>
      <c r="X135">
        <v>-1235260082</v>
      </c>
      <c r="Y135">
        <f>(AT135*1)</f>
        <v>8.6999999999999994E-2</v>
      </c>
      <c r="AA135">
        <v>104.16</v>
      </c>
      <c r="AB135">
        <v>0</v>
      </c>
      <c r="AC135">
        <v>0</v>
      </c>
      <c r="AD135">
        <v>0</v>
      </c>
      <c r="AE135">
        <v>5.82</v>
      </c>
      <c r="AF135">
        <v>0</v>
      </c>
      <c r="AG135">
        <v>0</v>
      </c>
      <c r="AH135">
        <v>0</v>
      </c>
      <c r="AI135">
        <v>17.41</v>
      </c>
      <c r="AJ135">
        <v>1</v>
      </c>
      <c r="AK135">
        <v>1</v>
      </c>
      <c r="AL135">
        <v>1</v>
      </c>
      <c r="AM135">
        <v>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8.6999999999999994E-2</v>
      </c>
      <c r="AU135" t="s">
        <v>35</v>
      </c>
      <c r="AV135">
        <v>0</v>
      </c>
      <c r="AW135">
        <v>2</v>
      </c>
      <c r="AX135">
        <v>85739788</v>
      </c>
      <c r="AY135">
        <v>1</v>
      </c>
      <c r="AZ135">
        <v>0</v>
      </c>
      <c r="BA135">
        <v>165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ROUND(Y135*Source!I63,9)</f>
        <v>0.34799999999999998</v>
      </c>
      <c r="CY135">
        <f>AA135</f>
        <v>104.16</v>
      </c>
      <c r="CZ135">
        <f>AE135</f>
        <v>5.82</v>
      </c>
      <c r="DA135">
        <f>AI135</f>
        <v>17.41</v>
      </c>
      <c r="DB135">
        <f>ROUND((ROUND(AT135*CZ135,2)*1),6)</f>
        <v>0.51</v>
      </c>
      <c r="DC135">
        <f>ROUND((ROUND(AT135*AG135,2)*1),6)</f>
        <v>0</v>
      </c>
      <c r="DD135" t="s">
        <v>3</v>
      </c>
      <c r="DE135" t="s">
        <v>3</v>
      </c>
      <c r="DF135">
        <f>ROUND(ROUND(AE135*AI135,2)*CX135,2)</f>
        <v>35.26</v>
      </c>
      <c r="DG135">
        <f t="shared" si="44"/>
        <v>0</v>
      </c>
      <c r="DH135">
        <f t="shared" si="45"/>
        <v>0</v>
      </c>
      <c r="DI135">
        <f t="shared" si="43"/>
        <v>0</v>
      </c>
      <c r="DJ135">
        <f>DF135</f>
        <v>35.26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ROW(Source!A63)</f>
        <v>63</v>
      </c>
      <c r="B136">
        <v>85739207</v>
      </c>
      <c r="C136">
        <v>85739772</v>
      </c>
      <c r="D136">
        <v>85215620</v>
      </c>
      <c r="E136">
        <v>1</v>
      </c>
      <c r="F136">
        <v>1</v>
      </c>
      <c r="G136">
        <v>1081</v>
      </c>
      <c r="H136">
        <v>3</v>
      </c>
      <c r="I136" t="s">
        <v>124</v>
      </c>
      <c r="J136" t="s">
        <v>126</v>
      </c>
      <c r="K136" t="s">
        <v>125</v>
      </c>
      <c r="L136">
        <v>1354</v>
      </c>
      <c r="N136">
        <v>1010</v>
      </c>
      <c r="O136" t="s">
        <v>99</v>
      </c>
      <c r="P136" t="s">
        <v>99</v>
      </c>
      <c r="Q136">
        <v>1</v>
      </c>
      <c r="W136">
        <v>0</v>
      </c>
      <c r="X136">
        <v>774186860</v>
      </c>
      <c r="Y136">
        <f>(AT136*1)</f>
        <v>1</v>
      </c>
      <c r="AA136">
        <v>1531.85</v>
      </c>
      <c r="AB136">
        <v>0</v>
      </c>
      <c r="AC136">
        <v>0</v>
      </c>
      <c r="AD136">
        <v>0</v>
      </c>
      <c r="AE136">
        <v>340.41</v>
      </c>
      <c r="AF136">
        <v>0</v>
      </c>
      <c r="AG136">
        <v>0</v>
      </c>
      <c r="AH136">
        <v>0</v>
      </c>
      <c r="AI136">
        <v>4.5</v>
      </c>
      <c r="AJ136">
        <v>1</v>
      </c>
      <c r="AK136">
        <v>1</v>
      </c>
      <c r="AL136">
        <v>1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 t="s">
        <v>3</v>
      </c>
      <c r="AT136">
        <v>1</v>
      </c>
      <c r="AU136" t="s">
        <v>35</v>
      </c>
      <c r="AV136">
        <v>0</v>
      </c>
      <c r="AW136">
        <v>1</v>
      </c>
      <c r="AX136">
        <v>-1</v>
      </c>
      <c r="AY136">
        <v>0</v>
      </c>
      <c r="AZ136">
        <v>0</v>
      </c>
      <c r="BA136" t="s">
        <v>3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ROUND(Y136*Source!I63,9)</f>
        <v>4</v>
      </c>
      <c r="CY136">
        <f>AA136</f>
        <v>1531.85</v>
      </c>
      <c r="CZ136">
        <f>AE136</f>
        <v>340.41</v>
      </c>
      <c r="DA136">
        <f>AI136</f>
        <v>4.5</v>
      </c>
      <c r="DB136">
        <f>ROUND((ROUND(AT136*CZ136,2)*1),6)</f>
        <v>340.41</v>
      </c>
      <c r="DC136">
        <f>ROUND((ROUND(AT136*AG136,2)*1),6)</f>
        <v>0</v>
      </c>
      <c r="DD136" t="s">
        <v>3</v>
      </c>
      <c r="DE136" t="s">
        <v>3</v>
      </c>
      <c r="DF136">
        <f>ROUND(ROUND(AE136*AI136,2)*CX136,2)</f>
        <v>6127.4</v>
      </c>
      <c r="DG136">
        <f t="shared" si="44"/>
        <v>0</v>
      </c>
      <c r="DH136">
        <f t="shared" si="45"/>
        <v>0</v>
      </c>
      <c r="DI136">
        <f t="shared" si="43"/>
        <v>0</v>
      </c>
      <c r="DJ136">
        <f>DF136</f>
        <v>6127.4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ROW(Source!A66)</f>
        <v>66</v>
      </c>
      <c r="B137">
        <v>85739205</v>
      </c>
      <c r="C137">
        <v>85739773</v>
      </c>
      <c r="D137">
        <v>85164021</v>
      </c>
      <c r="E137">
        <v>1081</v>
      </c>
      <c r="F137">
        <v>1</v>
      </c>
      <c r="G137">
        <v>1081</v>
      </c>
      <c r="H137">
        <v>1</v>
      </c>
      <c r="I137" t="s">
        <v>472</v>
      </c>
      <c r="J137" t="s">
        <v>3</v>
      </c>
      <c r="K137" t="s">
        <v>473</v>
      </c>
      <c r="L137">
        <v>1191</v>
      </c>
      <c r="N137">
        <v>1013</v>
      </c>
      <c r="O137" t="s">
        <v>474</v>
      </c>
      <c r="P137" t="s">
        <v>474</v>
      </c>
      <c r="Q137">
        <v>1</v>
      </c>
      <c r="W137">
        <v>0</v>
      </c>
      <c r="X137">
        <v>476480486</v>
      </c>
      <c r="Y137">
        <f>(AT137*1.2)</f>
        <v>6.48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1</v>
      </c>
      <c r="AK137">
        <v>1</v>
      </c>
      <c r="AL137">
        <v>1</v>
      </c>
      <c r="AM137">
        <v>-2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5.4</v>
      </c>
      <c r="AU137" t="s">
        <v>36</v>
      </c>
      <c r="AV137">
        <v>1</v>
      </c>
      <c r="AW137">
        <v>2</v>
      </c>
      <c r="AX137">
        <v>85739791</v>
      </c>
      <c r="AY137">
        <v>1</v>
      </c>
      <c r="AZ137">
        <v>0</v>
      </c>
      <c r="BA137">
        <v>167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U137">
        <f>ROUND(AT137*Source!I66*AH137*AL137,2)</f>
        <v>0</v>
      </c>
      <c r="CV137">
        <f>ROUND(Y137*Source!I66,9)</f>
        <v>103.68</v>
      </c>
      <c r="CW137">
        <v>0</v>
      </c>
      <c r="CX137">
        <f>ROUND(Y137*Source!I66,9)</f>
        <v>103.68</v>
      </c>
      <c r="CY137">
        <f>AD137</f>
        <v>0</v>
      </c>
      <c r="CZ137">
        <f>AH137</f>
        <v>0</v>
      </c>
      <c r="DA137">
        <f>AL137</f>
        <v>1</v>
      </c>
      <c r="DB137">
        <f>ROUND((ROUND(AT137*CZ137,2)*1.2),6)</f>
        <v>0</v>
      </c>
      <c r="DC137">
        <f>ROUND((ROUND(AT137*AG137,2)*1.2),6)</f>
        <v>0</v>
      </c>
      <c r="DD137" t="s">
        <v>3</v>
      </c>
      <c r="DE137" t="s">
        <v>3</v>
      </c>
      <c r="DF137">
        <f t="shared" ref="DF137:DF147" si="46">ROUND(ROUND(AE137,2)*CX137,2)</f>
        <v>0</v>
      </c>
      <c r="DG137">
        <f t="shared" si="44"/>
        <v>0</v>
      </c>
      <c r="DH137">
        <f t="shared" si="45"/>
        <v>0</v>
      </c>
      <c r="DI137">
        <f t="shared" si="43"/>
        <v>0</v>
      </c>
      <c r="DJ137">
        <f>DI137</f>
        <v>0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ROW(Source!A66)</f>
        <v>66</v>
      </c>
      <c r="B138">
        <v>85739205</v>
      </c>
      <c r="C138">
        <v>85739773</v>
      </c>
      <c r="D138">
        <v>85229633</v>
      </c>
      <c r="E138">
        <v>1</v>
      </c>
      <c r="F138">
        <v>1</v>
      </c>
      <c r="G138">
        <v>1081</v>
      </c>
      <c r="H138">
        <v>2</v>
      </c>
      <c r="I138" t="s">
        <v>475</v>
      </c>
      <c r="J138" t="s">
        <v>476</v>
      </c>
      <c r="K138" t="s">
        <v>477</v>
      </c>
      <c r="L138">
        <v>1368</v>
      </c>
      <c r="N138">
        <v>1011</v>
      </c>
      <c r="O138" t="s">
        <v>478</v>
      </c>
      <c r="P138" t="s">
        <v>478</v>
      </c>
      <c r="Q138">
        <v>1</v>
      </c>
      <c r="W138">
        <v>0</v>
      </c>
      <c r="X138">
        <v>1498588441</v>
      </c>
      <c r="Y138">
        <f>(AT138*1.2)</f>
        <v>1.08</v>
      </c>
      <c r="AA138">
        <v>0</v>
      </c>
      <c r="AB138">
        <v>7.59</v>
      </c>
      <c r="AC138">
        <v>0</v>
      </c>
      <c r="AD138">
        <v>0</v>
      </c>
      <c r="AE138">
        <v>0</v>
      </c>
      <c r="AF138">
        <v>7.11</v>
      </c>
      <c r="AG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-2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0.9</v>
      </c>
      <c r="AU138" t="s">
        <v>36</v>
      </c>
      <c r="AV138">
        <v>0</v>
      </c>
      <c r="AW138">
        <v>2</v>
      </c>
      <c r="AX138">
        <v>85739792</v>
      </c>
      <c r="AY138">
        <v>1</v>
      </c>
      <c r="AZ138">
        <v>0</v>
      </c>
      <c r="BA138">
        <v>168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f>ROUND(Y138*Source!I66*DO138,9)</f>
        <v>0</v>
      </c>
      <c r="CX138">
        <f>ROUND(Y138*Source!I66,9)</f>
        <v>17.28</v>
      </c>
      <c r="CY138">
        <f>AB138</f>
        <v>7.59</v>
      </c>
      <c r="CZ138">
        <f>AF138</f>
        <v>7.11</v>
      </c>
      <c r="DA138">
        <f>AJ138</f>
        <v>1</v>
      </c>
      <c r="DB138">
        <f>ROUND((ROUND(AT138*CZ138,2)*1.2),6)</f>
        <v>7.68</v>
      </c>
      <c r="DC138">
        <f>ROUND((ROUND(AT138*AG138,2)*1.2),6)</f>
        <v>0</v>
      </c>
      <c r="DD138" t="s">
        <v>3</v>
      </c>
      <c r="DE138" t="s">
        <v>3</v>
      </c>
      <c r="DF138">
        <f t="shared" si="46"/>
        <v>0</v>
      </c>
      <c r="DG138">
        <f t="shared" si="44"/>
        <v>122.86</v>
      </c>
      <c r="DH138">
        <f t="shared" si="45"/>
        <v>0</v>
      </c>
      <c r="DI138">
        <f t="shared" si="43"/>
        <v>0</v>
      </c>
      <c r="DJ138">
        <f>DG138</f>
        <v>122.86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ROW(Source!A66)</f>
        <v>66</v>
      </c>
      <c r="B139">
        <v>85739205</v>
      </c>
      <c r="C139">
        <v>85739773</v>
      </c>
      <c r="D139">
        <v>85229932</v>
      </c>
      <c r="E139">
        <v>1</v>
      </c>
      <c r="F139">
        <v>1</v>
      </c>
      <c r="G139">
        <v>1081</v>
      </c>
      <c r="H139">
        <v>2</v>
      </c>
      <c r="I139" t="s">
        <v>482</v>
      </c>
      <c r="J139" t="s">
        <v>483</v>
      </c>
      <c r="K139" t="s">
        <v>484</v>
      </c>
      <c r="L139">
        <v>1368</v>
      </c>
      <c r="N139">
        <v>1011</v>
      </c>
      <c r="O139" t="s">
        <v>478</v>
      </c>
      <c r="P139" t="s">
        <v>478</v>
      </c>
      <c r="Q139">
        <v>1</v>
      </c>
      <c r="W139">
        <v>0</v>
      </c>
      <c r="X139">
        <v>874612079</v>
      </c>
      <c r="Y139">
        <f>(AT139*1.2)</f>
        <v>2.4E-2</v>
      </c>
      <c r="AA139">
        <v>0</v>
      </c>
      <c r="AB139">
        <v>88.67</v>
      </c>
      <c r="AC139">
        <v>13.47</v>
      </c>
      <c r="AD139">
        <v>0</v>
      </c>
      <c r="AE139">
        <v>0</v>
      </c>
      <c r="AF139">
        <v>83.1</v>
      </c>
      <c r="AG139">
        <v>12.62</v>
      </c>
      <c r="AH139">
        <v>0</v>
      </c>
      <c r="AI139">
        <v>1</v>
      </c>
      <c r="AJ139">
        <v>1</v>
      </c>
      <c r="AK139">
        <v>1</v>
      </c>
      <c r="AL139">
        <v>1</v>
      </c>
      <c r="AM139">
        <v>-2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0.02</v>
      </c>
      <c r="AU139" t="s">
        <v>36</v>
      </c>
      <c r="AV139">
        <v>0</v>
      </c>
      <c r="AW139">
        <v>2</v>
      </c>
      <c r="AX139">
        <v>85739793</v>
      </c>
      <c r="AY139">
        <v>1</v>
      </c>
      <c r="AZ139">
        <v>0</v>
      </c>
      <c r="BA139">
        <v>169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f>ROUND(Y139*Source!I66*DO139,9)</f>
        <v>4.8460799999999997</v>
      </c>
      <c r="CX139">
        <f>ROUND(Y139*Source!I66,9)</f>
        <v>0.38400000000000001</v>
      </c>
      <c r="CY139">
        <f>AB139</f>
        <v>88.67</v>
      </c>
      <c r="CZ139">
        <f>AF139</f>
        <v>83.1</v>
      </c>
      <c r="DA139">
        <f>AJ139</f>
        <v>1</v>
      </c>
      <c r="DB139">
        <f>ROUND((ROUND(AT139*CZ139,2)*1.2),6)</f>
        <v>1.992</v>
      </c>
      <c r="DC139">
        <f>ROUND((ROUND(AT139*AG139,2)*1.2),6)</f>
        <v>0.3</v>
      </c>
      <c r="DD139" t="s">
        <v>3</v>
      </c>
      <c r="DE139" t="s">
        <v>3</v>
      </c>
      <c r="DF139">
        <f t="shared" si="46"/>
        <v>0</v>
      </c>
      <c r="DG139">
        <f t="shared" si="44"/>
        <v>31.91</v>
      </c>
      <c r="DH139">
        <f t="shared" si="45"/>
        <v>4.8499999999999996</v>
      </c>
      <c r="DI139">
        <f t="shared" si="43"/>
        <v>0</v>
      </c>
      <c r="DJ139">
        <f>DG139</f>
        <v>31.91</v>
      </c>
      <c r="DK139">
        <v>0</v>
      </c>
      <c r="DL139" t="s">
        <v>485</v>
      </c>
      <c r="DM139">
        <v>0</v>
      </c>
      <c r="DN139" t="s">
        <v>474</v>
      </c>
      <c r="DO139">
        <v>12.62</v>
      </c>
    </row>
    <row r="140" spans="1:119" x14ac:dyDescent="0.2">
      <c r="A140">
        <f>ROW(Source!A66)</f>
        <v>66</v>
      </c>
      <c r="B140">
        <v>85739205</v>
      </c>
      <c r="C140">
        <v>85739773</v>
      </c>
      <c r="D140">
        <v>85200111</v>
      </c>
      <c r="E140">
        <v>1</v>
      </c>
      <c r="F140">
        <v>1</v>
      </c>
      <c r="G140">
        <v>1081</v>
      </c>
      <c r="H140">
        <v>3</v>
      </c>
      <c r="I140" t="s">
        <v>492</v>
      </c>
      <c r="J140" t="s">
        <v>493</v>
      </c>
      <c r="K140" t="s">
        <v>494</v>
      </c>
      <c r="L140">
        <v>1348</v>
      </c>
      <c r="N140">
        <v>1009</v>
      </c>
      <c r="O140" t="s">
        <v>266</v>
      </c>
      <c r="P140" t="s">
        <v>266</v>
      </c>
      <c r="Q140">
        <v>1000</v>
      </c>
      <c r="W140">
        <v>0</v>
      </c>
      <c r="X140">
        <v>205566664</v>
      </c>
      <c r="Y140">
        <f>(AT140*1)</f>
        <v>4.4000000000000002E-4</v>
      </c>
      <c r="AA140">
        <v>9367.64</v>
      </c>
      <c r="AB140">
        <v>0</v>
      </c>
      <c r="AC140">
        <v>0</v>
      </c>
      <c r="AD140">
        <v>0</v>
      </c>
      <c r="AE140">
        <v>9112.49</v>
      </c>
      <c r="AF140">
        <v>0</v>
      </c>
      <c r="AG140">
        <v>0</v>
      </c>
      <c r="AH140">
        <v>0</v>
      </c>
      <c r="AI140">
        <v>1</v>
      </c>
      <c r="AJ140">
        <v>1</v>
      </c>
      <c r="AK140">
        <v>1</v>
      </c>
      <c r="AL140">
        <v>1</v>
      </c>
      <c r="AM140">
        <v>-2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4.4000000000000002E-4</v>
      </c>
      <c r="AU140" t="s">
        <v>35</v>
      </c>
      <c r="AV140">
        <v>0</v>
      </c>
      <c r="AW140">
        <v>2</v>
      </c>
      <c r="AX140">
        <v>85739794</v>
      </c>
      <c r="AY140">
        <v>1</v>
      </c>
      <c r="AZ140">
        <v>0</v>
      </c>
      <c r="BA140">
        <v>170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ROUND(Y140*Source!I66,9)</f>
        <v>7.0400000000000003E-3</v>
      </c>
      <c r="CY140">
        <f>AA140</f>
        <v>9367.64</v>
      </c>
      <c r="CZ140">
        <f>AE140</f>
        <v>9112.49</v>
      </c>
      <c r="DA140">
        <f>AI140</f>
        <v>1</v>
      </c>
      <c r="DB140">
        <f>ROUND((ROUND(AT140*CZ140,2)*1),6)</f>
        <v>4.01</v>
      </c>
      <c r="DC140">
        <f>ROUND((ROUND(AT140*AG140,2)*1),6)</f>
        <v>0</v>
      </c>
      <c r="DD140" t="s">
        <v>3</v>
      </c>
      <c r="DE140" t="s">
        <v>3</v>
      </c>
      <c r="DF140">
        <f t="shared" si="46"/>
        <v>64.150000000000006</v>
      </c>
      <c r="DG140">
        <f t="shared" si="44"/>
        <v>0</v>
      </c>
      <c r="DH140">
        <f t="shared" si="45"/>
        <v>0</v>
      </c>
      <c r="DI140">
        <f t="shared" si="43"/>
        <v>0</v>
      </c>
      <c r="DJ140">
        <f>DF140</f>
        <v>64.150000000000006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ROW(Source!A66)</f>
        <v>66</v>
      </c>
      <c r="B141">
        <v>85739205</v>
      </c>
      <c r="C141">
        <v>85739773</v>
      </c>
      <c r="D141">
        <v>85200784</v>
      </c>
      <c r="E141">
        <v>1</v>
      </c>
      <c r="F141">
        <v>1</v>
      </c>
      <c r="G141">
        <v>1081</v>
      </c>
      <c r="H141">
        <v>3</v>
      </c>
      <c r="I141" t="s">
        <v>499</v>
      </c>
      <c r="J141" t="s">
        <v>500</v>
      </c>
      <c r="K141" t="s">
        <v>501</v>
      </c>
      <c r="L141">
        <v>1346</v>
      </c>
      <c r="N141">
        <v>1009</v>
      </c>
      <c r="O141" t="s">
        <v>502</v>
      </c>
      <c r="P141" t="s">
        <v>502</v>
      </c>
      <c r="Q141">
        <v>1</v>
      </c>
      <c r="W141">
        <v>0</v>
      </c>
      <c r="X141">
        <v>-2132327540</v>
      </c>
      <c r="Y141">
        <f>(AT141*1)</f>
        <v>1.0999999999999999E-2</v>
      </c>
      <c r="AA141">
        <v>6.43</v>
      </c>
      <c r="AB141">
        <v>0</v>
      </c>
      <c r="AC141">
        <v>0</v>
      </c>
      <c r="AD141">
        <v>0</v>
      </c>
      <c r="AE141">
        <v>6.25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-2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1.0999999999999999E-2</v>
      </c>
      <c r="AU141" t="s">
        <v>35</v>
      </c>
      <c r="AV141">
        <v>0</v>
      </c>
      <c r="AW141">
        <v>2</v>
      </c>
      <c r="AX141">
        <v>85739795</v>
      </c>
      <c r="AY141">
        <v>1</v>
      </c>
      <c r="AZ141">
        <v>0</v>
      </c>
      <c r="BA141">
        <v>171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ROUND(Y141*Source!I66,9)</f>
        <v>0.17599999999999999</v>
      </c>
      <c r="CY141">
        <f>AA141</f>
        <v>6.43</v>
      </c>
      <c r="CZ141">
        <f>AE141</f>
        <v>6.25</v>
      </c>
      <c r="DA141">
        <f>AI141</f>
        <v>1</v>
      </c>
      <c r="DB141">
        <f>ROUND((ROUND(AT141*CZ141,2)*1),6)</f>
        <v>7.0000000000000007E-2</v>
      </c>
      <c r="DC141">
        <f>ROUND((ROUND(AT141*AG141,2)*1),6)</f>
        <v>0</v>
      </c>
      <c r="DD141" t="s">
        <v>3</v>
      </c>
      <c r="DE141" t="s">
        <v>3</v>
      </c>
      <c r="DF141">
        <f t="shared" si="46"/>
        <v>1.1000000000000001</v>
      </c>
      <c r="DG141">
        <f t="shared" si="44"/>
        <v>0</v>
      </c>
      <c r="DH141">
        <f t="shared" si="45"/>
        <v>0</v>
      </c>
      <c r="DI141">
        <f t="shared" si="43"/>
        <v>0</v>
      </c>
      <c r="DJ141">
        <f>DF141</f>
        <v>1.1000000000000001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ROW(Source!A66)</f>
        <v>66</v>
      </c>
      <c r="B142">
        <v>85739205</v>
      </c>
      <c r="C142">
        <v>85739773</v>
      </c>
      <c r="D142">
        <v>85199158</v>
      </c>
      <c r="E142">
        <v>1</v>
      </c>
      <c r="F142">
        <v>1</v>
      </c>
      <c r="G142">
        <v>1081</v>
      </c>
      <c r="H142">
        <v>3</v>
      </c>
      <c r="I142" t="s">
        <v>503</v>
      </c>
      <c r="J142" t="s">
        <v>504</v>
      </c>
      <c r="K142" t="s">
        <v>505</v>
      </c>
      <c r="L142">
        <v>1339</v>
      </c>
      <c r="N142">
        <v>1007</v>
      </c>
      <c r="O142" t="s">
        <v>506</v>
      </c>
      <c r="P142" t="s">
        <v>506</v>
      </c>
      <c r="Q142">
        <v>1</v>
      </c>
      <c r="W142">
        <v>0</v>
      </c>
      <c r="X142">
        <v>-1235260082</v>
      </c>
      <c r="Y142">
        <f>(AT142*1)</f>
        <v>4.3999999999999997E-2</v>
      </c>
      <c r="AA142">
        <v>5.98</v>
      </c>
      <c r="AB142">
        <v>0</v>
      </c>
      <c r="AC142">
        <v>0</v>
      </c>
      <c r="AD142">
        <v>0</v>
      </c>
      <c r="AE142">
        <v>5.82</v>
      </c>
      <c r="AF142">
        <v>0</v>
      </c>
      <c r="AG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-2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4.3999999999999997E-2</v>
      </c>
      <c r="AU142" t="s">
        <v>35</v>
      </c>
      <c r="AV142">
        <v>0</v>
      </c>
      <c r="AW142">
        <v>2</v>
      </c>
      <c r="AX142">
        <v>85739796</v>
      </c>
      <c r="AY142">
        <v>1</v>
      </c>
      <c r="AZ142">
        <v>0</v>
      </c>
      <c r="BA142">
        <v>172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ROUND(Y142*Source!I66,9)</f>
        <v>0.70399999999999996</v>
      </c>
      <c r="CY142">
        <f>AA142</f>
        <v>5.98</v>
      </c>
      <c r="CZ142">
        <f>AE142</f>
        <v>5.82</v>
      </c>
      <c r="DA142">
        <f>AI142</f>
        <v>1</v>
      </c>
      <c r="DB142">
        <f>ROUND((ROUND(AT142*CZ142,2)*1),6)</f>
        <v>0.26</v>
      </c>
      <c r="DC142">
        <f>ROUND((ROUND(AT142*AG142,2)*1),6)</f>
        <v>0</v>
      </c>
      <c r="DD142" t="s">
        <v>3</v>
      </c>
      <c r="DE142" t="s">
        <v>3</v>
      </c>
      <c r="DF142">
        <f t="shared" si="46"/>
        <v>4.0999999999999996</v>
      </c>
      <c r="DG142">
        <f t="shared" si="44"/>
        <v>0</v>
      </c>
      <c r="DH142">
        <f t="shared" si="45"/>
        <v>0</v>
      </c>
      <c r="DI142">
        <f t="shared" si="43"/>
        <v>0</v>
      </c>
      <c r="DJ142">
        <f>DF142</f>
        <v>4.0999999999999996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ROW(Source!A66)</f>
        <v>66</v>
      </c>
      <c r="B143">
        <v>85739205</v>
      </c>
      <c r="C143">
        <v>85739773</v>
      </c>
      <c r="D143">
        <v>85215617</v>
      </c>
      <c r="E143">
        <v>1</v>
      </c>
      <c r="F143">
        <v>1</v>
      </c>
      <c r="G143">
        <v>1081</v>
      </c>
      <c r="H143">
        <v>3</v>
      </c>
      <c r="I143" t="s">
        <v>136</v>
      </c>
      <c r="J143" t="s">
        <v>138</v>
      </c>
      <c r="K143" t="s">
        <v>137</v>
      </c>
      <c r="L143">
        <v>1354</v>
      </c>
      <c r="N143">
        <v>1010</v>
      </c>
      <c r="O143" t="s">
        <v>99</v>
      </c>
      <c r="P143" t="s">
        <v>99</v>
      </c>
      <c r="Q143">
        <v>1</v>
      </c>
      <c r="W143">
        <v>0</v>
      </c>
      <c r="X143">
        <v>-1214401210</v>
      </c>
      <c r="Y143">
        <f>(AT143*1)</f>
        <v>0.375</v>
      </c>
      <c r="AA143">
        <v>130.07</v>
      </c>
      <c r="AB143">
        <v>0</v>
      </c>
      <c r="AC143">
        <v>0</v>
      </c>
      <c r="AD143">
        <v>0</v>
      </c>
      <c r="AE143">
        <v>130.07</v>
      </c>
      <c r="AF143">
        <v>0</v>
      </c>
      <c r="AG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 t="s">
        <v>3</v>
      </c>
      <c r="AT143">
        <v>0.375</v>
      </c>
      <c r="AU143" t="s">
        <v>35</v>
      </c>
      <c r="AV143">
        <v>0</v>
      </c>
      <c r="AW143">
        <v>1</v>
      </c>
      <c r="AX143">
        <v>-1</v>
      </c>
      <c r="AY143">
        <v>0</v>
      </c>
      <c r="AZ143">
        <v>0</v>
      </c>
      <c r="BA143" t="s">
        <v>3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ROUND(Y143*Source!I66,9)</f>
        <v>6</v>
      </c>
      <c r="CY143">
        <f>AA143</f>
        <v>130.07</v>
      </c>
      <c r="CZ143">
        <f>AE143</f>
        <v>130.07</v>
      </c>
      <c r="DA143">
        <f>AI143</f>
        <v>1</v>
      </c>
      <c r="DB143">
        <f>ROUND((ROUND(AT143*CZ143,2)*1),6)</f>
        <v>48.78</v>
      </c>
      <c r="DC143">
        <f>ROUND((ROUND(AT143*AG143,2)*1),6)</f>
        <v>0</v>
      </c>
      <c r="DD143" t="s">
        <v>3</v>
      </c>
      <c r="DE143" t="s">
        <v>3</v>
      </c>
      <c r="DF143">
        <f t="shared" si="46"/>
        <v>780.42</v>
      </c>
      <c r="DG143">
        <f t="shared" si="44"/>
        <v>0</v>
      </c>
      <c r="DH143">
        <f t="shared" si="45"/>
        <v>0</v>
      </c>
      <c r="DI143">
        <f t="shared" si="43"/>
        <v>0</v>
      </c>
      <c r="DJ143">
        <f>DF143</f>
        <v>780.42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ROW(Source!A66)</f>
        <v>66</v>
      </c>
      <c r="B144">
        <v>85739205</v>
      </c>
      <c r="C144">
        <v>85739773</v>
      </c>
      <c r="D144">
        <v>85215190</v>
      </c>
      <c r="E144">
        <v>1</v>
      </c>
      <c r="F144">
        <v>1</v>
      </c>
      <c r="G144">
        <v>1081</v>
      </c>
      <c r="H144">
        <v>3</v>
      </c>
      <c r="I144" t="s">
        <v>132</v>
      </c>
      <c r="J144" t="s">
        <v>134</v>
      </c>
      <c r="K144" t="s">
        <v>133</v>
      </c>
      <c r="L144">
        <v>1354</v>
      </c>
      <c r="N144">
        <v>1010</v>
      </c>
      <c r="O144" t="s">
        <v>99</v>
      </c>
      <c r="P144" t="s">
        <v>99</v>
      </c>
      <c r="Q144">
        <v>1</v>
      </c>
      <c r="W144">
        <v>0</v>
      </c>
      <c r="X144">
        <v>235948314</v>
      </c>
      <c r="Y144">
        <f>(AT144*1)</f>
        <v>1.25</v>
      </c>
      <c r="AA144">
        <v>107.23</v>
      </c>
      <c r="AB144">
        <v>0</v>
      </c>
      <c r="AC144">
        <v>0</v>
      </c>
      <c r="AD144">
        <v>0</v>
      </c>
      <c r="AE144">
        <v>107.23</v>
      </c>
      <c r="AF144">
        <v>0</v>
      </c>
      <c r="AG144">
        <v>0</v>
      </c>
      <c r="AH144">
        <v>0</v>
      </c>
      <c r="AI144">
        <v>1</v>
      </c>
      <c r="AJ144">
        <v>1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 t="s">
        <v>3</v>
      </c>
      <c r="AT144">
        <v>1.25</v>
      </c>
      <c r="AU144" t="s">
        <v>35</v>
      </c>
      <c r="AV144">
        <v>0</v>
      </c>
      <c r="AW144">
        <v>1</v>
      </c>
      <c r="AX144">
        <v>-1</v>
      </c>
      <c r="AY144">
        <v>0</v>
      </c>
      <c r="AZ144">
        <v>0</v>
      </c>
      <c r="BA144" t="s">
        <v>3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ROUND(Y144*Source!I66,9)</f>
        <v>20</v>
      </c>
      <c r="CY144">
        <f>AA144</f>
        <v>107.23</v>
      </c>
      <c r="CZ144">
        <f>AE144</f>
        <v>107.23</v>
      </c>
      <c r="DA144">
        <f>AI144</f>
        <v>1</v>
      </c>
      <c r="DB144">
        <f>ROUND((ROUND(AT144*CZ144,2)*1),6)</f>
        <v>134.04</v>
      </c>
      <c r="DC144">
        <f>ROUND((ROUND(AT144*AG144,2)*1),6)</f>
        <v>0</v>
      </c>
      <c r="DD144" t="s">
        <v>3</v>
      </c>
      <c r="DE144" t="s">
        <v>3</v>
      </c>
      <c r="DF144">
        <f t="shared" si="46"/>
        <v>2144.6</v>
      </c>
      <c r="DG144">
        <f t="shared" si="44"/>
        <v>0</v>
      </c>
      <c r="DH144">
        <f t="shared" si="45"/>
        <v>0</v>
      </c>
      <c r="DI144">
        <f t="shared" si="43"/>
        <v>0</v>
      </c>
      <c r="DJ144">
        <f>DF144</f>
        <v>2144.6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ROW(Source!A67)</f>
        <v>67</v>
      </c>
      <c r="B145">
        <v>85739207</v>
      </c>
      <c r="C145">
        <v>85739773</v>
      </c>
      <c r="D145">
        <v>85164021</v>
      </c>
      <c r="E145">
        <v>1081</v>
      </c>
      <c r="F145">
        <v>1</v>
      </c>
      <c r="G145">
        <v>1081</v>
      </c>
      <c r="H145">
        <v>1</v>
      </c>
      <c r="I145" t="s">
        <v>472</v>
      </c>
      <c r="J145" t="s">
        <v>3</v>
      </c>
      <c r="K145" t="s">
        <v>473</v>
      </c>
      <c r="L145">
        <v>1191</v>
      </c>
      <c r="N145">
        <v>1013</v>
      </c>
      <c r="O145" t="s">
        <v>474</v>
      </c>
      <c r="P145" t="s">
        <v>474</v>
      </c>
      <c r="Q145">
        <v>1</v>
      </c>
      <c r="W145">
        <v>0</v>
      </c>
      <c r="X145">
        <v>476480486</v>
      </c>
      <c r="Y145">
        <f>(AT145*1.2)</f>
        <v>6.48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5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5.4</v>
      </c>
      <c r="AU145" t="s">
        <v>36</v>
      </c>
      <c r="AV145">
        <v>1</v>
      </c>
      <c r="AW145">
        <v>2</v>
      </c>
      <c r="AX145">
        <v>85739791</v>
      </c>
      <c r="AY145">
        <v>1</v>
      </c>
      <c r="AZ145">
        <v>0</v>
      </c>
      <c r="BA145">
        <v>174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U145">
        <f>ROUND(AT145*Source!I67*AH145*AL145,2)</f>
        <v>0</v>
      </c>
      <c r="CV145">
        <f>ROUND(Y145*Source!I67,9)</f>
        <v>103.68</v>
      </c>
      <c r="CW145">
        <v>0</v>
      </c>
      <c r="CX145">
        <f>ROUND(Y145*Source!I67,9)</f>
        <v>103.68</v>
      </c>
      <c r="CY145">
        <f>AD145</f>
        <v>0</v>
      </c>
      <c r="CZ145">
        <f>AH145</f>
        <v>0</v>
      </c>
      <c r="DA145">
        <f>AL145</f>
        <v>1</v>
      </c>
      <c r="DB145">
        <f>ROUND((ROUND(AT145*CZ145,2)*1.2),6)</f>
        <v>0</v>
      </c>
      <c r="DC145">
        <f>ROUND((ROUND(AT145*AG145,2)*1.2),6)</f>
        <v>0</v>
      </c>
      <c r="DD145" t="s">
        <v>3</v>
      </c>
      <c r="DE145" t="s">
        <v>3</v>
      </c>
      <c r="DF145">
        <f t="shared" si="46"/>
        <v>0</v>
      </c>
      <c r="DG145">
        <f t="shared" si="44"/>
        <v>0</v>
      </c>
      <c r="DH145">
        <f t="shared" si="45"/>
        <v>0</v>
      </c>
      <c r="DI145">
        <f t="shared" si="43"/>
        <v>0</v>
      </c>
      <c r="DJ145">
        <f>DI145</f>
        <v>0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ROW(Source!A67)</f>
        <v>67</v>
      </c>
      <c r="B146">
        <v>85739207</v>
      </c>
      <c r="C146">
        <v>85739773</v>
      </c>
      <c r="D146">
        <v>85229633</v>
      </c>
      <c r="E146">
        <v>1</v>
      </c>
      <c r="F146">
        <v>1</v>
      </c>
      <c r="G146">
        <v>1081</v>
      </c>
      <c r="H146">
        <v>2</v>
      </c>
      <c r="I146" t="s">
        <v>475</v>
      </c>
      <c r="J146" t="s">
        <v>476</v>
      </c>
      <c r="K146" t="s">
        <v>477</v>
      </c>
      <c r="L146">
        <v>1368</v>
      </c>
      <c r="N146">
        <v>1011</v>
      </c>
      <c r="O146" t="s">
        <v>478</v>
      </c>
      <c r="P146" t="s">
        <v>478</v>
      </c>
      <c r="Q146">
        <v>1</v>
      </c>
      <c r="W146">
        <v>0</v>
      </c>
      <c r="X146">
        <v>1498588441</v>
      </c>
      <c r="Y146">
        <f>(AT146*1.2)</f>
        <v>1.08</v>
      </c>
      <c r="AA146">
        <v>0</v>
      </c>
      <c r="AB146">
        <v>102.11</v>
      </c>
      <c r="AC146">
        <v>0</v>
      </c>
      <c r="AD146">
        <v>0</v>
      </c>
      <c r="AE146">
        <v>0</v>
      </c>
      <c r="AF146">
        <v>7.11</v>
      </c>
      <c r="AG146">
        <v>0</v>
      </c>
      <c r="AH146">
        <v>0</v>
      </c>
      <c r="AI146">
        <v>1</v>
      </c>
      <c r="AJ146">
        <v>13.46</v>
      </c>
      <c r="AK146">
        <v>1</v>
      </c>
      <c r="AL146">
        <v>1</v>
      </c>
      <c r="AM146">
        <v>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0.9</v>
      </c>
      <c r="AU146" t="s">
        <v>36</v>
      </c>
      <c r="AV146">
        <v>0</v>
      </c>
      <c r="AW146">
        <v>2</v>
      </c>
      <c r="AX146">
        <v>85739792</v>
      </c>
      <c r="AY146">
        <v>1</v>
      </c>
      <c r="AZ146">
        <v>0</v>
      </c>
      <c r="BA146">
        <v>175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f>ROUND(Y146*Source!I67*DO146,9)</f>
        <v>0</v>
      </c>
      <c r="CX146">
        <f>ROUND(Y146*Source!I67,9)</f>
        <v>17.28</v>
      </c>
      <c r="CY146">
        <f>AB146</f>
        <v>102.11</v>
      </c>
      <c r="CZ146">
        <f>AF146</f>
        <v>7.11</v>
      </c>
      <c r="DA146">
        <f>AJ146</f>
        <v>13.46</v>
      </c>
      <c r="DB146">
        <f>ROUND((ROUND(AT146*CZ146,2)*1.2),6)</f>
        <v>7.68</v>
      </c>
      <c r="DC146">
        <f>ROUND((ROUND(AT146*AG146,2)*1.2),6)</f>
        <v>0</v>
      </c>
      <c r="DD146" t="s">
        <v>3</v>
      </c>
      <c r="DE146" t="s">
        <v>3</v>
      </c>
      <c r="DF146">
        <f t="shared" si="46"/>
        <v>0</v>
      </c>
      <c r="DG146">
        <f>ROUND(ROUND(AF146*AJ146,2)*CX146,2)</f>
        <v>1653.7</v>
      </c>
      <c r="DH146">
        <f t="shared" si="45"/>
        <v>0</v>
      </c>
      <c r="DI146">
        <f t="shared" si="43"/>
        <v>0</v>
      </c>
      <c r="DJ146">
        <f>DG146</f>
        <v>1653.7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ROW(Source!A67)</f>
        <v>67</v>
      </c>
      <c r="B147">
        <v>85739207</v>
      </c>
      <c r="C147">
        <v>85739773</v>
      </c>
      <c r="D147">
        <v>85229932</v>
      </c>
      <c r="E147">
        <v>1</v>
      </c>
      <c r="F147">
        <v>1</v>
      </c>
      <c r="G147">
        <v>1081</v>
      </c>
      <c r="H147">
        <v>2</v>
      </c>
      <c r="I147" t="s">
        <v>482</v>
      </c>
      <c r="J147" t="s">
        <v>483</v>
      </c>
      <c r="K147" t="s">
        <v>484</v>
      </c>
      <c r="L147">
        <v>1368</v>
      </c>
      <c r="N147">
        <v>1011</v>
      </c>
      <c r="O147" t="s">
        <v>478</v>
      </c>
      <c r="P147" t="s">
        <v>478</v>
      </c>
      <c r="Q147">
        <v>1</v>
      </c>
      <c r="W147">
        <v>0</v>
      </c>
      <c r="X147">
        <v>874612079</v>
      </c>
      <c r="Y147">
        <f>(AT147*1.2)</f>
        <v>2.4E-2</v>
      </c>
      <c r="AA147">
        <v>0</v>
      </c>
      <c r="AB147">
        <v>1513.56</v>
      </c>
      <c r="AC147">
        <v>758.78</v>
      </c>
      <c r="AD147">
        <v>0</v>
      </c>
      <c r="AE147">
        <v>0</v>
      </c>
      <c r="AF147">
        <v>83.1</v>
      </c>
      <c r="AG147">
        <v>12.62</v>
      </c>
      <c r="AH147">
        <v>0</v>
      </c>
      <c r="AI147">
        <v>1</v>
      </c>
      <c r="AJ147">
        <v>17.07</v>
      </c>
      <c r="AK147">
        <v>56.35</v>
      </c>
      <c r="AL147">
        <v>1</v>
      </c>
      <c r="AM147">
        <v>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0.02</v>
      </c>
      <c r="AU147" t="s">
        <v>36</v>
      </c>
      <c r="AV147">
        <v>0</v>
      </c>
      <c r="AW147">
        <v>2</v>
      </c>
      <c r="AX147">
        <v>85739793</v>
      </c>
      <c r="AY147">
        <v>1</v>
      </c>
      <c r="AZ147">
        <v>0</v>
      </c>
      <c r="BA147">
        <v>176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f>ROUND(Y147*Source!I67*DO147,9)</f>
        <v>4.8460799999999997</v>
      </c>
      <c r="CX147">
        <f>ROUND(Y147*Source!I67,9)</f>
        <v>0.38400000000000001</v>
      </c>
      <c r="CY147">
        <f>AB147</f>
        <v>1513.56</v>
      </c>
      <c r="CZ147">
        <f>AF147</f>
        <v>83.1</v>
      </c>
      <c r="DA147">
        <f>AJ147</f>
        <v>17.07</v>
      </c>
      <c r="DB147">
        <f>ROUND((ROUND(AT147*CZ147,2)*1.2),6)</f>
        <v>1.992</v>
      </c>
      <c r="DC147">
        <f>ROUND((ROUND(AT147*AG147,2)*1.2),6)</f>
        <v>0.3</v>
      </c>
      <c r="DD147" t="s">
        <v>3</v>
      </c>
      <c r="DE147" t="s">
        <v>3</v>
      </c>
      <c r="DF147">
        <f t="shared" si="46"/>
        <v>0</v>
      </c>
      <c r="DG147">
        <f>ROUND(ROUND(AF147*AJ147,2)*CX147,2)</f>
        <v>544.71</v>
      </c>
      <c r="DH147">
        <f>ROUND(ROUND(AG147*AK147,2)*CX147,2)</f>
        <v>273.08</v>
      </c>
      <c r="DI147">
        <f t="shared" si="43"/>
        <v>0</v>
      </c>
      <c r="DJ147">
        <f>DG147</f>
        <v>544.71</v>
      </c>
      <c r="DK147">
        <v>0</v>
      </c>
      <c r="DL147" t="s">
        <v>485</v>
      </c>
      <c r="DM147">
        <v>0</v>
      </c>
      <c r="DN147" t="s">
        <v>474</v>
      </c>
      <c r="DO147">
        <v>12.62</v>
      </c>
    </row>
    <row r="148" spans="1:119" x14ac:dyDescent="0.2">
      <c r="A148">
        <f>ROW(Source!A67)</f>
        <v>67</v>
      </c>
      <c r="B148">
        <v>85739207</v>
      </c>
      <c r="C148">
        <v>85739773</v>
      </c>
      <c r="D148">
        <v>85200111</v>
      </c>
      <c r="E148">
        <v>1</v>
      </c>
      <c r="F148">
        <v>1</v>
      </c>
      <c r="G148">
        <v>1081</v>
      </c>
      <c r="H148">
        <v>3</v>
      </c>
      <c r="I148" t="s">
        <v>492</v>
      </c>
      <c r="J148" t="s">
        <v>493</v>
      </c>
      <c r="K148" t="s">
        <v>494</v>
      </c>
      <c r="L148">
        <v>1348</v>
      </c>
      <c r="N148">
        <v>1009</v>
      </c>
      <c r="O148" t="s">
        <v>266</v>
      </c>
      <c r="P148" t="s">
        <v>266</v>
      </c>
      <c r="Q148">
        <v>1000</v>
      </c>
      <c r="W148">
        <v>0</v>
      </c>
      <c r="X148">
        <v>205566664</v>
      </c>
      <c r="Y148">
        <f>(AT148*1)</f>
        <v>4.4000000000000002E-4</v>
      </c>
      <c r="AA148">
        <v>95081.54</v>
      </c>
      <c r="AB148">
        <v>0</v>
      </c>
      <c r="AC148">
        <v>0</v>
      </c>
      <c r="AD148">
        <v>0</v>
      </c>
      <c r="AE148">
        <v>9112.49</v>
      </c>
      <c r="AF148">
        <v>0</v>
      </c>
      <c r="AG148">
        <v>0</v>
      </c>
      <c r="AH148">
        <v>0</v>
      </c>
      <c r="AI148">
        <v>10.15</v>
      </c>
      <c r="AJ148">
        <v>1</v>
      </c>
      <c r="AK148">
        <v>1</v>
      </c>
      <c r="AL148">
        <v>1</v>
      </c>
      <c r="AM148">
        <v>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4.4000000000000002E-4</v>
      </c>
      <c r="AU148" t="s">
        <v>35</v>
      </c>
      <c r="AV148">
        <v>0</v>
      </c>
      <c r="AW148">
        <v>2</v>
      </c>
      <c r="AX148">
        <v>85739794</v>
      </c>
      <c r="AY148">
        <v>1</v>
      </c>
      <c r="AZ148">
        <v>0</v>
      </c>
      <c r="BA148">
        <v>177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v>0</v>
      </c>
      <c r="CX148">
        <f>ROUND(Y148*Source!I67,9)</f>
        <v>7.0400000000000003E-3</v>
      </c>
      <c r="CY148">
        <f>AA148</f>
        <v>95081.54</v>
      </c>
      <c r="CZ148">
        <f>AE148</f>
        <v>9112.49</v>
      </c>
      <c r="DA148">
        <f>AI148</f>
        <v>10.15</v>
      </c>
      <c r="DB148">
        <f>ROUND((ROUND(AT148*CZ148,2)*1),6)</f>
        <v>4.01</v>
      </c>
      <c r="DC148">
        <f>ROUND((ROUND(AT148*AG148,2)*1),6)</f>
        <v>0</v>
      </c>
      <c r="DD148" t="s">
        <v>3</v>
      </c>
      <c r="DE148" t="s">
        <v>3</v>
      </c>
      <c r="DF148">
        <f>ROUND(ROUND(AE148*AI148,2)*CX148,2)</f>
        <v>651.14</v>
      </c>
      <c r="DG148">
        <f t="shared" ref="DG148:DG161" si="47">ROUND(ROUND(AF148,2)*CX148,2)</f>
        <v>0</v>
      </c>
      <c r="DH148">
        <f t="shared" ref="DH148:DH162" si="48">ROUND(ROUND(AG148,2)*CX148,2)</f>
        <v>0</v>
      </c>
      <c r="DI148">
        <f t="shared" si="43"/>
        <v>0</v>
      </c>
      <c r="DJ148">
        <f>DF148</f>
        <v>651.14</v>
      </c>
      <c r="DK148">
        <v>0</v>
      </c>
      <c r="DL148" t="s">
        <v>3</v>
      </c>
      <c r="DM148">
        <v>0</v>
      </c>
      <c r="DN148" t="s">
        <v>3</v>
      </c>
      <c r="DO148">
        <v>0</v>
      </c>
    </row>
    <row r="149" spans="1:119" x14ac:dyDescent="0.2">
      <c r="A149">
        <f>ROW(Source!A67)</f>
        <v>67</v>
      </c>
      <c r="B149">
        <v>85739207</v>
      </c>
      <c r="C149">
        <v>85739773</v>
      </c>
      <c r="D149">
        <v>85200784</v>
      </c>
      <c r="E149">
        <v>1</v>
      </c>
      <c r="F149">
        <v>1</v>
      </c>
      <c r="G149">
        <v>1081</v>
      </c>
      <c r="H149">
        <v>3</v>
      </c>
      <c r="I149" t="s">
        <v>499</v>
      </c>
      <c r="J149" t="s">
        <v>500</v>
      </c>
      <c r="K149" t="s">
        <v>501</v>
      </c>
      <c r="L149">
        <v>1346</v>
      </c>
      <c r="N149">
        <v>1009</v>
      </c>
      <c r="O149" t="s">
        <v>502</v>
      </c>
      <c r="P149" t="s">
        <v>502</v>
      </c>
      <c r="Q149">
        <v>1</v>
      </c>
      <c r="W149">
        <v>0</v>
      </c>
      <c r="X149">
        <v>-2132327540</v>
      </c>
      <c r="Y149">
        <f>(AT149*1)</f>
        <v>1.0999999999999999E-2</v>
      </c>
      <c r="AA149">
        <v>64.760000000000005</v>
      </c>
      <c r="AB149">
        <v>0</v>
      </c>
      <c r="AC149">
        <v>0</v>
      </c>
      <c r="AD149">
        <v>0</v>
      </c>
      <c r="AE149">
        <v>6.25</v>
      </c>
      <c r="AF149">
        <v>0</v>
      </c>
      <c r="AG149">
        <v>0</v>
      </c>
      <c r="AH149">
        <v>0</v>
      </c>
      <c r="AI149">
        <v>10.08</v>
      </c>
      <c r="AJ149">
        <v>1</v>
      </c>
      <c r="AK149">
        <v>1</v>
      </c>
      <c r="AL149">
        <v>1</v>
      </c>
      <c r="AM149">
        <v>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1.0999999999999999E-2</v>
      </c>
      <c r="AU149" t="s">
        <v>35</v>
      </c>
      <c r="AV149">
        <v>0</v>
      </c>
      <c r="AW149">
        <v>2</v>
      </c>
      <c r="AX149">
        <v>85739795</v>
      </c>
      <c r="AY149">
        <v>1</v>
      </c>
      <c r="AZ149">
        <v>0</v>
      </c>
      <c r="BA149">
        <v>178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ROUND(Y149*Source!I67,9)</f>
        <v>0.17599999999999999</v>
      </c>
      <c r="CY149">
        <f>AA149</f>
        <v>64.760000000000005</v>
      </c>
      <c r="CZ149">
        <f>AE149</f>
        <v>6.25</v>
      </c>
      <c r="DA149">
        <f>AI149</f>
        <v>10.08</v>
      </c>
      <c r="DB149">
        <f>ROUND((ROUND(AT149*CZ149,2)*1),6)</f>
        <v>7.0000000000000007E-2</v>
      </c>
      <c r="DC149">
        <f>ROUND((ROUND(AT149*AG149,2)*1),6)</f>
        <v>0</v>
      </c>
      <c r="DD149" t="s">
        <v>3</v>
      </c>
      <c r="DE149" t="s">
        <v>3</v>
      </c>
      <c r="DF149">
        <f>ROUND(ROUND(AE149*AI149,2)*CX149,2)</f>
        <v>11.09</v>
      </c>
      <c r="DG149">
        <f t="shared" si="47"/>
        <v>0</v>
      </c>
      <c r="DH149">
        <f t="shared" si="48"/>
        <v>0</v>
      </c>
      <c r="DI149">
        <f t="shared" si="43"/>
        <v>0</v>
      </c>
      <c r="DJ149">
        <f>DF149</f>
        <v>11.09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ROW(Source!A67)</f>
        <v>67</v>
      </c>
      <c r="B150">
        <v>85739207</v>
      </c>
      <c r="C150">
        <v>85739773</v>
      </c>
      <c r="D150">
        <v>85199158</v>
      </c>
      <c r="E150">
        <v>1</v>
      </c>
      <c r="F150">
        <v>1</v>
      </c>
      <c r="G150">
        <v>1081</v>
      </c>
      <c r="H150">
        <v>3</v>
      </c>
      <c r="I150" t="s">
        <v>503</v>
      </c>
      <c r="J150" t="s">
        <v>504</v>
      </c>
      <c r="K150" t="s">
        <v>505</v>
      </c>
      <c r="L150">
        <v>1339</v>
      </c>
      <c r="N150">
        <v>1007</v>
      </c>
      <c r="O150" t="s">
        <v>506</v>
      </c>
      <c r="P150" t="s">
        <v>506</v>
      </c>
      <c r="Q150">
        <v>1</v>
      </c>
      <c r="W150">
        <v>0</v>
      </c>
      <c r="X150">
        <v>-1235260082</v>
      </c>
      <c r="Y150">
        <f>(AT150*1)</f>
        <v>4.3999999999999997E-2</v>
      </c>
      <c r="AA150">
        <v>104.16</v>
      </c>
      <c r="AB150">
        <v>0</v>
      </c>
      <c r="AC150">
        <v>0</v>
      </c>
      <c r="AD150">
        <v>0</v>
      </c>
      <c r="AE150">
        <v>5.82</v>
      </c>
      <c r="AF150">
        <v>0</v>
      </c>
      <c r="AG150">
        <v>0</v>
      </c>
      <c r="AH150">
        <v>0</v>
      </c>
      <c r="AI150">
        <v>17.41</v>
      </c>
      <c r="AJ150">
        <v>1</v>
      </c>
      <c r="AK150">
        <v>1</v>
      </c>
      <c r="AL150">
        <v>1</v>
      </c>
      <c r="AM150">
        <v>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4.3999999999999997E-2</v>
      </c>
      <c r="AU150" t="s">
        <v>35</v>
      </c>
      <c r="AV150">
        <v>0</v>
      </c>
      <c r="AW150">
        <v>2</v>
      </c>
      <c r="AX150">
        <v>85739796</v>
      </c>
      <c r="AY150">
        <v>1</v>
      </c>
      <c r="AZ150">
        <v>0</v>
      </c>
      <c r="BA150">
        <v>179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ROUND(Y150*Source!I67,9)</f>
        <v>0.70399999999999996</v>
      </c>
      <c r="CY150">
        <f>AA150</f>
        <v>104.16</v>
      </c>
      <c r="CZ150">
        <f>AE150</f>
        <v>5.82</v>
      </c>
      <c r="DA150">
        <f>AI150</f>
        <v>17.41</v>
      </c>
      <c r="DB150">
        <f>ROUND((ROUND(AT150*CZ150,2)*1),6)</f>
        <v>0.26</v>
      </c>
      <c r="DC150">
        <f>ROUND((ROUND(AT150*AG150,2)*1),6)</f>
        <v>0</v>
      </c>
      <c r="DD150" t="s">
        <v>3</v>
      </c>
      <c r="DE150" t="s">
        <v>3</v>
      </c>
      <c r="DF150">
        <f>ROUND(ROUND(AE150*AI150,2)*CX150,2)</f>
        <v>71.34</v>
      </c>
      <c r="DG150">
        <f t="shared" si="47"/>
        <v>0</v>
      </c>
      <c r="DH150">
        <f t="shared" si="48"/>
        <v>0</v>
      </c>
      <c r="DI150">
        <f t="shared" si="43"/>
        <v>0</v>
      </c>
      <c r="DJ150">
        <f>DF150</f>
        <v>71.34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ROW(Source!A67)</f>
        <v>67</v>
      </c>
      <c r="B151">
        <v>85739207</v>
      </c>
      <c r="C151">
        <v>85739773</v>
      </c>
      <c r="D151">
        <v>85215617</v>
      </c>
      <c r="E151">
        <v>1</v>
      </c>
      <c r="F151">
        <v>1</v>
      </c>
      <c r="G151">
        <v>1081</v>
      </c>
      <c r="H151">
        <v>3</v>
      </c>
      <c r="I151" t="s">
        <v>136</v>
      </c>
      <c r="J151" t="s">
        <v>138</v>
      </c>
      <c r="K151" t="s">
        <v>137</v>
      </c>
      <c r="L151">
        <v>1354</v>
      </c>
      <c r="N151">
        <v>1010</v>
      </c>
      <c r="O151" t="s">
        <v>99</v>
      </c>
      <c r="P151" t="s">
        <v>99</v>
      </c>
      <c r="Q151">
        <v>1</v>
      </c>
      <c r="W151">
        <v>0</v>
      </c>
      <c r="X151">
        <v>-1214401210</v>
      </c>
      <c r="Y151">
        <f>(AT151*1)</f>
        <v>0.375</v>
      </c>
      <c r="AA151">
        <v>626.94000000000005</v>
      </c>
      <c r="AB151">
        <v>0</v>
      </c>
      <c r="AC151">
        <v>0</v>
      </c>
      <c r="AD151">
        <v>0</v>
      </c>
      <c r="AE151">
        <v>130.07</v>
      </c>
      <c r="AF151">
        <v>0</v>
      </c>
      <c r="AG151">
        <v>0</v>
      </c>
      <c r="AH151">
        <v>0</v>
      </c>
      <c r="AI151">
        <v>4.82</v>
      </c>
      <c r="AJ151">
        <v>1</v>
      </c>
      <c r="AK151">
        <v>1</v>
      </c>
      <c r="AL151">
        <v>1</v>
      </c>
      <c r="AM151">
        <v>0</v>
      </c>
      <c r="AN151">
        <v>0</v>
      </c>
      <c r="AO151">
        <v>0</v>
      </c>
      <c r="AP151">
        <v>1</v>
      </c>
      <c r="AQ151">
        <v>0</v>
      </c>
      <c r="AR151">
        <v>0</v>
      </c>
      <c r="AS151" t="s">
        <v>3</v>
      </c>
      <c r="AT151">
        <v>0.375</v>
      </c>
      <c r="AU151" t="s">
        <v>35</v>
      </c>
      <c r="AV151">
        <v>0</v>
      </c>
      <c r="AW151">
        <v>1</v>
      </c>
      <c r="AX151">
        <v>-1</v>
      </c>
      <c r="AY151">
        <v>0</v>
      </c>
      <c r="AZ151">
        <v>0</v>
      </c>
      <c r="BA151" t="s">
        <v>3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ROUND(Y151*Source!I67,9)</f>
        <v>6</v>
      </c>
      <c r="CY151">
        <f>AA151</f>
        <v>626.94000000000005</v>
      </c>
      <c r="CZ151">
        <f>AE151</f>
        <v>130.07</v>
      </c>
      <c r="DA151">
        <f>AI151</f>
        <v>4.82</v>
      </c>
      <c r="DB151">
        <f>ROUND((ROUND(AT151*CZ151,2)*1),6)</f>
        <v>48.78</v>
      </c>
      <c r="DC151">
        <f>ROUND((ROUND(AT151*AG151,2)*1),6)</f>
        <v>0</v>
      </c>
      <c r="DD151" t="s">
        <v>3</v>
      </c>
      <c r="DE151" t="s">
        <v>3</v>
      </c>
      <c r="DF151">
        <f>ROUND(ROUND(AE151*AI151,2)*CX151,2)</f>
        <v>3761.64</v>
      </c>
      <c r="DG151">
        <f t="shared" si="47"/>
        <v>0</v>
      </c>
      <c r="DH151">
        <f t="shared" si="48"/>
        <v>0</v>
      </c>
      <c r="DI151">
        <f t="shared" si="43"/>
        <v>0</v>
      </c>
      <c r="DJ151">
        <f>DF151</f>
        <v>3761.64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ROW(Source!A67)</f>
        <v>67</v>
      </c>
      <c r="B152">
        <v>85739207</v>
      </c>
      <c r="C152">
        <v>85739773</v>
      </c>
      <c r="D152">
        <v>85215190</v>
      </c>
      <c r="E152">
        <v>1</v>
      </c>
      <c r="F152">
        <v>1</v>
      </c>
      <c r="G152">
        <v>1081</v>
      </c>
      <c r="H152">
        <v>3</v>
      </c>
      <c r="I152" t="s">
        <v>132</v>
      </c>
      <c r="J152" t="s">
        <v>134</v>
      </c>
      <c r="K152" t="s">
        <v>133</v>
      </c>
      <c r="L152">
        <v>1354</v>
      </c>
      <c r="N152">
        <v>1010</v>
      </c>
      <c r="O152" t="s">
        <v>99</v>
      </c>
      <c r="P152" t="s">
        <v>99</v>
      </c>
      <c r="Q152">
        <v>1</v>
      </c>
      <c r="W152">
        <v>0</v>
      </c>
      <c r="X152">
        <v>235948314</v>
      </c>
      <c r="Y152">
        <f>(AT152*1)</f>
        <v>1.25</v>
      </c>
      <c r="AA152">
        <v>744.18</v>
      </c>
      <c r="AB152">
        <v>0</v>
      </c>
      <c r="AC152">
        <v>0</v>
      </c>
      <c r="AD152">
        <v>0</v>
      </c>
      <c r="AE152">
        <v>107.23</v>
      </c>
      <c r="AF152">
        <v>0</v>
      </c>
      <c r="AG152">
        <v>0</v>
      </c>
      <c r="AH152">
        <v>0</v>
      </c>
      <c r="AI152">
        <v>6.94</v>
      </c>
      <c r="AJ152">
        <v>1</v>
      </c>
      <c r="AK152">
        <v>1</v>
      </c>
      <c r="AL152">
        <v>1</v>
      </c>
      <c r="AM152">
        <v>0</v>
      </c>
      <c r="AN152">
        <v>0</v>
      </c>
      <c r="AO152">
        <v>0</v>
      </c>
      <c r="AP152">
        <v>1</v>
      </c>
      <c r="AQ152">
        <v>0</v>
      </c>
      <c r="AR152">
        <v>0</v>
      </c>
      <c r="AS152" t="s">
        <v>3</v>
      </c>
      <c r="AT152">
        <v>1.25</v>
      </c>
      <c r="AU152" t="s">
        <v>35</v>
      </c>
      <c r="AV152">
        <v>0</v>
      </c>
      <c r="AW152">
        <v>1</v>
      </c>
      <c r="AX152">
        <v>-1</v>
      </c>
      <c r="AY152">
        <v>0</v>
      </c>
      <c r="AZ152">
        <v>0</v>
      </c>
      <c r="BA152" t="s">
        <v>3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ROUND(Y152*Source!I67,9)</f>
        <v>20</v>
      </c>
      <c r="CY152">
        <f>AA152</f>
        <v>744.18</v>
      </c>
      <c r="CZ152">
        <f>AE152</f>
        <v>107.23</v>
      </c>
      <c r="DA152">
        <f>AI152</f>
        <v>6.94</v>
      </c>
      <c r="DB152">
        <f>ROUND((ROUND(AT152*CZ152,2)*1),6)</f>
        <v>134.04</v>
      </c>
      <c r="DC152">
        <f>ROUND((ROUND(AT152*AG152,2)*1),6)</f>
        <v>0</v>
      </c>
      <c r="DD152" t="s">
        <v>3</v>
      </c>
      <c r="DE152" t="s">
        <v>3</v>
      </c>
      <c r="DF152">
        <f>ROUND(ROUND(AE152*AI152,2)*CX152,2)</f>
        <v>14883.6</v>
      </c>
      <c r="DG152">
        <f t="shared" si="47"/>
        <v>0</v>
      </c>
      <c r="DH152">
        <f t="shared" si="48"/>
        <v>0</v>
      </c>
      <c r="DI152">
        <f t="shared" si="43"/>
        <v>0</v>
      </c>
      <c r="DJ152">
        <f>DF152</f>
        <v>14883.6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ROW(Source!A72)</f>
        <v>72</v>
      </c>
      <c r="B153">
        <v>85739205</v>
      </c>
      <c r="C153">
        <v>85739774</v>
      </c>
      <c r="D153">
        <v>85164021</v>
      </c>
      <c r="E153">
        <v>1081</v>
      </c>
      <c r="F153">
        <v>1</v>
      </c>
      <c r="G153">
        <v>1081</v>
      </c>
      <c r="H153">
        <v>1</v>
      </c>
      <c r="I153" t="s">
        <v>472</v>
      </c>
      <c r="J153" t="s">
        <v>3</v>
      </c>
      <c r="K153" t="s">
        <v>473</v>
      </c>
      <c r="L153">
        <v>1191</v>
      </c>
      <c r="N153">
        <v>1013</v>
      </c>
      <c r="O153" t="s">
        <v>474</v>
      </c>
      <c r="P153" t="s">
        <v>474</v>
      </c>
      <c r="Q153">
        <v>1</v>
      </c>
      <c r="W153">
        <v>0</v>
      </c>
      <c r="X153">
        <v>476480486</v>
      </c>
      <c r="Y153">
        <f>(AT153*1.2)</f>
        <v>6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-2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5</v>
      </c>
      <c r="AU153" t="s">
        <v>36</v>
      </c>
      <c r="AV153">
        <v>1</v>
      </c>
      <c r="AW153">
        <v>2</v>
      </c>
      <c r="AX153">
        <v>85739802</v>
      </c>
      <c r="AY153">
        <v>1</v>
      </c>
      <c r="AZ153">
        <v>0</v>
      </c>
      <c r="BA153">
        <v>181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U153">
        <f>ROUND(AT153*Source!I72*AH153*AL153,2)</f>
        <v>0</v>
      </c>
      <c r="CV153">
        <f>ROUND(Y153*Source!I72,9)</f>
        <v>96</v>
      </c>
      <c r="CW153">
        <v>0</v>
      </c>
      <c r="CX153">
        <f>ROUND(Y153*Source!I72,9)</f>
        <v>96</v>
      </c>
      <c r="CY153">
        <f>AD153</f>
        <v>0</v>
      </c>
      <c r="CZ153">
        <f>AH153</f>
        <v>0</v>
      </c>
      <c r="DA153">
        <f>AL153</f>
        <v>1</v>
      </c>
      <c r="DB153">
        <f>ROUND((ROUND(AT153*CZ153,2)*1.2),6)</f>
        <v>0</v>
      </c>
      <c r="DC153">
        <f>ROUND((ROUND(AT153*AG153,2)*1.2),6)</f>
        <v>0</v>
      </c>
      <c r="DD153" t="s">
        <v>3</v>
      </c>
      <c r="DE153" t="s">
        <v>3</v>
      </c>
      <c r="DF153">
        <f t="shared" ref="DF153:DF163" si="49">ROUND(ROUND(AE153,2)*CX153,2)</f>
        <v>0</v>
      </c>
      <c r="DG153">
        <f t="shared" si="47"/>
        <v>0</v>
      </c>
      <c r="DH153">
        <f t="shared" si="48"/>
        <v>0</v>
      </c>
      <c r="DI153">
        <f t="shared" si="43"/>
        <v>0</v>
      </c>
      <c r="DJ153">
        <f>DI153</f>
        <v>0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ROW(Source!A72)</f>
        <v>72</v>
      </c>
      <c r="B154">
        <v>85739205</v>
      </c>
      <c r="C154">
        <v>85739774</v>
      </c>
      <c r="D154">
        <v>85229633</v>
      </c>
      <c r="E154">
        <v>1</v>
      </c>
      <c r="F154">
        <v>1</v>
      </c>
      <c r="G154">
        <v>1081</v>
      </c>
      <c r="H154">
        <v>2</v>
      </c>
      <c r="I154" t="s">
        <v>475</v>
      </c>
      <c r="J154" t="s">
        <v>476</v>
      </c>
      <c r="K154" t="s">
        <v>477</v>
      </c>
      <c r="L154">
        <v>1368</v>
      </c>
      <c r="N154">
        <v>1011</v>
      </c>
      <c r="O154" t="s">
        <v>478</v>
      </c>
      <c r="P154" t="s">
        <v>478</v>
      </c>
      <c r="Q154">
        <v>1</v>
      </c>
      <c r="W154">
        <v>0</v>
      </c>
      <c r="X154">
        <v>1498588441</v>
      </c>
      <c r="Y154">
        <f>(AT154*1.2)</f>
        <v>0.72</v>
      </c>
      <c r="AA154">
        <v>0</v>
      </c>
      <c r="AB154">
        <v>7.59</v>
      </c>
      <c r="AC154">
        <v>0</v>
      </c>
      <c r="AD154">
        <v>0</v>
      </c>
      <c r="AE154">
        <v>0</v>
      </c>
      <c r="AF154">
        <v>7.11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-2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0.6</v>
      </c>
      <c r="AU154" t="s">
        <v>36</v>
      </c>
      <c r="AV154">
        <v>0</v>
      </c>
      <c r="AW154">
        <v>2</v>
      </c>
      <c r="AX154">
        <v>85739803</v>
      </c>
      <c r="AY154">
        <v>1</v>
      </c>
      <c r="AZ154">
        <v>0</v>
      </c>
      <c r="BA154">
        <v>182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f>ROUND(Y154*Source!I72*DO154,9)</f>
        <v>0</v>
      </c>
      <c r="CX154">
        <f>ROUND(Y154*Source!I72,9)</f>
        <v>11.52</v>
      </c>
      <c r="CY154">
        <f>AB154</f>
        <v>7.59</v>
      </c>
      <c r="CZ154">
        <f>AF154</f>
        <v>7.11</v>
      </c>
      <c r="DA154">
        <f>AJ154</f>
        <v>1</v>
      </c>
      <c r="DB154">
        <f>ROUND((ROUND(AT154*CZ154,2)*1.2),6)</f>
        <v>5.1239999999999997</v>
      </c>
      <c r="DC154">
        <f>ROUND((ROUND(AT154*AG154,2)*1.2),6)</f>
        <v>0</v>
      </c>
      <c r="DD154" t="s">
        <v>3</v>
      </c>
      <c r="DE154" t="s">
        <v>3</v>
      </c>
      <c r="DF154">
        <f t="shared" si="49"/>
        <v>0</v>
      </c>
      <c r="DG154">
        <f t="shared" si="47"/>
        <v>81.91</v>
      </c>
      <c r="DH154">
        <f t="shared" si="48"/>
        <v>0</v>
      </c>
      <c r="DI154">
        <f t="shared" si="43"/>
        <v>0</v>
      </c>
      <c r="DJ154">
        <f>DG154</f>
        <v>81.91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ROW(Source!A72)</f>
        <v>72</v>
      </c>
      <c r="B155">
        <v>85739205</v>
      </c>
      <c r="C155">
        <v>85739774</v>
      </c>
      <c r="D155">
        <v>85229932</v>
      </c>
      <c r="E155">
        <v>1</v>
      </c>
      <c r="F155">
        <v>1</v>
      </c>
      <c r="G155">
        <v>1081</v>
      </c>
      <c r="H155">
        <v>2</v>
      </c>
      <c r="I155" t="s">
        <v>482</v>
      </c>
      <c r="J155" t="s">
        <v>483</v>
      </c>
      <c r="K155" t="s">
        <v>484</v>
      </c>
      <c r="L155">
        <v>1368</v>
      </c>
      <c r="N155">
        <v>1011</v>
      </c>
      <c r="O155" t="s">
        <v>478</v>
      </c>
      <c r="P155" t="s">
        <v>478</v>
      </c>
      <c r="Q155">
        <v>1</v>
      </c>
      <c r="W155">
        <v>0</v>
      </c>
      <c r="X155">
        <v>874612079</v>
      </c>
      <c r="Y155">
        <f>(AT155*1.2)</f>
        <v>2.4E-2</v>
      </c>
      <c r="AA155">
        <v>0</v>
      </c>
      <c r="AB155">
        <v>88.67</v>
      </c>
      <c r="AC155">
        <v>13.47</v>
      </c>
      <c r="AD155">
        <v>0</v>
      </c>
      <c r="AE155">
        <v>0</v>
      </c>
      <c r="AF155">
        <v>83.1</v>
      </c>
      <c r="AG155">
        <v>12.62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0.02</v>
      </c>
      <c r="AU155" t="s">
        <v>36</v>
      </c>
      <c r="AV155">
        <v>0</v>
      </c>
      <c r="AW155">
        <v>2</v>
      </c>
      <c r="AX155">
        <v>85739804</v>
      </c>
      <c r="AY155">
        <v>1</v>
      </c>
      <c r="AZ155">
        <v>0</v>
      </c>
      <c r="BA155">
        <v>183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f>ROUND(Y155*Source!I72*DO155,9)</f>
        <v>4.8460799999999997</v>
      </c>
      <c r="CX155">
        <f>ROUND(Y155*Source!I72,9)</f>
        <v>0.38400000000000001</v>
      </c>
      <c r="CY155">
        <f>AB155</f>
        <v>88.67</v>
      </c>
      <c r="CZ155">
        <f>AF155</f>
        <v>83.1</v>
      </c>
      <c r="DA155">
        <f>AJ155</f>
        <v>1</v>
      </c>
      <c r="DB155">
        <f>ROUND((ROUND(AT155*CZ155,2)*1.2),6)</f>
        <v>1.992</v>
      </c>
      <c r="DC155">
        <f>ROUND((ROUND(AT155*AG155,2)*1.2),6)</f>
        <v>0.3</v>
      </c>
      <c r="DD155" t="s">
        <v>3</v>
      </c>
      <c r="DE155" t="s">
        <v>3</v>
      </c>
      <c r="DF155">
        <f t="shared" si="49"/>
        <v>0</v>
      </c>
      <c r="DG155">
        <f t="shared" si="47"/>
        <v>31.91</v>
      </c>
      <c r="DH155">
        <f t="shared" si="48"/>
        <v>4.8499999999999996</v>
      </c>
      <c r="DI155">
        <f t="shared" si="43"/>
        <v>0</v>
      </c>
      <c r="DJ155">
        <f>DG155</f>
        <v>31.91</v>
      </c>
      <c r="DK155">
        <v>0</v>
      </c>
      <c r="DL155" t="s">
        <v>485</v>
      </c>
      <c r="DM155">
        <v>0</v>
      </c>
      <c r="DN155" t="s">
        <v>474</v>
      </c>
      <c r="DO155">
        <v>12.62</v>
      </c>
    </row>
    <row r="156" spans="1:119" x14ac:dyDescent="0.2">
      <c r="A156">
        <f>ROW(Source!A72)</f>
        <v>72</v>
      </c>
      <c r="B156">
        <v>85739205</v>
      </c>
      <c r="C156">
        <v>85739774</v>
      </c>
      <c r="D156">
        <v>85200111</v>
      </c>
      <c r="E156">
        <v>1</v>
      </c>
      <c r="F156">
        <v>1</v>
      </c>
      <c r="G156">
        <v>1081</v>
      </c>
      <c r="H156">
        <v>3</v>
      </c>
      <c r="I156" t="s">
        <v>492</v>
      </c>
      <c r="J156" t="s">
        <v>493</v>
      </c>
      <c r="K156" t="s">
        <v>494</v>
      </c>
      <c r="L156">
        <v>1348</v>
      </c>
      <c r="N156">
        <v>1009</v>
      </c>
      <c r="O156" t="s">
        <v>266</v>
      </c>
      <c r="P156" t="s">
        <v>266</v>
      </c>
      <c r="Q156">
        <v>1000</v>
      </c>
      <c r="W156">
        <v>0</v>
      </c>
      <c r="X156">
        <v>205566664</v>
      </c>
      <c r="Y156">
        <f>(AT156*1)</f>
        <v>3.6000000000000002E-4</v>
      </c>
      <c r="AA156">
        <v>9367.64</v>
      </c>
      <c r="AB156">
        <v>0</v>
      </c>
      <c r="AC156">
        <v>0</v>
      </c>
      <c r="AD156">
        <v>0</v>
      </c>
      <c r="AE156">
        <v>9112.49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-2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3.6000000000000002E-4</v>
      </c>
      <c r="AU156" t="s">
        <v>35</v>
      </c>
      <c r="AV156">
        <v>0</v>
      </c>
      <c r="AW156">
        <v>2</v>
      </c>
      <c r="AX156">
        <v>85739805</v>
      </c>
      <c r="AY156">
        <v>1</v>
      </c>
      <c r="AZ156">
        <v>0</v>
      </c>
      <c r="BA156">
        <v>184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ROUND(Y156*Source!I72,9)</f>
        <v>5.7600000000000004E-3</v>
      </c>
      <c r="CY156">
        <f>AA156</f>
        <v>9367.64</v>
      </c>
      <c r="CZ156">
        <f>AE156</f>
        <v>9112.49</v>
      </c>
      <c r="DA156">
        <f>AI156</f>
        <v>1</v>
      </c>
      <c r="DB156">
        <f>ROUND((ROUND(AT156*CZ156,2)*1),6)</f>
        <v>3.28</v>
      </c>
      <c r="DC156">
        <f>ROUND((ROUND(AT156*AG156,2)*1),6)</f>
        <v>0</v>
      </c>
      <c r="DD156" t="s">
        <v>3</v>
      </c>
      <c r="DE156" t="s">
        <v>3</v>
      </c>
      <c r="DF156">
        <f t="shared" si="49"/>
        <v>52.49</v>
      </c>
      <c r="DG156">
        <f t="shared" si="47"/>
        <v>0</v>
      </c>
      <c r="DH156">
        <f t="shared" si="48"/>
        <v>0</v>
      </c>
      <c r="DI156">
        <f t="shared" si="43"/>
        <v>0</v>
      </c>
      <c r="DJ156">
        <f>DF156</f>
        <v>52.49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ROW(Source!A72)</f>
        <v>72</v>
      </c>
      <c r="B157">
        <v>85739205</v>
      </c>
      <c r="C157">
        <v>85739774</v>
      </c>
      <c r="D157">
        <v>85200784</v>
      </c>
      <c r="E157">
        <v>1</v>
      </c>
      <c r="F157">
        <v>1</v>
      </c>
      <c r="G157">
        <v>1081</v>
      </c>
      <c r="H157">
        <v>3</v>
      </c>
      <c r="I157" t="s">
        <v>499</v>
      </c>
      <c r="J157" t="s">
        <v>500</v>
      </c>
      <c r="K157" t="s">
        <v>501</v>
      </c>
      <c r="L157">
        <v>1346</v>
      </c>
      <c r="N157">
        <v>1009</v>
      </c>
      <c r="O157" t="s">
        <v>502</v>
      </c>
      <c r="P157" t="s">
        <v>502</v>
      </c>
      <c r="Q157">
        <v>1</v>
      </c>
      <c r="W157">
        <v>0</v>
      </c>
      <c r="X157">
        <v>-2132327540</v>
      </c>
      <c r="Y157">
        <f>(AT157*1)</f>
        <v>7.0000000000000001E-3</v>
      </c>
      <c r="AA157">
        <v>6.43</v>
      </c>
      <c r="AB157">
        <v>0</v>
      </c>
      <c r="AC157">
        <v>0</v>
      </c>
      <c r="AD157">
        <v>0</v>
      </c>
      <c r="AE157">
        <v>6.25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-2</v>
      </c>
      <c r="AN157">
        <v>0</v>
      </c>
      <c r="AO157">
        <v>1</v>
      </c>
      <c r="AP157">
        <v>1</v>
      </c>
      <c r="AQ157">
        <v>0</v>
      </c>
      <c r="AR157">
        <v>0</v>
      </c>
      <c r="AS157" t="s">
        <v>3</v>
      </c>
      <c r="AT157">
        <v>7.0000000000000001E-3</v>
      </c>
      <c r="AU157" t="s">
        <v>35</v>
      </c>
      <c r="AV157">
        <v>0</v>
      </c>
      <c r="AW157">
        <v>2</v>
      </c>
      <c r="AX157">
        <v>85739806</v>
      </c>
      <c r="AY157">
        <v>1</v>
      </c>
      <c r="AZ157">
        <v>0</v>
      </c>
      <c r="BA157">
        <v>185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ROUND(Y157*Source!I72,9)</f>
        <v>0.112</v>
      </c>
      <c r="CY157">
        <f>AA157</f>
        <v>6.43</v>
      </c>
      <c r="CZ157">
        <f>AE157</f>
        <v>6.25</v>
      </c>
      <c r="DA157">
        <f>AI157</f>
        <v>1</v>
      </c>
      <c r="DB157">
        <f>ROUND((ROUND(AT157*CZ157,2)*1),6)</f>
        <v>0.04</v>
      </c>
      <c r="DC157">
        <f>ROUND((ROUND(AT157*AG157,2)*1),6)</f>
        <v>0</v>
      </c>
      <c r="DD157" t="s">
        <v>3</v>
      </c>
      <c r="DE157" t="s">
        <v>3</v>
      </c>
      <c r="DF157">
        <f t="shared" si="49"/>
        <v>0.7</v>
      </c>
      <c r="DG157">
        <f t="shared" si="47"/>
        <v>0</v>
      </c>
      <c r="DH157">
        <f t="shared" si="48"/>
        <v>0</v>
      </c>
      <c r="DI157">
        <f t="shared" si="43"/>
        <v>0</v>
      </c>
      <c r="DJ157">
        <f>DF157</f>
        <v>0.7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ROW(Source!A72)</f>
        <v>72</v>
      </c>
      <c r="B158">
        <v>85739205</v>
      </c>
      <c r="C158">
        <v>85739774</v>
      </c>
      <c r="D158">
        <v>85199158</v>
      </c>
      <c r="E158">
        <v>1</v>
      </c>
      <c r="F158">
        <v>1</v>
      </c>
      <c r="G158">
        <v>1081</v>
      </c>
      <c r="H158">
        <v>3</v>
      </c>
      <c r="I158" t="s">
        <v>503</v>
      </c>
      <c r="J158" t="s">
        <v>504</v>
      </c>
      <c r="K158" t="s">
        <v>505</v>
      </c>
      <c r="L158">
        <v>1339</v>
      </c>
      <c r="N158">
        <v>1007</v>
      </c>
      <c r="O158" t="s">
        <v>506</v>
      </c>
      <c r="P158" t="s">
        <v>506</v>
      </c>
      <c r="Q158">
        <v>1</v>
      </c>
      <c r="W158">
        <v>0</v>
      </c>
      <c r="X158">
        <v>-1235260082</v>
      </c>
      <c r="Y158">
        <f>(AT158*1)</f>
        <v>0.03</v>
      </c>
      <c r="AA158">
        <v>5.98</v>
      </c>
      <c r="AB158">
        <v>0</v>
      </c>
      <c r="AC158">
        <v>0</v>
      </c>
      <c r="AD158">
        <v>0</v>
      </c>
      <c r="AE158">
        <v>5.82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-2</v>
      </c>
      <c r="AN158">
        <v>0</v>
      </c>
      <c r="AO158">
        <v>1</v>
      </c>
      <c r="AP158">
        <v>1</v>
      </c>
      <c r="AQ158">
        <v>0</v>
      </c>
      <c r="AR158">
        <v>0</v>
      </c>
      <c r="AS158" t="s">
        <v>3</v>
      </c>
      <c r="AT158">
        <v>0.03</v>
      </c>
      <c r="AU158" t="s">
        <v>35</v>
      </c>
      <c r="AV158">
        <v>0</v>
      </c>
      <c r="AW158">
        <v>2</v>
      </c>
      <c r="AX158">
        <v>85739807</v>
      </c>
      <c r="AY158">
        <v>1</v>
      </c>
      <c r="AZ158">
        <v>0</v>
      </c>
      <c r="BA158">
        <v>186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ROUND(Y158*Source!I72,9)</f>
        <v>0.48</v>
      </c>
      <c r="CY158">
        <f>AA158</f>
        <v>5.98</v>
      </c>
      <c r="CZ158">
        <f>AE158</f>
        <v>5.82</v>
      </c>
      <c r="DA158">
        <f>AI158</f>
        <v>1</v>
      </c>
      <c r="DB158">
        <f>ROUND((ROUND(AT158*CZ158,2)*1),6)</f>
        <v>0.17</v>
      </c>
      <c r="DC158">
        <f>ROUND((ROUND(AT158*AG158,2)*1),6)</f>
        <v>0</v>
      </c>
      <c r="DD158" t="s">
        <v>3</v>
      </c>
      <c r="DE158" t="s">
        <v>3</v>
      </c>
      <c r="DF158">
        <f t="shared" si="49"/>
        <v>2.79</v>
      </c>
      <c r="DG158">
        <f t="shared" si="47"/>
        <v>0</v>
      </c>
      <c r="DH158">
        <f t="shared" si="48"/>
        <v>0</v>
      </c>
      <c r="DI158">
        <f t="shared" si="43"/>
        <v>0</v>
      </c>
      <c r="DJ158">
        <f>DF158</f>
        <v>2.79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ROW(Source!A72)</f>
        <v>72</v>
      </c>
      <c r="B159">
        <v>85739205</v>
      </c>
      <c r="C159">
        <v>85739774</v>
      </c>
      <c r="D159">
        <v>85215616</v>
      </c>
      <c r="E159">
        <v>1</v>
      </c>
      <c r="F159">
        <v>1</v>
      </c>
      <c r="G159">
        <v>1081</v>
      </c>
      <c r="H159">
        <v>3</v>
      </c>
      <c r="I159" t="s">
        <v>148</v>
      </c>
      <c r="J159" t="s">
        <v>150</v>
      </c>
      <c r="K159" t="s">
        <v>149</v>
      </c>
      <c r="L159">
        <v>1354</v>
      </c>
      <c r="N159">
        <v>1010</v>
      </c>
      <c r="O159" t="s">
        <v>99</v>
      </c>
      <c r="P159" t="s">
        <v>99</v>
      </c>
      <c r="Q159">
        <v>1</v>
      </c>
      <c r="W159">
        <v>0</v>
      </c>
      <c r="X159">
        <v>1397479070</v>
      </c>
      <c r="Y159">
        <f>(AT159*1)</f>
        <v>0.5</v>
      </c>
      <c r="AA159">
        <v>87.96</v>
      </c>
      <c r="AB159">
        <v>0</v>
      </c>
      <c r="AC159">
        <v>0</v>
      </c>
      <c r="AD159">
        <v>0</v>
      </c>
      <c r="AE159">
        <v>87.96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0</v>
      </c>
      <c r="AN159">
        <v>0</v>
      </c>
      <c r="AO159">
        <v>0</v>
      </c>
      <c r="AP159">
        <v>1</v>
      </c>
      <c r="AQ159">
        <v>0</v>
      </c>
      <c r="AR159">
        <v>0</v>
      </c>
      <c r="AS159" t="s">
        <v>3</v>
      </c>
      <c r="AT159">
        <v>0.5</v>
      </c>
      <c r="AU159" t="s">
        <v>35</v>
      </c>
      <c r="AV159">
        <v>0</v>
      </c>
      <c r="AW159">
        <v>1</v>
      </c>
      <c r="AX159">
        <v>-1</v>
      </c>
      <c r="AY159">
        <v>0</v>
      </c>
      <c r="AZ159">
        <v>0</v>
      </c>
      <c r="BA159" t="s">
        <v>3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V159">
        <v>0</v>
      </c>
      <c r="CW159">
        <v>0</v>
      </c>
      <c r="CX159">
        <f>ROUND(Y159*Source!I72,9)</f>
        <v>8</v>
      </c>
      <c r="CY159">
        <f>AA159</f>
        <v>87.96</v>
      </c>
      <c r="CZ159">
        <f>AE159</f>
        <v>87.96</v>
      </c>
      <c r="DA159">
        <f>AI159</f>
        <v>1</v>
      </c>
      <c r="DB159">
        <f>ROUND((ROUND(AT159*CZ159,2)*1),6)</f>
        <v>43.98</v>
      </c>
      <c r="DC159">
        <f>ROUND((ROUND(AT159*AG159,2)*1),6)</f>
        <v>0</v>
      </c>
      <c r="DD159" t="s">
        <v>3</v>
      </c>
      <c r="DE159" t="s">
        <v>3</v>
      </c>
      <c r="DF159">
        <f t="shared" si="49"/>
        <v>703.68</v>
      </c>
      <c r="DG159">
        <f t="shared" si="47"/>
        <v>0</v>
      </c>
      <c r="DH159">
        <f t="shared" si="48"/>
        <v>0</v>
      </c>
      <c r="DI159">
        <f t="shared" si="43"/>
        <v>0</v>
      </c>
      <c r="DJ159">
        <f>DF159</f>
        <v>703.68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ROW(Source!A72)</f>
        <v>72</v>
      </c>
      <c r="B160">
        <v>85739205</v>
      </c>
      <c r="C160">
        <v>85739774</v>
      </c>
      <c r="D160">
        <v>85215189</v>
      </c>
      <c r="E160">
        <v>1</v>
      </c>
      <c r="F160">
        <v>1</v>
      </c>
      <c r="G160">
        <v>1081</v>
      </c>
      <c r="H160">
        <v>3</v>
      </c>
      <c r="I160" t="s">
        <v>144</v>
      </c>
      <c r="J160" t="s">
        <v>146</v>
      </c>
      <c r="K160" t="s">
        <v>145</v>
      </c>
      <c r="L160">
        <v>1354</v>
      </c>
      <c r="N160">
        <v>1010</v>
      </c>
      <c r="O160" t="s">
        <v>99</v>
      </c>
      <c r="P160" t="s">
        <v>99</v>
      </c>
      <c r="Q160">
        <v>1</v>
      </c>
      <c r="W160">
        <v>0</v>
      </c>
      <c r="X160">
        <v>-2120180224</v>
      </c>
      <c r="Y160">
        <f>(AT160*1)</f>
        <v>1</v>
      </c>
      <c r="AA160">
        <v>79.92</v>
      </c>
      <c r="AB160">
        <v>0</v>
      </c>
      <c r="AC160">
        <v>0</v>
      </c>
      <c r="AD160">
        <v>0</v>
      </c>
      <c r="AE160">
        <v>79.92</v>
      </c>
      <c r="AF160">
        <v>0</v>
      </c>
      <c r="AG160">
        <v>0</v>
      </c>
      <c r="AH160">
        <v>0</v>
      </c>
      <c r="AI160">
        <v>1</v>
      </c>
      <c r="AJ160">
        <v>1</v>
      </c>
      <c r="AK160">
        <v>1</v>
      </c>
      <c r="AL160">
        <v>1</v>
      </c>
      <c r="AM160">
        <v>0</v>
      </c>
      <c r="AN160">
        <v>0</v>
      </c>
      <c r="AO160">
        <v>0</v>
      </c>
      <c r="AP160">
        <v>1</v>
      </c>
      <c r="AQ160">
        <v>0</v>
      </c>
      <c r="AR160">
        <v>0</v>
      </c>
      <c r="AS160" t="s">
        <v>3</v>
      </c>
      <c r="AT160">
        <v>1</v>
      </c>
      <c r="AU160" t="s">
        <v>35</v>
      </c>
      <c r="AV160">
        <v>0</v>
      </c>
      <c r="AW160">
        <v>1</v>
      </c>
      <c r="AX160">
        <v>-1</v>
      </c>
      <c r="AY160">
        <v>0</v>
      </c>
      <c r="AZ160">
        <v>0</v>
      </c>
      <c r="BA160" t="s">
        <v>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v>0</v>
      </c>
      <c r="CX160">
        <f>ROUND(Y160*Source!I72,9)</f>
        <v>16</v>
      </c>
      <c r="CY160">
        <f>AA160</f>
        <v>79.92</v>
      </c>
      <c r="CZ160">
        <f>AE160</f>
        <v>79.92</v>
      </c>
      <c r="DA160">
        <f>AI160</f>
        <v>1</v>
      </c>
      <c r="DB160">
        <f>ROUND((ROUND(AT160*CZ160,2)*1),6)</f>
        <v>79.92</v>
      </c>
      <c r="DC160">
        <f>ROUND((ROUND(AT160*AG160,2)*1),6)</f>
        <v>0</v>
      </c>
      <c r="DD160" t="s">
        <v>3</v>
      </c>
      <c r="DE160" t="s">
        <v>3</v>
      </c>
      <c r="DF160">
        <f t="shared" si="49"/>
        <v>1278.72</v>
      </c>
      <c r="DG160">
        <f t="shared" si="47"/>
        <v>0</v>
      </c>
      <c r="DH160">
        <f t="shared" si="48"/>
        <v>0</v>
      </c>
      <c r="DI160">
        <f t="shared" si="43"/>
        <v>0</v>
      </c>
      <c r="DJ160">
        <f>DF160</f>
        <v>1278.72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ROW(Source!A73)</f>
        <v>73</v>
      </c>
      <c r="B161">
        <v>85739207</v>
      </c>
      <c r="C161">
        <v>85739774</v>
      </c>
      <c r="D161">
        <v>85164021</v>
      </c>
      <c r="E161">
        <v>1081</v>
      </c>
      <c r="F161">
        <v>1</v>
      </c>
      <c r="G161">
        <v>1081</v>
      </c>
      <c r="H161">
        <v>1</v>
      </c>
      <c r="I161" t="s">
        <v>472</v>
      </c>
      <c r="J161" t="s">
        <v>3</v>
      </c>
      <c r="K161" t="s">
        <v>473</v>
      </c>
      <c r="L161">
        <v>1191</v>
      </c>
      <c r="N161">
        <v>1013</v>
      </c>
      <c r="O161" t="s">
        <v>474</v>
      </c>
      <c r="P161" t="s">
        <v>474</v>
      </c>
      <c r="Q161">
        <v>1</v>
      </c>
      <c r="W161">
        <v>0</v>
      </c>
      <c r="X161">
        <v>476480486</v>
      </c>
      <c r="Y161">
        <f>(AT161*1.2)</f>
        <v>6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5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5</v>
      </c>
      <c r="AU161" t="s">
        <v>36</v>
      </c>
      <c r="AV161">
        <v>1</v>
      </c>
      <c r="AW161">
        <v>2</v>
      </c>
      <c r="AX161">
        <v>85739802</v>
      </c>
      <c r="AY161">
        <v>1</v>
      </c>
      <c r="AZ161">
        <v>0</v>
      </c>
      <c r="BA161">
        <v>188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U161">
        <f>ROUND(AT161*Source!I73*AH161*AL161,2)</f>
        <v>0</v>
      </c>
      <c r="CV161">
        <f>ROUND(Y161*Source!I73,9)</f>
        <v>96</v>
      </c>
      <c r="CW161">
        <v>0</v>
      </c>
      <c r="CX161">
        <f>ROUND(Y161*Source!I73,9)</f>
        <v>96</v>
      </c>
      <c r="CY161">
        <f>AD161</f>
        <v>0</v>
      </c>
      <c r="CZ161">
        <f>AH161</f>
        <v>0</v>
      </c>
      <c r="DA161">
        <f>AL161</f>
        <v>1</v>
      </c>
      <c r="DB161">
        <f>ROUND((ROUND(AT161*CZ161,2)*1.2),6)</f>
        <v>0</v>
      </c>
      <c r="DC161">
        <f>ROUND((ROUND(AT161*AG161,2)*1.2),6)</f>
        <v>0</v>
      </c>
      <c r="DD161" t="s">
        <v>3</v>
      </c>
      <c r="DE161" t="s">
        <v>3</v>
      </c>
      <c r="DF161">
        <f t="shared" si="49"/>
        <v>0</v>
      </c>
      <c r="DG161">
        <f t="shared" si="47"/>
        <v>0</v>
      </c>
      <c r="DH161">
        <f t="shared" si="48"/>
        <v>0</v>
      </c>
      <c r="DI161">
        <f t="shared" si="43"/>
        <v>0</v>
      </c>
      <c r="DJ161">
        <f>DI161</f>
        <v>0</v>
      </c>
      <c r="DK161">
        <v>0</v>
      </c>
      <c r="DL161" t="s">
        <v>3</v>
      </c>
      <c r="DM161">
        <v>0</v>
      </c>
      <c r="DN161" t="s">
        <v>3</v>
      </c>
      <c r="DO161">
        <v>0</v>
      </c>
    </row>
    <row r="162" spans="1:119" x14ac:dyDescent="0.2">
      <c r="A162">
        <f>ROW(Source!A73)</f>
        <v>73</v>
      </c>
      <c r="B162">
        <v>85739207</v>
      </c>
      <c r="C162">
        <v>85739774</v>
      </c>
      <c r="D162">
        <v>85229633</v>
      </c>
      <c r="E162">
        <v>1</v>
      </c>
      <c r="F162">
        <v>1</v>
      </c>
      <c r="G162">
        <v>1081</v>
      </c>
      <c r="H162">
        <v>2</v>
      </c>
      <c r="I162" t="s">
        <v>475</v>
      </c>
      <c r="J162" t="s">
        <v>476</v>
      </c>
      <c r="K162" t="s">
        <v>477</v>
      </c>
      <c r="L162">
        <v>1368</v>
      </c>
      <c r="N162">
        <v>1011</v>
      </c>
      <c r="O162" t="s">
        <v>478</v>
      </c>
      <c r="P162" t="s">
        <v>478</v>
      </c>
      <c r="Q162">
        <v>1</v>
      </c>
      <c r="W162">
        <v>0</v>
      </c>
      <c r="X162">
        <v>1498588441</v>
      </c>
      <c r="Y162">
        <f>(AT162*1.2)</f>
        <v>0.72</v>
      </c>
      <c r="AA162">
        <v>0</v>
      </c>
      <c r="AB162">
        <v>102.11</v>
      </c>
      <c r="AC162">
        <v>0</v>
      </c>
      <c r="AD162">
        <v>0</v>
      </c>
      <c r="AE162">
        <v>0</v>
      </c>
      <c r="AF162">
        <v>7.11</v>
      </c>
      <c r="AG162">
        <v>0</v>
      </c>
      <c r="AH162">
        <v>0</v>
      </c>
      <c r="AI162">
        <v>1</v>
      </c>
      <c r="AJ162">
        <v>13.46</v>
      </c>
      <c r="AK162">
        <v>1</v>
      </c>
      <c r="AL162">
        <v>1</v>
      </c>
      <c r="AM162">
        <v>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0.6</v>
      </c>
      <c r="AU162" t="s">
        <v>36</v>
      </c>
      <c r="AV162">
        <v>0</v>
      </c>
      <c r="AW162">
        <v>2</v>
      </c>
      <c r="AX162">
        <v>85739803</v>
      </c>
      <c r="AY162">
        <v>1</v>
      </c>
      <c r="AZ162">
        <v>0</v>
      </c>
      <c r="BA162">
        <v>189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f>ROUND(Y162*Source!I73*DO162,9)</f>
        <v>0</v>
      </c>
      <c r="CX162">
        <f>ROUND(Y162*Source!I73,9)</f>
        <v>11.52</v>
      </c>
      <c r="CY162">
        <f>AB162</f>
        <v>102.11</v>
      </c>
      <c r="CZ162">
        <f>AF162</f>
        <v>7.11</v>
      </c>
      <c r="DA162">
        <f>AJ162</f>
        <v>13.46</v>
      </c>
      <c r="DB162">
        <f>ROUND((ROUND(AT162*CZ162,2)*1.2),6)</f>
        <v>5.1239999999999997</v>
      </c>
      <c r="DC162">
        <f>ROUND((ROUND(AT162*AG162,2)*1.2),6)</f>
        <v>0</v>
      </c>
      <c r="DD162" t="s">
        <v>3</v>
      </c>
      <c r="DE162" t="s">
        <v>3</v>
      </c>
      <c r="DF162">
        <f t="shared" si="49"/>
        <v>0</v>
      </c>
      <c r="DG162">
        <f>ROUND(ROUND(AF162*AJ162,2)*CX162,2)</f>
        <v>1102.46</v>
      </c>
      <c r="DH162">
        <f t="shared" si="48"/>
        <v>0</v>
      </c>
      <c r="DI162">
        <f t="shared" si="43"/>
        <v>0</v>
      </c>
      <c r="DJ162">
        <f>DG162</f>
        <v>1102.46</v>
      </c>
      <c r="DK162">
        <v>0</v>
      </c>
      <c r="DL162" t="s">
        <v>3</v>
      </c>
      <c r="DM162">
        <v>0</v>
      </c>
      <c r="DN162" t="s">
        <v>3</v>
      </c>
      <c r="DO162">
        <v>0</v>
      </c>
    </row>
    <row r="163" spans="1:119" x14ac:dyDescent="0.2">
      <c r="A163">
        <f>ROW(Source!A73)</f>
        <v>73</v>
      </c>
      <c r="B163">
        <v>85739207</v>
      </c>
      <c r="C163">
        <v>85739774</v>
      </c>
      <c r="D163">
        <v>85229932</v>
      </c>
      <c r="E163">
        <v>1</v>
      </c>
      <c r="F163">
        <v>1</v>
      </c>
      <c r="G163">
        <v>1081</v>
      </c>
      <c r="H163">
        <v>2</v>
      </c>
      <c r="I163" t="s">
        <v>482</v>
      </c>
      <c r="J163" t="s">
        <v>483</v>
      </c>
      <c r="K163" t="s">
        <v>484</v>
      </c>
      <c r="L163">
        <v>1368</v>
      </c>
      <c r="N163">
        <v>1011</v>
      </c>
      <c r="O163" t="s">
        <v>478</v>
      </c>
      <c r="P163" t="s">
        <v>478</v>
      </c>
      <c r="Q163">
        <v>1</v>
      </c>
      <c r="W163">
        <v>0</v>
      </c>
      <c r="X163">
        <v>874612079</v>
      </c>
      <c r="Y163">
        <f>(AT163*1.2)</f>
        <v>2.4E-2</v>
      </c>
      <c r="AA163">
        <v>0</v>
      </c>
      <c r="AB163">
        <v>1513.56</v>
      </c>
      <c r="AC163">
        <v>758.78</v>
      </c>
      <c r="AD163">
        <v>0</v>
      </c>
      <c r="AE163">
        <v>0</v>
      </c>
      <c r="AF163">
        <v>83.1</v>
      </c>
      <c r="AG163">
        <v>12.62</v>
      </c>
      <c r="AH163">
        <v>0</v>
      </c>
      <c r="AI163">
        <v>1</v>
      </c>
      <c r="AJ163">
        <v>17.07</v>
      </c>
      <c r="AK163">
        <v>56.35</v>
      </c>
      <c r="AL163">
        <v>1</v>
      </c>
      <c r="AM163">
        <v>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0.02</v>
      </c>
      <c r="AU163" t="s">
        <v>36</v>
      </c>
      <c r="AV163">
        <v>0</v>
      </c>
      <c r="AW163">
        <v>2</v>
      </c>
      <c r="AX163">
        <v>85739804</v>
      </c>
      <c r="AY163">
        <v>1</v>
      </c>
      <c r="AZ163">
        <v>0</v>
      </c>
      <c r="BA163">
        <v>190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f>ROUND(Y163*Source!I73*DO163,9)</f>
        <v>4.8460799999999997</v>
      </c>
      <c r="CX163">
        <f>ROUND(Y163*Source!I73,9)</f>
        <v>0.38400000000000001</v>
      </c>
      <c r="CY163">
        <f>AB163</f>
        <v>1513.56</v>
      </c>
      <c r="CZ163">
        <f>AF163</f>
        <v>83.1</v>
      </c>
      <c r="DA163">
        <f>AJ163</f>
        <v>17.07</v>
      </c>
      <c r="DB163">
        <f>ROUND((ROUND(AT163*CZ163,2)*1.2),6)</f>
        <v>1.992</v>
      </c>
      <c r="DC163">
        <f>ROUND((ROUND(AT163*AG163,2)*1.2),6)</f>
        <v>0.3</v>
      </c>
      <c r="DD163" t="s">
        <v>3</v>
      </c>
      <c r="DE163" t="s">
        <v>3</v>
      </c>
      <c r="DF163">
        <f t="shared" si="49"/>
        <v>0</v>
      </c>
      <c r="DG163">
        <f>ROUND(ROUND(AF163*AJ163,2)*CX163,2)</f>
        <v>544.71</v>
      </c>
      <c r="DH163">
        <f>ROUND(ROUND(AG163*AK163,2)*CX163,2)</f>
        <v>273.08</v>
      </c>
      <c r="DI163">
        <f t="shared" si="43"/>
        <v>0</v>
      </c>
      <c r="DJ163">
        <f>DG163</f>
        <v>544.71</v>
      </c>
      <c r="DK163">
        <v>0</v>
      </c>
      <c r="DL163" t="s">
        <v>485</v>
      </c>
      <c r="DM163">
        <v>0</v>
      </c>
      <c r="DN163" t="s">
        <v>474</v>
      </c>
      <c r="DO163">
        <v>12.62</v>
      </c>
    </row>
    <row r="164" spans="1:119" x14ac:dyDescent="0.2">
      <c r="A164">
        <f>ROW(Source!A73)</f>
        <v>73</v>
      </c>
      <c r="B164">
        <v>85739207</v>
      </c>
      <c r="C164">
        <v>85739774</v>
      </c>
      <c r="D164">
        <v>85200111</v>
      </c>
      <c r="E164">
        <v>1</v>
      </c>
      <c r="F164">
        <v>1</v>
      </c>
      <c r="G164">
        <v>1081</v>
      </c>
      <c r="H164">
        <v>3</v>
      </c>
      <c r="I164" t="s">
        <v>492</v>
      </c>
      <c r="J164" t="s">
        <v>493</v>
      </c>
      <c r="K164" t="s">
        <v>494</v>
      </c>
      <c r="L164">
        <v>1348</v>
      </c>
      <c r="N164">
        <v>1009</v>
      </c>
      <c r="O164" t="s">
        <v>266</v>
      </c>
      <c r="P164" t="s">
        <v>266</v>
      </c>
      <c r="Q164">
        <v>1000</v>
      </c>
      <c r="W164">
        <v>0</v>
      </c>
      <c r="X164">
        <v>205566664</v>
      </c>
      <c r="Y164">
        <f>(AT164*1)</f>
        <v>3.6000000000000002E-4</v>
      </c>
      <c r="AA164">
        <v>95081.54</v>
      </c>
      <c r="AB164">
        <v>0</v>
      </c>
      <c r="AC164">
        <v>0</v>
      </c>
      <c r="AD164">
        <v>0</v>
      </c>
      <c r="AE164">
        <v>9112.49</v>
      </c>
      <c r="AF164">
        <v>0</v>
      </c>
      <c r="AG164">
        <v>0</v>
      </c>
      <c r="AH164">
        <v>0</v>
      </c>
      <c r="AI164">
        <v>10.15</v>
      </c>
      <c r="AJ164">
        <v>1</v>
      </c>
      <c r="AK164">
        <v>1</v>
      </c>
      <c r="AL164">
        <v>1</v>
      </c>
      <c r="AM164">
        <v>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3.6000000000000002E-4</v>
      </c>
      <c r="AU164" t="s">
        <v>35</v>
      </c>
      <c r="AV164">
        <v>0</v>
      </c>
      <c r="AW164">
        <v>2</v>
      </c>
      <c r="AX164">
        <v>85739805</v>
      </c>
      <c r="AY164">
        <v>1</v>
      </c>
      <c r="AZ164">
        <v>0</v>
      </c>
      <c r="BA164">
        <v>191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ROUND(Y164*Source!I73,9)</f>
        <v>5.7600000000000004E-3</v>
      </c>
      <c r="CY164">
        <f>AA164</f>
        <v>95081.54</v>
      </c>
      <c r="CZ164">
        <f>AE164</f>
        <v>9112.49</v>
      </c>
      <c r="DA164">
        <f>AI164</f>
        <v>10.15</v>
      </c>
      <c r="DB164">
        <f>ROUND((ROUND(AT164*CZ164,2)*1),6)</f>
        <v>3.28</v>
      </c>
      <c r="DC164">
        <f>ROUND((ROUND(AT164*AG164,2)*1),6)</f>
        <v>0</v>
      </c>
      <c r="DD164" t="s">
        <v>3</v>
      </c>
      <c r="DE164" t="s">
        <v>3</v>
      </c>
      <c r="DF164">
        <f>ROUND(ROUND(AE164*AI164,2)*CX164,2)</f>
        <v>532.75</v>
      </c>
      <c r="DG164">
        <f t="shared" ref="DG164:DG176" si="50">ROUND(ROUND(AF164,2)*CX164,2)</f>
        <v>0</v>
      </c>
      <c r="DH164">
        <f t="shared" ref="DH164:DH177" si="51">ROUND(ROUND(AG164,2)*CX164,2)</f>
        <v>0</v>
      </c>
      <c r="DI164">
        <f t="shared" si="43"/>
        <v>0</v>
      </c>
      <c r="DJ164">
        <f>DF164</f>
        <v>532.75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ROW(Source!A73)</f>
        <v>73</v>
      </c>
      <c r="B165">
        <v>85739207</v>
      </c>
      <c r="C165">
        <v>85739774</v>
      </c>
      <c r="D165">
        <v>85200784</v>
      </c>
      <c r="E165">
        <v>1</v>
      </c>
      <c r="F165">
        <v>1</v>
      </c>
      <c r="G165">
        <v>1081</v>
      </c>
      <c r="H165">
        <v>3</v>
      </c>
      <c r="I165" t="s">
        <v>499</v>
      </c>
      <c r="J165" t="s">
        <v>500</v>
      </c>
      <c r="K165" t="s">
        <v>501</v>
      </c>
      <c r="L165">
        <v>1346</v>
      </c>
      <c r="N165">
        <v>1009</v>
      </c>
      <c r="O165" t="s">
        <v>502</v>
      </c>
      <c r="P165" t="s">
        <v>502</v>
      </c>
      <c r="Q165">
        <v>1</v>
      </c>
      <c r="W165">
        <v>0</v>
      </c>
      <c r="X165">
        <v>-2132327540</v>
      </c>
      <c r="Y165">
        <f>(AT165*1)</f>
        <v>7.0000000000000001E-3</v>
      </c>
      <c r="AA165">
        <v>64.760000000000005</v>
      </c>
      <c r="AB165">
        <v>0</v>
      </c>
      <c r="AC165">
        <v>0</v>
      </c>
      <c r="AD165">
        <v>0</v>
      </c>
      <c r="AE165">
        <v>6.25</v>
      </c>
      <c r="AF165">
        <v>0</v>
      </c>
      <c r="AG165">
        <v>0</v>
      </c>
      <c r="AH165">
        <v>0</v>
      </c>
      <c r="AI165">
        <v>10.08</v>
      </c>
      <c r="AJ165">
        <v>1</v>
      </c>
      <c r="AK165">
        <v>1</v>
      </c>
      <c r="AL165">
        <v>1</v>
      </c>
      <c r="AM165">
        <v>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7.0000000000000001E-3</v>
      </c>
      <c r="AU165" t="s">
        <v>35</v>
      </c>
      <c r="AV165">
        <v>0</v>
      </c>
      <c r="AW165">
        <v>2</v>
      </c>
      <c r="AX165">
        <v>85739806</v>
      </c>
      <c r="AY165">
        <v>1</v>
      </c>
      <c r="AZ165">
        <v>0</v>
      </c>
      <c r="BA165">
        <v>192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ROUND(Y165*Source!I73,9)</f>
        <v>0.112</v>
      </c>
      <c r="CY165">
        <f>AA165</f>
        <v>64.760000000000005</v>
      </c>
      <c r="CZ165">
        <f>AE165</f>
        <v>6.25</v>
      </c>
      <c r="DA165">
        <f>AI165</f>
        <v>10.08</v>
      </c>
      <c r="DB165">
        <f>ROUND((ROUND(AT165*CZ165,2)*1),6)</f>
        <v>0.04</v>
      </c>
      <c r="DC165">
        <f>ROUND((ROUND(AT165*AG165,2)*1),6)</f>
        <v>0</v>
      </c>
      <c r="DD165" t="s">
        <v>3</v>
      </c>
      <c r="DE165" t="s">
        <v>3</v>
      </c>
      <c r="DF165">
        <f>ROUND(ROUND(AE165*AI165,2)*CX165,2)</f>
        <v>7.06</v>
      </c>
      <c r="DG165">
        <f t="shared" si="50"/>
        <v>0</v>
      </c>
      <c r="DH165">
        <f t="shared" si="51"/>
        <v>0</v>
      </c>
      <c r="DI165">
        <f t="shared" si="43"/>
        <v>0</v>
      </c>
      <c r="DJ165">
        <f>DF165</f>
        <v>7.06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ROW(Source!A73)</f>
        <v>73</v>
      </c>
      <c r="B166">
        <v>85739207</v>
      </c>
      <c r="C166">
        <v>85739774</v>
      </c>
      <c r="D166">
        <v>85199158</v>
      </c>
      <c r="E166">
        <v>1</v>
      </c>
      <c r="F166">
        <v>1</v>
      </c>
      <c r="G166">
        <v>1081</v>
      </c>
      <c r="H166">
        <v>3</v>
      </c>
      <c r="I166" t="s">
        <v>503</v>
      </c>
      <c r="J166" t="s">
        <v>504</v>
      </c>
      <c r="K166" t="s">
        <v>505</v>
      </c>
      <c r="L166">
        <v>1339</v>
      </c>
      <c r="N166">
        <v>1007</v>
      </c>
      <c r="O166" t="s">
        <v>506</v>
      </c>
      <c r="P166" t="s">
        <v>506</v>
      </c>
      <c r="Q166">
        <v>1</v>
      </c>
      <c r="W166">
        <v>0</v>
      </c>
      <c r="X166">
        <v>-1235260082</v>
      </c>
      <c r="Y166">
        <f>(AT166*1)</f>
        <v>0.03</v>
      </c>
      <c r="AA166">
        <v>104.16</v>
      </c>
      <c r="AB166">
        <v>0</v>
      </c>
      <c r="AC166">
        <v>0</v>
      </c>
      <c r="AD166">
        <v>0</v>
      </c>
      <c r="AE166">
        <v>5.82</v>
      </c>
      <c r="AF166">
        <v>0</v>
      </c>
      <c r="AG166">
        <v>0</v>
      </c>
      <c r="AH166">
        <v>0</v>
      </c>
      <c r="AI166">
        <v>17.41</v>
      </c>
      <c r="AJ166">
        <v>1</v>
      </c>
      <c r="AK166">
        <v>1</v>
      </c>
      <c r="AL166">
        <v>1</v>
      </c>
      <c r="AM166">
        <v>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0.03</v>
      </c>
      <c r="AU166" t="s">
        <v>35</v>
      </c>
      <c r="AV166">
        <v>0</v>
      </c>
      <c r="AW166">
        <v>2</v>
      </c>
      <c r="AX166">
        <v>85739807</v>
      </c>
      <c r="AY166">
        <v>1</v>
      </c>
      <c r="AZ166">
        <v>0</v>
      </c>
      <c r="BA166">
        <v>193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ROUND(Y166*Source!I73,9)</f>
        <v>0.48</v>
      </c>
      <c r="CY166">
        <f>AA166</f>
        <v>104.16</v>
      </c>
      <c r="CZ166">
        <f>AE166</f>
        <v>5.82</v>
      </c>
      <c r="DA166">
        <f>AI166</f>
        <v>17.41</v>
      </c>
      <c r="DB166">
        <f>ROUND((ROUND(AT166*CZ166,2)*1),6)</f>
        <v>0.17</v>
      </c>
      <c r="DC166">
        <f>ROUND((ROUND(AT166*AG166,2)*1),6)</f>
        <v>0</v>
      </c>
      <c r="DD166" t="s">
        <v>3</v>
      </c>
      <c r="DE166" t="s">
        <v>3</v>
      </c>
      <c r="DF166">
        <f>ROUND(ROUND(AE166*AI166,2)*CX166,2)</f>
        <v>48.64</v>
      </c>
      <c r="DG166">
        <f t="shared" si="50"/>
        <v>0</v>
      </c>
      <c r="DH166">
        <f t="shared" si="51"/>
        <v>0</v>
      </c>
      <c r="DI166">
        <f t="shared" si="43"/>
        <v>0</v>
      </c>
      <c r="DJ166">
        <f>DF166</f>
        <v>48.64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ROW(Source!A73)</f>
        <v>73</v>
      </c>
      <c r="B167">
        <v>85739207</v>
      </c>
      <c r="C167">
        <v>85739774</v>
      </c>
      <c r="D167">
        <v>85215616</v>
      </c>
      <c r="E167">
        <v>1</v>
      </c>
      <c r="F167">
        <v>1</v>
      </c>
      <c r="G167">
        <v>1081</v>
      </c>
      <c r="H167">
        <v>3</v>
      </c>
      <c r="I167" t="s">
        <v>148</v>
      </c>
      <c r="J167" t="s">
        <v>150</v>
      </c>
      <c r="K167" t="s">
        <v>149</v>
      </c>
      <c r="L167">
        <v>1354</v>
      </c>
      <c r="N167">
        <v>1010</v>
      </c>
      <c r="O167" t="s">
        <v>99</v>
      </c>
      <c r="P167" t="s">
        <v>99</v>
      </c>
      <c r="Q167">
        <v>1</v>
      </c>
      <c r="W167">
        <v>0</v>
      </c>
      <c r="X167">
        <v>1397479070</v>
      </c>
      <c r="Y167">
        <f>(AT167*1)</f>
        <v>0.5</v>
      </c>
      <c r="AA167">
        <v>323.69</v>
      </c>
      <c r="AB167">
        <v>0</v>
      </c>
      <c r="AC167">
        <v>0</v>
      </c>
      <c r="AD167">
        <v>0</v>
      </c>
      <c r="AE167">
        <v>87.96</v>
      </c>
      <c r="AF167">
        <v>0</v>
      </c>
      <c r="AG167">
        <v>0</v>
      </c>
      <c r="AH167">
        <v>0</v>
      </c>
      <c r="AI167">
        <v>3.68</v>
      </c>
      <c r="AJ167">
        <v>1</v>
      </c>
      <c r="AK167">
        <v>1</v>
      </c>
      <c r="AL167">
        <v>1</v>
      </c>
      <c r="AM167">
        <v>0</v>
      </c>
      <c r="AN167">
        <v>0</v>
      </c>
      <c r="AO167">
        <v>0</v>
      </c>
      <c r="AP167">
        <v>1</v>
      </c>
      <c r="AQ167">
        <v>0</v>
      </c>
      <c r="AR167">
        <v>0</v>
      </c>
      <c r="AS167" t="s">
        <v>3</v>
      </c>
      <c r="AT167">
        <v>0.5</v>
      </c>
      <c r="AU167" t="s">
        <v>35</v>
      </c>
      <c r="AV167">
        <v>0</v>
      </c>
      <c r="AW167">
        <v>1</v>
      </c>
      <c r="AX167">
        <v>-1</v>
      </c>
      <c r="AY167">
        <v>0</v>
      </c>
      <c r="AZ167">
        <v>0</v>
      </c>
      <c r="BA167" t="s">
        <v>3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ROUND(Y167*Source!I73,9)</f>
        <v>8</v>
      </c>
      <c r="CY167">
        <f>AA167</f>
        <v>323.69</v>
      </c>
      <c r="CZ167">
        <f>AE167</f>
        <v>87.96</v>
      </c>
      <c r="DA167">
        <f>AI167</f>
        <v>3.68</v>
      </c>
      <c r="DB167">
        <f>ROUND((ROUND(AT167*CZ167,2)*1),6)</f>
        <v>43.98</v>
      </c>
      <c r="DC167">
        <f>ROUND((ROUND(AT167*AG167,2)*1),6)</f>
        <v>0</v>
      </c>
      <c r="DD167" t="s">
        <v>3</v>
      </c>
      <c r="DE167" t="s">
        <v>3</v>
      </c>
      <c r="DF167">
        <f>ROUND(ROUND(AE167*AI167,2)*CX167,2)</f>
        <v>2589.52</v>
      </c>
      <c r="DG167">
        <f t="shared" si="50"/>
        <v>0</v>
      </c>
      <c r="DH167">
        <f t="shared" si="51"/>
        <v>0</v>
      </c>
      <c r="DI167">
        <f t="shared" si="43"/>
        <v>0</v>
      </c>
      <c r="DJ167">
        <f>DF167</f>
        <v>2589.52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ROW(Source!A73)</f>
        <v>73</v>
      </c>
      <c r="B168">
        <v>85739207</v>
      </c>
      <c r="C168">
        <v>85739774</v>
      </c>
      <c r="D168">
        <v>85215189</v>
      </c>
      <c r="E168">
        <v>1</v>
      </c>
      <c r="F168">
        <v>1</v>
      </c>
      <c r="G168">
        <v>1081</v>
      </c>
      <c r="H168">
        <v>3</v>
      </c>
      <c r="I168" t="s">
        <v>144</v>
      </c>
      <c r="J168" t="s">
        <v>146</v>
      </c>
      <c r="K168" t="s">
        <v>145</v>
      </c>
      <c r="L168">
        <v>1354</v>
      </c>
      <c r="N168">
        <v>1010</v>
      </c>
      <c r="O168" t="s">
        <v>99</v>
      </c>
      <c r="P168" t="s">
        <v>99</v>
      </c>
      <c r="Q168">
        <v>1</v>
      </c>
      <c r="W168">
        <v>0</v>
      </c>
      <c r="X168">
        <v>-2120180224</v>
      </c>
      <c r="Y168">
        <f>(AT168*1)</f>
        <v>1</v>
      </c>
      <c r="AA168">
        <v>609.79</v>
      </c>
      <c r="AB168">
        <v>0</v>
      </c>
      <c r="AC168">
        <v>0</v>
      </c>
      <c r="AD168">
        <v>0</v>
      </c>
      <c r="AE168">
        <v>79.92</v>
      </c>
      <c r="AF168">
        <v>0</v>
      </c>
      <c r="AG168">
        <v>0</v>
      </c>
      <c r="AH168">
        <v>0</v>
      </c>
      <c r="AI168">
        <v>7.63</v>
      </c>
      <c r="AJ168">
        <v>1</v>
      </c>
      <c r="AK168">
        <v>1</v>
      </c>
      <c r="AL168">
        <v>1</v>
      </c>
      <c r="AM168">
        <v>0</v>
      </c>
      <c r="AN168">
        <v>0</v>
      </c>
      <c r="AO168">
        <v>0</v>
      </c>
      <c r="AP168">
        <v>1</v>
      </c>
      <c r="AQ168">
        <v>0</v>
      </c>
      <c r="AR168">
        <v>0</v>
      </c>
      <c r="AS168" t="s">
        <v>3</v>
      </c>
      <c r="AT168">
        <v>1</v>
      </c>
      <c r="AU168" t="s">
        <v>35</v>
      </c>
      <c r="AV168">
        <v>0</v>
      </c>
      <c r="AW168">
        <v>1</v>
      </c>
      <c r="AX168">
        <v>-1</v>
      </c>
      <c r="AY168">
        <v>0</v>
      </c>
      <c r="AZ168">
        <v>0</v>
      </c>
      <c r="BA168" t="s">
        <v>3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ROUND(Y168*Source!I73,9)</f>
        <v>16</v>
      </c>
      <c r="CY168">
        <f>AA168</f>
        <v>609.79</v>
      </c>
      <c r="CZ168">
        <f>AE168</f>
        <v>79.92</v>
      </c>
      <c r="DA168">
        <f>AI168</f>
        <v>7.63</v>
      </c>
      <c r="DB168">
        <f>ROUND((ROUND(AT168*CZ168,2)*1),6)</f>
        <v>79.92</v>
      </c>
      <c r="DC168">
        <f>ROUND((ROUND(AT168*AG168,2)*1),6)</f>
        <v>0</v>
      </c>
      <c r="DD168" t="s">
        <v>3</v>
      </c>
      <c r="DE168" t="s">
        <v>3</v>
      </c>
      <c r="DF168">
        <f>ROUND(ROUND(AE168*AI168,2)*CX168,2)</f>
        <v>9756.64</v>
      </c>
      <c r="DG168">
        <f t="shared" si="50"/>
        <v>0</v>
      </c>
      <c r="DH168">
        <f t="shared" si="51"/>
        <v>0</v>
      </c>
      <c r="DI168">
        <f t="shared" si="43"/>
        <v>0</v>
      </c>
      <c r="DJ168">
        <f>DF168</f>
        <v>9756.64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ROW(Source!A78)</f>
        <v>78</v>
      </c>
      <c r="B169">
        <v>85739205</v>
      </c>
      <c r="C169">
        <v>85739649</v>
      </c>
      <c r="D169">
        <v>85164021</v>
      </c>
      <c r="E169">
        <v>1081</v>
      </c>
      <c r="F169">
        <v>1</v>
      </c>
      <c r="G169">
        <v>1081</v>
      </c>
      <c r="H169">
        <v>1</v>
      </c>
      <c r="I169" t="s">
        <v>472</v>
      </c>
      <c r="J169" t="s">
        <v>3</v>
      </c>
      <c r="K169" t="s">
        <v>473</v>
      </c>
      <c r="L169">
        <v>1191</v>
      </c>
      <c r="N169">
        <v>1013</v>
      </c>
      <c r="O169" t="s">
        <v>474</v>
      </c>
      <c r="P169" t="s">
        <v>474</v>
      </c>
      <c r="Q169">
        <v>1</v>
      </c>
      <c r="W169">
        <v>0</v>
      </c>
      <c r="X169">
        <v>476480486</v>
      </c>
      <c r="Y169">
        <f>(AT169*1.2)</f>
        <v>9.1199999999999992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</v>
      </c>
      <c r="AJ169">
        <v>1</v>
      </c>
      <c r="AK169">
        <v>1</v>
      </c>
      <c r="AL169">
        <v>1</v>
      </c>
      <c r="AM169">
        <v>-2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7.6</v>
      </c>
      <c r="AU169" t="s">
        <v>36</v>
      </c>
      <c r="AV169">
        <v>1</v>
      </c>
      <c r="AW169">
        <v>2</v>
      </c>
      <c r="AX169">
        <v>85739681</v>
      </c>
      <c r="AY169">
        <v>1</v>
      </c>
      <c r="AZ169">
        <v>0</v>
      </c>
      <c r="BA169">
        <v>195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U169">
        <f>ROUND(AT169*Source!I78*AH169*AL169,2)</f>
        <v>0</v>
      </c>
      <c r="CV169">
        <f>ROUND(Y169*Source!I78,9)</f>
        <v>18.239999999999998</v>
      </c>
      <c r="CW169">
        <v>0</v>
      </c>
      <c r="CX169">
        <f>ROUND(Y169*Source!I78,9)</f>
        <v>18.239999999999998</v>
      </c>
      <c r="CY169">
        <f>AD169</f>
        <v>0</v>
      </c>
      <c r="CZ169">
        <f>AH169</f>
        <v>0</v>
      </c>
      <c r="DA169">
        <f>AL169</f>
        <v>1</v>
      </c>
      <c r="DB169">
        <f>ROUND((ROUND(AT169*CZ169,2)*1.2),6)</f>
        <v>0</v>
      </c>
      <c r="DC169">
        <f>ROUND((ROUND(AT169*AG169,2)*1.2),6)</f>
        <v>0</v>
      </c>
      <c r="DD169" t="s">
        <v>3</v>
      </c>
      <c r="DE169" t="s">
        <v>3</v>
      </c>
      <c r="DF169">
        <f t="shared" ref="DF169:DF178" si="52">ROUND(ROUND(AE169,2)*CX169,2)</f>
        <v>0</v>
      </c>
      <c r="DG169">
        <f t="shared" si="50"/>
        <v>0</v>
      </c>
      <c r="DH169">
        <f t="shared" si="51"/>
        <v>0</v>
      </c>
      <c r="DI169">
        <f t="shared" si="43"/>
        <v>0</v>
      </c>
      <c r="DJ169">
        <f>DI169</f>
        <v>0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ROW(Source!A78)</f>
        <v>78</v>
      </c>
      <c r="B170">
        <v>85739205</v>
      </c>
      <c r="C170">
        <v>85739649</v>
      </c>
      <c r="D170">
        <v>85229633</v>
      </c>
      <c r="E170">
        <v>1</v>
      </c>
      <c r="F170">
        <v>1</v>
      </c>
      <c r="G170">
        <v>1081</v>
      </c>
      <c r="H170">
        <v>2</v>
      </c>
      <c r="I170" t="s">
        <v>475</v>
      </c>
      <c r="J170" t="s">
        <v>476</v>
      </c>
      <c r="K170" t="s">
        <v>477</v>
      </c>
      <c r="L170">
        <v>1368</v>
      </c>
      <c r="N170">
        <v>1011</v>
      </c>
      <c r="O170" t="s">
        <v>478</v>
      </c>
      <c r="P170" t="s">
        <v>478</v>
      </c>
      <c r="Q170">
        <v>1</v>
      </c>
      <c r="W170">
        <v>0</v>
      </c>
      <c r="X170">
        <v>1498588441</v>
      </c>
      <c r="Y170">
        <f>(AT170*1.2)</f>
        <v>1.2</v>
      </c>
      <c r="AA170">
        <v>0</v>
      </c>
      <c r="AB170">
        <v>7.59</v>
      </c>
      <c r="AC170">
        <v>0</v>
      </c>
      <c r="AD170">
        <v>0</v>
      </c>
      <c r="AE170">
        <v>0</v>
      </c>
      <c r="AF170">
        <v>7.11</v>
      </c>
      <c r="AG170">
        <v>0</v>
      </c>
      <c r="AH170">
        <v>0</v>
      </c>
      <c r="AI170">
        <v>1</v>
      </c>
      <c r="AJ170">
        <v>1</v>
      </c>
      <c r="AK170">
        <v>1</v>
      </c>
      <c r="AL170">
        <v>1</v>
      </c>
      <c r="AM170">
        <v>-2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1</v>
      </c>
      <c r="AU170" t="s">
        <v>36</v>
      </c>
      <c r="AV170">
        <v>0</v>
      </c>
      <c r="AW170">
        <v>2</v>
      </c>
      <c r="AX170">
        <v>85739682</v>
      </c>
      <c r="AY170">
        <v>1</v>
      </c>
      <c r="AZ170">
        <v>0</v>
      </c>
      <c r="BA170">
        <v>196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f>ROUND(Y170*Source!I78*DO170,9)</f>
        <v>0</v>
      </c>
      <c r="CX170">
        <f>ROUND(Y170*Source!I78,9)</f>
        <v>2.4</v>
      </c>
      <c r="CY170">
        <f>AB170</f>
        <v>7.59</v>
      </c>
      <c r="CZ170">
        <f>AF170</f>
        <v>7.11</v>
      </c>
      <c r="DA170">
        <f>AJ170</f>
        <v>1</v>
      </c>
      <c r="DB170">
        <f>ROUND((ROUND(AT170*CZ170,2)*1.2),6)</f>
        <v>8.532</v>
      </c>
      <c r="DC170">
        <f>ROUND((ROUND(AT170*AG170,2)*1.2),6)</f>
        <v>0</v>
      </c>
      <c r="DD170" t="s">
        <v>3</v>
      </c>
      <c r="DE170" t="s">
        <v>3</v>
      </c>
      <c r="DF170">
        <f t="shared" si="52"/>
        <v>0</v>
      </c>
      <c r="DG170">
        <f t="shared" si="50"/>
        <v>17.059999999999999</v>
      </c>
      <c r="DH170">
        <f t="shared" si="51"/>
        <v>0</v>
      </c>
      <c r="DI170">
        <f t="shared" si="43"/>
        <v>0</v>
      </c>
      <c r="DJ170">
        <f>DG170</f>
        <v>17.059999999999999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ROW(Source!A78)</f>
        <v>78</v>
      </c>
      <c r="B171">
        <v>85739205</v>
      </c>
      <c r="C171">
        <v>85739649</v>
      </c>
      <c r="D171">
        <v>85229932</v>
      </c>
      <c r="E171">
        <v>1</v>
      </c>
      <c r="F171">
        <v>1</v>
      </c>
      <c r="G171">
        <v>1081</v>
      </c>
      <c r="H171">
        <v>2</v>
      </c>
      <c r="I171" t="s">
        <v>482</v>
      </c>
      <c r="J171" t="s">
        <v>483</v>
      </c>
      <c r="K171" t="s">
        <v>484</v>
      </c>
      <c r="L171">
        <v>1368</v>
      </c>
      <c r="N171">
        <v>1011</v>
      </c>
      <c r="O171" t="s">
        <v>478</v>
      </c>
      <c r="P171" t="s">
        <v>478</v>
      </c>
      <c r="Q171">
        <v>1</v>
      </c>
      <c r="W171">
        <v>0</v>
      </c>
      <c r="X171">
        <v>874612079</v>
      </c>
      <c r="Y171">
        <f>(AT171*1.2)</f>
        <v>1.2E-2</v>
      </c>
      <c r="AA171">
        <v>0</v>
      </c>
      <c r="AB171">
        <v>88.67</v>
      </c>
      <c r="AC171">
        <v>13.47</v>
      </c>
      <c r="AD171">
        <v>0</v>
      </c>
      <c r="AE171">
        <v>0</v>
      </c>
      <c r="AF171">
        <v>83.1</v>
      </c>
      <c r="AG171">
        <v>12.62</v>
      </c>
      <c r="AH171">
        <v>0</v>
      </c>
      <c r="AI171">
        <v>1</v>
      </c>
      <c r="AJ171">
        <v>1</v>
      </c>
      <c r="AK171">
        <v>1</v>
      </c>
      <c r="AL171">
        <v>1</v>
      </c>
      <c r="AM171">
        <v>-2</v>
      </c>
      <c r="AN171">
        <v>0</v>
      </c>
      <c r="AO171">
        <v>1</v>
      </c>
      <c r="AP171">
        <v>1</v>
      </c>
      <c r="AQ171">
        <v>0</v>
      </c>
      <c r="AR171">
        <v>0</v>
      </c>
      <c r="AS171" t="s">
        <v>3</v>
      </c>
      <c r="AT171">
        <v>0.01</v>
      </c>
      <c r="AU171" t="s">
        <v>36</v>
      </c>
      <c r="AV171">
        <v>0</v>
      </c>
      <c r="AW171">
        <v>2</v>
      </c>
      <c r="AX171">
        <v>85739683</v>
      </c>
      <c r="AY171">
        <v>1</v>
      </c>
      <c r="AZ171">
        <v>0</v>
      </c>
      <c r="BA171">
        <v>197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f>ROUND(Y171*Source!I78*DO171,9)</f>
        <v>0.30287999999999998</v>
      </c>
      <c r="CX171">
        <f>ROUND(Y171*Source!I78,9)</f>
        <v>2.4E-2</v>
      </c>
      <c r="CY171">
        <f>AB171</f>
        <v>88.67</v>
      </c>
      <c r="CZ171">
        <f>AF171</f>
        <v>83.1</v>
      </c>
      <c r="DA171">
        <f>AJ171</f>
        <v>1</v>
      </c>
      <c r="DB171">
        <f>ROUND((ROUND(AT171*CZ171,2)*1.2),6)</f>
        <v>0.996</v>
      </c>
      <c r="DC171">
        <f>ROUND((ROUND(AT171*AG171,2)*1.2),6)</f>
        <v>0.156</v>
      </c>
      <c r="DD171" t="s">
        <v>3</v>
      </c>
      <c r="DE171" t="s">
        <v>3</v>
      </c>
      <c r="DF171">
        <f t="shared" si="52"/>
        <v>0</v>
      </c>
      <c r="DG171">
        <f t="shared" si="50"/>
        <v>1.99</v>
      </c>
      <c r="DH171">
        <f t="shared" si="51"/>
        <v>0.3</v>
      </c>
      <c r="DI171">
        <f t="shared" si="43"/>
        <v>0</v>
      </c>
      <c r="DJ171">
        <f>DG171</f>
        <v>1.99</v>
      </c>
      <c r="DK171">
        <v>0</v>
      </c>
      <c r="DL171" t="s">
        <v>485</v>
      </c>
      <c r="DM171">
        <v>0</v>
      </c>
      <c r="DN171" t="s">
        <v>474</v>
      </c>
      <c r="DO171">
        <v>12.62</v>
      </c>
    </row>
    <row r="172" spans="1:119" x14ac:dyDescent="0.2">
      <c r="A172">
        <f>ROW(Source!A78)</f>
        <v>78</v>
      </c>
      <c r="B172">
        <v>85739205</v>
      </c>
      <c r="C172">
        <v>85739649</v>
      </c>
      <c r="D172">
        <v>85200111</v>
      </c>
      <c r="E172">
        <v>1</v>
      </c>
      <c r="F172">
        <v>1</v>
      </c>
      <c r="G172">
        <v>1081</v>
      </c>
      <c r="H172">
        <v>3</v>
      </c>
      <c r="I172" t="s">
        <v>492</v>
      </c>
      <c r="J172" t="s">
        <v>493</v>
      </c>
      <c r="K172" t="s">
        <v>494</v>
      </c>
      <c r="L172">
        <v>1348</v>
      </c>
      <c r="N172">
        <v>1009</v>
      </c>
      <c r="O172" t="s">
        <v>266</v>
      </c>
      <c r="P172" t="s">
        <v>266</v>
      </c>
      <c r="Q172">
        <v>1000</v>
      </c>
      <c r="W172">
        <v>0</v>
      </c>
      <c r="X172">
        <v>205566664</v>
      </c>
      <c r="Y172">
        <f>(AT172*1)</f>
        <v>3.6000000000000002E-4</v>
      </c>
      <c r="AA172">
        <v>9367.64</v>
      </c>
      <c r="AB172">
        <v>0</v>
      </c>
      <c r="AC172">
        <v>0</v>
      </c>
      <c r="AD172">
        <v>0</v>
      </c>
      <c r="AE172">
        <v>9112.49</v>
      </c>
      <c r="AF172">
        <v>0</v>
      </c>
      <c r="AG172">
        <v>0</v>
      </c>
      <c r="AH172">
        <v>0</v>
      </c>
      <c r="AI172">
        <v>1</v>
      </c>
      <c r="AJ172">
        <v>1</v>
      </c>
      <c r="AK172">
        <v>1</v>
      </c>
      <c r="AL172">
        <v>1</v>
      </c>
      <c r="AM172">
        <v>-2</v>
      </c>
      <c r="AN172">
        <v>0</v>
      </c>
      <c r="AO172">
        <v>1</v>
      </c>
      <c r="AP172">
        <v>1</v>
      </c>
      <c r="AQ172">
        <v>0</v>
      </c>
      <c r="AR172">
        <v>0</v>
      </c>
      <c r="AS172" t="s">
        <v>3</v>
      </c>
      <c r="AT172">
        <v>3.6000000000000002E-4</v>
      </c>
      <c r="AU172" t="s">
        <v>35</v>
      </c>
      <c r="AV172">
        <v>0</v>
      </c>
      <c r="AW172">
        <v>2</v>
      </c>
      <c r="AX172">
        <v>85739684</v>
      </c>
      <c r="AY172">
        <v>1</v>
      </c>
      <c r="AZ172">
        <v>0</v>
      </c>
      <c r="BA172">
        <v>198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ROUND(Y172*Source!I78,9)</f>
        <v>7.2000000000000005E-4</v>
      </c>
      <c r="CY172">
        <f>AA172</f>
        <v>9367.64</v>
      </c>
      <c r="CZ172">
        <f>AE172</f>
        <v>9112.49</v>
      </c>
      <c r="DA172">
        <f>AI172</f>
        <v>1</v>
      </c>
      <c r="DB172">
        <f>ROUND((ROUND(AT172*CZ172,2)*1),6)</f>
        <v>3.28</v>
      </c>
      <c r="DC172">
        <f>ROUND((ROUND(AT172*AG172,2)*1),6)</f>
        <v>0</v>
      </c>
      <c r="DD172" t="s">
        <v>3</v>
      </c>
      <c r="DE172" t="s">
        <v>3</v>
      </c>
      <c r="DF172">
        <f t="shared" si="52"/>
        <v>6.56</v>
      </c>
      <c r="DG172">
        <f t="shared" si="50"/>
        <v>0</v>
      </c>
      <c r="DH172">
        <f t="shared" si="51"/>
        <v>0</v>
      </c>
      <c r="DI172">
        <f t="shared" si="43"/>
        <v>0</v>
      </c>
      <c r="DJ172">
        <f>DF172</f>
        <v>6.56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ROW(Source!A78)</f>
        <v>78</v>
      </c>
      <c r="B173">
        <v>85739205</v>
      </c>
      <c r="C173">
        <v>85739649</v>
      </c>
      <c r="D173">
        <v>85200784</v>
      </c>
      <c r="E173">
        <v>1</v>
      </c>
      <c r="F173">
        <v>1</v>
      </c>
      <c r="G173">
        <v>1081</v>
      </c>
      <c r="H173">
        <v>3</v>
      </c>
      <c r="I173" t="s">
        <v>499</v>
      </c>
      <c r="J173" t="s">
        <v>500</v>
      </c>
      <c r="K173" t="s">
        <v>501</v>
      </c>
      <c r="L173">
        <v>1346</v>
      </c>
      <c r="N173">
        <v>1009</v>
      </c>
      <c r="O173" t="s">
        <v>502</v>
      </c>
      <c r="P173" t="s">
        <v>502</v>
      </c>
      <c r="Q173">
        <v>1</v>
      </c>
      <c r="W173">
        <v>0</v>
      </c>
      <c r="X173">
        <v>-2132327540</v>
      </c>
      <c r="Y173">
        <f>(AT173*1)</f>
        <v>7.0000000000000001E-3</v>
      </c>
      <c r="AA173">
        <v>6.43</v>
      </c>
      <c r="AB173">
        <v>0</v>
      </c>
      <c r="AC173">
        <v>0</v>
      </c>
      <c r="AD173">
        <v>0</v>
      </c>
      <c r="AE173">
        <v>6.25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7.0000000000000001E-3</v>
      </c>
      <c r="AU173" t="s">
        <v>35</v>
      </c>
      <c r="AV173">
        <v>0</v>
      </c>
      <c r="AW173">
        <v>2</v>
      </c>
      <c r="AX173">
        <v>85739685</v>
      </c>
      <c r="AY173">
        <v>1</v>
      </c>
      <c r="AZ173">
        <v>0</v>
      </c>
      <c r="BA173">
        <v>199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V173">
        <v>0</v>
      </c>
      <c r="CW173">
        <v>0</v>
      </c>
      <c r="CX173">
        <f>ROUND(Y173*Source!I78,9)</f>
        <v>1.4E-2</v>
      </c>
      <c r="CY173">
        <f>AA173</f>
        <v>6.43</v>
      </c>
      <c r="CZ173">
        <f>AE173</f>
        <v>6.25</v>
      </c>
      <c r="DA173">
        <f>AI173</f>
        <v>1</v>
      </c>
      <c r="DB173">
        <f>ROUND((ROUND(AT173*CZ173,2)*1),6)</f>
        <v>0.04</v>
      </c>
      <c r="DC173">
        <f>ROUND((ROUND(AT173*AG173,2)*1),6)</f>
        <v>0</v>
      </c>
      <c r="DD173" t="s">
        <v>3</v>
      </c>
      <c r="DE173" t="s">
        <v>3</v>
      </c>
      <c r="DF173">
        <f t="shared" si="52"/>
        <v>0.09</v>
      </c>
      <c r="DG173">
        <f t="shared" si="50"/>
        <v>0</v>
      </c>
      <c r="DH173">
        <f t="shared" si="51"/>
        <v>0</v>
      </c>
      <c r="DI173">
        <f t="shared" si="43"/>
        <v>0</v>
      </c>
      <c r="DJ173">
        <f>DF173</f>
        <v>0.09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ROW(Source!A78)</f>
        <v>78</v>
      </c>
      <c r="B174">
        <v>85739205</v>
      </c>
      <c r="C174">
        <v>85739649</v>
      </c>
      <c r="D174">
        <v>85199158</v>
      </c>
      <c r="E174">
        <v>1</v>
      </c>
      <c r="F174">
        <v>1</v>
      </c>
      <c r="G174">
        <v>1081</v>
      </c>
      <c r="H174">
        <v>3</v>
      </c>
      <c r="I174" t="s">
        <v>503</v>
      </c>
      <c r="J174" t="s">
        <v>504</v>
      </c>
      <c r="K174" t="s">
        <v>505</v>
      </c>
      <c r="L174">
        <v>1339</v>
      </c>
      <c r="N174">
        <v>1007</v>
      </c>
      <c r="O174" t="s">
        <v>506</v>
      </c>
      <c r="P174" t="s">
        <v>506</v>
      </c>
      <c r="Q174">
        <v>1</v>
      </c>
      <c r="W174">
        <v>0</v>
      </c>
      <c r="X174">
        <v>-1235260082</v>
      </c>
      <c r="Y174">
        <f>(AT174*1)</f>
        <v>0.03</v>
      </c>
      <c r="AA174">
        <v>5.98</v>
      </c>
      <c r="AB174">
        <v>0</v>
      </c>
      <c r="AC174">
        <v>0</v>
      </c>
      <c r="AD174">
        <v>0</v>
      </c>
      <c r="AE174">
        <v>5.82</v>
      </c>
      <c r="AF174">
        <v>0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-2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0.03</v>
      </c>
      <c r="AU174" t="s">
        <v>35</v>
      </c>
      <c r="AV174">
        <v>0</v>
      </c>
      <c r="AW174">
        <v>2</v>
      </c>
      <c r="AX174">
        <v>85739686</v>
      </c>
      <c r="AY174">
        <v>1</v>
      </c>
      <c r="AZ174">
        <v>0</v>
      </c>
      <c r="BA174">
        <v>200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v>0</v>
      </c>
      <c r="CX174">
        <f>ROUND(Y174*Source!I78,9)</f>
        <v>0.06</v>
      </c>
      <c r="CY174">
        <f>AA174</f>
        <v>5.98</v>
      </c>
      <c r="CZ174">
        <f>AE174</f>
        <v>5.82</v>
      </c>
      <c r="DA174">
        <f>AI174</f>
        <v>1</v>
      </c>
      <c r="DB174">
        <f>ROUND((ROUND(AT174*CZ174,2)*1),6)</f>
        <v>0.17</v>
      </c>
      <c r="DC174">
        <f>ROUND((ROUND(AT174*AG174,2)*1),6)</f>
        <v>0</v>
      </c>
      <c r="DD174" t="s">
        <v>3</v>
      </c>
      <c r="DE174" t="s">
        <v>3</v>
      </c>
      <c r="DF174">
        <f t="shared" si="52"/>
        <v>0.35</v>
      </c>
      <c r="DG174">
        <f t="shared" si="50"/>
        <v>0</v>
      </c>
      <c r="DH174">
        <f t="shared" si="51"/>
        <v>0</v>
      </c>
      <c r="DI174">
        <f t="shared" si="43"/>
        <v>0</v>
      </c>
      <c r="DJ174">
        <f>DF174</f>
        <v>0.35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ROW(Source!A78)</f>
        <v>78</v>
      </c>
      <c r="B175">
        <v>85739205</v>
      </c>
      <c r="C175">
        <v>85739649</v>
      </c>
      <c r="D175">
        <v>85218072</v>
      </c>
      <c r="E175">
        <v>1</v>
      </c>
      <c r="F175">
        <v>1</v>
      </c>
      <c r="G175">
        <v>1081</v>
      </c>
      <c r="H175">
        <v>3</v>
      </c>
      <c r="I175" t="s">
        <v>156</v>
      </c>
      <c r="J175" t="s">
        <v>158</v>
      </c>
      <c r="K175" t="s">
        <v>157</v>
      </c>
      <c r="L175">
        <v>1354</v>
      </c>
      <c r="N175">
        <v>1010</v>
      </c>
      <c r="O175" t="s">
        <v>99</v>
      </c>
      <c r="P175" t="s">
        <v>99</v>
      </c>
      <c r="Q175">
        <v>1</v>
      </c>
      <c r="W175">
        <v>0</v>
      </c>
      <c r="X175">
        <v>-637601952</v>
      </c>
      <c r="Y175">
        <f>(AT175*1)</f>
        <v>1</v>
      </c>
      <c r="AA175">
        <v>38.630000000000003</v>
      </c>
      <c r="AB175">
        <v>0</v>
      </c>
      <c r="AC175">
        <v>0</v>
      </c>
      <c r="AD175">
        <v>0</v>
      </c>
      <c r="AE175">
        <v>38.630000000000003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0</v>
      </c>
      <c r="AN175">
        <v>0</v>
      </c>
      <c r="AO175">
        <v>0</v>
      </c>
      <c r="AP175">
        <v>1</v>
      </c>
      <c r="AQ175">
        <v>0</v>
      </c>
      <c r="AR175">
        <v>0</v>
      </c>
      <c r="AS175" t="s">
        <v>3</v>
      </c>
      <c r="AT175">
        <v>1</v>
      </c>
      <c r="AU175" t="s">
        <v>35</v>
      </c>
      <c r="AV175">
        <v>0</v>
      </c>
      <c r="AW175">
        <v>1</v>
      </c>
      <c r="AX175">
        <v>-1</v>
      </c>
      <c r="AY175">
        <v>0</v>
      </c>
      <c r="AZ175">
        <v>0</v>
      </c>
      <c r="BA175" t="s">
        <v>3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v>0</v>
      </c>
      <c r="CX175">
        <f>ROUND(Y175*Source!I78,9)</f>
        <v>2</v>
      </c>
      <c r="CY175">
        <f>AA175</f>
        <v>38.630000000000003</v>
      </c>
      <c r="CZ175">
        <f>AE175</f>
        <v>38.630000000000003</v>
      </c>
      <c r="DA175">
        <f>AI175</f>
        <v>1</v>
      </c>
      <c r="DB175">
        <f>ROUND((ROUND(AT175*CZ175,2)*1),6)</f>
        <v>38.630000000000003</v>
      </c>
      <c r="DC175">
        <f>ROUND((ROUND(AT175*AG175,2)*1),6)</f>
        <v>0</v>
      </c>
      <c r="DD175" t="s">
        <v>3</v>
      </c>
      <c r="DE175" t="s">
        <v>3</v>
      </c>
      <c r="DF175">
        <f t="shared" si="52"/>
        <v>77.260000000000005</v>
      </c>
      <c r="DG175">
        <f t="shared" si="50"/>
        <v>0</v>
      </c>
      <c r="DH175">
        <f t="shared" si="51"/>
        <v>0</v>
      </c>
      <c r="DI175">
        <f t="shared" si="43"/>
        <v>0</v>
      </c>
      <c r="DJ175">
        <f>DF175</f>
        <v>77.260000000000005</v>
      </c>
      <c r="DK175">
        <v>0</v>
      </c>
      <c r="DL175" t="s">
        <v>3</v>
      </c>
      <c r="DM175">
        <v>0</v>
      </c>
      <c r="DN175" t="s">
        <v>3</v>
      </c>
      <c r="DO175">
        <v>0</v>
      </c>
    </row>
    <row r="176" spans="1:119" x14ac:dyDescent="0.2">
      <c r="A176">
        <f>ROW(Source!A79)</f>
        <v>79</v>
      </c>
      <c r="B176">
        <v>85739207</v>
      </c>
      <c r="C176">
        <v>85739649</v>
      </c>
      <c r="D176">
        <v>85164021</v>
      </c>
      <c r="E176">
        <v>1081</v>
      </c>
      <c r="F176">
        <v>1</v>
      </c>
      <c r="G176">
        <v>1081</v>
      </c>
      <c r="H176">
        <v>1</v>
      </c>
      <c r="I176" t="s">
        <v>472</v>
      </c>
      <c r="J176" t="s">
        <v>3</v>
      </c>
      <c r="K176" t="s">
        <v>473</v>
      </c>
      <c r="L176">
        <v>1191</v>
      </c>
      <c r="N176">
        <v>1013</v>
      </c>
      <c r="O176" t="s">
        <v>474</v>
      </c>
      <c r="P176" t="s">
        <v>474</v>
      </c>
      <c r="Q176">
        <v>1</v>
      </c>
      <c r="W176">
        <v>0</v>
      </c>
      <c r="X176">
        <v>476480486</v>
      </c>
      <c r="Y176">
        <f>(AT176*1.2)</f>
        <v>9.1199999999999992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5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7.6</v>
      </c>
      <c r="AU176" t="s">
        <v>36</v>
      </c>
      <c r="AV176">
        <v>1</v>
      </c>
      <c r="AW176">
        <v>2</v>
      </c>
      <c r="AX176">
        <v>85739681</v>
      </c>
      <c r="AY176">
        <v>1</v>
      </c>
      <c r="AZ176">
        <v>0</v>
      </c>
      <c r="BA176">
        <v>202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U176">
        <f>ROUND(AT176*Source!I79*AH176*AL176,2)</f>
        <v>0</v>
      </c>
      <c r="CV176">
        <f>ROUND(Y176*Source!I79,9)</f>
        <v>18.239999999999998</v>
      </c>
      <c r="CW176">
        <v>0</v>
      </c>
      <c r="CX176">
        <f>ROUND(Y176*Source!I79,9)</f>
        <v>18.239999999999998</v>
      </c>
      <c r="CY176">
        <f>AD176</f>
        <v>0</v>
      </c>
      <c r="CZ176">
        <f>AH176</f>
        <v>0</v>
      </c>
      <c r="DA176">
        <f>AL176</f>
        <v>1</v>
      </c>
      <c r="DB176">
        <f>ROUND((ROUND(AT176*CZ176,2)*1.2),6)</f>
        <v>0</v>
      </c>
      <c r="DC176">
        <f>ROUND((ROUND(AT176*AG176,2)*1.2),6)</f>
        <v>0</v>
      </c>
      <c r="DD176" t="s">
        <v>3</v>
      </c>
      <c r="DE176" t="s">
        <v>3</v>
      </c>
      <c r="DF176">
        <f t="shared" si="52"/>
        <v>0</v>
      </c>
      <c r="DG176">
        <f t="shared" si="50"/>
        <v>0</v>
      </c>
      <c r="DH176">
        <f t="shared" si="51"/>
        <v>0</v>
      </c>
      <c r="DI176">
        <f t="shared" si="43"/>
        <v>0</v>
      </c>
      <c r="DJ176">
        <f>DI176</f>
        <v>0</v>
      </c>
      <c r="DK176">
        <v>0</v>
      </c>
      <c r="DL176" t="s">
        <v>3</v>
      </c>
      <c r="DM176">
        <v>0</v>
      </c>
      <c r="DN176" t="s">
        <v>3</v>
      </c>
      <c r="DO176">
        <v>0</v>
      </c>
    </row>
    <row r="177" spans="1:119" x14ac:dyDescent="0.2">
      <c r="A177">
        <f>ROW(Source!A79)</f>
        <v>79</v>
      </c>
      <c r="B177">
        <v>85739207</v>
      </c>
      <c r="C177">
        <v>85739649</v>
      </c>
      <c r="D177">
        <v>85229633</v>
      </c>
      <c r="E177">
        <v>1</v>
      </c>
      <c r="F177">
        <v>1</v>
      </c>
      <c r="G177">
        <v>1081</v>
      </c>
      <c r="H177">
        <v>2</v>
      </c>
      <c r="I177" t="s">
        <v>475</v>
      </c>
      <c r="J177" t="s">
        <v>476</v>
      </c>
      <c r="K177" t="s">
        <v>477</v>
      </c>
      <c r="L177">
        <v>1368</v>
      </c>
      <c r="N177">
        <v>1011</v>
      </c>
      <c r="O177" t="s">
        <v>478</v>
      </c>
      <c r="P177" t="s">
        <v>478</v>
      </c>
      <c r="Q177">
        <v>1</v>
      </c>
      <c r="W177">
        <v>0</v>
      </c>
      <c r="X177">
        <v>1498588441</v>
      </c>
      <c r="Y177">
        <f>(AT177*1.2)</f>
        <v>1.2</v>
      </c>
      <c r="AA177">
        <v>0</v>
      </c>
      <c r="AB177">
        <v>102.11</v>
      </c>
      <c r="AC177">
        <v>0</v>
      </c>
      <c r="AD177">
        <v>0</v>
      </c>
      <c r="AE177">
        <v>0</v>
      </c>
      <c r="AF177">
        <v>7.11</v>
      </c>
      <c r="AG177">
        <v>0</v>
      </c>
      <c r="AH177">
        <v>0</v>
      </c>
      <c r="AI177">
        <v>1</v>
      </c>
      <c r="AJ177">
        <v>13.46</v>
      </c>
      <c r="AK177">
        <v>1</v>
      </c>
      <c r="AL177">
        <v>1</v>
      </c>
      <c r="AM177">
        <v>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1</v>
      </c>
      <c r="AU177" t="s">
        <v>36</v>
      </c>
      <c r="AV177">
        <v>0</v>
      </c>
      <c r="AW177">
        <v>2</v>
      </c>
      <c r="AX177">
        <v>85739682</v>
      </c>
      <c r="AY177">
        <v>1</v>
      </c>
      <c r="AZ177">
        <v>0</v>
      </c>
      <c r="BA177">
        <v>203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f>ROUND(Y177*Source!I79*DO177,9)</f>
        <v>0</v>
      </c>
      <c r="CX177">
        <f>ROUND(Y177*Source!I79,9)</f>
        <v>2.4</v>
      </c>
      <c r="CY177">
        <f>AB177</f>
        <v>102.11</v>
      </c>
      <c r="CZ177">
        <f>AF177</f>
        <v>7.11</v>
      </c>
      <c r="DA177">
        <f>AJ177</f>
        <v>13.46</v>
      </c>
      <c r="DB177">
        <f>ROUND((ROUND(AT177*CZ177,2)*1.2),6)</f>
        <v>8.532</v>
      </c>
      <c r="DC177">
        <f>ROUND((ROUND(AT177*AG177,2)*1.2),6)</f>
        <v>0</v>
      </c>
      <c r="DD177" t="s">
        <v>3</v>
      </c>
      <c r="DE177" t="s">
        <v>3</v>
      </c>
      <c r="DF177">
        <f t="shared" si="52"/>
        <v>0</v>
      </c>
      <c r="DG177">
        <f>ROUND(ROUND(AF177*AJ177,2)*CX177,2)</f>
        <v>229.68</v>
      </c>
      <c r="DH177">
        <f t="shared" si="51"/>
        <v>0</v>
      </c>
      <c r="DI177">
        <f t="shared" si="43"/>
        <v>0</v>
      </c>
      <c r="DJ177">
        <f>DG177</f>
        <v>229.68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ROW(Source!A79)</f>
        <v>79</v>
      </c>
      <c r="B178">
        <v>85739207</v>
      </c>
      <c r="C178">
        <v>85739649</v>
      </c>
      <c r="D178">
        <v>85229932</v>
      </c>
      <c r="E178">
        <v>1</v>
      </c>
      <c r="F178">
        <v>1</v>
      </c>
      <c r="G178">
        <v>1081</v>
      </c>
      <c r="H178">
        <v>2</v>
      </c>
      <c r="I178" t="s">
        <v>482</v>
      </c>
      <c r="J178" t="s">
        <v>483</v>
      </c>
      <c r="K178" t="s">
        <v>484</v>
      </c>
      <c r="L178">
        <v>1368</v>
      </c>
      <c r="N178">
        <v>1011</v>
      </c>
      <c r="O178" t="s">
        <v>478</v>
      </c>
      <c r="P178" t="s">
        <v>478</v>
      </c>
      <c r="Q178">
        <v>1</v>
      </c>
      <c r="W178">
        <v>0</v>
      </c>
      <c r="X178">
        <v>874612079</v>
      </c>
      <c r="Y178">
        <f>(AT178*1.2)</f>
        <v>1.2E-2</v>
      </c>
      <c r="AA178">
        <v>0</v>
      </c>
      <c r="AB178">
        <v>1513.56</v>
      </c>
      <c r="AC178">
        <v>758.78</v>
      </c>
      <c r="AD178">
        <v>0</v>
      </c>
      <c r="AE178">
        <v>0</v>
      </c>
      <c r="AF178">
        <v>83.1</v>
      </c>
      <c r="AG178">
        <v>12.62</v>
      </c>
      <c r="AH178">
        <v>0</v>
      </c>
      <c r="AI178">
        <v>1</v>
      </c>
      <c r="AJ178">
        <v>17.07</v>
      </c>
      <c r="AK178">
        <v>56.35</v>
      </c>
      <c r="AL178">
        <v>1</v>
      </c>
      <c r="AM178">
        <v>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0.01</v>
      </c>
      <c r="AU178" t="s">
        <v>36</v>
      </c>
      <c r="AV178">
        <v>0</v>
      </c>
      <c r="AW178">
        <v>2</v>
      </c>
      <c r="AX178">
        <v>85739683</v>
      </c>
      <c r="AY178">
        <v>1</v>
      </c>
      <c r="AZ178">
        <v>0</v>
      </c>
      <c r="BA178">
        <v>204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f>ROUND(Y178*Source!I79*DO178,9)</f>
        <v>0.30287999999999998</v>
      </c>
      <c r="CX178">
        <f>ROUND(Y178*Source!I79,9)</f>
        <v>2.4E-2</v>
      </c>
      <c r="CY178">
        <f>AB178</f>
        <v>1513.56</v>
      </c>
      <c r="CZ178">
        <f>AF178</f>
        <v>83.1</v>
      </c>
      <c r="DA178">
        <f>AJ178</f>
        <v>17.07</v>
      </c>
      <c r="DB178">
        <f>ROUND((ROUND(AT178*CZ178,2)*1.2),6)</f>
        <v>0.996</v>
      </c>
      <c r="DC178">
        <f>ROUND((ROUND(AT178*AG178,2)*1.2),6)</f>
        <v>0.156</v>
      </c>
      <c r="DD178" t="s">
        <v>3</v>
      </c>
      <c r="DE178" t="s">
        <v>3</v>
      </c>
      <c r="DF178">
        <f t="shared" si="52"/>
        <v>0</v>
      </c>
      <c r="DG178">
        <f>ROUND(ROUND(AF178*AJ178,2)*CX178,2)</f>
        <v>34.04</v>
      </c>
      <c r="DH178">
        <f>ROUND(ROUND(AG178*AK178,2)*CX178,2)</f>
        <v>17.07</v>
      </c>
      <c r="DI178">
        <f t="shared" si="43"/>
        <v>0</v>
      </c>
      <c r="DJ178">
        <f>DG178</f>
        <v>34.04</v>
      </c>
      <c r="DK178">
        <v>0</v>
      </c>
      <c r="DL178" t="s">
        <v>485</v>
      </c>
      <c r="DM178">
        <v>0</v>
      </c>
      <c r="DN178" t="s">
        <v>474</v>
      </c>
      <c r="DO178">
        <v>12.62</v>
      </c>
    </row>
    <row r="179" spans="1:119" x14ac:dyDescent="0.2">
      <c r="A179">
        <f>ROW(Source!A79)</f>
        <v>79</v>
      </c>
      <c r="B179">
        <v>85739207</v>
      </c>
      <c r="C179">
        <v>85739649</v>
      </c>
      <c r="D179">
        <v>85200111</v>
      </c>
      <c r="E179">
        <v>1</v>
      </c>
      <c r="F179">
        <v>1</v>
      </c>
      <c r="G179">
        <v>1081</v>
      </c>
      <c r="H179">
        <v>3</v>
      </c>
      <c r="I179" t="s">
        <v>492</v>
      </c>
      <c r="J179" t="s">
        <v>493</v>
      </c>
      <c r="K179" t="s">
        <v>494</v>
      </c>
      <c r="L179">
        <v>1348</v>
      </c>
      <c r="N179">
        <v>1009</v>
      </c>
      <c r="O179" t="s">
        <v>266</v>
      </c>
      <c r="P179" t="s">
        <v>266</v>
      </c>
      <c r="Q179">
        <v>1000</v>
      </c>
      <c r="W179">
        <v>0</v>
      </c>
      <c r="X179">
        <v>205566664</v>
      </c>
      <c r="Y179">
        <f>(AT179*1)</f>
        <v>3.6000000000000002E-4</v>
      </c>
      <c r="AA179">
        <v>95081.54</v>
      </c>
      <c r="AB179">
        <v>0</v>
      </c>
      <c r="AC179">
        <v>0</v>
      </c>
      <c r="AD179">
        <v>0</v>
      </c>
      <c r="AE179">
        <v>9112.49</v>
      </c>
      <c r="AF179">
        <v>0</v>
      </c>
      <c r="AG179">
        <v>0</v>
      </c>
      <c r="AH179">
        <v>0</v>
      </c>
      <c r="AI179">
        <v>10.15</v>
      </c>
      <c r="AJ179">
        <v>1</v>
      </c>
      <c r="AK179">
        <v>1</v>
      </c>
      <c r="AL179">
        <v>1</v>
      </c>
      <c r="AM179">
        <v>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3.6000000000000002E-4</v>
      </c>
      <c r="AU179" t="s">
        <v>35</v>
      </c>
      <c r="AV179">
        <v>0</v>
      </c>
      <c r="AW179">
        <v>2</v>
      </c>
      <c r="AX179">
        <v>85739684</v>
      </c>
      <c r="AY179">
        <v>1</v>
      </c>
      <c r="AZ179">
        <v>0</v>
      </c>
      <c r="BA179">
        <v>205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ROUND(Y179*Source!I79,9)</f>
        <v>7.2000000000000005E-4</v>
      </c>
      <c r="CY179">
        <f>AA179</f>
        <v>95081.54</v>
      </c>
      <c r="CZ179">
        <f>AE179</f>
        <v>9112.49</v>
      </c>
      <c r="DA179">
        <f>AI179</f>
        <v>10.15</v>
      </c>
      <c r="DB179">
        <f>ROUND((ROUND(AT179*CZ179,2)*1),6)</f>
        <v>3.28</v>
      </c>
      <c r="DC179">
        <f>ROUND((ROUND(AT179*AG179,2)*1),6)</f>
        <v>0</v>
      </c>
      <c r="DD179" t="s">
        <v>3</v>
      </c>
      <c r="DE179" t="s">
        <v>3</v>
      </c>
      <c r="DF179">
        <f>ROUND(ROUND(AE179*AI179,2)*CX179,2)</f>
        <v>66.59</v>
      </c>
      <c r="DG179">
        <f t="shared" ref="DG179:DG191" si="53">ROUND(ROUND(AF179,2)*CX179,2)</f>
        <v>0</v>
      </c>
      <c r="DH179">
        <f t="shared" ref="DH179:DH208" si="54">ROUND(ROUND(AG179,2)*CX179,2)</f>
        <v>0</v>
      </c>
      <c r="DI179">
        <f t="shared" si="43"/>
        <v>0</v>
      </c>
      <c r="DJ179">
        <f>DF179</f>
        <v>66.59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ROW(Source!A79)</f>
        <v>79</v>
      </c>
      <c r="B180">
        <v>85739207</v>
      </c>
      <c r="C180">
        <v>85739649</v>
      </c>
      <c r="D180">
        <v>85200784</v>
      </c>
      <c r="E180">
        <v>1</v>
      </c>
      <c r="F180">
        <v>1</v>
      </c>
      <c r="G180">
        <v>1081</v>
      </c>
      <c r="H180">
        <v>3</v>
      </c>
      <c r="I180" t="s">
        <v>499</v>
      </c>
      <c r="J180" t="s">
        <v>500</v>
      </c>
      <c r="K180" t="s">
        <v>501</v>
      </c>
      <c r="L180">
        <v>1346</v>
      </c>
      <c r="N180">
        <v>1009</v>
      </c>
      <c r="O180" t="s">
        <v>502</v>
      </c>
      <c r="P180" t="s">
        <v>502</v>
      </c>
      <c r="Q180">
        <v>1</v>
      </c>
      <c r="W180">
        <v>0</v>
      </c>
      <c r="X180">
        <v>-2132327540</v>
      </c>
      <c r="Y180">
        <f>(AT180*1)</f>
        <v>7.0000000000000001E-3</v>
      </c>
      <c r="AA180">
        <v>64.760000000000005</v>
      </c>
      <c r="AB180">
        <v>0</v>
      </c>
      <c r="AC180">
        <v>0</v>
      </c>
      <c r="AD180">
        <v>0</v>
      </c>
      <c r="AE180">
        <v>6.25</v>
      </c>
      <c r="AF180">
        <v>0</v>
      </c>
      <c r="AG180">
        <v>0</v>
      </c>
      <c r="AH180">
        <v>0</v>
      </c>
      <c r="AI180">
        <v>10.08</v>
      </c>
      <c r="AJ180">
        <v>1</v>
      </c>
      <c r="AK180">
        <v>1</v>
      </c>
      <c r="AL180">
        <v>1</v>
      </c>
      <c r="AM180">
        <v>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7.0000000000000001E-3</v>
      </c>
      <c r="AU180" t="s">
        <v>35</v>
      </c>
      <c r="AV180">
        <v>0</v>
      </c>
      <c r="AW180">
        <v>2</v>
      </c>
      <c r="AX180">
        <v>85739685</v>
      </c>
      <c r="AY180">
        <v>1</v>
      </c>
      <c r="AZ180">
        <v>0</v>
      </c>
      <c r="BA180">
        <v>206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ROUND(Y180*Source!I79,9)</f>
        <v>1.4E-2</v>
      </c>
      <c r="CY180">
        <f>AA180</f>
        <v>64.760000000000005</v>
      </c>
      <c r="CZ180">
        <f>AE180</f>
        <v>6.25</v>
      </c>
      <c r="DA180">
        <f>AI180</f>
        <v>10.08</v>
      </c>
      <c r="DB180">
        <f>ROUND((ROUND(AT180*CZ180,2)*1),6)</f>
        <v>0.04</v>
      </c>
      <c r="DC180">
        <f>ROUND((ROUND(AT180*AG180,2)*1),6)</f>
        <v>0</v>
      </c>
      <c r="DD180" t="s">
        <v>3</v>
      </c>
      <c r="DE180" t="s">
        <v>3</v>
      </c>
      <c r="DF180">
        <f>ROUND(ROUND(AE180*AI180,2)*CX180,2)</f>
        <v>0.88</v>
      </c>
      <c r="DG180">
        <f t="shared" si="53"/>
        <v>0</v>
      </c>
      <c r="DH180">
        <f t="shared" si="54"/>
        <v>0</v>
      </c>
      <c r="DI180">
        <f t="shared" si="43"/>
        <v>0</v>
      </c>
      <c r="DJ180">
        <f>DF180</f>
        <v>0.88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">
      <c r="A181">
        <f>ROW(Source!A79)</f>
        <v>79</v>
      </c>
      <c r="B181">
        <v>85739207</v>
      </c>
      <c r="C181">
        <v>85739649</v>
      </c>
      <c r="D181">
        <v>85199158</v>
      </c>
      <c r="E181">
        <v>1</v>
      </c>
      <c r="F181">
        <v>1</v>
      </c>
      <c r="G181">
        <v>1081</v>
      </c>
      <c r="H181">
        <v>3</v>
      </c>
      <c r="I181" t="s">
        <v>503</v>
      </c>
      <c r="J181" t="s">
        <v>504</v>
      </c>
      <c r="K181" t="s">
        <v>505</v>
      </c>
      <c r="L181">
        <v>1339</v>
      </c>
      <c r="N181">
        <v>1007</v>
      </c>
      <c r="O181" t="s">
        <v>506</v>
      </c>
      <c r="P181" t="s">
        <v>506</v>
      </c>
      <c r="Q181">
        <v>1</v>
      </c>
      <c r="W181">
        <v>0</v>
      </c>
      <c r="X181">
        <v>-1235260082</v>
      </c>
      <c r="Y181">
        <f>(AT181*1)</f>
        <v>0.03</v>
      </c>
      <c r="AA181">
        <v>104.16</v>
      </c>
      <c r="AB181">
        <v>0</v>
      </c>
      <c r="AC181">
        <v>0</v>
      </c>
      <c r="AD181">
        <v>0</v>
      </c>
      <c r="AE181">
        <v>5.82</v>
      </c>
      <c r="AF181">
        <v>0</v>
      </c>
      <c r="AG181">
        <v>0</v>
      </c>
      <c r="AH181">
        <v>0</v>
      </c>
      <c r="AI181">
        <v>17.41</v>
      </c>
      <c r="AJ181">
        <v>1</v>
      </c>
      <c r="AK181">
        <v>1</v>
      </c>
      <c r="AL181">
        <v>1</v>
      </c>
      <c r="AM181">
        <v>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0.03</v>
      </c>
      <c r="AU181" t="s">
        <v>35</v>
      </c>
      <c r="AV181">
        <v>0</v>
      </c>
      <c r="AW181">
        <v>2</v>
      </c>
      <c r="AX181">
        <v>85739686</v>
      </c>
      <c r="AY181">
        <v>1</v>
      </c>
      <c r="AZ181">
        <v>0</v>
      </c>
      <c r="BA181">
        <v>207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ROUND(Y181*Source!I79,9)</f>
        <v>0.06</v>
      </c>
      <c r="CY181">
        <f>AA181</f>
        <v>104.16</v>
      </c>
      <c r="CZ181">
        <f>AE181</f>
        <v>5.82</v>
      </c>
      <c r="DA181">
        <f>AI181</f>
        <v>17.41</v>
      </c>
      <c r="DB181">
        <f>ROUND((ROUND(AT181*CZ181,2)*1),6)</f>
        <v>0.17</v>
      </c>
      <c r="DC181">
        <f>ROUND((ROUND(AT181*AG181,2)*1),6)</f>
        <v>0</v>
      </c>
      <c r="DD181" t="s">
        <v>3</v>
      </c>
      <c r="DE181" t="s">
        <v>3</v>
      </c>
      <c r="DF181">
        <f>ROUND(ROUND(AE181*AI181,2)*CX181,2)</f>
        <v>6.08</v>
      </c>
      <c r="DG181">
        <f t="shared" si="53"/>
        <v>0</v>
      </c>
      <c r="DH181">
        <f t="shared" si="54"/>
        <v>0</v>
      </c>
      <c r="DI181">
        <f t="shared" si="43"/>
        <v>0</v>
      </c>
      <c r="DJ181">
        <f>DF181</f>
        <v>6.08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ROW(Source!A79)</f>
        <v>79</v>
      </c>
      <c r="B182">
        <v>85739207</v>
      </c>
      <c r="C182">
        <v>85739649</v>
      </c>
      <c r="D182">
        <v>85218072</v>
      </c>
      <c r="E182">
        <v>1</v>
      </c>
      <c r="F182">
        <v>1</v>
      </c>
      <c r="G182">
        <v>1081</v>
      </c>
      <c r="H182">
        <v>3</v>
      </c>
      <c r="I182" t="s">
        <v>156</v>
      </c>
      <c r="J182" t="s">
        <v>158</v>
      </c>
      <c r="K182" t="s">
        <v>157</v>
      </c>
      <c r="L182">
        <v>1354</v>
      </c>
      <c r="N182">
        <v>1010</v>
      </c>
      <c r="O182" t="s">
        <v>99</v>
      </c>
      <c r="P182" t="s">
        <v>99</v>
      </c>
      <c r="Q182">
        <v>1</v>
      </c>
      <c r="W182">
        <v>0</v>
      </c>
      <c r="X182">
        <v>-637601952</v>
      </c>
      <c r="Y182">
        <f>(AT182*1)</f>
        <v>1</v>
      </c>
      <c r="AA182">
        <v>177.7</v>
      </c>
      <c r="AB182">
        <v>0</v>
      </c>
      <c r="AC182">
        <v>0</v>
      </c>
      <c r="AD182">
        <v>0</v>
      </c>
      <c r="AE182">
        <v>38.630000000000003</v>
      </c>
      <c r="AF182">
        <v>0</v>
      </c>
      <c r="AG182">
        <v>0</v>
      </c>
      <c r="AH182">
        <v>0</v>
      </c>
      <c r="AI182">
        <v>4.5999999999999996</v>
      </c>
      <c r="AJ182">
        <v>1</v>
      </c>
      <c r="AK182">
        <v>1</v>
      </c>
      <c r="AL182">
        <v>1</v>
      </c>
      <c r="AM182">
        <v>0</v>
      </c>
      <c r="AN182">
        <v>0</v>
      </c>
      <c r="AO182">
        <v>0</v>
      </c>
      <c r="AP182">
        <v>1</v>
      </c>
      <c r="AQ182">
        <v>0</v>
      </c>
      <c r="AR182">
        <v>0</v>
      </c>
      <c r="AS182" t="s">
        <v>3</v>
      </c>
      <c r="AT182">
        <v>1</v>
      </c>
      <c r="AU182" t="s">
        <v>35</v>
      </c>
      <c r="AV182">
        <v>0</v>
      </c>
      <c r="AW182">
        <v>1</v>
      </c>
      <c r="AX182">
        <v>-1</v>
      </c>
      <c r="AY182">
        <v>0</v>
      </c>
      <c r="AZ182">
        <v>0</v>
      </c>
      <c r="BA182" t="s">
        <v>3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ROUND(Y182*Source!I79,9)</f>
        <v>2</v>
      </c>
      <c r="CY182">
        <f>AA182</f>
        <v>177.7</v>
      </c>
      <c r="CZ182">
        <f>AE182</f>
        <v>38.630000000000003</v>
      </c>
      <c r="DA182">
        <f>AI182</f>
        <v>4.5999999999999996</v>
      </c>
      <c r="DB182">
        <f>ROUND((ROUND(AT182*CZ182,2)*1),6)</f>
        <v>38.630000000000003</v>
      </c>
      <c r="DC182">
        <f>ROUND((ROUND(AT182*AG182,2)*1),6)</f>
        <v>0</v>
      </c>
      <c r="DD182" t="s">
        <v>3</v>
      </c>
      <c r="DE182" t="s">
        <v>3</v>
      </c>
      <c r="DF182">
        <f>ROUND(ROUND(AE182*AI182,2)*CX182,2)</f>
        <v>355.4</v>
      </c>
      <c r="DG182">
        <f t="shared" si="53"/>
        <v>0</v>
      </c>
      <c r="DH182">
        <f t="shared" si="54"/>
        <v>0</v>
      </c>
      <c r="DI182">
        <f t="shared" si="43"/>
        <v>0</v>
      </c>
      <c r="DJ182">
        <f>DF182</f>
        <v>355.4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ROW(Source!A82)</f>
        <v>82</v>
      </c>
      <c r="B183">
        <v>85739205</v>
      </c>
      <c r="C183">
        <v>85739650</v>
      </c>
      <c r="D183">
        <v>85164021</v>
      </c>
      <c r="E183">
        <v>1081</v>
      </c>
      <c r="F183">
        <v>1</v>
      </c>
      <c r="G183">
        <v>1081</v>
      </c>
      <c r="H183">
        <v>1</v>
      </c>
      <c r="I183" t="s">
        <v>472</v>
      </c>
      <c r="J183" t="s">
        <v>3</v>
      </c>
      <c r="K183" t="s">
        <v>473</v>
      </c>
      <c r="L183">
        <v>1191</v>
      </c>
      <c r="N183">
        <v>1013</v>
      </c>
      <c r="O183" t="s">
        <v>474</v>
      </c>
      <c r="P183" t="s">
        <v>474</v>
      </c>
      <c r="Q183">
        <v>1</v>
      </c>
      <c r="W183">
        <v>0</v>
      </c>
      <c r="X183">
        <v>476480486</v>
      </c>
      <c r="Y183">
        <f>(AT183*1.2)</f>
        <v>5.76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-2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4.8</v>
      </c>
      <c r="AU183" t="s">
        <v>36</v>
      </c>
      <c r="AV183">
        <v>1</v>
      </c>
      <c r="AW183">
        <v>2</v>
      </c>
      <c r="AX183">
        <v>85739691</v>
      </c>
      <c r="AY183">
        <v>1</v>
      </c>
      <c r="AZ183">
        <v>0</v>
      </c>
      <c r="BA183">
        <v>209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U183">
        <f>ROUND(AT183*Source!I82*AH183*AL183,2)</f>
        <v>0</v>
      </c>
      <c r="CV183">
        <f>ROUND(Y183*Source!I82,9)</f>
        <v>17.28</v>
      </c>
      <c r="CW183">
        <v>0</v>
      </c>
      <c r="CX183">
        <f>ROUND(Y183*Source!I82,9)</f>
        <v>17.28</v>
      </c>
      <c r="CY183">
        <f>AD183</f>
        <v>0</v>
      </c>
      <c r="CZ183">
        <f>AH183</f>
        <v>0</v>
      </c>
      <c r="DA183">
        <f>AL183</f>
        <v>1</v>
      </c>
      <c r="DB183">
        <f>ROUND((ROUND(AT183*CZ183,2)*1.2),6)</f>
        <v>0</v>
      </c>
      <c r="DC183">
        <f>ROUND((ROUND(AT183*AG183,2)*1.2),6)</f>
        <v>0</v>
      </c>
      <c r="DD183" t="s">
        <v>3</v>
      </c>
      <c r="DE183" t="s">
        <v>3</v>
      </c>
      <c r="DF183">
        <f t="shared" ref="DF183:DF192" si="55">ROUND(ROUND(AE183,2)*CX183,2)</f>
        <v>0</v>
      </c>
      <c r="DG183">
        <f t="shared" si="53"/>
        <v>0</v>
      </c>
      <c r="DH183">
        <f t="shared" si="54"/>
        <v>0</v>
      </c>
      <c r="DI183">
        <f t="shared" si="43"/>
        <v>0</v>
      </c>
      <c r="DJ183">
        <f>DI183</f>
        <v>0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ROW(Source!A82)</f>
        <v>82</v>
      </c>
      <c r="B184">
        <v>85739205</v>
      </c>
      <c r="C184">
        <v>85739650</v>
      </c>
      <c r="D184">
        <v>85229633</v>
      </c>
      <c r="E184">
        <v>1</v>
      </c>
      <c r="F184">
        <v>1</v>
      </c>
      <c r="G184">
        <v>1081</v>
      </c>
      <c r="H184">
        <v>2</v>
      </c>
      <c r="I184" t="s">
        <v>475</v>
      </c>
      <c r="J184" t="s">
        <v>476</v>
      </c>
      <c r="K184" t="s">
        <v>477</v>
      </c>
      <c r="L184">
        <v>1368</v>
      </c>
      <c r="N184">
        <v>1011</v>
      </c>
      <c r="O184" t="s">
        <v>478</v>
      </c>
      <c r="P184" t="s">
        <v>478</v>
      </c>
      <c r="Q184">
        <v>1</v>
      </c>
      <c r="W184">
        <v>0</v>
      </c>
      <c r="X184">
        <v>1498588441</v>
      </c>
      <c r="Y184">
        <f>(AT184*1.2)</f>
        <v>0.63600000000000001</v>
      </c>
      <c r="AA184">
        <v>0</v>
      </c>
      <c r="AB184">
        <v>7.59</v>
      </c>
      <c r="AC184">
        <v>0</v>
      </c>
      <c r="AD184">
        <v>0</v>
      </c>
      <c r="AE184">
        <v>0</v>
      </c>
      <c r="AF184">
        <v>7.11</v>
      </c>
      <c r="AG184">
        <v>0</v>
      </c>
      <c r="AH184">
        <v>0</v>
      </c>
      <c r="AI184">
        <v>1</v>
      </c>
      <c r="AJ184">
        <v>1</v>
      </c>
      <c r="AK184">
        <v>1</v>
      </c>
      <c r="AL184">
        <v>1</v>
      </c>
      <c r="AM184">
        <v>-2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0.53</v>
      </c>
      <c r="AU184" t="s">
        <v>36</v>
      </c>
      <c r="AV184">
        <v>0</v>
      </c>
      <c r="AW184">
        <v>2</v>
      </c>
      <c r="AX184">
        <v>85739692</v>
      </c>
      <c r="AY184">
        <v>1</v>
      </c>
      <c r="AZ184">
        <v>0</v>
      </c>
      <c r="BA184">
        <v>210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f>ROUND(Y184*Source!I82*DO184,9)</f>
        <v>0</v>
      </c>
      <c r="CX184">
        <f>ROUND(Y184*Source!I82,9)</f>
        <v>1.9079999999999999</v>
      </c>
      <c r="CY184">
        <f>AB184</f>
        <v>7.59</v>
      </c>
      <c r="CZ184">
        <f>AF184</f>
        <v>7.11</v>
      </c>
      <c r="DA184">
        <f>AJ184</f>
        <v>1</v>
      </c>
      <c r="DB184">
        <f>ROUND((ROUND(AT184*CZ184,2)*1.2),6)</f>
        <v>4.524</v>
      </c>
      <c r="DC184">
        <f>ROUND((ROUND(AT184*AG184,2)*1.2),6)</f>
        <v>0</v>
      </c>
      <c r="DD184" t="s">
        <v>3</v>
      </c>
      <c r="DE184" t="s">
        <v>3</v>
      </c>
      <c r="DF184">
        <f t="shared" si="55"/>
        <v>0</v>
      </c>
      <c r="DG184">
        <f t="shared" si="53"/>
        <v>13.57</v>
      </c>
      <c r="DH184">
        <f t="shared" si="54"/>
        <v>0</v>
      </c>
      <c r="DI184">
        <f t="shared" si="43"/>
        <v>0</v>
      </c>
      <c r="DJ184">
        <f>DG184</f>
        <v>13.57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ROW(Source!A82)</f>
        <v>82</v>
      </c>
      <c r="B185">
        <v>85739205</v>
      </c>
      <c r="C185">
        <v>85739650</v>
      </c>
      <c r="D185">
        <v>85200098</v>
      </c>
      <c r="E185">
        <v>1</v>
      </c>
      <c r="F185">
        <v>1</v>
      </c>
      <c r="G185">
        <v>1081</v>
      </c>
      <c r="H185">
        <v>3</v>
      </c>
      <c r="I185" t="s">
        <v>540</v>
      </c>
      <c r="J185" t="s">
        <v>541</v>
      </c>
      <c r="K185" t="s">
        <v>542</v>
      </c>
      <c r="L185">
        <v>1346</v>
      </c>
      <c r="N185">
        <v>1009</v>
      </c>
      <c r="O185" t="s">
        <v>502</v>
      </c>
      <c r="P185" t="s">
        <v>502</v>
      </c>
      <c r="Q185">
        <v>1</v>
      </c>
      <c r="W185">
        <v>0</v>
      </c>
      <c r="X185">
        <v>732400950</v>
      </c>
      <c r="Y185">
        <f t="shared" ref="Y185:Y190" si="56">(AT185*1)</f>
        <v>0.56000000000000005</v>
      </c>
      <c r="AA185">
        <v>21.59</v>
      </c>
      <c r="AB185">
        <v>0</v>
      </c>
      <c r="AC185">
        <v>0</v>
      </c>
      <c r="AD185">
        <v>0</v>
      </c>
      <c r="AE185">
        <v>21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-2</v>
      </c>
      <c r="AN185">
        <v>0</v>
      </c>
      <c r="AO185">
        <v>1</v>
      </c>
      <c r="AP185">
        <v>1</v>
      </c>
      <c r="AQ185">
        <v>0</v>
      </c>
      <c r="AR185">
        <v>0</v>
      </c>
      <c r="AS185" t="s">
        <v>3</v>
      </c>
      <c r="AT185">
        <v>0.56000000000000005</v>
      </c>
      <c r="AU185" t="s">
        <v>35</v>
      </c>
      <c r="AV185">
        <v>0</v>
      </c>
      <c r="AW185">
        <v>2</v>
      </c>
      <c r="AX185">
        <v>85739693</v>
      </c>
      <c r="AY185">
        <v>1</v>
      </c>
      <c r="AZ185">
        <v>0</v>
      </c>
      <c r="BA185">
        <v>211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ROUND(Y185*Source!I82,9)</f>
        <v>1.68</v>
      </c>
      <c r="CY185">
        <f t="shared" ref="CY185:CY190" si="57">AA185</f>
        <v>21.59</v>
      </c>
      <c r="CZ185">
        <f t="shared" ref="CZ185:CZ190" si="58">AE185</f>
        <v>21</v>
      </c>
      <c r="DA185">
        <f t="shared" ref="DA185:DA190" si="59">AI185</f>
        <v>1</v>
      </c>
      <c r="DB185">
        <f t="shared" ref="DB185:DB190" si="60">ROUND((ROUND(AT185*CZ185,2)*1),6)</f>
        <v>11.76</v>
      </c>
      <c r="DC185">
        <f t="shared" ref="DC185:DC190" si="61">ROUND((ROUND(AT185*AG185,2)*1),6)</f>
        <v>0</v>
      </c>
      <c r="DD185" t="s">
        <v>3</v>
      </c>
      <c r="DE185" t="s">
        <v>3</v>
      </c>
      <c r="DF185">
        <f t="shared" si="55"/>
        <v>35.28</v>
      </c>
      <c r="DG185">
        <f t="shared" si="53"/>
        <v>0</v>
      </c>
      <c r="DH185">
        <f t="shared" si="54"/>
        <v>0</v>
      </c>
      <c r="DI185">
        <f t="shared" si="43"/>
        <v>0</v>
      </c>
      <c r="DJ185">
        <f t="shared" ref="DJ185:DJ190" si="62">DF185</f>
        <v>35.28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ROW(Source!A82)</f>
        <v>82</v>
      </c>
      <c r="B186">
        <v>85739205</v>
      </c>
      <c r="C186">
        <v>85739650</v>
      </c>
      <c r="D186">
        <v>85198892</v>
      </c>
      <c r="E186">
        <v>1</v>
      </c>
      <c r="F186">
        <v>1</v>
      </c>
      <c r="G186">
        <v>1081</v>
      </c>
      <c r="H186">
        <v>3</v>
      </c>
      <c r="I186" t="s">
        <v>543</v>
      </c>
      <c r="J186" t="s">
        <v>544</v>
      </c>
      <c r="K186" t="s">
        <v>545</v>
      </c>
      <c r="L186">
        <v>1339</v>
      </c>
      <c r="N186">
        <v>1007</v>
      </c>
      <c r="O186" t="s">
        <v>506</v>
      </c>
      <c r="P186" t="s">
        <v>506</v>
      </c>
      <c r="Q186">
        <v>1</v>
      </c>
      <c r="W186">
        <v>0</v>
      </c>
      <c r="X186">
        <v>-676034668</v>
      </c>
      <c r="Y186">
        <f t="shared" si="56"/>
        <v>2.5999999999999999E-2</v>
      </c>
      <c r="AA186">
        <v>54.92</v>
      </c>
      <c r="AB186">
        <v>0</v>
      </c>
      <c r="AC186">
        <v>0</v>
      </c>
      <c r="AD186">
        <v>0</v>
      </c>
      <c r="AE186">
        <v>53.42</v>
      </c>
      <c r="AF186">
        <v>0</v>
      </c>
      <c r="AG186">
        <v>0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-2</v>
      </c>
      <c r="AN186">
        <v>0</v>
      </c>
      <c r="AO186">
        <v>1</v>
      </c>
      <c r="AP186">
        <v>1</v>
      </c>
      <c r="AQ186">
        <v>0</v>
      </c>
      <c r="AR186">
        <v>0</v>
      </c>
      <c r="AS186" t="s">
        <v>3</v>
      </c>
      <c r="AT186">
        <v>2.5999999999999999E-2</v>
      </c>
      <c r="AU186" t="s">
        <v>35</v>
      </c>
      <c r="AV186">
        <v>0</v>
      </c>
      <c r="AW186">
        <v>2</v>
      </c>
      <c r="AX186">
        <v>85739694</v>
      </c>
      <c r="AY186">
        <v>1</v>
      </c>
      <c r="AZ186">
        <v>0</v>
      </c>
      <c r="BA186">
        <v>212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ROUND(Y186*Source!I82,9)</f>
        <v>7.8E-2</v>
      </c>
      <c r="CY186">
        <f t="shared" si="57"/>
        <v>54.92</v>
      </c>
      <c r="CZ186">
        <f t="shared" si="58"/>
        <v>53.42</v>
      </c>
      <c r="DA186">
        <f t="shared" si="59"/>
        <v>1</v>
      </c>
      <c r="DB186">
        <f t="shared" si="60"/>
        <v>1.39</v>
      </c>
      <c r="DC186">
        <f t="shared" si="61"/>
        <v>0</v>
      </c>
      <c r="DD186" t="s">
        <v>3</v>
      </c>
      <c r="DE186" t="s">
        <v>3</v>
      </c>
      <c r="DF186">
        <f t="shared" si="55"/>
        <v>4.17</v>
      </c>
      <c r="DG186">
        <f t="shared" si="53"/>
        <v>0</v>
      </c>
      <c r="DH186">
        <f t="shared" si="54"/>
        <v>0</v>
      </c>
      <c r="DI186">
        <f t="shared" si="43"/>
        <v>0</v>
      </c>
      <c r="DJ186">
        <f t="shared" si="62"/>
        <v>4.17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ROW(Source!A82)</f>
        <v>82</v>
      </c>
      <c r="B187">
        <v>85739205</v>
      </c>
      <c r="C187">
        <v>85739650</v>
      </c>
      <c r="D187">
        <v>85200784</v>
      </c>
      <c r="E187">
        <v>1</v>
      </c>
      <c r="F187">
        <v>1</v>
      </c>
      <c r="G187">
        <v>1081</v>
      </c>
      <c r="H187">
        <v>3</v>
      </c>
      <c r="I187" t="s">
        <v>499</v>
      </c>
      <c r="J187" t="s">
        <v>500</v>
      </c>
      <c r="K187" t="s">
        <v>501</v>
      </c>
      <c r="L187">
        <v>1346</v>
      </c>
      <c r="N187">
        <v>1009</v>
      </c>
      <c r="O187" t="s">
        <v>502</v>
      </c>
      <c r="P187" t="s">
        <v>502</v>
      </c>
      <c r="Q187">
        <v>1</v>
      </c>
      <c r="W187">
        <v>0</v>
      </c>
      <c r="X187">
        <v>-2132327540</v>
      </c>
      <c r="Y187">
        <f t="shared" si="56"/>
        <v>5.0000000000000001E-3</v>
      </c>
      <c r="AA187">
        <v>6.43</v>
      </c>
      <c r="AB187">
        <v>0</v>
      </c>
      <c r="AC187">
        <v>0</v>
      </c>
      <c r="AD187">
        <v>0</v>
      </c>
      <c r="AE187">
        <v>6.25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-2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5.0000000000000001E-3</v>
      </c>
      <c r="AU187" t="s">
        <v>35</v>
      </c>
      <c r="AV187">
        <v>0</v>
      </c>
      <c r="AW187">
        <v>2</v>
      </c>
      <c r="AX187">
        <v>85739695</v>
      </c>
      <c r="AY187">
        <v>1</v>
      </c>
      <c r="AZ187">
        <v>0</v>
      </c>
      <c r="BA187">
        <v>213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V187">
        <v>0</v>
      </c>
      <c r="CW187">
        <v>0</v>
      </c>
      <c r="CX187">
        <f>ROUND(Y187*Source!I82,9)</f>
        <v>1.4999999999999999E-2</v>
      </c>
      <c r="CY187">
        <f t="shared" si="57"/>
        <v>6.43</v>
      </c>
      <c r="CZ187">
        <f t="shared" si="58"/>
        <v>6.25</v>
      </c>
      <c r="DA187">
        <f t="shared" si="59"/>
        <v>1</v>
      </c>
      <c r="DB187">
        <f t="shared" si="60"/>
        <v>0.03</v>
      </c>
      <c r="DC187">
        <f t="shared" si="61"/>
        <v>0</v>
      </c>
      <c r="DD187" t="s">
        <v>3</v>
      </c>
      <c r="DE187" t="s">
        <v>3</v>
      </c>
      <c r="DF187">
        <f t="shared" si="55"/>
        <v>0.09</v>
      </c>
      <c r="DG187">
        <f t="shared" si="53"/>
        <v>0</v>
      </c>
      <c r="DH187">
        <f t="shared" si="54"/>
        <v>0</v>
      </c>
      <c r="DI187">
        <f t="shared" si="43"/>
        <v>0</v>
      </c>
      <c r="DJ187">
        <f t="shared" si="62"/>
        <v>0.09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ROW(Source!A82)</f>
        <v>82</v>
      </c>
      <c r="B188">
        <v>85739205</v>
      </c>
      <c r="C188">
        <v>85739650</v>
      </c>
      <c r="D188">
        <v>85199158</v>
      </c>
      <c r="E188">
        <v>1</v>
      </c>
      <c r="F188">
        <v>1</v>
      </c>
      <c r="G188">
        <v>1081</v>
      </c>
      <c r="H188">
        <v>3</v>
      </c>
      <c r="I188" t="s">
        <v>503</v>
      </c>
      <c r="J188" t="s">
        <v>504</v>
      </c>
      <c r="K188" t="s">
        <v>505</v>
      </c>
      <c r="L188">
        <v>1339</v>
      </c>
      <c r="N188">
        <v>1007</v>
      </c>
      <c r="O188" t="s">
        <v>506</v>
      </c>
      <c r="P188" t="s">
        <v>506</v>
      </c>
      <c r="Q188">
        <v>1</v>
      </c>
      <c r="W188">
        <v>0</v>
      </c>
      <c r="X188">
        <v>-1235260082</v>
      </c>
      <c r="Y188">
        <f t="shared" si="56"/>
        <v>5.1999999999999998E-2</v>
      </c>
      <c r="AA188">
        <v>5.98</v>
      </c>
      <c r="AB188">
        <v>0</v>
      </c>
      <c r="AC188">
        <v>0</v>
      </c>
      <c r="AD188">
        <v>0</v>
      </c>
      <c r="AE188">
        <v>5.82</v>
      </c>
      <c r="AF188">
        <v>0</v>
      </c>
      <c r="AG188">
        <v>0</v>
      </c>
      <c r="AH188">
        <v>0</v>
      </c>
      <c r="AI188">
        <v>1</v>
      </c>
      <c r="AJ188">
        <v>1</v>
      </c>
      <c r="AK188">
        <v>1</v>
      </c>
      <c r="AL188">
        <v>1</v>
      </c>
      <c r="AM188">
        <v>-2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5.1999999999999998E-2</v>
      </c>
      <c r="AU188" t="s">
        <v>35</v>
      </c>
      <c r="AV188">
        <v>0</v>
      </c>
      <c r="AW188">
        <v>2</v>
      </c>
      <c r="AX188">
        <v>85739696</v>
      </c>
      <c r="AY188">
        <v>1</v>
      </c>
      <c r="AZ188">
        <v>0</v>
      </c>
      <c r="BA188">
        <v>214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v>0</v>
      </c>
      <c r="CX188">
        <f>ROUND(Y188*Source!I82,9)</f>
        <v>0.156</v>
      </c>
      <c r="CY188">
        <f t="shared" si="57"/>
        <v>5.98</v>
      </c>
      <c r="CZ188">
        <f t="shared" si="58"/>
        <v>5.82</v>
      </c>
      <c r="DA188">
        <f t="shared" si="59"/>
        <v>1</v>
      </c>
      <c r="DB188">
        <f t="shared" si="60"/>
        <v>0.3</v>
      </c>
      <c r="DC188">
        <f t="shared" si="61"/>
        <v>0</v>
      </c>
      <c r="DD188" t="s">
        <v>3</v>
      </c>
      <c r="DE188" t="s">
        <v>3</v>
      </c>
      <c r="DF188">
        <f t="shared" si="55"/>
        <v>0.91</v>
      </c>
      <c r="DG188">
        <f t="shared" si="53"/>
        <v>0</v>
      </c>
      <c r="DH188">
        <f t="shared" si="54"/>
        <v>0</v>
      </c>
      <c r="DI188">
        <f t="shared" si="43"/>
        <v>0</v>
      </c>
      <c r="DJ188">
        <f t="shared" si="62"/>
        <v>0.91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ROW(Source!A82)</f>
        <v>82</v>
      </c>
      <c r="B189">
        <v>85739205</v>
      </c>
      <c r="C189">
        <v>85739650</v>
      </c>
      <c r="D189">
        <v>85216549</v>
      </c>
      <c r="E189">
        <v>1</v>
      </c>
      <c r="F189">
        <v>1</v>
      </c>
      <c r="G189">
        <v>1081</v>
      </c>
      <c r="H189">
        <v>3</v>
      </c>
      <c r="I189" t="s">
        <v>168</v>
      </c>
      <c r="J189" t="s">
        <v>170</v>
      </c>
      <c r="K189" t="s">
        <v>169</v>
      </c>
      <c r="L189">
        <v>1354</v>
      </c>
      <c r="N189">
        <v>1010</v>
      </c>
      <c r="O189" t="s">
        <v>99</v>
      </c>
      <c r="P189" t="s">
        <v>99</v>
      </c>
      <c r="Q189">
        <v>1</v>
      </c>
      <c r="W189">
        <v>0</v>
      </c>
      <c r="X189">
        <v>-909145995</v>
      </c>
      <c r="Y189">
        <f t="shared" si="56"/>
        <v>0.3333333</v>
      </c>
      <c r="AA189">
        <v>279.67</v>
      </c>
      <c r="AB189">
        <v>0</v>
      </c>
      <c r="AC189">
        <v>0</v>
      </c>
      <c r="AD189">
        <v>0</v>
      </c>
      <c r="AE189">
        <v>279.67</v>
      </c>
      <c r="AF189">
        <v>0</v>
      </c>
      <c r="AG189">
        <v>0</v>
      </c>
      <c r="AH189">
        <v>0</v>
      </c>
      <c r="AI189">
        <v>1</v>
      </c>
      <c r="AJ189">
        <v>1</v>
      </c>
      <c r="AK189">
        <v>1</v>
      </c>
      <c r="AL189">
        <v>1</v>
      </c>
      <c r="AM189">
        <v>0</v>
      </c>
      <c r="AN189">
        <v>0</v>
      </c>
      <c r="AO189">
        <v>0</v>
      </c>
      <c r="AP189">
        <v>1</v>
      </c>
      <c r="AQ189">
        <v>0</v>
      </c>
      <c r="AR189">
        <v>0</v>
      </c>
      <c r="AS189" t="s">
        <v>3</v>
      </c>
      <c r="AT189">
        <v>0.3333333</v>
      </c>
      <c r="AU189" t="s">
        <v>35</v>
      </c>
      <c r="AV189">
        <v>0</v>
      </c>
      <c r="AW189">
        <v>1</v>
      </c>
      <c r="AX189">
        <v>-1</v>
      </c>
      <c r="AY189">
        <v>0</v>
      </c>
      <c r="AZ189">
        <v>0</v>
      </c>
      <c r="BA189" t="s">
        <v>3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v>0</v>
      </c>
      <c r="CX189">
        <f>ROUND(Y189*Source!I82,9)</f>
        <v>0.99999990000000005</v>
      </c>
      <c r="CY189">
        <f t="shared" si="57"/>
        <v>279.67</v>
      </c>
      <c r="CZ189">
        <f t="shared" si="58"/>
        <v>279.67</v>
      </c>
      <c r="DA189">
        <f t="shared" si="59"/>
        <v>1</v>
      </c>
      <c r="DB189">
        <f t="shared" si="60"/>
        <v>93.22</v>
      </c>
      <c r="DC189">
        <f t="shared" si="61"/>
        <v>0</v>
      </c>
      <c r="DD189" t="s">
        <v>3</v>
      </c>
      <c r="DE189" t="s">
        <v>3</v>
      </c>
      <c r="DF189">
        <f t="shared" si="55"/>
        <v>279.67</v>
      </c>
      <c r="DG189">
        <f t="shared" si="53"/>
        <v>0</v>
      </c>
      <c r="DH189">
        <f t="shared" si="54"/>
        <v>0</v>
      </c>
      <c r="DI189">
        <f t="shared" si="43"/>
        <v>0</v>
      </c>
      <c r="DJ189">
        <f t="shared" si="62"/>
        <v>279.67</v>
      </c>
      <c r="DK189">
        <v>0</v>
      </c>
      <c r="DL189" t="s">
        <v>3</v>
      </c>
      <c r="DM189">
        <v>0</v>
      </c>
      <c r="DN189" t="s">
        <v>3</v>
      </c>
      <c r="DO189">
        <v>0</v>
      </c>
    </row>
    <row r="190" spans="1:119" x14ac:dyDescent="0.2">
      <c r="A190">
        <f>ROW(Source!A82)</f>
        <v>82</v>
      </c>
      <c r="B190">
        <v>85739205</v>
      </c>
      <c r="C190">
        <v>85739650</v>
      </c>
      <c r="D190">
        <v>85216846</v>
      </c>
      <c r="E190">
        <v>1</v>
      </c>
      <c r="F190">
        <v>1</v>
      </c>
      <c r="G190">
        <v>1081</v>
      </c>
      <c r="H190">
        <v>3</v>
      </c>
      <c r="I190" t="s">
        <v>164</v>
      </c>
      <c r="J190" t="s">
        <v>166</v>
      </c>
      <c r="K190" t="s">
        <v>165</v>
      </c>
      <c r="L190">
        <v>1354</v>
      </c>
      <c r="N190">
        <v>1010</v>
      </c>
      <c r="O190" t="s">
        <v>99</v>
      </c>
      <c r="P190" t="s">
        <v>99</v>
      </c>
      <c r="Q190">
        <v>1</v>
      </c>
      <c r="W190">
        <v>0</v>
      </c>
      <c r="X190">
        <v>698410904</v>
      </c>
      <c r="Y190">
        <f t="shared" si="56"/>
        <v>0.66666669999999995</v>
      </c>
      <c r="AA190">
        <v>139.83000000000001</v>
      </c>
      <c r="AB190">
        <v>0</v>
      </c>
      <c r="AC190">
        <v>0</v>
      </c>
      <c r="AD190">
        <v>0</v>
      </c>
      <c r="AE190">
        <v>139.83000000000001</v>
      </c>
      <c r="AF190">
        <v>0</v>
      </c>
      <c r="AG190">
        <v>0</v>
      </c>
      <c r="AH190">
        <v>0</v>
      </c>
      <c r="AI190">
        <v>1</v>
      </c>
      <c r="AJ190">
        <v>1</v>
      </c>
      <c r="AK190">
        <v>1</v>
      </c>
      <c r="AL190">
        <v>1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 t="s">
        <v>3</v>
      </c>
      <c r="AT190">
        <v>0.66666669999999995</v>
      </c>
      <c r="AU190" t="s">
        <v>35</v>
      </c>
      <c r="AV190">
        <v>0</v>
      </c>
      <c r="AW190">
        <v>1</v>
      </c>
      <c r="AX190">
        <v>-1</v>
      </c>
      <c r="AY190">
        <v>0</v>
      </c>
      <c r="AZ190">
        <v>0</v>
      </c>
      <c r="BA190" t="s">
        <v>3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v>0</v>
      </c>
      <c r="CX190">
        <f>ROUND(Y190*Source!I82,9)</f>
        <v>2.0000000999999998</v>
      </c>
      <c r="CY190">
        <f t="shared" si="57"/>
        <v>139.83000000000001</v>
      </c>
      <c r="CZ190">
        <f t="shared" si="58"/>
        <v>139.83000000000001</v>
      </c>
      <c r="DA190">
        <f t="shared" si="59"/>
        <v>1</v>
      </c>
      <c r="DB190">
        <f t="shared" si="60"/>
        <v>93.22</v>
      </c>
      <c r="DC190">
        <f t="shared" si="61"/>
        <v>0</v>
      </c>
      <c r="DD190" t="s">
        <v>3</v>
      </c>
      <c r="DE190" t="s">
        <v>3</v>
      </c>
      <c r="DF190">
        <f t="shared" si="55"/>
        <v>279.66000000000003</v>
      </c>
      <c r="DG190">
        <f t="shared" si="53"/>
        <v>0</v>
      </c>
      <c r="DH190">
        <f t="shared" si="54"/>
        <v>0</v>
      </c>
      <c r="DI190">
        <f t="shared" si="43"/>
        <v>0</v>
      </c>
      <c r="DJ190">
        <f t="shared" si="62"/>
        <v>279.66000000000003</v>
      </c>
      <c r="DK190">
        <v>0</v>
      </c>
      <c r="DL190" t="s">
        <v>3</v>
      </c>
      <c r="DM190">
        <v>0</v>
      </c>
      <c r="DN190" t="s">
        <v>3</v>
      </c>
      <c r="DO190">
        <v>0</v>
      </c>
    </row>
    <row r="191" spans="1:119" x14ac:dyDescent="0.2">
      <c r="A191">
        <f>ROW(Source!A83)</f>
        <v>83</v>
      </c>
      <c r="B191">
        <v>85739207</v>
      </c>
      <c r="C191">
        <v>85739650</v>
      </c>
      <c r="D191">
        <v>85164021</v>
      </c>
      <c r="E191">
        <v>1081</v>
      </c>
      <c r="F191">
        <v>1</v>
      </c>
      <c r="G191">
        <v>1081</v>
      </c>
      <c r="H191">
        <v>1</v>
      </c>
      <c r="I191" t="s">
        <v>472</v>
      </c>
      <c r="J191" t="s">
        <v>3</v>
      </c>
      <c r="K191" t="s">
        <v>473</v>
      </c>
      <c r="L191">
        <v>1191</v>
      </c>
      <c r="N191">
        <v>1013</v>
      </c>
      <c r="O191" t="s">
        <v>474</v>
      </c>
      <c r="P191" t="s">
        <v>474</v>
      </c>
      <c r="Q191">
        <v>1</v>
      </c>
      <c r="W191">
        <v>0</v>
      </c>
      <c r="X191">
        <v>476480486</v>
      </c>
      <c r="Y191">
        <f>(AT191*1.2)</f>
        <v>5.76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1</v>
      </c>
      <c r="AK191">
        <v>1</v>
      </c>
      <c r="AL191">
        <v>1</v>
      </c>
      <c r="AM191">
        <v>5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4.8</v>
      </c>
      <c r="AU191" t="s">
        <v>36</v>
      </c>
      <c r="AV191">
        <v>1</v>
      </c>
      <c r="AW191">
        <v>2</v>
      </c>
      <c r="AX191">
        <v>85739691</v>
      </c>
      <c r="AY191">
        <v>1</v>
      </c>
      <c r="AZ191">
        <v>0</v>
      </c>
      <c r="BA191">
        <v>216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U191">
        <f>ROUND(AT191*Source!I83*AH191*AL191,2)</f>
        <v>0</v>
      </c>
      <c r="CV191">
        <f>ROUND(Y191*Source!I83,9)</f>
        <v>17.28</v>
      </c>
      <c r="CW191">
        <v>0</v>
      </c>
      <c r="CX191">
        <f>ROUND(Y191*Source!I83,9)</f>
        <v>17.28</v>
      </c>
      <c r="CY191">
        <f>AD191</f>
        <v>0</v>
      </c>
      <c r="CZ191">
        <f>AH191</f>
        <v>0</v>
      </c>
      <c r="DA191">
        <f>AL191</f>
        <v>1</v>
      </c>
      <c r="DB191">
        <f>ROUND((ROUND(AT191*CZ191,2)*1.2),6)</f>
        <v>0</v>
      </c>
      <c r="DC191">
        <f>ROUND((ROUND(AT191*AG191,2)*1.2),6)</f>
        <v>0</v>
      </c>
      <c r="DD191" t="s">
        <v>3</v>
      </c>
      <c r="DE191" t="s">
        <v>3</v>
      </c>
      <c r="DF191">
        <f t="shared" si="55"/>
        <v>0</v>
      </c>
      <c r="DG191">
        <f t="shared" si="53"/>
        <v>0</v>
      </c>
      <c r="DH191">
        <f t="shared" si="54"/>
        <v>0</v>
      </c>
      <c r="DI191">
        <f t="shared" si="43"/>
        <v>0</v>
      </c>
      <c r="DJ191">
        <f>DI191</f>
        <v>0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ROW(Source!A83)</f>
        <v>83</v>
      </c>
      <c r="B192">
        <v>85739207</v>
      </c>
      <c r="C192">
        <v>85739650</v>
      </c>
      <c r="D192">
        <v>85229633</v>
      </c>
      <c r="E192">
        <v>1</v>
      </c>
      <c r="F192">
        <v>1</v>
      </c>
      <c r="G192">
        <v>1081</v>
      </c>
      <c r="H192">
        <v>2</v>
      </c>
      <c r="I192" t="s">
        <v>475</v>
      </c>
      <c r="J192" t="s">
        <v>476</v>
      </c>
      <c r="K192" t="s">
        <v>477</v>
      </c>
      <c r="L192">
        <v>1368</v>
      </c>
      <c r="N192">
        <v>1011</v>
      </c>
      <c r="O192" t="s">
        <v>478</v>
      </c>
      <c r="P192" t="s">
        <v>478</v>
      </c>
      <c r="Q192">
        <v>1</v>
      </c>
      <c r="W192">
        <v>0</v>
      </c>
      <c r="X192">
        <v>1498588441</v>
      </c>
      <c r="Y192">
        <f>(AT192*1.2)</f>
        <v>0.63600000000000001</v>
      </c>
      <c r="AA192">
        <v>0</v>
      </c>
      <c r="AB192">
        <v>102.11</v>
      </c>
      <c r="AC192">
        <v>0</v>
      </c>
      <c r="AD192">
        <v>0</v>
      </c>
      <c r="AE192">
        <v>0</v>
      </c>
      <c r="AF192">
        <v>7.11</v>
      </c>
      <c r="AG192">
        <v>0</v>
      </c>
      <c r="AH192">
        <v>0</v>
      </c>
      <c r="AI192">
        <v>1</v>
      </c>
      <c r="AJ192">
        <v>13.46</v>
      </c>
      <c r="AK192">
        <v>1</v>
      </c>
      <c r="AL192">
        <v>1</v>
      </c>
      <c r="AM192">
        <v>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0.53</v>
      </c>
      <c r="AU192" t="s">
        <v>36</v>
      </c>
      <c r="AV192">
        <v>0</v>
      </c>
      <c r="AW192">
        <v>2</v>
      </c>
      <c r="AX192">
        <v>85739692</v>
      </c>
      <c r="AY192">
        <v>1</v>
      </c>
      <c r="AZ192">
        <v>0</v>
      </c>
      <c r="BA192">
        <v>217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f>ROUND(Y192*Source!I83*DO192,9)</f>
        <v>0</v>
      </c>
      <c r="CX192">
        <f>ROUND(Y192*Source!I83,9)</f>
        <v>1.9079999999999999</v>
      </c>
      <c r="CY192">
        <f>AB192</f>
        <v>102.11</v>
      </c>
      <c r="CZ192">
        <f>AF192</f>
        <v>7.11</v>
      </c>
      <c r="DA192">
        <f>AJ192</f>
        <v>13.46</v>
      </c>
      <c r="DB192">
        <f>ROUND((ROUND(AT192*CZ192,2)*1.2),6)</f>
        <v>4.524</v>
      </c>
      <c r="DC192">
        <f>ROUND((ROUND(AT192*AG192,2)*1.2),6)</f>
        <v>0</v>
      </c>
      <c r="DD192" t="s">
        <v>3</v>
      </c>
      <c r="DE192" t="s">
        <v>3</v>
      </c>
      <c r="DF192">
        <f t="shared" si="55"/>
        <v>0</v>
      </c>
      <c r="DG192">
        <f>ROUND(ROUND(AF192*AJ192,2)*CX192,2)</f>
        <v>182.6</v>
      </c>
      <c r="DH192">
        <f t="shared" si="54"/>
        <v>0</v>
      </c>
      <c r="DI192">
        <f t="shared" si="43"/>
        <v>0</v>
      </c>
      <c r="DJ192">
        <f>DG192</f>
        <v>182.6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ROW(Source!A83)</f>
        <v>83</v>
      </c>
      <c r="B193">
        <v>85739207</v>
      </c>
      <c r="C193">
        <v>85739650</v>
      </c>
      <c r="D193">
        <v>85200098</v>
      </c>
      <c r="E193">
        <v>1</v>
      </c>
      <c r="F193">
        <v>1</v>
      </c>
      <c r="G193">
        <v>1081</v>
      </c>
      <c r="H193">
        <v>3</v>
      </c>
      <c r="I193" t="s">
        <v>540</v>
      </c>
      <c r="J193" t="s">
        <v>541</v>
      </c>
      <c r="K193" t="s">
        <v>542</v>
      </c>
      <c r="L193">
        <v>1346</v>
      </c>
      <c r="N193">
        <v>1009</v>
      </c>
      <c r="O193" t="s">
        <v>502</v>
      </c>
      <c r="P193" t="s">
        <v>502</v>
      </c>
      <c r="Q193">
        <v>1</v>
      </c>
      <c r="W193">
        <v>0</v>
      </c>
      <c r="X193">
        <v>732400950</v>
      </c>
      <c r="Y193">
        <f t="shared" ref="Y193:Y198" si="63">(AT193*1)</f>
        <v>0.56000000000000005</v>
      </c>
      <c r="AA193">
        <v>94.12</v>
      </c>
      <c r="AB193">
        <v>0</v>
      </c>
      <c r="AC193">
        <v>0</v>
      </c>
      <c r="AD193">
        <v>0</v>
      </c>
      <c r="AE193">
        <v>21</v>
      </c>
      <c r="AF193">
        <v>0</v>
      </c>
      <c r="AG193">
        <v>0</v>
      </c>
      <c r="AH193">
        <v>0</v>
      </c>
      <c r="AI193">
        <v>4.3600000000000003</v>
      </c>
      <c r="AJ193">
        <v>1</v>
      </c>
      <c r="AK193">
        <v>1</v>
      </c>
      <c r="AL193">
        <v>1</v>
      </c>
      <c r="AM193">
        <v>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0.56000000000000005</v>
      </c>
      <c r="AU193" t="s">
        <v>35</v>
      </c>
      <c r="AV193">
        <v>0</v>
      </c>
      <c r="AW193">
        <v>2</v>
      </c>
      <c r="AX193">
        <v>85739693</v>
      </c>
      <c r="AY193">
        <v>1</v>
      </c>
      <c r="AZ193">
        <v>0</v>
      </c>
      <c r="BA193">
        <v>218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ROUND(Y193*Source!I83,9)</f>
        <v>1.68</v>
      </c>
      <c r="CY193">
        <f t="shared" ref="CY193:CY198" si="64">AA193</f>
        <v>94.12</v>
      </c>
      <c r="CZ193">
        <f t="shared" ref="CZ193:CZ198" si="65">AE193</f>
        <v>21</v>
      </c>
      <c r="DA193">
        <f t="shared" ref="DA193:DA198" si="66">AI193</f>
        <v>4.3600000000000003</v>
      </c>
      <c r="DB193">
        <f t="shared" ref="DB193:DB198" si="67">ROUND((ROUND(AT193*CZ193,2)*1),6)</f>
        <v>11.76</v>
      </c>
      <c r="DC193">
        <f t="shared" ref="DC193:DC198" si="68">ROUND((ROUND(AT193*AG193,2)*1),6)</f>
        <v>0</v>
      </c>
      <c r="DD193" t="s">
        <v>3</v>
      </c>
      <c r="DE193" t="s">
        <v>3</v>
      </c>
      <c r="DF193">
        <f t="shared" ref="DF193:DF198" si="69">ROUND(ROUND(AE193*AI193,2)*CX193,2)</f>
        <v>153.82</v>
      </c>
      <c r="DG193">
        <f t="shared" ref="DG193:DG208" si="70">ROUND(ROUND(AF193,2)*CX193,2)</f>
        <v>0</v>
      </c>
      <c r="DH193">
        <f t="shared" si="54"/>
        <v>0</v>
      </c>
      <c r="DI193">
        <f t="shared" ref="DI193:DI256" si="71">ROUND(ROUND(AH193,2)*CX193,2)</f>
        <v>0</v>
      </c>
      <c r="DJ193">
        <f t="shared" ref="DJ193:DJ198" si="72">DF193</f>
        <v>153.82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ROW(Source!A83)</f>
        <v>83</v>
      </c>
      <c r="B194">
        <v>85739207</v>
      </c>
      <c r="C194">
        <v>85739650</v>
      </c>
      <c r="D194">
        <v>85198892</v>
      </c>
      <c r="E194">
        <v>1</v>
      </c>
      <c r="F194">
        <v>1</v>
      </c>
      <c r="G194">
        <v>1081</v>
      </c>
      <c r="H194">
        <v>3</v>
      </c>
      <c r="I194" t="s">
        <v>543</v>
      </c>
      <c r="J194" t="s">
        <v>544</v>
      </c>
      <c r="K194" t="s">
        <v>545</v>
      </c>
      <c r="L194">
        <v>1339</v>
      </c>
      <c r="N194">
        <v>1007</v>
      </c>
      <c r="O194" t="s">
        <v>506</v>
      </c>
      <c r="P194" t="s">
        <v>506</v>
      </c>
      <c r="Q194">
        <v>1</v>
      </c>
      <c r="W194">
        <v>0</v>
      </c>
      <c r="X194">
        <v>-676034668</v>
      </c>
      <c r="Y194">
        <f t="shared" si="63"/>
        <v>2.5999999999999999E-2</v>
      </c>
      <c r="AA194">
        <v>781.45</v>
      </c>
      <c r="AB194">
        <v>0</v>
      </c>
      <c r="AC194">
        <v>0</v>
      </c>
      <c r="AD194">
        <v>0</v>
      </c>
      <c r="AE194">
        <v>53.42</v>
      </c>
      <c r="AF194">
        <v>0</v>
      </c>
      <c r="AG194">
        <v>0</v>
      </c>
      <c r="AH194">
        <v>0</v>
      </c>
      <c r="AI194">
        <v>14.23</v>
      </c>
      <c r="AJ194">
        <v>1</v>
      </c>
      <c r="AK194">
        <v>1</v>
      </c>
      <c r="AL194">
        <v>1</v>
      </c>
      <c r="AM194">
        <v>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2.5999999999999999E-2</v>
      </c>
      <c r="AU194" t="s">
        <v>35</v>
      </c>
      <c r="AV194">
        <v>0</v>
      </c>
      <c r="AW194">
        <v>2</v>
      </c>
      <c r="AX194">
        <v>85739694</v>
      </c>
      <c r="AY194">
        <v>1</v>
      </c>
      <c r="AZ194">
        <v>0</v>
      </c>
      <c r="BA194">
        <v>219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ROUND(Y194*Source!I83,9)</f>
        <v>7.8E-2</v>
      </c>
      <c r="CY194">
        <f t="shared" si="64"/>
        <v>781.45</v>
      </c>
      <c r="CZ194">
        <f t="shared" si="65"/>
        <v>53.42</v>
      </c>
      <c r="DA194">
        <f t="shared" si="66"/>
        <v>14.23</v>
      </c>
      <c r="DB194">
        <f t="shared" si="67"/>
        <v>1.39</v>
      </c>
      <c r="DC194">
        <f t="shared" si="68"/>
        <v>0</v>
      </c>
      <c r="DD194" t="s">
        <v>3</v>
      </c>
      <c r="DE194" t="s">
        <v>3</v>
      </c>
      <c r="DF194">
        <f t="shared" si="69"/>
        <v>59.29</v>
      </c>
      <c r="DG194">
        <f t="shared" si="70"/>
        <v>0</v>
      </c>
      <c r="DH194">
        <f t="shared" si="54"/>
        <v>0</v>
      </c>
      <c r="DI194">
        <f t="shared" si="71"/>
        <v>0</v>
      </c>
      <c r="DJ194">
        <f t="shared" si="72"/>
        <v>59.29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ROW(Source!A83)</f>
        <v>83</v>
      </c>
      <c r="B195">
        <v>85739207</v>
      </c>
      <c r="C195">
        <v>85739650</v>
      </c>
      <c r="D195">
        <v>85200784</v>
      </c>
      <c r="E195">
        <v>1</v>
      </c>
      <c r="F195">
        <v>1</v>
      </c>
      <c r="G195">
        <v>1081</v>
      </c>
      <c r="H195">
        <v>3</v>
      </c>
      <c r="I195" t="s">
        <v>499</v>
      </c>
      <c r="J195" t="s">
        <v>500</v>
      </c>
      <c r="K195" t="s">
        <v>501</v>
      </c>
      <c r="L195">
        <v>1346</v>
      </c>
      <c r="N195">
        <v>1009</v>
      </c>
      <c r="O195" t="s">
        <v>502</v>
      </c>
      <c r="P195" t="s">
        <v>502</v>
      </c>
      <c r="Q195">
        <v>1</v>
      </c>
      <c r="W195">
        <v>0</v>
      </c>
      <c r="X195">
        <v>-2132327540</v>
      </c>
      <c r="Y195">
        <f t="shared" si="63"/>
        <v>5.0000000000000001E-3</v>
      </c>
      <c r="AA195">
        <v>64.760000000000005</v>
      </c>
      <c r="AB195">
        <v>0</v>
      </c>
      <c r="AC195">
        <v>0</v>
      </c>
      <c r="AD195">
        <v>0</v>
      </c>
      <c r="AE195">
        <v>6.25</v>
      </c>
      <c r="AF195">
        <v>0</v>
      </c>
      <c r="AG195">
        <v>0</v>
      </c>
      <c r="AH195">
        <v>0</v>
      </c>
      <c r="AI195">
        <v>10.08</v>
      </c>
      <c r="AJ195">
        <v>1</v>
      </c>
      <c r="AK195">
        <v>1</v>
      </c>
      <c r="AL195">
        <v>1</v>
      </c>
      <c r="AM195">
        <v>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5.0000000000000001E-3</v>
      </c>
      <c r="AU195" t="s">
        <v>35</v>
      </c>
      <c r="AV195">
        <v>0</v>
      </c>
      <c r="AW195">
        <v>2</v>
      </c>
      <c r="AX195">
        <v>85739695</v>
      </c>
      <c r="AY195">
        <v>1</v>
      </c>
      <c r="AZ195">
        <v>0</v>
      </c>
      <c r="BA195">
        <v>220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ROUND(Y195*Source!I83,9)</f>
        <v>1.4999999999999999E-2</v>
      </c>
      <c r="CY195">
        <f t="shared" si="64"/>
        <v>64.760000000000005</v>
      </c>
      <c r="CZ195">
        <f t="shared" si="65"/>
        <v>6.25</v>
      </c>
      <c r="DA195">
        <f t="shared" si="66"/>
        <v>10.08</v>
      </c>
      <c r="DB195">
        <f t="shared" si="67"/>
        <v>0.03</v>
      </c>
      <c r="DC195">
        <f t="shared" si="68"/>
        <v>0</v>
      </c>
      <c r="DD195" t="s">
        <v>3</v>
      </c>
      <c r="DE195" t="s">
        <v>3</v>
      </c>
      <c r="DF195">
        <f t="shared" si="69"/>
        <v>0.95</v>
      </c>
      <c r="DG195">
        <f t="shared" si="70"/>
        <v>0</v>
      </c>
      <c r="DH195">
        <f t="shared" si="54"/>
        <v>0</v>
      </c>
      <c r="DI195">
        <f t="shared" si="71"/>
        <v>0</v>
      </c>
      <c r="DJ195">
        <f t="shared" si="72"/>
        <v>0.95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ROW(Source!A83)</f>
        <v>83</v>
      </c>
      <c r="B196">
        <v>85739207</v>
      </c>
      <c r="C196">
        <v>85739650</v>
      </c>
      <c r="D196">
        <v>85199158</v>
      </c>
      <c r="E196">
        <v>1</v>
      </c>
      <c r="F196">
        <v>1</v>
      </c>
      <c r="G196">
        <v>1081</v>
      </c>
      <c r="H196">
        <v>3</v>
      </c>
      <c r="I196" t="s">
        <v>503</v>
      </c>
      <c r="J196" t="s">
        <v>504</v>
      </c>
      <c r="K196" t="s">
        <v>505</v>
      </c>
      <c r="L196">
        <v>1339</v>
      </c>
      <c r="N196">
        <v>1007</v>
      </c>
      <c r="O196" t="s">
        <v>506</v>
      </c>
      <c r="P196" t="s">
        <v>506</v>
      </c>
      <c r="Q196">
        <v>1</v>
      </c>
      <c r="W196">
        <v>0</v>
      </c>
      <c r="X196">
        <v>-1235260082</v>
      </c>
      <c r="Y196">
        <f t="shared" si="63"/>
        <v>5.1999999999999998E-2</v>
      </c>
      <c r="AA196">
        <v>104.16</v>
      </c>
      <c r="AB196">
        <v>0</v>
      </c>
      <c r="AC196">
        <v>0</v>
      </c>
      <c r="AD196">
        <v>0</v>
      </c>
      <c r="AE196">
        <v>5.82</v>
      </c>
      <c r="AF196">
        <v>0</v>
      </c>
      <c r="AG196">
        <v>0</v>
      </c>
      <c r="AH196">
        <v>0</v>
      </c>
      <c r="AI196">
        <v>17.41</v>
      </c>
      <c r="AJ196">
        <v>1</v>
      </c>
      <c r="AK196">
        <v>1</v>
      </c>
      <c r="AL196">
        <v>1</v>
      </c>
      <c r="AM196">
        <v>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5.1999999999999998E-2</v>
      </c>
      <c r="AU196" t="s">
        <v>35</v>
      </c>
      <c r="AV196">
        <v>0</v>
      </c>
      <c r="AW196">
        <v>2</v>
      </c>
      <c r="AX196">
        <v>85739696</v>
      </c>
      <c r="AY196">
        <v>1</v>
      </c>
      <c r="AZ196">
        <v>0</v>
      </c>
      <c r="BA196">
        <v>221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ROUND(Y196*Source!I83,9)</f>
        <v>0.156</v>
      </c>
      <c r="CY196">
        <f t="shared" si="64"/>
        <v>104.16</v>
      </c>
      <c r="CZ196">
        <f t="shared" si="65"/>
        <v>5.82</v>
      </c>
      <c r="DA196">
        <f t="shared" si="66"/>
        <v>17.41</v>
      </c>
      <c r="DB196">
        <f t="shared" si="67"/>
        <v>0.3</v>
      </c>
      <c r="DC196">
        <f t="shared" si="68"/>
        <v>0</v>
      </c>
      <c r="DD196" t="s">
        <v>3</v>
      </c>
      <c r="DE196" t="s">
        <v>3</v>
      </c>
      <c r="DF196">
        <f t="shared" si="69"/>
        <v>15.81</v>
      </c>
      <c r="DG196">
        <f t="shared" si="70"/>
        <v>0</v>
      </c>
      <c r="DH196">
        <f t="shared" si="54"/>
        <v>0</v>
      </c>
      <c r="DI196">
        <f t="shared" si="71"/>
        <v>0</v>
      </c>
      <c r="DJ196">
        <f t="shared" si="72"/>
        <v>15.81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ROW(Source!A83)</f>
        <v>83</v>
      </c>
      <c r="B197">
        <v>85739207</v>
      </c>
      <c r="C197">
        <v>85739650</v>
      </c>
      <c r="D197">
        <v>85216549</v>
      </c>
      <c r="E197">
        <v>1</v>
      </c>
      <c r="F197">
        <v>1</v>
      </c>
      <c r="G197">
        <v>1081</v>
      </c>
      <c r="H197">
        <v>3</v>
      </c>
      <c r="I197" t="s">
        <v>168</v>
      </c>
      <c r="J197" t="s">
        <v>170</v>
      </c>
      <c r="K197" t="s">
        <v>169</v>
      </c>
      <c r="L197">
        <v>1354</v>
      </c>
      <c r="N197">
        <v>1010</v>
      </c>
      <c r="O197" t="s">
        <v>99</v>
      </c>
      <c r="P197" t="s">
        <v>99</v>
      </c>
      <c r="Q197">
        <v>1</v>
      </c>
      <c r="W197">
        <v>0</v>
      </c>
      <c r="X197">
        <v>-909145995</v>
      </c>
      <c r="Y197">
        <f t="shared" si="63"/>
        <v>0.3333333</v>
      </c>
      <c r="AA197">
        <v>738.33</v>
      </c>
      <c r="AB197">
        <v>0</v>
      </c>
      <c r="AC197">
        <v>0</v>
      </c>
      <c r="AD197">
        <v>0</v>
      </c>
      <c r="AE197">
        <v>279.67</v>
      </c>
      <c r="AF197">
        <v>0</v>
      </c>
      <c r="AG197">
        <v>0</v>
      </c>
      <c r="AH197">
        <v>0</v>
      </c>
      <c r="AI197">
        <v>2.64</v>
      </c>
      <c r="AJ197">
        <v>1</v>
      </c>
      <c r="AK197">
        <v>1</v>
      </c>
      <c r="AL197">
        <v>1</v>
      </c>
      <c r="AM197">
        <v>0</v>
      </c>
      <c r="AN197">
        <v>0</v>
      </c>
      <c r="AO197">
        <v>0</v>
      </c>
      <c r="AP197">
        <v>1</v>
      </c>
      <c r="AQ197">
        <v>0</v>
      </c>
      <c r="AR197">
        <v>0</v>
      </c>
      <c r="AS197" t="s">
        <v>3</v>
      </c>
      <c r="AT197">
        <v>0.3333333</v>
      </c>
      <c r="AU197" t="s">
        <v>35</v>
      </c>
      <c r="AV197">
        <v>0</v>
      </c>
      <c r="AW197">
        <v>1</v>
      </c>
      <c r="AX197">
        <v>-1</v>
      </c>
      <c r="AY197">
        <v>0</v>
      </c>
      <c r="AZ197">
        <v>0</v>
      </c>
      <c r="BA197" t="s">
        <v>3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ROUND(Y197*Source!I83,9)</f>
        <v>0.99999990000000005</v>
      </c>
      <c r="CY197">
        <f t="shared" si="64"/>
        <v>738.33</v>
      </c>
      <c r="CZ197">
        <f t="shared" si="65"/>
        <v>279.67</v>
      </c>
      <c r="DA197">
        <f t="shared" si="66"/>
        <v>2.64</v>
      </c>
      <c r="DB197">
        <f t="shared" si="67"/>
        <v>93.22</v>
      </c>
      <c r="DC197">
        <f t="shared" si="68"/>
        <v>0</v>
      </c>
      <c r="DD197" t="s">
        <v>3</v>
      </c>
      <c r="DE197" t="s">
        <v>3</v>
      </c>
      <c r="DF197">
        <f t="shared" si="69"/>
        <v>738.33</v>
      </c>
      <c r="DG197">
        <f t="shared" si="70"/>
        <v>0</v>
      </c>
      <c r="DH197">
        <f t="shared" si="54"/>
        <v>0</v>
      </c>
      <c r="DI197">
        <f t="shared" si="71"/>
        <v>0</v>
      </c>
      <c r="DJ197">
        <f t="shared" si="72"/>
        <v>738.33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ROW(Source!A83)</f>
        <v>83</v>
      </c>
      <c r="B198">
        <v>85739207</v>
      </c>
      <c r="C198">
        <v>85739650</v>
      </c>
      <c r="D198">
        <v>85216846</v>
      </c>
      <c r="E198">
        <v>1</v>
      </c>
      <c r="F198">
        <v>1</v>
      </c>
      <c r="G198">
        <v>1081</v>
      </c>
      <c r="H198">
        <v>3</v>
      </c>
      <c r="I198" t="s">
        <v>164</v>
      </c>
      <c r="J198" t="s">
        <v>166</v>
      </c>
      <c r="K198" t="s">
        <v>165</v>
      </c>
      <c r="L198">
        <v>1354</v>
      </c>
      <c r="N198">
        <v>1010</v>
      </c>
      <c r="O198" t="s">
        <v>99</v>
      </c>
      <c r="P198" t="s">
        <v>99</v>
      </c>
      <c r="Q198">
        <v>1</v>
      </c>
      <c r="W198">
        <v>0</v>
      </c>
      <c r="X198">
        <v>698410904</v>
      </c>
      <c r="Y198">
        <f t="shared" si="63"/>
        <v>0.66666669999999995</v>
      </c>
      <c r="AA198">
        <v>468.43</v>
      </c>
      <c r="AB198">
        <v>0</v>
      </c>
      <c r="AC198">
        <v>0</v>
      </c>
      <c r="AD198">
        <v>0</v>
      </c>
      <c r="AE198">
        <v>139.83000000000001</v>
      </c>
      <c r="AF198">
        <v>0</v>
      </c>
      <c r="AG198">
        <v>0</v>
      </c>
      <c r="AH198">
        <v>0</v>
      </c>
      <c r="AI198">
        <v>3.35</v>
      </c>
      <c r="AJ198">
        <v>1</v>
      </c>
      <c r="AK198">
        <v>1</v>
      </c>
      <c r="AL198">
        <v>1</v>
      </c>
      <c r="AM198">
        <v>0</v>
      </c>
      <c r="AN198">
        <v>0</v>
      </c>
      <c r="AO198">
        <v>0</v>
      </c>
      <c r="AP198">
        <v>1</v>
      </c>
      <c r="AQ198">
        <v>0</v>
      </c>
      <c r="AR198">
        <v>0</v>
      </c>
      <c r="AS198" t="s">
        <v>3</v>
      </c>
      <c r="AT198">
        <v>0.66666669999999995</v>
      </c>
      <c r="AU198" t="s">
        <v>35</v>
      </c>
      <c r="AV198">
        <v>0</v>
      </c>
      <c r="AW198">
        <v>1</v>
      </c>
      <c r="AX198">
        <v>-1</v>
      </c>
      <c r="AY198">
        <v>0</v>
      </c>
      <c r="AZ198">
        <v>0</v>
      </c>
      <c r="BA198" t="s">
        <v>3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ROUND(Y198*Source!I83,9)</f>
        <v>2.0000000999999998</v>
      </c>
      <c r="CY198">
        <f t="shared" si="64"/>
        <v>468.43</v>
      </c>
      <c r="CZ198">
        <f t="shared" si="65"/>
        <v>139.83000000000001</v>
      </c>
      <c r="DA198">
        <f t="shared" si="66"/>
        <v>3.35</v>
      </c>
      <c r="DB198">
        <f t="shared" si="67"/>
        <v>93.22</v>
      </c>
      <c r="DC198">
        <f t="shared" si="68"/>
        <v>0</v>
      </c>
      <c r="DD198" t="s">
        <v>3</v>
      </c>
      <c r="DE198" t="s">
        <v>3</v>
      </c>
      <c r="DF198">
        <f t="shared" si="69"/>
        <v>936.86</v>
      </c>
      <c r="DG198">
        <f t="shared" si="70"/>
        <v>0</v>
      </c>
      <c r="DH198">
        <f t="shared" si="54"/>
        <v>0</v>
      </c>
      <c r="DI198">
        <f t="shared" si="71"/>
        <v>0</v>
      </c>
      <c r="DJ198">
        <f t="shared" si="72"/>
        <v>936.86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ROW(Source!A88)</f>
        <v>88</v>
      </c>
      <c r="B199">
        <v>85739205</v>
      </c>
      <c r="C199">
        <v>85739651</v>
      </c>
      <c r="D199">
        <v>85164021</v>
      </c>
      <c r="E199">
        <v>1081</v>
      </c>
      <c r="F199">
        <v>1</v>
      </c>
      <c r="G199">
        <v>1081</v>
      </c>
      <c r="H199">
        <v>1</v>
      </c>
      <c r="I199" t="s">
        <v>472</v>
      </c>
      <c r="J199" t="s">
        <v>3</v>
      </c>
      <c r="K199" t="s">
        <v>473</v>
      </c>
      <c r="L199">
        <v>1191</v>
      </c>
      <c r="N199">
        <v>1013</v>
      </c>
      <c r="O199" t="s">
        <v>474</v>
      </c>
      <c r="P199" t="s">
        <v>474</v>
      </c>
      <c r="Q199">
        <v>1</v>
      </c>
      <c r="W199">
        <v>0</v>
      </c>
      <c r="X199">
        <v>476480486</v>
      </c>
      <c r="Y199">
        <f t="shared" ref="Y199:Y204" si="73">(AT199*1.2)</f>
        <v>242.39999999999998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</v>
      </c>
      <c r="AJ199">
        <v>1</v>
      </c>
      <c r="AK199">
        <v>1</v>
      </c>
      <c r="AL199">
        <v>1</v>
      </c>
      <c r="AM199">
        <v>-2</v>
      </c>
      <c r="AN199">
        <v>0</v>
      </c>
      <c r="AO199">
        <v>1</v>
      </c>
      <c r="AP199">
        <v>1</v>
      </c>
      <c r="AQ199">
        <v>0</v>
      </c>
      <c r="AR199">
        <v>0</v>
      </c>
      <c r="AS199" t="s">
        <v>3</v>
      </c>
      <c r="AT199">
        <v>202</v>
      </c>
      <c r="AU199" t="s">
        <v>36</v>
      </c>
      <c r="AV199">
        <v>1</v>
      </c>
      <c r="AW199">
        <v>2</v>
      </c>
      <c r="AX199">
        <v>85739704</v>
      </c>
      <c r="AY199">
        <v>1</v>
      </c>
      <c r="AZ199">
        <v>0</v>
      </c>
      <c r="BA199">
        <v>223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U199">
        <f>ROUND(AT199*Source!I88*AH199*AL199,2)</f>
        <v>0</v>
      </c>
      <c r="CV199">
        <f>ROUND(Y199*Source!I88,9)</f>
        <v>48.48</v>
      </c>
      <c r="CW199">
        <v>0</v>
      </c>
      <c r="CX199">
        <f>ROUND(Y199*Source!I88,9)</f>
        <v>48.48</v>
      </c>
      <c r="CY199">
        <f>AD199</f>
        <v>0</v>
      </c>
      <c r="CZ199">
        <f>AH199</f>
        <v>0</v>
      </c>
      <c r="DA199">
        <f>AL199</f>
        <v>1</v>
      </c>
      <c r="DB199">
        <f t="shared" ref="DB199:DB204" si="74">ROUND((ROUND(AT199*CZ199,2)*1.2),6)</f>
        <v>0</v>
      </c>
      <c r="DC199">
        <f t="shared" ref="DC199:DC204" si="75">ROUND((ROUND(AT199*AG199,2)*1.2),6)</f>
        <v>0</v>
      </c>
      <c r="DD199" t="s">
        <v>3</v>
      </c>
      <c r="DE199" t="s">
        <v>3</v>
      </c>
      <c r="DF199">
        <f t="shared" ref="DF199:DF213" si="76">ROUND(ROUND(AE199,2)*CX199,2)</f>
        <v>0</v>
      </c>
      <c r="DG199">
        <f t="shared" si="70"/>
        <v>0</v>
      </c>
      <c r="DH199">
        <f t="shared" si="54"/>
        <v>0</v>
      </c>
      <c r="DI199">
        <f t="shared" si="71"/>
        <v>0</v>
      </c>
      <c r="DJ199">
        <f>DI199</f>
        <v>0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ROW(Source!A88)</f>
        <v>88</v>
      </c>
      <c r="B200">
        <v>85739205</v>
      </c>
      <c r="C200">
        <v>85739651</v>
      </c>
      <c r="D200">
        <v>85229527</v>
      </c>
      <c r="E200">
        <v>1</v>
      </c>
      <c r="F200">
        <v>1</v>
      </c>
      <c r="G200">
        <v>1081</v>
      </c>
      <c r="H200">
        <v>2</v>
      </c>
      <c r="I200" t="s">
        <v>546</v>
      </c>
      <c r="J200" t="s">
        <v>547</v>
      </c>
      <c r="K200" t="s">
        <v>548</v>
      </c>
      <c r="L200">
        <v>1368</v>
      </c>
      <c r="N200">
        <v>1011</v>
      </c>
      <c r="O200" t="s">
        <v>478</v>
      </c>
      <c r="P200" t="s">
        <v>478</v>
      </c>
      <c r="Q200">
        <v>1</v>
      </c>
      <c r="W200">
        <v>0</v>
      </c>
      <c r="X200">
        <v>-1222619517</v>
      </c>
      <c r="Y200">
        <f t="shared" si="73"/>
        <v>14.16</v>
      </c>
      <c r="AA200">
        <v>0</v>
      </c>
      <c r="AB200">
        <v>51.29</v>
      </c>
      <c r="AC200">
        <v>13.47</v>
      </c>
      <c r="AD200">
        <v>0</v>
      </c>
      <c r="AE200">
        <v>0</v>
      </c>
      <c r="AF200">
        <v>48.07</v>
      </c>
      <c r="AG200">
        <v>12.62</v>
      </c>
      <c r="AH200">
        <v>0</v>
      </c>
      <c r="AI200">
        <v>1</v>
      </c>
      <c r="AJ200">
        <v>1</v>
      </c>
      <c r="AK200">
        <v>1</v>
      </c>
      <c r="AL200">
        <v>1</v>
      </c>
      <c r="AM200">
        <v>-2</v>
      </c>
      <c r="AN200">
        <v>0</v>
      </c>
      <c r="AO200">
        <v>1</v>
      </c>
      <c r="AP200">
        <v>1</v>
      </c>
      <c r="AQ200">
        <v>0</v>
      </c>
      <c r="AR200">
        <v>0</v>
      </c>
      <c r="AS200" t="s">
        <v>3</v>
      </c>
      <c r="AT200">
        <v>11.8</v>
      </c>
      <c r="AU200" t="s">
        <v>36</v>
      </c>
      <c r="AV200">
        <v>0</v>
      </c>
      <c r="AW200">
        <v>2</v>
      </c>
      <c r="AX200">
        <v>85739705</v>
      </c>
      <c r="AY200">
        <v>1</v>
      </c>
      <c r="AZ200">
        <v>0</v>
      </c>
      <c r="BA200">
        <v>224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f>ROUND(Y200*Source!I88*DO200,9)</f>
        <v>35.739840000000001</v>
      </c>
      <c r="CX200">
        <f>ROUND(Y200*Source!I88,9)</f>
        <v>2.8319999999999999</v>
      </c>
      <c r="CY200">
        <f>AB200</f>
        <v>51.29</v>
      </c>
      <c r="CZ200">
        <f>AF200</f>
        <v>48.07</v>
      </c>
      <c r="DA200">
        <f>AJ200</f>
        <v>1</v>
      </c>
      <c r="DB200">
        <f t="shared" si="74"/>
        <v>680.67600000000004</v>
      </c>
      <c r="DC200">
        <f t="shared" si="75"/>
        <v>178.70400000000001</v>
      </c>
      <c r="DD200" t="s">
        <v>3</v>
      </c>
      <c r="DE200" t="s">
        <v>3</v>
      </c>
      <c r="DF200">
        <f t="shared" si="76"/>
        <v>0</v>
      </c>
      <c r="DG200">
        <f t="shared" si="70"/>
        <v>136.13</v>
      </c>
      <c r="DH200">
        <f t="shared" si="54"/>
        <v>35.74</v>
      </c>
      <c r="DI200">
        <f t="shared" si="71"/>
        <v>0</v>
      </c>
      <c r="DJ200">
        <f>DG200</f>
        <v>136.13</v>
      </c>
      <c r="DK200">
        <v>0</v>
      </c>
      <c r="DL200" t="s">
        <v>485</v>
      </c>
      <c r="DM200">
        <v>0</v>
      </c>
      <c r="DN200" t="s">
        <v>474</v>
      </c>
      <c r="DO200">
        <v>12.62</v>
      </c>
    </row>
    <row r="201" spans="1:119" x14ac:dyDescent="0.2">
      <c r="A201">
        <f>ROW(Source!A88)</f>
        <v>88</v>
      </c>
      <c r="B201">
        <v>85739205</v>
      </c>
      <c r="C201">
        <v>85739651</v>
      </c>
      <c r="D201">
        <v>85229564</v>
      </c>
      <c r="E201">
        <v>1</v>
      </c>
      <c r="F201">
        <v>1</v>
      </c>
      <c r="G201">
        <v>1081</v>
      </c>
      <c r="H201">
        <v>2</v>
      </c>
      <c r="I201" t="s">
        <v>549</v>
      </c>
      <c r="J201" t="s">
        <v>550</v>
      </c>
      <c r="K201" t="s">
        <v>551</v>
      </c>
      <c r="L201">
        <v>1368</v>
      </c>
      <c r="N201">
        <v>1011</v>
      </c>
      <c r="O201" t="s">
        <v>478</v>
      </c>
      <c r="P201" t="s">
        <v>478</v>
      </c>
      <c r="Q201">
        <v>1</v>
      </c>
      <c r="W201">
        <v>0</v>
      </c>
      <c r="X201">
        <v>210297649</v>
      </c>
      <c r="Y201">
        <f t="shared" si="73"/>
        <v>13.2</v>
      </c>
      <c r="AA201">
        <v>0</v>
      </c>
      <c r="AB201">
        <v>6.18</v>
      </c>
      <c r="AC201">
        <v>0</v>
      </c>
      <c r="AD201">
        <v>0</v>
      </c>
      <c r="AE201">
        <v>0</v>
      </c>
      <c r="AF201">
        <v>5.79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11</v>
      </c>
      <c r="AU201" t="s">
        <v>36</v>
      </c>
      <c r="AV201">
        <v>0</v>
      </c>
      <c r="AW201">
        <v>2</v>
      </c>
      <c r="AX201">
        <v>85739706</v>
      </c>
      <c r="AY201">
        <v>1</v>
      </c>
      <c r="AZ201">
        <v>0</v>
      </c>
      <c r="BA201">
        <v>225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V201">
        <v>0</v>
      </c>
      <c r="CW201">
        <f>ROUND(Y201*Source!I88*DO201,9)</f>
        <v>0</v>
      </c>
      <c r="CX201">
        <f>ROUND(Y201*Source!I88,9)</f>
        <v>2.64</v>
      </c>
      <c r="CY201">
        <f>AB201</f>
        <v>6.18</v>
      </c>
      <c r="CZ201">
        <f>AF201</f>
        <v>5.79</v>
      </c>
      <c r="DA201">
        <f>AJ201</f>
        <v>1</v>
      </c>
      <c r="DB201">
        <f t="shared" si="74"/>
        <v>76.427999999999997</v>
      </c>
      <c r="DC201">
        <f t="shared" si="75"/>
        <v>0</v>
      </c>
      <c r="DD201" t="s">
        <v>3</v>
      </c>
      <c r="DE201" t="s">
        <v>3</v>
      </c>
      <c r="DF201">
        <f t="shared" si="76"/>
        <v>0</v>
      </c>
      <c r="DG201">
        <f t="shared" si="70"/>
        <v>15.29</v>
      </c>
      <c r="DH201">
        <f t="shared" si="54"/>
        <v>0</v>
      </c>
      <c r="DI201">
        <f t="shared" si="71"/>
        <v>0</v>
      </c>
      <c r="DJ201">
        <f>DG201</f>
        <v>15.29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ROW(Source!A88)</f>
        <v>88</v>
      </c>
      <c r="B202">
        <v>85739205</v>
      </c>
      <c r="C202">
        <v>85739651</v>
      </c>
      <c r="D202">
        <v>85229633</v>
      </c>
      <c r="E202">
        <v>1</v>
      </c>
      <c r="F202">
        <v>1</v>
      </c>
      <c r="G202">
        <v>1081</v>
      </c>
      <c r="H202">
        <v>2</v>
      </c>
      <c r="I202" t="s">
        <v>475</v>
      </c>
      <c r="J202" t="s">
        <v>476</v>
      </c>
      <c r="K202" t="s">
        <v>477</v>
      </c>
      <c r="L202">
        <v>1368</v>
      </c>
      <c r="N202">
        <v>1011</v>
      </c>
      <c r="O202" t="s">
        <v>478</v>
      </c>
      <c r="P202" t="s">
        <v>478</v>
      </c>
      <c r="Q202">
        <v>1</v>
      </c>
      <c r="W202">
        <v>0</v>
      </c>
      <c r="X202">
        <v>1498588441</v>
      </c>
      <c r="Y202">
        <f t="shared" si="73"/>
        <v>33.239999999999995</v>
      </c>
      <c r="AA202">
        <v>0</v>
      </c>
      <c r="AB202">
        <v>7.59</v>
      </c>
      <c r="AC202">
        <v>0</v>
      </c>
      <c r="AD202">
        <v>0</v>
      </c>
      <c r="AE202">
        <v>0</v>
      </c>
      <c r="AF202">
        <v>7.11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-2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27.7</v>
      </c>
      <c r="AU202" t="s">
        <v>36</v>
      </c>
      <c r="AV202">
        <v>0</v>
      </c>
      <c r="AW202">
        <v>2</v>
      </c>
      <c r="AX202">
        <v>85739707</v>
      </c>
      <c r="AY202">
        <v>1</v>
      </c>
      <c r="AZ202">
        <v>0</v>
      </c>
      <c r="BA202">
        <v>226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f>ROUND(Y202*Source!I88*DO202,9)</f>
        <v>0</v>
      </c>
      <c r="CX202">
        <f>ROUND(Y202*Source!I88,9)</f>
        <v>6.6479999999999997</v>
      </c>
      <c r="CY202">
        <f>AB202</f>
        <v>7.59</v>
      </c>
      <c r="CZ202">
        <f>AF202</f>
        <v>7.11</v>
      </c>
      <c r="DA202">
        <f>AJ202</f>
        <v>1</v>
      </c>
      <c r="DB202">
        <f t="shared" si="74"/>
        <v>236.34</v>
      </c>
      <c r="DC202">
        <f t="shared" si="75"/>
        <v>0</v>
      </c>
      <c r="DD202" t="s">
        <v>3</v>
      </c>
      <c r="DE202" t="s">
        <v>3</v>
      </c>
      <c r="DF202">
        <f t="shared" si="76"/>
        <v>0</v>
      </c>
      <c r="DG202">
        <f t="shared" si="70"/>
        <v>47.27</v>
      </c>
      <c r="DH202">
        <f t="shared" si="54"/>
        <v>0</v>
      </c>
      <c r="DI202">
        <f t="shared" si="71"/>
        <v>0</v>
      </c>
      <c r="DJ202">
        <f>DG202</f>
        <v>47.27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ROW(Source!A88)</f>
        <v>88</v>
      </c>
      <c r="B203">
        <v>85739205</v>
      </c>
      <c r="C203">
        <v>85739651</v>
      </c>
      <c r="D203">
        <v>85229932</v>
      </c>
      <c r="E203">
        <v>1</v>
      </c>
      <c r="F203">
        <v>1</v>
      </c>
      <c r="G203">
        <v>1081</v>
      </c>
      <c r="H203">
        <v>2</v>
      </c>
      <c r="I203" t="s">
        <v>482</v>
      </c>
      <c r="J203" t="s">
        <v>483</v>
      </c>
      <c r="K203" t="s">
        <v>484</v>
      </c>
      <c r="L203">
        <v>1368</v>
      </c>
      <c r="N203">
        <v>1011</v>
      </c>
      <c r="O203" t="s">
        <v>478</v>
      </c>
      <c r="P203" t="s">
        <v>478</v>
      </c>
      <c r="Q203">
        <v>1</v>
      </c>
      <c r="W203">
        <v>0</v>
      </c>
      <c r="X203">
        <v>874612079</v>
      </c>
      <c r="Y203">
        <f t="shared" si="73"/>
        <v>3.0599999999999996</v>
      </c>
      <c r="AA203">
        <v>0</v>
      </c>
      <c r="AB203">
        <v>88.67</v>
      </c>
      <c r="AC203">
        <v>13.47</v>
      </c>
      <c r="AD203">
        <v>0</v>
      </c>
      <c r="AE203">
        <v>0</v>
      </c>
      <c r="AF203">
        <v>83.1</v>
      </c>
      <c r="AG203">
        <v>12.62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2.5499999999999998</v>
      </c>
      <c r="AU203" t="s">
        <v>36</v>
      </c>
      <c r="AV203">
        <v>0</v>
      </c>
      <c r="AW203">
        <v>2</v>
      </c>
      <c r="AX203">
        <v>85739708</v>
      </c>
      <c r="AY203">
        <v>1</v>
      </c>
      <c r="AZ203">
        <v>0</v>
      </c>
      <c r="BA203">
        <v>227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f>ROUND(Y203*Source!I88*DO203,9)</f>
        <v>7.7234400000000001</v>
      </c>
      <c r="CX203">
        <f>ROUND(Y203*Source!I88,9)</f>
        <v>0.61199999999999999</v>
      </c>
      <c r="CY203">
        <f>AB203</f>
        <v>88.67</v>
      </c>
      <c r="CZ203">
        <f>AF203</f>
        <v>83.1</v>
      </c>
      <c r="DA203">
        <f>AJ203</f>
        <v>1</v>
      </c>
      <c r="DB203">
        <f t="shared" si="74"/>
        <v>254.292</v>
      </c>
      <c r="DC203">
        <f t="shared" si="75"/>
        <v>38.616</v>
      </c>
      <c r="DD203" t="s">
        <v>3</v>
      </c>
      <c r="DE203" t="s">
        <v>3</v>
      </c>
      <c r="DF203">
        <f t="shared" si="76"/>
        <v>0</v>
      </c>
      <c r="DG203">
        <f t="shared" si="70"/>
        <v>50.86</v>
      </c>
      <c r="DH203">
        <f t="shared" si="54"/>
        <v>7.72</v>
      </c>
      <c r="DI203">
        <f t="shared" si="71"/>
        <v>0</v>
      </c>
      <c r="DJ203">
        <f>DG203</f>
        <v>50.86</v>
      </c>
      <c r="DK203">
        <v>0</v>
      </c>
      <c r="DL203" t="s">
        <v>485</v>
      </c>
      <c r="DM203">
        <v>0</v>
      </c>
      <c r="DN203" t="s">
        <v>474</v>
      </c>
      <c r="DO203">
        <v>12.62</v>
      </c>
    </row>
    <row r="204" spans="1:119" x14ac:dyDescent="0.2">
      <c r="A204">
        <f>ROW(Source!A88)</f>
        <v>88</v>
      </c>
      <c r="B204">
        <v>85739205</v>
      </c>
      <c r="C204">
        <v>85739651</v>
      </c>
      <c r="D204">
        <v>85229250</v>
      </c>
      <c r="E204">
        <v>1</v>
      </c>
      <c r="F204">
        <v>1</v>
      </c>
      <c r="G204">
        <v>1081</v>
      </c>
      <c r="H204">
        <v>2</v>
      </c>
      <c r="I204" t="s">
        <v>552</v>
      </c>
      <c r="J204" t="s">
        <v>553</v>
      </c>
      <c r="K204" t="s">
        <v>554</v>
      </c>
      <c r="L204">
        <v>1368</v>
      </c>
      <c r="N204">
        <v>1011</v>
      </c>
      <c r="O204" t="s">
        <v>478</v>
      </c>
      <c r="P204" t="s">
        <v>478</v>
      </c>
      <c r="Q204">
        <v>1</v>
      </c>
      <c r="W204">
        <v>0</v>
      </c>
      <c r="X204">
        <v>-1755828087</v>
      </c>
      <c r="Y204">
        <f t="shared" si="73"/>
        <v>2.2559999999999998</v>
      </c>
      <c r="AA204">
        <v>0</v>
      </c>
      <c r="AB204">
        <v>3.39</v>
      </c>
      <c r="AC204">
        <v>0</v>
      </c>
      <c r="AD204">
        <v>0</v>
      </c>
      <c r="AE204">
        <v>0</v>
      </c>
      <c r="AF204">
        <v>3.18</v>
      </c>
      <c r="AG204">
        <v>0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-2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1.88</v>
      </c>
      <c r="AU204" t="s">
        <v>36</v>
      </c>
      <c r="AV204">
        <v>0</v>
      </c>
      <c r="AW204">
        <v>2</v>
      </c>
      <c r="AX204">
        <v>85739709</v>
      </c>
      <c r="AY204">
        <v>1</v>
      </c>
      <c r="AZ204">
        <v>0</v>
      </c>
      <c r="BA204">
        <v>228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f>ROUND(Y204*Source!I88*DO204,9)</f>
        <v>0</v>
      </c>
      <c r="CX204">
        <f>ROUND(Y204*Source!I88,9)</f>
        <v>0.45119999999999999</v>
      </c>
      <c r="CY204">
        <f>AB204</f>
        <v>3.39</v>
      </c>
      <c r="CZ204">
        <f>AF204</f>
        <v>3.18</v>
      </c>
      <c r="DA204">
        <f>AJ204</f>
        <v>1</v>
      </c>
      <c r="DB204">
        <f t="shared" si="74"/>
        <v>7.1760000000000002</v>
      </c>
      <c r="DC204">
        <f t="shared" si="75"/>
        <v>0</v>
      </c>
      <c r="DD204" t="s">
        <v>3</v>
      </c>
      <c r="DE204" t="s">
        <v>3</v>
      </c>
      <c r="DF204">
        <f t="shared" si="76"/>
        <v>0</v>
      </c>
      <c r="DG204">
        <f t="shared" si="70"/>
        <v>1.43</v>
      </c>
      <c r="DH204">
        <f t="shared" si="54"/>
        <v>0</v>
      </c>
      <c r="DI204">
        <f t="shared" si="71"/>
        <v>0</v>
      </c>
      <c r="DJ204">
        <f>DG204</f>
        <v>1.43</v>
      </c>
      <c r="DK204">
        <v>0</v>
      </c>
      <c r="DL204" t="s">
        <v>3</v>
      </c>
      <c r="DM204">
        <v>0</v>
      </c>
      <c r="DN204" t="s">
        <v>3</v>
      </c>
      <c r="DO204">
        <v>0</v>
      </c>
    </row>
    <row r="205" spans="1:119" x14ac:dyDescent="0.2">
      <c r="A205">
        <f>ROW(Source!A88)</f>
        <v>88</v>
      </c>
      <c r="B205">
        <v>85739205</v>
      </c>
      <c r="C205">
        <v>85739651</v>
      </c>
      <c r="D205">
        <v>85198960</v>
      </c>
      <c r="E205">
        <v>1</v>
      </c>
      <c r="F205">
        <v>1</v>
      </c>
      <c r="G205">
        <v>1081</v>
      </c>
      <c r="H205">
        <v>3</v>
      </c>
      <c r="I205" t="s">
        <v>513</v>
      </c>
      <c r="J205" t="s">
        <v>514</v>
      </c>
      <c r="K205" t="s">
        <v>515</v>
      </c>
      <c r="L205">
        <v>1339</v>
      </c>
      <c r="N205">
        <v>1007</v>
      </c>
      <c r="O205" t="s">
        <v>506</v>
      </c>
      <c r="P205" t="s">
        <v>506</v>
      </c>
      <c r="Q205">
        <v>1</v>
      </c>
      <c r="W205">
        <v>0</v>
      </c>
      <c r="X205">
        <v>-1622585150</v>
      </c>
      <c r="Y205">
        <f>(AT205*1)</f>
        <v>20</v>
      </c>
      <c r="AA205">
        <v>7.27</v>
      </c>
      <c r="AB205">
        <v>0</v>
      </c>
      <c r="AC205">
        <v>0</v>
      </c>
      <c r="AD205">
        <v>0</v>
      </c>
      <c r="AE205">
        <v>7.07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20</v>
      </c>
      <c r="AU205" t="s">
        <v>35</v>
      </c>
      <c r="AV205">
        <v>0</v>
      </c>
      <c r="AW205">
        <v>2</v>
      </c>
      <c r="AX205">
        <v>85739710</v>
      </c>
      <c r="AY205">
        <v>1</v>
      </c>
      <c r="AZ205">
        <v>0</v>
      </c>
      <c r="BA205">
        <v>229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ROUND(Y205*Source!I88,9)</f>
        <v>4</v>
      </c>
      <c r="CY205">
        <f>AA205</f>
        <v>7.27</v>
      </c>
      <c r="CZ205">
        <f>AE205</f>
        <v>7.07</v>
      </c>
      <c r="DA205">
        <f>AI205</f>
        <v>1</v>
      </c>
      <c r="DB205">
        <f>ROUND((ROUND(AT205*CZ205,2)*1),6)</f>
        <v>141.4</v>
      </c>
      <c r="DC205">
        <f>ROUND((ROUND(AT205*AG205,2)*1),6)</f>
        <v>0</v>
      </c>
      <c r="DD205" t="s">
        <v>3</v>
      </c>
      <c r="DE205" t="s">
        <v>3</v>
      </c>
      <c r="DF205">
        <f t="shared" si="76"/>
        <v>28.28</v>
      </c>
      <c r="DG205">
        <f t="shared" si="70"/>
        <v>0</v>
      </c>
      <c r="DH205">
        <f t="shared" si="54"/>
        <v>0</v>
      </c>
      <c r="DI205">
        <f t="shared" si="71"/>
        <v>0</v>
      </c>
      <c r="DJ205">
        <f>DF205</f>
        <v>28.28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ROW(Source!A88)</f>
        <v>88</v>
      </c>
      <c r="B206">
        <v>85739205</v>
      </c>
      <c r="C206">
        <v>85739651</v>
      </c>
      <c r="D206">
        <v>85200023</v>
      </c>
      <c r="E206">
        <v>1</v>
      </c>
      <c r="F206">
        <v>1</v>
      </c>
      <c r="G206">
        <v>1081</v>
      </c>
      <c r="H206">
        <v>3</v>
      </c>
      <c r="I206" t="s">
        <v>555</v>
      </c>
      <c r="J206" t="s">
        <v>556</v>
      </c>
      <c r="K206" t="s">
        <v>557</v>
      </c>
      <c r="L206">
        <v>1348</v>
      </c>
      <c r="N206">
        <v>1009</v>
      </c>
      <c r="O206" t="s">
        <v>266</v>
      </c>
      <c r="P206" t="s">
        <v>266</v>
      </c>
      <c r="Q206">
        <v>1000</v>
      </c>
      <c r="W206">
        <v>0</v>
      </c>
      <c r="X206">
        <v>63955816</v>
      </c>
      <c r="Y206">
        <f>(AT206*1)</f>
        <v>8.8000000000000005E-3</v>
      </c>
      <c r="AA206">
        <v>7387.02</v>
      </c>
      <c r="AB206">
        <v>0</v>
      </c>
      <c r="AC206">
        <v>0</v>
      </c>
      <c r="AD206">
        <v>0</v>
      </c>
      <c r="AE206">
        <v>7185.82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-2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8.8000000000000005E-3</v>
      </c>
      <c r="AU206" t="s">
        <v>35</v>
      </c>
      <c r="AV206">
        <v>0</v>
      </c>
      <c r="AW206">
        <v>2</v>
      </c>
      <c r="AX206">
        <v>85739711</v>
      </c>
      <c r="AY206">
        <v>1</v>
      </c>
      <c r="AZ206">
        <v>0</v>
      </c>
      <c r="BA206">
        <v>230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ROUND(Y206*Source!I88,9)</f>
        <v>1.7600000000000001E-3</v>
      </c>
      <c r="CY206">
        <f>AA206</f>
        <v>7387.02</v>
      </c>
      <c r="CZ206">
        <f>AE206</f>
        <v>7185.82</v>
      </c>
      <c r="DA206">
        <f>AI206</f>
        <v>1</v>
      </c>
      <c r="DB206">
        <f>ROUND((ROUND(AT206*CZ206,2)*1),6)</f>
        <v>63.24</v>
      </c>
      <c r="DC206">
        <f>ROUND((ROUND(AT206*AG206,2)*1),6)</f>
        <v>0</v>
      </c>
      <c r="DD206" t="s">
        <v>3</v>
      </c>
      <c r="DE206" t="s">
        <v>3</v>
      </c>
      <c r="DF206">
        <f t="shared" si="76"/>
        <v>12.65</v>
      </c>
      <c r="DG206">
        <f t="shared" si="70"/>
        <v>0</v>
      </c>
      <c r="DH206">
        <f t="shared" si="54"/>
        <v>0</v>
      </c>
      <c r="DI206">
        <f t="shared" si="71"/>
        <v>0</v>
      </c>
      <c r="DJ206">
        <f>DF206</f>
        <v>12.65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">
      <c r="A207">
        <f>ROW(Source!A88)</f>
        <v>88</v>
      </c>
      <c r="B207">
        <v>85739205</v>
      </c>
      <c r="C207">
        <v>85739651</v>
      </c>
      <c r="D207">
        <v>85213629</v>
      </c>
      <c r="E207">
        <v>1</v>
      </c>
      <c r="F207">
        <v>1</v>
      </c>
      <c r="G207">
        <v>1081</v>
      </c>
      <c r="H207">
        <v>3</v>
      </c>
      <c r="I207" t="s">
        <v>177</v>
      </c>
      <c r="J207" t="s">
        <v>180</v>
      </c>
      <c r="K207" t="s">
        <v>178</v>
      </c>
      <c r="L207">
        <v>1301</v>
      </c>
      <c r="N207">
        <v>1003</v>
      </c>
      <c r="O207" t="s">
        <v>179</v>
      </c>
      <c r="P207" t="s">
        <v>179</v>
      </c>
      <c r="Q207">
        <v>1</v>
      </c>
      <c r="W207">
        <v>0</v>
      </c>
      <c r="X207">
        <v>-50979398</v>
      </c>
      <c r="Y207">
        <f>(AT207*1)</f>
        <v>100.5</v>
      </c>
      <c r="AA207">
        <v>155</v>
      </c>
      <c r="AB207">
        <v>0</v>
      </c>
      <c r="AC207">
        <v>0</v>
      </c>
      <c r="AD207">
        <v>0</v>
      </c>
      <c r="AE207">
        <v>155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0</v>
      </c>
      <c r="AN207">
        <v>0</v>
      </c>
      <c r="AO207">
        <v>0</v>
      </c>
      <c r="AP207">
        <v>1</v>
      </c>
      <c r="AQ207">
        <v>0</v>
      </c>
      <c r="AR207">
        <v>0</v>
      </c>
      <c r="AS207" t="s">
        <v>3</v>
      </c>
      <c r="AT207">
        <v>100.5</v>
      </c>
      <c r="AU207" t="s">
        <v>35</v>
      </c>
      <c r="AV207">
        <v>0</v>
      </c>
      <c r="AW207">
        <v>1</v>
      </c>
      <c r="AX207">
        <v>-1</v>
      </c>
      <c r="AY207">
        <v>0</v>
      </c>
      <c r="AZ207">
        <v>0</v>
      </c>
      <c r="BA207" t="s">
        <v>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ROUND(Y207*Source!I88,9)</f>
        <v>20.100000000000001</v>
      </c>
      <c r="CY207">
        <f>AA207</f>
        <v>155</v>
      </c>
      <c r="CZ207">
        <f>AE207</f>
        <v>155</v>
      </c>
      <c r="DA207">
        <f>AI207</f>
        <v>1</v>
      </c>
      <c r="DB207">
        <f>ROUND((ROUND(AT207*CZ207,2)*1),6)</f>
        <v>15577.5</v>
      </c>
      <c r="DC207">
        <f>ROUND((ROUND(AT207*AG207,2)*1),6)</f>
        <v>0</v>
      </c>
      <c r="DD207" t="s">
        <v>3</v>
      </c>
      <c r="DE207" t="s">
        <v>3</v>
      </c>
      <c r="DF207">
        <f t="shared" si="76"/>
        <v>3115.5</v>
      </c>
      <c r="DG207">
        <f t="shared" si="70"/>
        <v>0</v>
      </c>
      <c r="DH207">
        <f t="shared" si="54"/>
        <v>0</v>
      </c>
      <c r="DI207">
        <f t="shared" si="71"/>
        <v>0</v>
      </c>
      <c r="DJ207">
        <f>DF207</f>
        <v>3115.5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">
      <c r="A208">
        <f>ROW(Source!A89)</f>
        <v>89</v>
      </c>
      <c r="B208">
        <v>85739207</v>
      </c>
      <c r="C208">
        <v>85739651</v>
      </c>
      <c r="D208">
        <v>85164021</v>
      </c>
      <c r="E208">
        <v>1081</v>
      </c>
      <c r="F208">
        <v>1</v>
      </c>
      <c r="G208">
        <v>1081</v>
      </c>
      <c r="H208">
        <v>1</v>
      </c>
      <c r="I208" t="s">
        <v>472</v>
      </c>
      <c r="J208" t="s">
        <v>3</v>
      </c>
      <c r="K208" t="s">
        <v>473</v>
      </c>
      <c r="L208">
        <v>1191</v>
      </c>
      <c r="N208">
        <v>1013</v>
      </c>
      <c r="O208" t="s">
        <v>474</v>
      </c>
      <c r="P208" t="s">
        <v>474</v>
      </c>
      <c r="Q208">
        <v>1</v>
      </c>
      <c r="W208">
        <v>0</v>
      </c>
      <c r="X208">
        <v>476480486</v>
      </c>
      <c r="Y208">
        <f t="shared" ref="Y208:Y213" si="77">(AT208*1.2)</f>
        <v>242.39999999999998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5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202</v>
      </c>
      <c r="AU208" t="s">
        <v>36</v>
      </c>
      <c r="AV208">
        <v>1</v>
      </c>
      <c r="AW208">
        <v>2</v>
      </c>
      <c r="AX208">
        <v>85739704</v>
      </c>
      <c r="AY208">
        <v>1</v>
      </c>
      <c r="AZ208">
        <v>0</v>
      </c>
      <c r="BA208">
        <v>232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U208">
        <f>ROUND(AT208*Source!I89*AH208*AL208,2)</f>
        <v>0</v>
      </c>
      <c r="CV208">
        <f>ROUND(Y208*Source!I89,9)</f>
        <v>48.48</v>
      </c>
      <c r="CW208">
        <v>0</v>
      </c>
      <c r="CX208">
        <f>ROUND(Y208*Source!I89,9)</f>
        <v>48.48</v>
      </c>
      <c r="CY208">
        <f>AD208</f>
        <v>0</v>
      </c>
      <c r="CZ208">
        <f>AH208</f>
        <v>0</v>
      </c>
      <c r="DA208">
        <f>AL208</f>
        <v>1</v>
      </c>
      <c r="DB208">
        <f t="shared" ref="DB208:DB213" si="78">ROUND((ROUND(AT208*CZ208,2)*1.2),6)</f>
        <v>0</v>
      </c>
      <c r="DC208">
        <f t="shared" ref="DC208:DC213" si="79">ROUND((ROUND(AT208*AG208,2)*1.2),6)</f>
        <v>0</v>
      </c>
      <c r="DD208" t="s">
        <v>3</v>
      </c>
      <c r="DE208" t="s">
        <v>3</v>
      </c>
      <c r="DF208">
        <f t="shared" si="76"/>
        <v>0</v>
      </c>
      <c r="DG208">
        <f t="shared" si="70"/>
        <v>0</v>
      </c>
      <c r="DH208">
        <f t="shared" si="54"/>
        <v>0</v>
      </c>
      <c r="DI208">
        <f t="shared" si="71"/>
        <v>0</v>
      </c>
      <c r="DJ208">
        <f>DI208</f>
        <v>0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">
      <c r="A209">
        <f>ROW(Source!A89)</f>
        <v>89</v>
      </c>
      <c r="B209">
        <v>85739207</v>
      </c>
      <c r="C209">
        <v>85739651</v>
      </c>
      <c r="D209">
        <v>85229527</v>
      </c>
      <c r="E209">
        <v>1</v>
      </c>
      <c r="F209">
        <v>1</v>
      </c>
      <c r="G209">
        <v>1081</v>
      </c>
      <c r="H209">
        <v>2</v>
      </c>
      <c r="I209" t="s">
        <v>546</v>
      </c>
      <c r="J209" t="s">
        <v>547</v>
      </c>
      <c r="K209" t="s">
        <v>548</v>
      </c>
      <c r="L209">
        <v>1368</v>
      </c>
      <c r="N209">
        <v>1011</v>
      </c>
      <c r="O209" t="s">
        <v>478</v>
      </c>
      <c r="P209" t="s">
        <v>478</v>
      </c>
      <c r="Q209">
        <v>1</v>
      </c>
      <c r="W209">
        <v>0</v>
      </c>
      <c r="X209">
        <v>-1222619517</v>
      </c>
      <c r="Y209">
        <f t="shared" si="77"/>
        <v>14.16</v>
      </c>
      <c r="AA209">
        <v>0</v>
      </c>
      <c r="AB209">
        <v>1209.95</v>
      </c>
      <c r="AC209">
        <v>758.78</v>
      </c>
      <c r="AD209">
        <v>0</v>
      </c>
      <c r="AE209">
        <v>0</v>
      </c>
      <c r="AF209">
        <v>48.07</v>
      </c>
      <c r="AG209">
        <v>12.62</v>
      </c>
      <c r="AH209">
        <v>0</v>
      </c>
      <c r="AI209">
        <v>1</v>
      </c>
      <c r="AJ209">
        <v>23.59</v>
      </c>
      <c r="AK209">
        <v>56.35</v>
      </c>
      <c r="AL209">
        <v>1</v>
      </c>
      <c r="AM209">
        <v>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11.8</v>
      </c>
      <c r="AU209" t="s">
        <v>36</v>
      </c>
      <c r="AV209">
        <v>0</v>
      </c>
      <c r="AW209">
        <v>2</v>
      </c>
      <c r="AX209">
        <v>85739705</v>
      </c>
      <c r="AY209">
        <v>1</v>
      </c>
      <c r="AZ209">
        <v>0</v>
      </c>
      <c r="BA209">
        <v>233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f>ROUND(Y209*Source!I89*DO209,9)</f>
        <v>35.739840000000001</v>
      </c>
      <c r="CX209">
        <f>ROUND(Y209*Source!I89,9)</f>
        <v>2.8319999999999999</v>
      </c>
      <c r="CY209">
        <f>AB209</f>
        <v>1209.95</v>
      </c>
      <c r="CZ209">
        <f>AF209</f>
        <v>48.07</v>
      </c>
      <c r="DA209">
        <f>AJ209</f>
        <v>23.59</v>
      </c>
      <c r="DB209">
        <f t="shared" si="78"/>
        <v>680.67600000000004</v>
      </c>
      <c r="DC209">
        <f t="shared" si="79"/>
        <v>178.70400000000001</v>
      </c>
      <c r="DD209" t="s">
        <v>3</v>
      </c>
      <c r="DE209" t="s">
        <v>3</v>
      </c>
      <c r="DF209">
        <f t="shared" si="76"/>
        <v>0</v>
      </c>
      <c r="DG209">
        <f>ROUND(ROUND(AF209*AJ209,2)*CX209,2)</f>
        <v>3211.4</v>
      </c>
      <c r="DH209">
        <f>ROUND(ROUND(AG209*AK209,2)*CX209,2)</f>
        <v>2013.95</v>
      </c>
      <c r="DI209">
        <f t="shared" si="71"/>
        <v>0</v>
      </c>
      <c r="DJ209">
        <f>DG209</f>
        <v>3211.4</v>
      </c>
      <c r="DK209">
        <v>0</v>
      </c>
      <c r="DL209" t="s">
        <v>485</v>
      </c>
      <c r="DM209">
        <v>0</v>
      </c>
      <c r="DN209" t="s">
        <v>474</v>
      </c>
      <c r="DO209">
        <v>12.62</v>
      </c>
    </row>
    <row r="210" spans="1:119" x14ac:dyDescent="0.2">
      <c r="A210">
        <f>ROW(Source!A89)</f>
        <v>89</v>
      </c>
      <c r="B210">
        <v>85739207</v>
      </c>
      <c r="C210">
        <v>85739651</v>
      </c>
      <c r="D210">
        <v>85229564</v>
      </c>
      <c r="E210">
        <v>1</v>
      </c>
      <c r="F210">
        <v>1</v>
      </c>
      <c r="G210">
        <v>1081</v>
      </c>
      <c r="H210">
        <v>2</v>
      </c>
      <c r="I210" t="s">
        <v>549</v>
      </c>
      <c r="J210" t="s">
        <v>550</v>
      </c>
      <c r="K210" t="s">
        <v>551</v>
      </c>
      <c r="L210">
        <v>1368</v>
      </c>
      <c r="N210">
        <v>1011</v>
      </c>
      <c r="O210" t="s">
        <v>478</v>
      </c>
      <c r="P210" t="s">
        <v>478</v>
      </c>
      <c r="Q210">
        <v>1</v>
      </c>
      <c r="W210">
        <v>0</v>
      </c>
      <c r="X210">
        <v>210297649</v>
      </c>
      <c r="Y210">
        <f t="shared" si="77"/>
        <v>13.2</v>
      </c>
      <c r="AA210">
        <v>0</v>
      </c>
      <c r="AB210">
        <v>65.790000000000006</v>
      </c>
      <c r="AC210">
        <v>0</v>
      </c>
      <c r="AD210">
        <v>0</v>
      </c>
      <c r="AE210">
        <v>0</v>
      </c>
      <c r="AF210">
        <v>5.79</v>
      </c>
      <c r="AG210">
        <v>0</v>
      </c>
      <c r="AH210">
        <v>0</v>
      </c>
      <c r="AI210">
        <v>1</v>
      </c>
      <c r="AJ210">
        <v>10.65</v>
      </c>
      <c r="AK210">
        <v>1</v>
      </c>
      <c r="AL210">
        <v>1</v>
      </c>
      <c r="AM210">
        <v>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11</v>
      </c>
      <c r="AU210" t="s">
        <v>36</v>
      </c>
      <c r="AV210">
        <v>0</v>
      </c>
      <c r="AW210">
        <v>2</v>
      </c>
      <c r="AX210">
        <v>85739706</v>
      </c>
      <c r="AY210">
        <v>1</v>
      </c>
      <c r="AZ210">
        <v>0</v>
      </c>
      <c r="BA210">
        <v>234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f>ROUND(Y210*Source!I89*DO210,9)</f>
        <v>0</v>
      </c>
      <c r="CX210">
        <f>ROUND(Y210*Source!I89,9)</f>
        <v>2.64</v>
      </c>
      <c r="CY210">
        <f>AB210</f>
        <v>65.790000000000006</v>
      </c>
      <c r="CZ210">
        <f>AF210</f>
        <v>5.79</v>
      </c>
      <c r="DA210">
        <f>AJ210</f>
        <v>10.65</v>
      </c>
      <c r="DB210">
        <f t="shared" si="78"/>
        <v>76.427999999999997</v>
      </c>
      <c r="DC210">
        <f t="shared" si="79"/>
        <v>0</v>
      </c>
      <c r="DD210" t="s">
        <v>3</v>
      </c>
      <c r="DE210" t="s">
        <v>3</v>
      </c>
      <c r="DF210">
        <f t="shared" si="76"/>
        <v>0</v>
      </c>
      <c r="DG210">
        <f>ROUND(ROUND(AF210*AJ210,2)*CX210,2)</f>
        <v>162.78</v>
      </c>
      <c r="DH210">
        <f>ROUND(ROUND(AG210,2)*CX210,2)</f>
        <v>0</v>
      </c>
      <c r="DI210">
        <f t="shared" si="71"/>
        <v>0</v>
      </c>
      <c r="DJ210">
        <f>DG210</f>
        <v>162.78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">
      <c r="A211">
        <f>ROW(Source!A89)</f>
        <v>89</v>
      </c>
      <c r="B211">
        <v>85739207</v>
      </c>
      <c r="C211">
        <v>85739651</v>
      </c>
      <c r="D211">
        <v>85229633</v>
      </c>
      <c r="E211">
        <v>1</v>
      </c>
      <c r="F211">
        <v>1</v>
      </c>
      <c r="G211">
        <v>1081</v>
      </c>
      <c r="H211">
        <v>2</v>
      </c>
      <c r="I211" t="s">
        <v>475</v>
      </c>
      <c r="J211" t="s">
        <v>476</v>
      </c>
      <c r="K211" t="s">
        <v>477</v>
      </c>
      <c r="L211">
        <v>1368</v>
      </c>
      <c r="N211">
        <v>1011</v>
      </c>
      <c r="O211" t="s">
        <v>478</v>
      </c>
      <c r="P211" t="s">
        <v>478</v>
      </c>
      <c r="Q211">
        <v>1</v>
      </c>
      <c r="W211">
        <v>0</v>
      </c>
      <c r="X211">
        <v>1498588441</v>
      </c>
      <c r="Y211">
        <f t="shared" si="77"/>
        <v>33.239999999999995</v>
      </c>
      <c r="AA211">
        <v>0</v>
      </c>
      <c r="AB211">
        <v>102.11</v>
      </c>
      <c r="AC211">
        <v>0</v>
      </c>
      <c r="AD211">
        <v>0</v>
      </c>
      <c r="AE211">
        <v>0</v>
      </c>
      <c r="AF211">
        <v>7.11</v>
      </c>
      <c r="AG211">
        <v>0</v>
      </c>
      <c r="AH211">
        <v>0</v>
      </c>
      <c r="AI211">
        <v>1</v>
      </c>
      <c r="AJ211">
        <v>13.46</v>
      </c>
      <c r="AK211">
        <v>1</v>
      </c>
      <c r="AL211">
        <v>1</v>
      </c>
      <c r="AM211">
        <v>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27.7</v>
      </c>
      <c r="AU211" t="s">
        <v>36</v>
      </c>
      <c r="AV211">
        <v>0</v>
      </c>
      <c r="AW211">
        <v>2</v>
      </c>
      <c r="AX211">
        <v>85739707</v>
      </c>
      <c r="AY211">
        <v>1</v>
      </c>
      <c r="AZ211">
        <v>0</v>
      </c>
      <c r="BA211">
        <v>235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f>ROUND(Y211*Source!I89*DO211,9)</f>
        <v>0</v>
      </c>
      <c r="CX211">
        <f>ROUND(Y211*Source!I89,9)</f>
        <v>6.6479999999999997</v>
      </c>
      <c r="CY211">
        <f>AB211</f>
        <v>102.11</v>
      </c>
      <c r="CZ211">
        <f>AF211</f>
        <v>7.11</v>
      </c>
      <c r="DA211">
        <f>AJ211</f>
        <v>13.46</v>
      </c>
      <c r="DB211">
        <f t="shared" si="78"/>
        <v>236.34</v>
      </c>
      <c r="DC211">
        <f t="shared" si="79"/>
        <v>0</v>
      </c>
      <c r="DD211" t="s">
        <v>3</v>
      </c>
      <c r="DE211" t="s">
        <v>3</v>
      </c>
      <c r="DF211">
        <f t="shared" si="76"/>
        <v>0</v>
      </c>
      <c r="DG211">
        <f>ROUND(ROUND(AF211*AJ211,2)*CX211,2)</f>
        <v>636.21</v>
      </c>
      <c r="DH211">
        <f>ROUND(ROUND(AG211,2)*CX211,2)</f>
        <v>0</v>
      </c>
      <c r="DI211">
        <f t="shared" si="71"/>
        <v>0</v>
      </c>
      <c r="DJ211">
        <f>DG211</f>
        <v>636.21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ROW(Source!A89)</f>
        <v>89</v>
      </c>
      <c r="B212">
        <v>85739207</v>
      </c>
      <c r="C212">
        <v>85739651</v>
      </c>
      <c r="D212">
        <v>85229932</v>
      </c>
      <c r="E212">
        <v>1</v>
      </c>
      <c r="F212">
        <v>1</v>
      </c>
      <c r="G212">
        <v>1081</v>
      </c>
      <c r="H212">
        <v>2</v>
      </c>
      <c r="I212" t="s">
        <v>482</v>
      </c>
      <c r="J212" t="s">
        <v>483</v>
      </c>
      <c r="K212" t="s">
        <v>484</v>
      </c>
      <c r="L212">
        <v>1368</v>
      </c>
      <c r="N212">
        <v>1011</v>
      </c>
      <c r="O212" t="s">
        <v>478</v>
      </c>
      <c r="P212" t="s">
        <v>478</v>
      </c>
      <c r="Q212">
        <v>1</v>
      </c>
      <c r="W212">
        <v>0</v>
      </c>
      <c r="X212">
        <v>874612079</v>
      </c>
      <c r="Y212">
        <f t="shared" si="77"/>
        <v>3.0599999999999996</v>
      </c>
      <c r="AA212">
        <v>0</v>
      </c>
      <c r="AB212">
        <v>1513.56</v>
      </c>
      <c r="AC212">
        <v>758.78</v>
      </c>
      <c r="AD212">
        <v>0</v>
      </c>
      <c r="AE212">
        <v>0</v>
      </c>
      <c r="AF212">
        <v>83.1</v>
      </c>
      <c r="AG212">
        <v>12.62</v>
      </c>
      <c r="AH212">
        <v>0</v>
      </c>
      <c r="AI212">
        <v>1</v>
      </c>
      <c r="AJ212">
        <v>17.07</v>
      </c>
      <c r="AK212">
        <v>56.35</v>
      </c>
      <c r="AL212">
        <v>1</v>
      </c>
      <c r="AM212">
        <v>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2.5499999999999998</v>
      </c>
      <c r="AU212" t="s">
        <v>36</v>
      </c>
      <c r="AV212">
        <v>0</v>
      </c>
      <c r="AW212">
        <v>2</v>
      </c>
      <c r="AX212">
        <v>85739708</v>
      </c>
      <c r="AY212">
        <v>1</v>
      </c>
      <c r="AZ212">
        <v>0</v>
      </c>
      <c r="BA212">
        <v>236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f>ROUND(Y212*Source!I89*DO212,9)</f>
        <v>7.7234400000000001</v>
      </c>
      <c r="CX212">
        <f>ROUND(Y212*Source!I89,9)</f>
        <v>0.61199999999999999</v>
      </c>
      <c r="CY212">
        <f>AB212</f>
        <v>1513.56</v>
      </c>
      <c r="CZ212">
        <f>AF212</f>
        <v>83.1</v>
      </c>
      <c r="DA212">
        <f>AJ212</f>
        <v>17.07</v>
      </c>
      <c r="DB212">
        <f t="shared" si="78"/>
        <v>254.292</v>
      </c>
      <c r="DC212">
        <f t="shared" si="79"/>
        <v>38.616</v>
      </c>
      <c r="DD212" t="s">
        <v>3</v>
      </c>
      <c r="DE212" t="s">
        <v>3</v>
      </c>
      <c r="DF212">
        <f t="shared" si="76"/>
        <v>0</v>
      </c>
      <c r="DG212">
        <f>ROUND(ROUND(AF212*AJ212,2)*CX212,2)</f>
        <v>868.13</v>
      </c>
      <c r="DH212">
        <f>ROUND(ROUND(AG212*AK212,2)*CX212,2)</f>
        <v>435.22</v>
      </c>
      <c r="DI212">
        <f t="shared" si="71"/>
        <v>0</v>
      </c>
      <c r="DJ212">
        <f>DG212</f>
        <v>868.13</v>
      </c>
      <c r="DK212">
        <v>0</v>
      </c>
      <c r="DL212" t="s">
        <v>485</v>
      </c>
      <c r="DM212">
        <v>0</v>
      </c>
      <c r="DN212" t="s">
        <v>474</v>
      </c>
      <c r="DO212">
        <v>12.62</v>
      </c>
    </row>
    <row r="213" spans="1:119" x14ac:dyDescent="0.2">
      <c r="A213">
        <f>ROW(Source!A89)</f>
        <v>89</v>
      </c>
      <c r="B213">
        <v>85739207</v>
      </c>
      <c r="C213">
        <v>85739651</v>
      </c>
      <c r="D213">
        <v>85229250</v>
      </c>
      <c r="E213">
        <v>1</v>
      </c>
      <c r="F213">
        <v>1</v>
      </c>
      <c r="G213">
        <v>1081</v>
      </c>
      <c r="H213">
        <v>2</v>
      </c>
      <c r="I213" t="s">
        <v>552</v>
      </c>
      <c r="J213" t="s">
        <v>553</v>
      </c>
      <c r="K213" t="s">
        <v>554</v>
      </c>
      <c r="L213">
        <v>1368</v>
      </c>
      <c r="N213">
        <v>1011</v>
      </c>
      <c r="O213" t="s">
        <v>478</v>
      </c>
      <c r="P213" t="s">
        <v>478</v>
      </c>
      <c r="Q213">
        <v>1</v>
      </c>
      <c r="W213">
        <v>0</v>
      </c>
      <c r="X213">
        <v>-1755828087</v>
      </c>
      <c r="Y213">
        <f t="shared" si="77"/>
        <v>2.2559999999999998</v>
      </c>
      <c r="AA213">
        <v>0</v>
      </c>
      <c r="AB213">
        <v>34.85</v>
      </c>
      <c r="AC213">
        <v>0</v>
      </c>
      <c r="AD213">
        <v>0</v>
      </c>
      <c r="AE213">
        <v>0</v>
      </c>
      <c r="AF213">
        <v>3.18</v>
      </c>
      <c r="AG213">
        <v>0</v>
      </c>
      <c r="AH213">
        <v>0</v>
      </c>
      <c r="AI213">
        <v>1</v>
      </c>
      <c r="AJ213">
        <v>10.27</v>
      </c>
      <c r="AK213">
        <v>1</v>
      </c>
      <c r="AL213">
        <v>1</v>
      </c>
      <c r="AM213">
        <v>2</v>
      </c>
      <c r="AN213">
        <v>0</v>
      </c>
      <c r="AO213">
        <v>1</v>
      </c>
      <c r="AP213">
        <v>1</v>
      </c>
      <c r="AQ213">
        <v>0</v>
      </c>
      <c r="AR213">
        <v>0</v>
      </c>
      <c r="AS213" t="s">
        <v>3</v>
      </c>
      <c r="AT213">
        <v>1.88</v>
      </c>
      <c r="AU213" t="s">
        <v>36</v>
      </c>
      <c r="AV213">
        <v>0</v>
      </c>
      <c r="AW213">
        <v>2</v>
      </c>
      <c r="AX213">
        <v>85739709</v>
      </c>
      <c r="AY213">
        <v>1</v>
      </c>
      <c r="AZ213">
        <v>0</v>
      </c>
      <c r="BA213">
        <v>237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f>ROUND(Y213*Source!I89*DO213,9)</f>
        <v>0</v>
      </c>
      <c r="CX213">
        <f>ROUND(Y213*Source!I89,9)</f>
        <v>0.45119999999999999</v>
      </c>
      <c r="CY213">
        <f>AB213</f>
        <v>34.85</v>
      </c>
      <c r="CZ213">
        <f>AF213</f>
        <v>3.18</v>
      </c>
      <c r="DA213">
        <f>AJ213</f>
        <v>10.27</v>
      </c>
      <c r="DB213">
        <f t="shared" si="78"/>
        <v>7.1760000000000002</v>
      </c>
      <c r="DC213">
        <f t="shared" si="79"/>
        <v>0</v>
      </c>
      <c r="DD213" t="s">
        <v>3</v>
      </c>
      <c r="DE213" t="s">
        <v>3</v>
      </c>
      <c r="DF213">
        <f t="shared" si="76"/>
        <v>0</v>
      </c>
      <c r="DG213">
        <f>ROUND(ROUND(AF213*AJ213,2)*CX213,2)</f>
        <v>14.74</v>
      </c>
      <c r="DH213">
        <f t="shared" ref="DH213:DH227" si="80">ROUND(ROUND(AG213,2)*CX213,2)</f>
        <v>0</v>
      </c>
      <c r="DI213">
        <f t="shared" si="71"/>
        <v>0</v>
      </c>
      <c r="DJ213">
        <f>DG213</f>
        <v>14.74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">
      <c r="A214">
        <f>ROW(Source!A89)</f>
        <v>89</v>
      </c>
      <c r="B214">
        <v>85739207</v>
      </c>
      <c r="C214">
        <v>85739651</v>
      </c>
      <c r="D214">
        <v>85198960</v>
      </c>
      <c r="E214">
        <v>1</v>
      </c>
      <c r="F214">
        <v>1</v>
      </c>
      <c r="G214">
        <v>1081</v>
      </c>
      <c r="H214">
        <v>3</v>
      </c>
      <c r="I214" t="s">
        <v>513</v>
      </c>
      <c r="J214" t="s">
        <v>514</v>
      </c>
      <c r="K214" t="s">
        <v>515</v>
      </c>
      <c r="L214">
        <v>1339</v>
      </c>
      <c r="N214">
        <v>1007</v>
      </c>
      <c r="O214" t="s">
        <v>506</v>
      </c>
      <c r="P214" t="s">
        <v>506</v>
      </c>
      <c r="Q214">
        <v>1</v>
      </c>
      <c r="W214">
        <v>0</v>
      </c>
      <c r="X214">
        <v>-1622585150</v>
      </c>
      <c r="Y214">
        <f>(AT214*1)</f>
        <v>20</v>
      </c>
      <c r="AA214">
        <v>56.33</v>
      </c>
      <c r="AB214">
        <v>0</v>
      </c>
      <c r="AC214">
        <v>0</v>
      </c>
      <c r="AD214">
        <v>0</v>
      </c>
      <c r="AE214">
        <v>7.07</v>
      </c>
      <c r="AF214">
        <v>0</v>
      </c>
      <c r="AG214">
        <v>0</v>
      </c>
      <c r="AH214">
        <v>0</v>
      </c>
      <c r="AI214">
        <v>7.75</v>
      </c>
      <c r="AJ214">
        <v>1</v>
      </c>
      <c r="AK214">
        <v>1</v>
      </c>
      <c r="AL214">
        <v>1</v>
      </c>
      <c r="AM214">
        <v>2</v>
      </c>
      <c r="AN214">
        <v>0</v>
      </c>
      <c r="AO214">
        <v>1</v>
      </c>
      <c r="AP214">
        <v>1</v>
      </c>
      <c r="AQ214">
        <v>0</v>
      </c>
      <c r="AR214">
        <v>0</v>
      </c>
      <c r="AS214" t="s">
        <v>3</v>
      </c>
      <c r="AT214">
        <v>20</v>
      </c>
      <c r="AU214" t="s">
        <v>35</v>
      </c>
      <c r="AV214">
        <v>0</v>
      </c>
      <c r="AW214">
        <v>2</v>
      </c>
      <c r="AX214">
        <v>85739710</v>
      </c>
      <c r="AY214">
        <v>1</v>
      </c>
      <c r="AZ214">
        <v>0</v>
      </c>
      <c r="BA214">
        <v>238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ROUND(Y214*Source!I89,9)</f>
        <v>4</v>
      </c>
      <c r="CY214">
        <f>AA214</f>
        <v>56.33</v>
      </c>
      <c r="CZ214">
        <f>AE214</f>
        <v>7.07</v>
      </c>
      <c r="DA214">
        <f>AI214</f>
        <v>7.75</v>
      </c>
      <c r="DB214">
        <f>ROUND((ROUND(AT214*CZ214,2)*1),6)</f>
        <v>141.4</v>
      </c>
      <c r="DC214">
        <f>ROUND((ROUND(AT214*AG214,2)*1),6)</f>
        <v>0</v>
      </c>
      <c r="DD214" t="s">
        <v>3</v>
      </c>
      <c r="DE214" t="s">
        <v>3</v>
      </c>
      <c r="DF214">
        <f>ROUND(ROUND(AE214*AI214,2)*CX214,2)</f>
        <v>219.16</v>
      </c>
      <c r="DG214">
        <f t="shared" ref="DG214:DG227" si="81">ROUND(ROUND(AF214,2)*CX214,2)</f>
        <v>0</v>
      </c>
      <c r="DH214">
        <f t="shared" si="80"/>
        <v>0</v>
      </c>
      <c r="DI214">
        <f t="shared" si="71"/>
        <v>0</v>
      </c>
      <c r="DJ214">
        <f>DF214</f>
        <v>219.16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">
      <c r="A215">
        <f>ROW(Source!A89)</f>
        <v>89</v>
      </c>
      <c r="B215">
        <v>85739207</v>
      </c>
      <c r="C215">
        <v>85739651</v>
      </c>
      <c r="D215">
        <v>85200023</v>
      </c>
      <c r="E215">
        <v>1</v>
      </c>
      <c r="F215">
        <v>1</v>
      </c>
      <c r="G215">
        <v>1081</v>
      </c>
      <c r="H215">
        <v>3</v>
      </c>
      <c r="I215" t="s">
        <v>555</v>
      </c>
      <c r="J215" t="s">
        <v>556</v>
      </c>
      <c r="K215" t="s">
        <v>557</v>
      </c>
      <c r="L215">
        <v>1348</v>
      </c>
      <c r="N215">
        <v>1009</v>
      </c>
      <c r="O215" t="s">
        <v>266</v>
      </c>
      <c r="P215" t="s">
        <v>266</v>
      </c>
      <c r="Q215">
        <v>1000</v>
      </c>
      <c r="W215">
        <v>0</v>
      </c>
      <c r="X215">
        <v>63955816</v>
      </c>
      <c r="Y215">
        <f>(AT215*1)</f>
        <v>8.8000000000000005E-3</v>
      </c>
      <c r="AA215">
        <v>99503.2</v>
      </c>
      <c r="AB215">
        <v>0</v>
      </c>
      <c r="AC215">
        <v>0</v>
      </c>
      <c r="AD215">
        <v>0</v>
      </c>
      <c r="AE215">
        <v>7185.82</v>
      </c>
      <c r="AF215">
        <v>0</v>
      </c>
      <c r="AG215">
        <v>0</v>
      </c>
      <c r="AH215">
        <v>0</v>
      </c>
      <c r="AI215">
        <v>13.47</v>
      </c>
      <c r="AJ215">
        <v>1</v>
      </c>
      <c r="AK215">
        <v>1</v>
      </c>
      <c r="AL215">
        <v>1</v>
      </c>
      <c r="AM215">
        <v>2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8.8000000000000005E-3</v>
      </c>
      <c r="AU215" t="s">
        <v>35</v>
      </c>
      <c r="AV215">
        <v>0</v>
      </c>
      <c r="AW215">
        <v>2</v>
      </c>
      <c r="AX215">
        <v>85739711</v>
      </c>
      <c r="AY215">
        <v>1</v>
      </c>
      <c r="AZ215">
        <v>0</v>
      </c>
      <c r="BA215">
        <v>239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V215">
        <v>0</v>
      </c>
      <c r="CW215">
        <v>0</v>
      </c>
      <c r="CX215">
        <f>ROUND(Y215*Source!I89,9)</f>
        <v>1.7600000000000001E-3</v>
      </c>
      <c r="CY215">
        <f>AA215</f>
        <v>99503.2</v>
      </c>
      <c r="CZ215">
        <f>AE215</f>
        <v>7185.82</v>
      </c>
      <c r="DA215">
        <f>AI215</f>
        <v>13.47</v>
      </c>
      <c r="DB215">
        <f>ROUND((ROUND(AT215*CZ215,2)*1),6)</f>
        <v>63.24</v>
      </c>
      <c r="DC215">
        <f>ROUND((ROUND(AT215*AG215,2)*1),6)</f>
        <v>0</v>
      </c>
      <c r="DD215" t="s">
        <v>3</v>
      </c>
      <c r="DE215" t="s">
        <v>3</v>
      </c>
      <c r="DF215">
        <f>ROUND(ROUND(AE215*AI215,2)*CX215,2)</f>
        <v>170.36</v>
      </c>
      <c r="DG215">
        <f t="shared" si="81"/>
        <v>0</v>
      </c>
      <c r="DH215">
        <f t="shared" si="80"/>
        <v>0</v>
      </c>
      <c r="DI215">
        <f t="shared" si="71"/>
        <v>0</v>
      </c>
      <c r="DJ215">
        <f>DF215</f>
        <v>170.36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">
      <c r="A216">
        <f>ROW(Source!A89)</f>
        <v>89</v>
      </c>
      <c r="B216">
        <v>85739207</v>
      </c>
      <c r="C216">
        <v>85739651</v>
      </c>
      <c r="D216">
        <v>85213629</v>
      </c>
      <c r="E216">
        <v>1</v>
      </c>
      <c r="F216">
        <v>1</v>
      </c>
      <c r="G216">
        <v>1081</v>
      </c>
      <c r="H216">
        <v>3</v>
      </c>
      <c r="I216" t="s">
        <v>177</v>
      </c>
      <c r="J216" t="s">
        <v>180</v>
      </c>
      <c r="K216" t="s">
        <v>178</v>
      </c>
      <c r="L216">
        <v>1301</v>
      </c>
      <c r="N216">
        <v>1003</v>
      </c>
      <c r="O216" t="s">
        <v>179</v>
      </c>
      <c r="P216" t="s">
        <v>179</v>
      </c>
      <c r="Q216">
        <v>1</v>
      </c>
      <c r="W216">
        <v>0</v>
      </c>
      <c r="X216">
        <v>-50979398</v>
      </c>
      <c r="Y216">
        <f>(AT216*1)</f>
        <v>100.5</v>
      </c>
      <c r="AA216">
        <v>754.85</v>
      </c>
      <c r="AB216">
        <v>0</v>
      </c>
      <c r="AC216">
        <v>0</v>
      </c>
      <c r="AD216">
        <v>0</v>
      </c>
      <c r="AE216">
        <v>155</v>
      </c>
      <c r="AF216">
        <v>0</v>
      </c>
      <c r="AG216">
        <v>0</v>
      </c>
      <c r="AH216">
        <v>0</v>
      </c>
      <c r="AI216">
        <v>4.87</v>
      </c>
      <c r="AJ216">
        <v>1</v>
      </c>
      <c r="AK216">
        <v>1</v>
      </c>
      <c r="AL216">
        <v>1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0</v>
      </c>
      <c r="AS216" t="s">
        <v>3</v>
      </c>
      <c r="AT216">
        <v>100.5</v>
      </c>
      <c r="AU216" t="s">
        <v>35</v>
      </c>
      <c r="AV216">
        <v>0</v>
      </c>
      <c r="AW216">
        <v>1</v>
      </c>
      <c r="AX216">
        <v>-1</v>
      </c>
      <c r="AY216">
        <v>0</v>
      </c>
      <c r="AZ216">
        <v>0</v>
      </c>
      <c r="BA216" t="s">
        <v>3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v>0</v>
      </c>
      <c r="CX216">
        <f>ROUND(Y216*Source!I89,9)</f>
        <v>20.100000000000001</v>
      </c>
      <c r="CY216">
        <f>AA216</f>
        <v>754.85</v>
      </c>
      <c r="CZ216">
        <f>AE216</f>
        <v>155</v>
      </c>
      <c r="DA216">
        <f>AI216</f>
        <v>4.87</v>
      </c>
      <c r="DB216">
        <f>ROUND((ROUND(AT216*CZ216,2)*1),6)</f>
        <v>15577.5</v>
      </c>
      <c r="DC216">
        <f>ROUND((ROUND(AT216*AG216,2)*1),6)</f>
        <v>0</v>
      </c>
      <c r="DD216" t="s">
        <v>3</v>
      </c>
      <c r="DE216" t="s">
        <v>3</v>
      </c>
      <c r="DF216">
        <f>ROUND(ROUND(AE216*AI216,2)*CX216,2)</f>
        <v>15172.49</v>
      </c>
      <c r="DG216">
        <f t="shared" si="81"/>
        <v>0</v>
      </c>
      <c r="DH216">
        <f t="shared" si="80"/>
        <v>0</v>
      </c>
      <c r="DI216">
        <f t="shared" si="71"/>
        <v>0</v>
      </c>
      <c r="DJ216">
        <f>DF216</f>
        <v>15172.49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">
      <c r="A217">
        <f>ROW(Source!A92)</f>
        <v>92</v>
      </c>
      <c r="B217">
        <v>85739205</v>
      </c>
      <c r="C217">
        <v>85739652</v>
      </c>
      <c r="D217">
        <v>85164021</v>
      </c>
      <c r="E217">
        <v>1081</v>
      </c>
      <c r="F217">
        <v>1</v>
      </c>
      <c r="G217">
        <v>1081</v>
      </c>
      <c r="H217">
        <v>1</v>
      </c>
      <c r="I217" t="s">
        <v>472</v>
      </c>
      <c r="J217" t="s">
        <v>3</v>
      </c>
      <c r="K217" t="s">
        <v>473</v>
      </c>
      <c r="L217">
        <v>1191</v>
      </c>
      <c r="N217">
        <v>1013</v>
      </c>
      <c r="O217" t="s">
        <v>474</v>
      </c>
      <c r="P217" t="s">
        <v>474</v>
      </c>
      <c r="Q217">
        <v>1</v>
      </c>
      <c r="W217">
        <v>0</v>
      </c>
      <c r="X217">
        <v>476480486</v>
      </c>
      <c r="Y217">
        <f t="shared" ref="Y217:Y222" si="82">(AT217*1.2)</f>
        <v>190.79999999999998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1</v>
      </c>
      <c r="AK217">
        <v>1</v>
      </c>
      <c r="AL217">
        <v>1</v>
      </c>
      <c r="AM217">
        <v>-2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159</v>
      </c>
      <c r="AU217" t="s">
        <v>36</v>
      </c>
      <c r="AV217">
        <v>1</v>
      </c>
      <c r="AW217">
        <v>2</v>
      </c>
      <c r="AX217">
        <v>85739714</v>
      </c>
      <c r="AY217">
        <v>1</v>
      </c>
      <c r="AZ217">
        <v>0</v>
      </c>
      <c r="BA217">
        <v>241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U217">
        <f>ROUND(AT217*Source!I92*AH217*AL217,2)</f>
        <v>0</v>
      </c>
      <c r="CV217">
        <f>ROUND(Y217*Source!I92,9)</f>
        <v>190.8</v>
      </c>
      <c r="CW217">
        <v>0</v>
      </c>
      <c r="CX217">
        <f>ROUND(Y217*Source!I92,9)</f>
        <v>190.8</v>
      </c>
      <c r="CY217">
        <f>AD217</f>
        <v>0</v>
      </c>
      <c r="CZ217">
        <f>AH217</f>
        <v>0</v>
      </c>
      <c r="DA217">
        <f>AL217</f>
        <v>1</v>
      </c>
      <c r="DB217">
        <f t="shared" ref="DB217:DB222" si="83">ROUND((ROUND(AT217*CZ217,2)*1.2),6)</f>
        <v>0</v>
      </c>
      <c r="DC217">
        <f t="shared" ref="DC217:DC222" si="84">ROUND((ROUND(AT217*AG217,2)*1.2),6)</f>
        <v>0</v>
      </c>
      <c r="DD217" t="s">
        <v>3</v>
      </c>
      <c r="DE217" t="s">
        <v>3</v>
      </c>
      <c r="DF217">
        <f t="shared" ref="DF217:DF232" si="85">ROUND(ROUND(AE217,2)*CX217,2)</f>
        <v>0</v>
      </c>
      <c r="DG217">
        <f t="shared" si="81"/>
        <v>0</v>
      </c>
      <c r="DH217">
        <f t="shared" si="80"/>
        <v>0</v>
      </c>
      <c r="DI217">
        <f t="shared" si="71"/>
        <v>0</v>
      </c>
      <c r="DJ217">
        <f>DI217</f>
        <v>0</v>
      </c>
      <c r="DK217">
        <v>0</v>
      </c>
      <c r="DL217" t="s">
        <v>3</v>
      </c>
      <c r="DM217">
        <v>0</v>
      </c>
      <c r="DN217" t="s">
        <v>3</v>
      </c>
      <c r="DO217">
        <v>0</v>
      </c>
    </row>
    <row r="218" spans="1:119" x14ac:dyDescent="0.2">
      <c r="A218">
        <f>ROW(Source!A92)</f>
        <v>92</v>
      </c>
      <c r="B218">
        <v>85739205</v>
      </c>
      <c r="C218">
        <v>85739652</v>
      </c>
      <c r="D218">
        <v>85229527</v>
      </c>
      <c r="E218">
        <v>1</v>
      </c>
      <c r="F218">
        <v>1</v>
      </c>
      <c r="G218">
        <v>1081</v>
      </c>
      <c r="H218">
        <v>2</v>
      </c>
      <c r="I218" t="s">
        <v>546</v>
      </c>
      <c r="J218" t="s">
        <v>547</v>
      </c>
      <c r="K218" t="s">
        <v>548</v>
      </c>
      <c r="L218">
        <v>1368</v>
      </c>
      <c r="N218">
        <v>1011</v>
      </c>
      <c r="O218" t="s">
        <v>478</v>
      </c>
      <c r="P218" t="s">
        <v>478</v>
      </c>
      <c r="Q218">
        <v>1</v>
      </c>
      <c r="W218">
        <v>0</v>
      </c>
      <c r="X218">
        <v>-1222619517</v>
      </c>
      <c r="Y218">
        <f t="shared" si="82"/>
        <v>11.28</v>
      </c>
      <c r="AA218">
        <v>0</v>
      </c>
      <c r="AB218">
        <v>51.29</v>
      </c>
      <c r="AC218">
        <v>13.47</v>
      </c>
      <c r="AD218">
        <v>0</v>
      </c>
      <c r="AE218">
        <v>0</v>
      </c>
      <c r="AF218">
        <v>48.07</v>
      </c>
      <c r="AG218">
        <v>12.62</v>
      </c>
      <c r="AH218">
        <v>0</v>
      </c>
      <c r="AI218">
        <v>1</v>
      </c>
      <c r="AJ218">
        <v>1</v>
      </c>
      <c r="AK218">
        <v>1</v>
      </c>
      <c r="AL218">
        <v>1</v>
      </c>
      <c r="AM218">
        <v>-2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9.4</v>
      </c>
      <c r="AU218" t="s">
        <v>36</v>
      </c>
      <c r="AV218">
        <v>0</v>
      </c>
      <c r="AW218">
        <v>2</v>
      </c>
      <c r="AX218">
        <v>85739715</v>
      </c>
      <c r="AY218">
        <v>1</v>
      </c>
      <c r="AZ218">
        <v>0</v>
      </c>
      <c r="BA218">
        <v>242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f>ROUND(Y218*Source!I92*DO218,9)</f>
        <v>142.3536</v>
      </c>
      <c r="CX218">
        <f>ROUND(Y218*Source!I92,9)</f>
        <v>11.28</v>
      </c>
      <c r="CY218">
        <f>AB218</f>
        <v>51.29</v>
      </c>
      <c r="CZ218">
        <f>AF218</f>
        <v>48.07</v>
      </c>
      <c r="DA218">
        <f>AJ218</f>
        <v>1</v>
      </c>
      <c r="DB218">
        <f t="shared" si="83"/>
        <v>542.23199999999997</v>
      </c>
      <c r="DC218">
        <f t="shared" si="84"/>
        <v>142.35599999999999</v>
      </c>
      <c r="DD218" t="s">
        <v>3</v>
      </c>
      <c r="DE218" t="s">
        <v>3</v>
      </c>
      <c r="DF218">
        <f t="shared" si="85"/>
        <v>0</v>
      </c>
      <c r="DG218">
        <f t="shared" si="81"/>
        <v>542.23</v>
      </c>
      <c r="DH218">
        <f t="shared" si="80"/>
        <v>142.35</v>
      </c>
      <c r="DI218">
        <f t="shared" si="71"/>
        <v>0</v>
      </c>
      <c r="DJ218">
        <f>DG218</f>
        <v>542.23</v>
      </c>
      <c r="DK218">
        <v>0</v>
      </c>
      <c r="DL218" t="s">
        <v>485</v>
      </c>
      <c r="DM218">
        <v>0</v>
      </c>
      <c r="DN218" t="s">
        <v>474</v>
      </c>
      <c r="DO218">
        <v>12.62</v>
      </c>
    </row>
    <row r="219" spans="1:119" x14ac:dyDescent="0.2">
      <c r="A219">
        <f>ROW(Source!A92)</f>
        <v>92</v>
      </c>
      <c r="B219">
        <v>85739205</v>
      </c>
      <c r="C219">
        <v>85739652</v>
      </c>
      <c r="D219">
        <v>85229564</v>
      </c>
      <c r="E219">
        <v>1</v>
      </c>
      <c r="F219">
        <v>1</v>
      </c>
      <c r="G219">
        <v>1081</v>
      </c>
      <c r="H219">
        <v>2</v>
      </c>
      <c r="I219" t="s">
        <v>549</v>
      </c>
      <c r="J219" t="s">
        <v>550</v>
      </c>
      <c r="K219" t="s">
        <v>551</v>
      </c>
      <c r="L219">
        <v>1368</v>
      </c>
      <c r="N219">
        <v>1011</v>
      </c>
      <c r="O219" t="s">
        <v>478</v>
      </c>
      <c r="P219" t="s">
        <v>478</v>
      </c>
      <c r="Q219">
        <v>1</v>
      </c>
      <c r="W219">
        <v>0</v>
      </c>
      <c r="X219">
        <v>210297649</v>
      </c>
      <c r="Y219">
        <f t="shared" si="82"/>
        <v>10.199999999999999</v>
      </c>
      <c r="AA219">
        <v>0</v>
      </c>
      <c r="AB219">
        <v>6.18</v>
      </c>
      <c r="AC219">
        <v>0</v>
      </c>
      <c r="AD219">
        <v>0</v>
      </c>
      <c r="AE219">
        <v>0</v>
      </c>
      <c r="AF219">
        <v>5.79</v>
      </c>
      <c r="AG219">
        <v>0</v>
      </c>
      <c r="AH219">
        <v>0</v>
      </c>
      <c r="AI219">
        <v>1</v>
      </c>
      <c r="AJ219">
        <v>1</v>
      </c>
      <c r="AK219">
        <v>1</v>
      </c>
      <c r="AL219">
        <v>1</v>
      </c>
      <c r="AM219">
        <v>-2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8.5</v>
      </c>
      <c r="AU219" t="s">
        <v>36</v>
      </c>
      <c r="AV219">
        <v>0</v>
      </c>
      <c r="AW219">
        <v>2</v>
      </c>
      <c r="AX219">
        <v>85739716</v>
      </c>
      <c r="AY219">
        <v>1</v>
      </c>
      <c r="AZ219">
        <v>0</v>
      </c>
      <c r="BA219">
        <v>243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f>ROUND(Y219*Source!I92*DO219,9)</f>
        <v>0</v>
      </c>
      <c r="CX219">
        <f>ROUND(Y219*Source!I92,9)</f>
        <v>10.199999999999999</v>
      </c>
      <c r="CY219">
        <f>AB219</f>
        <v>6.18</v>
      </c>
      <c r="CZ219">
        <f>AF219</f>
        <v>5.79</v>
      </c>
      <c r="DA219">
        <f>AJ219</f>
        <v>1</v>
      </c>
      <c r="DB219">
        <f t="shared" si="83"/>
        <v>59.064</v>
      </c>
      <c r="DC219">
        <f t="shared" si="84"/>
        <v>0</v>
      </c>
      <c r="DD219" t="s">
        <v>3</v>
      </c>
      <c r="DE219" t="s">
        <v>3</v>
      </c>
      <c r="DF219">
        <f t="shared" si="85"/>
        <v>0</v>
      </c>
      <c r="DG219">
        <f t="shared" si="81"/>
        <v>59.06</v>
      </c>
      <c r="DH219">
        <f t="shared" si="80"/>
        <v>0</v>
      </c>
      <c r="DI219">
        <f t="shared" si="71"/>
        <v>0</v>
      </c>
      <c r="DJ219">
        <f>DG219</f>
        <v>59.06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">
      <c r="A220">
        <f>ROW(Source!A92)</f>
        <v>92</v>
      </c>
      <c r="B220">
        <v>85739205</v>
      </c>
      <c r="C220">
        <v>85739652</v>
      </c>
      <c r="D220">
        <v>85229633</v>
      </c>
      <c r="E220">
        <v>1</v>
      </c>
      <c r="F220">
        <v>1</v>
      </c>
      <c r="G220">
        <v>1081</v>
      </c>
      <c r="H220">
        <v>2</v>
      </c>
      <c r="I220" t="s">
        <v>475</v>
      </c>
      <c r="J220" t="s">
        <v>476</v>
      </c>
      <c r="K220" t="s">
        <v>477</v>
      </c>
      <c r="L220">
        <v>1368</v>
      </c>
      <c r="N220">
        <v>1011</v>
      </c>
      <c r="O220" t="s">
        <v>478</v>
      </c>
      <c r="P220" t="s">
        <v>478</v>
      </c>
      <c r="Q220">
        <v>1</v>
      </c>
      <c r="W220">
        <v>0</v>
      </c>
      <c r="X220">
        <v>1498588441</v>
      </c>
      <c r="Y220">
        <f t="shared" si="82"/>
        <v>30</v>
      </c>
      <c r="AA220">
        <v>0</v>
      </c>
      <c r="AB220">
        <v>7.59</v>
      </c>
      <c r="AC220">
        <v>0</v>
      </c>
      <c r="AD220">
        <v>0</v>
      </c>
      <c r="AE220">
        <v>0</v>
      </c>
      <c r="AF220">
        <v>7.11</v>
      </c>
      <c r="AG220">
        <v>0</v>
      </c>
      <c r="AH220">
        <v>0</v>
      </c>
      <c r="AI220">
        <v>1</v>
      </c>
      <c r="AJ220">
        <v>1</v>
      </c>
      <c r="AK220">
        <v>1</v>
      </c>
      <c r="AL220">
        <v>1</v>
      </c>
      <c r="AM220">
        <v>-2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25</v>
      </c>
      <c r="AU220" t="s">
        <v>36</v>
      </c>
      <c r="AV220">
        <v>0</v>
      </c>
      <c r="AW220">
        <v>2</v>
      </c>
      <c r="AX220">
        <v>85739717</v>
      </c>
      <c r="AY220">
        <v>1</v>
      </c>
      <c r="AZ220">
        <v>0</v>
      </c>
      <c r="BA220">
        <v>244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f>ROUND(Y220*Source!I92*DO220,9)</f>
        <v>0</v>
      </c>
      <c r="CX220">
        <f>ROUND(Y220*Source!I92,9)</f>
        <v>30</v>
      </c>
      <c r="CY220">
        <f>AB220</f>
        <v>7.59</v>
      </c>
      <c r="CZ220">
        <f>AF220</f>
        <v>7.11</v>
      </c>
      <c r="DA220">
        <f>AJ220</f>
        <v>1</v>
      </c>
      <c r="DB220">
        <f t="shared" si="83"/>
        <v>213.3</v>
      </c>
      <c r="DC220">
        <f t="shared" si="84"/>
        <v>0</v>
      </c>
      <c r="DD220" t="s">
        <v>3</v>
      </c>
      <c r="DE220" t="s">
        <v>3</v>
      </c>
      <c r="DF220">
        <f t="shared" si="85"/>
        <v>0</v>
      </c>
      <c r="DG220">
        <f t="shared" si="81"/>
        <v>213.3</v>
      </c>
      <c r="DH220">
        <f t="shared" si="80"/>
        <v>0</v>
      </c>
      <c r="DI220">
        <f t="shared" si="71"/>
        <v>0</v>
      </c>
      <c r="DJ220">
        <f>DG220</f>
        <v>213.3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">
      <c r="A221">
        <f>ROW(Source!A92)</f>
        <v>92</v>
      </c>
      <c r="B221">
        <v>85739205</v>
      </c>
      <c r="C221">
        <v>85739652</v>
      </c>
      <c r="D221">
        <v>85229932</v>
      </c>
      <c r="E221">
        <v>1</v>
      </c>
      <c r="F221">
        <v>1</v>
      </c>
      <c r="G221">
        <v>1081</v>
      </c>
      <c r="H221">
        <v>2</v>
      </c>
      <c r="I221" t="s">
        <v>482</v>
      </c>
      <c r="J221" t="s">
        <v>483</v>
      </c>
      <c r="K221" t="s">
        <v>484</v>
      </c>
      <c r="L221">
        <v>1368</v>
      </c>
      <c r="N221">
        <v>1011</v>
      </c>
      <c r="O221" t="s">
        <v>478</v>
      </c>
      <c r="P221" t="s">
        <v>478</v>
      </c>
      <c r="Q221">
        <v>1</v>
      </c>
      <c r="W221">
        <v>0</v>
      </c>
      <c r="X221">
        <v>874612079</v>
      </c>
      <c r="Y221">
        <f t="shared" si="82"/>
        <v>1.9919999999999998</v>
      </c>
      <c r="AA221">
        <v>0</v>
      </c>
      <c r="AB221">
        <v>88.67</v>
      </c>
      <c r="AC221">
        <v>13.47</v>
      </c>
      <c r="AD221">
        <v>0</v>
      </c>
      <c r="AE221">
        <v>0</v>
      </c>
      <c r="AF221">
        <v>83.1</v>
      </c>
      <c r="AG221">
        <v>12.62</v>
      </c>
      <c r="AH221">
        <v>0</v>
      </c>
      <c r="AI221">
        <v>1</v>
      </c>
      <c r="AJ221">
        <v>1</v>
      </c>
      <c r="AK221">
        <v>1</v>
      </c>
      <c r="AL221">
        <v>1</v>
      </c>
      <c r="AM221">
        <v>-2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1.66</v>
      </c>
      <c r="AU221" t="s">
        <v>36</v>
      </c>
      <c r="AV221">
        <v>0</v>
      </c>
      <c r="AW221">
        <v>2</v>
      </c>
      <c r="AX221">
        <v>85739718</v>
      </c>
      <c r="AY221">
        <v>1</v>
      </c>
      <c r="AZ221">
        <v>0</v>
      </c>
      <c r="BA221">
        <v>245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f>ROUND(Y221*Source!I92*DO221,9)</f>
        <v>25.139040000000001</v>
      </c>
      <c r="CX221">
        <f>ROUND(Y221*Source!I92,9)</f>
        <v>1.992</v>
      </c>
      <c r="CY221">
        <f>AB221</f>
        <v>88.67</v>
      </c>
      <c r="CZ221">
        <f>AF221</f>
        <v>83.1</v>
      </c>
      <c r="DA221">
        <f>AJ221</f>
        <v>1</v>
      </c>
      <c r="DB221">
        <f t="shared" si="83"/>
        <v>165.54</v>
      </c>
      <c r="DC221">
        <f t="shared" si="84"/>
        <v>25.14</v>
      </c>
      <c r="DD221" t="s">
        <v>3</v>
      </c>
      <c r="DE221" t="s">
        <v>3</v>
      </c>
      <c r="DF221">
        <f t="shared" si="85"/>
        <v>0</v>
      </c>
      <c r="DG221">
        <f t="shared" si="81"/>
        <v>165.54</v>
      </c>
      <c r="DH221">
        <f t="shared" si="80"/>
        <v>25.14</v>
      </c>
      <c r="DI221">
        <f t="shared" si="71"/>
        <v>0</v>
      </c>
      <c r="DJ221">
        <f>DG221</f>
        <v>165.54</v>
      </c>
      <c r="DK221">
        <v>0</v>
      </c>
      <c r="DL221" t="s">
        <v>485</v>
      </c>
      <c r="DM221">
        <v>0</v>
      </c>
      <c r="DN221" t="s">
        <v>474</v>
      </c>
      <c r="DO221">
        <v>12.62</v>
      </c>
    </row>
    <row r="222" spans="1:119" x14ac:dyDescent="0.2">
      <c r="A222">
        <f>ROW(Source!A92)</f>
        <v>92</v>
      </c>
      <c r="B222">
        <v>85739205</v>
      </c>
      <c r="C222">
        <v>85739652</v>
      </c>
      <c r="D222">
        <v>85229250</v>
      </c>
      <c r="E222">
        <v>1</v>
      </c>
      <c r="F222">
        <v>1</v>
      </c>
      <c r="G222">
        <v>1081</v>
      </c>
      <c r="H222">
        <v>2</v>
      </c>
      <c r="I222" t="s">
        <v>552</v>
      </c>
      <c r="J222" t="s">
        <v>553</v>
      </c>
      <c r="K222" t="s">
        <v>554</v>
      </c>
      <c r="L222">
        <v>1368</v>
      </c>
      <c r="N222">
        <v>1011</v>
      </c>
      <c r="O222" t="s">
        <v>478</v>
      </c>
      <c r="P222" t="s">
        <v>478</v>
      </c>
      <c r="Q222">
        <v>1</v>
      </c>
      <c r="W222">
        <v>0</v>
      </c>
      <c r="X222">
        <v>-1755828087</v>
      </c>
      <c r="Y222">
        <f t="shared" si="82"/>
        <v>1.464</v>
      </c>
      <c r="AA222">
        <v>0</v>
      </c>
      <c r="AB222">
        <v>3.39</v>
      </c>
      <c r="AC222">
        <v>0</v>
      </c>
      <c r="AD222">
        <v>0</v>
      </c>
      <c r="AE222">
        <v>0</v>
      </c>
      <c r="AF222">
        <v>3.18</v>
      </c>
      <c r="AG222">
        <v>0</v>
      </c>
      <c r="AH222">
        <v>0</v>
      </c>
      <c r="AI222">
        <v>1</v>
      </c>
      <c r="AJ222">
        <v>1</v>
      </c>
      <c r="AK222">
        <v>1</v>
      </c>
      <c r="AL222">
        <v>1</v>
      </c>
      <c r="AM222">
        <v>-2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1.22</v>
      </c>
      <c r="AU222" t="s">
        <v>36</v>
      </c>
      <c r="AV222">
        <v>0</v>
      </c>
      <c r="AW222">
        <v>2</v>
      </c>
      <c r="AX222">
        <v>85739719</v>
      </c>
      <c r="AY222">
        <v>1</v>
      </c>
      <c r="AZ222">
        <v>0</v>
      </c>
      <c r="BA222">
        <v>246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f>ROUND(Y222*Source!I92*DO222,9)</f>
        <v>0</v>
      </c>
      <c r="CX222">
        <f>ROUND(Y222*Source!I92,9)</f>
        <v>1.464</v>
      </c>
      <c r="CY222">
        <f>AB222</f>
        <v>3.39</v>
      </c>
      <c r="CZ222">
        <f>AF222</f>
        <v>3.18</v>
      </c>
      <c r="DA222">
        <f>AJ222</f>
        <v>1</v>
      </c>
      <c r="DB222">
        <f t="shared" si="83"/>
        <v>4.6559999999999997</v>
      </c>
      <c r="DC222">
        <f t="shared" si="84"/>
        <v>0</v>
      </c>
      <c r="DD222" t="s">
        <v>3</v>
      </c>
      <c r="DE222" t="s">
        <v>3</v>
      </c>
      <c r="DF222">
        <f t="shared" si="85"/>
        <v>0</v>
      </c>
      <c r="DG222">
        <f t="shared" si="81"/>
        <v>4.66</v>
      </c>
      <c r="DH222">
        <f t="shared" si="80"/>
        <v>0</v>
      </c>
      <c r="DI222">
        <f t="shared" si="71"/>
        <v>0</v>
      </c>
      <c r="DJ222">
        <f>DG222</f>
        <v>4.66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">
      <c r="A223">
        <f>ROW(Source!A92)</f>
        <v>92</v>
      </c>
      <c r="B223">
        <v>85739205</v>
      </c>
      <c r="C223">
        <v>85739652</v>
      </c>
      <c r="D223">
        <v>85198960</v>
      </c>
      <c r="E223">
        <v>1</v>
      </c>
      <c r="F223">
        <v>1</v>
      </c>
      <c r="G223">
        <v>1081</v>
      </c>
      <c r="H223">
        <v>3</v>
      </c>
      <c r="I223" t="s">
        <v>513</v>
      </c>
      <c r="J223" t="s">
        <v>514</v>
      </c>
      <c r="K223" t="s">
        <v>515</v>
      </c>
      <c r="L223">
        <v>1339</v>
      </c>
      <c r="N223">
        <v>1007</v>
      </c>
      <c r="O223" t="s">
        <v>506</v>
      </c>
      <c r="P223" t="s">
        <v>506</v>
      </c>
      <c r="Q223">
        <v>1</v>
      </c>
      <c r="W223">
        <v>0</v>
      </c>
      <c r="X223">
        <v>-1622585150</v>
      </c>
      <c r="Y223">
        <f>(AT223*1)</f>
        <v>10</v>
      </c>
      <c r="AA223">
        <v>7.27</v>
      </c>
      <c r="AB223">
        <v>0</v>
      </c>
      <c r="AC223">
        <v>0</v>
      </c>
      <c r="AD223">
        <v>0</v>
      </c>
      <c r="AE223">
        <v>7.07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1</v>
      </c>
      <c r="AL223">
        <v>1</v>
      </c>
      <c r="AM223">
        <v>-2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10</v>
      </c>
      <c r="AU223" t="s">
        <v>35</v>
      </c>
      <c r="AV223">
        <v>0</v>
      </c>
      <c r="AW223">
        <v>2</v>
      </c>
      <c r="AX223">
        <v>85739720</v>
      </c>
      <c r="AY223">
        <v>1</v>
      </c>
      <c r="AZ223">
        <v>0</v>
      </c>
      <c r="BA223">
        <v>247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v>0</v>
      </c>
      <c r="CX223">
        <f>ROUND(Y223*Source!I92,9)</f>
        <v>10</v>
      </c>
      <c r="CY223">
        <f>AA223</f>
        <v>7.27</v>
      </c>
      <c r="CZ223">
        <f>AE223</f>
        <v>7.07</v>
      </c>
      <c r="DA223">
        <f>AI223</f>
        <v>1</v>
      </c>
      <c r="DB223">
        <f>ROUND((ROUND(AT223*CZ223,2)*1),6)</f>
        <v>70.7</v>
      </c>
      <c r="DC223">
        <f>ROUND((ROUND(AT223*AG223,2)*1),6)</f>
        <v>0</v>
      </c>
      <c r="DD223" t="s">
        <v>3</v>
      </c>
      <c r="DE223" t="s">
        <v>3</v>
      </c>
      <c r="DF223">
        <f t="shared" si="85"/>
        <v>70.7</v>
      </c>
      <c r="DG223">
        <f t="shared" si="81"/>
        <v>0</v>
      </c>
      <c r="DH223">
        <f t="shared" si="80"/>
        <v>0</v>
      </c>
      <c r="DI223">
        <f t="shared" si="71"/>
        <v>0</v>
      </c>
      <c r="DJ223">
        <f>DF223</f>
        <v>70.7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">
      <c r="A224">
        <f>ROW(Source!A92)</f>
        <v>92</v>
      </c>
      <c r="B224">
        <v>85739205</v>
      </c>
      <c r="C224">
        <v>85739652</v>
      </c>
      <c r="D224">
        <v>85200023</v>
      </c>
      <c r="E224">
        <v>1</v>
      </c>
      <c r="F224">
        <v>1</v>
      </c>
      <c r="G224">
        <v>1081</v>
      </c>
      <c r="H224">
        <v>3</v>
      </c>
      <c r="I224" t="s">
        <v>555</v>
      </c>
      <c r="J224" t="s">
        <v>556</v>
      </c>
      <c r="K224" t="s">
        <v>557</v>
      </c>
      <c r="L224">
        <v>1348</v>
      </c>
      <c r="N224">
        <v>1009</v>
      </c>
      <c r="O224" t="s">
        <v>266</v>
      </c>
      <c r="P224" t="s">
        <v>266</v>
      </c>
      <c r="Q224">
        <v>1000</v>
      </c>
      <c r="W224">
        <v>0</v>
      </c>
      <c r="X224">
        <v>63955816</v>
      </c>
      <c r="Y224">
        <f>(AT224*1)</f>
        <v>7.7000000000000002E-3</v>
      </c>
      <c r="AA224">
        <v>7387.02</v>
      </c>
      <c r="AB224">
        <v>0</v>
      </c>
      <c r="AC224">
        <v>0</v>
      </c>
      <c r="AD224">
        <v>0</v>
      </c>
      <c r="AE224">
        <v>7185.82</v>
      </c>
      <c r="AF224">
        <v>0</v>
      </c>
      <c r="AG224">
        <v>0</v>
      </c>
      <c r="AH224">
        <v>0</v>
      </c>
      <c r="AI224">
        <v>1</v>
      </c>
      <c r="AJ224">
        <v>1</v>
      </c>
      <c r="AK224">
        <v>1</v>
      </c>
      <c r="AL224">
        <v>1</v>
      </c>
      <c r="AM224">
        <v>-2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7.7000000000000002E-3</v>
      </c>
      <c r="AU224" t="s">
        <v>35</v>
      </c>
      <c r="AV224">
        <v>0</v>
      </c>
      <c r="AW224">
        <v>2</v>
      </c>
      <c r="AX224">
        <v>85739721</v>
      </c>
      <c r="AY224">
        <v>1</v>
      </c>
      <c r="AZ224">
        <v>0</v>
      </c>
      <c r="BA224">
        <v>248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ROUND(Y224*Source!I92,9)</f>
        <v>7.7000000000000002E-3</v>
      </c>
      <c r="CY224">
        <f>AA224</f>
        <v>7387.02</v>
      </c>
      <c r="CZ224">
        <f>AE224</f>
        <v>7185.82</v>
      </c>
      <c r="DA224">
        <f>AI224</f>
        <v>1</v>
      </c>
      <c r="DB224">
        <f>ROUND((ROUND(AT224*CZ224,2)*1),6)</f>
        <v>55.33</v>
      </c>
      <c r="DC224">
        <f>ROUND((ROUND(AT224*AG224,2)*1),6)</f>
        <v>0</v>
      </c>
      <c r="DD224" t="s">
        <v>3</v>
      </c>
      <c r="DE224" t="s">
        <v>3</v>
      </c>
      <c r="DF224">
        <f t="shared" si="85"/>
        <v>55.33</v>
      </c>
      <c r="DG224">
        <f t="shared" si="81"/>
        <v>0</v>
      </c>
      <c r="DH224">
        <f t="shared" si="80"/>
        <v>0</v>
      </c>
      <c r="DI224">
        <f t="shared" si="71"/>
        <v>0</v>
      </c>
      <c r="DJ224">
        <f>DF224</f>
        <v>55.33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">
      <c r="A225">
        <f>ROW(Source!A92)</f>
        <v>92</v>
      </c>
      <c r="B225">
        <v>85739205</v>
      </c>
      <c r="C225">
        <v>85739652</v>
      </c>
      <c r="D225">
        <v>85213612</v>
      </c>
      <c r="E225">
        <v>1</v>
      </c>
      <c r="F225">
        <v>1</v>
      </c>
      <c r="G225">
        <v>1081</v>
      </c>
      <c r="H225">
        <v>3</v>
      </c>
      <c r="I225" t="s">
        <v>190</v>
      </c>
      <c r="J225" t="s">
        <v>192</v>
      </c>
      <c r="K225" t="s">
        <v>191</v>
      </c>
      <c r="L225">
        <v>1301</v>
      </c>
      <c r="N225">
        <v>1003</v>
      </c>
      <c r="O225" t="s">
        <v>179</v>
      </c>
      <c r="P225" t="s">
        <v>179</v>
      </c>
      <c r="Q225">
        <v>1</v>
      </c>
      <c r="W225">
        <v>0</v>
      </c>
      <c r="X225">
        <v>1214887306</v>
      </c>
      <c r="Y225">
        <f>(AT225*1)</f>
        <v>60.3</v>
      </c>
      <c r="AA225">
        <v>66.16</v>
      </c>
      <c r="AB225">
        <v>0</v>
      </c>
      <c r="AC225">
        <v>0</v>
      </c>
      <c r="AD225">
        <v>0</v>
      </c>
      <c r="AE225">
        <v>66.16</v>
      </c>
      <c r="AF225">
        <v>0</v>
      </c>
      <c r="AG225">
        <v>0</v>
      </c>
      <c r="AH225">
        <v>0</v>
      </c>
      <c r="AI225">
        <v>1</v>
      </c>
      <c r="AJ225">
        <v>1</v>
      </c>
      <c r="AK225">
        <v>1</v>
      </c>
      <c r="AL225">
        <v>1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 t="s">
        <v>3</v>
      </c>
      <c r="AT225">
        <v>60.3</v>
      </c>
      <c r="AU225" t="s">
        <v>35</v>
      </c>
      <c r="AV225">
        <v>0</v>
      </c>
      <c r="AW225">
        <v>1</v>
      </c>
      <c r="AX225">
        <v>-1</v>
      </c>
      <c r="AY225">
        <v>0</v>
      </c>
      <c r="AZ225">
        <v>0</v>
      </c>
      <c r="BA225" t="s">
        <v>3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v>0</v>
      </c>
      <c r="CX225">
        <f>ROUND(Y225*Source!I92,9)</f>
        <v>60.3</v>
      </c>
      <c r="CY225">
        <f>AA225</f>
        <v>66.16</v>
      </c>
      <c r="CZ225">
        <f>AE225</f>
        <v>66.16</v>
      </c>
      <c r="DA225">
        <f>AI225</f>
        <v>1</v>
      </c>
      <c r="DB225">
        <f>ROUND((ROUND(AT225*CZ225,2)*1),6)</f>
        <v>3989.45</v>
      </c>
      <c r="DC225">
        <f>ROUND((ROUND(AT225*AG225,2)*1),6)</f>
        <v>0</v>
      </c>
      <c r="DD225" t="s">
        <v>3</v>
      </c>
      <c r="DE225" t="s">
        <v>3</v>
      </c>
      <c r="DF225">
        <f t="shared" si="85"/>
        <v>3989.45</v>
      </c>
      <c r="DG225">
        <f t="shared" si="81"/>
        <v>0</v>
      </c>
      <c r="DH225">
        <f t="shared" si="80"/>
        <v>0</v>
      </c>
      <c r="DI225">
        <f t="shared" si="71"/>
        <v>0</v>
      </c>
      <c r="DJ225">
        <f>DF225</f>
        <v>3989.45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">
      <c r="A226">
        <f>ROW(Source!A92)</f>
        <v>92</v>
      </c>
      <c r="B226">
        <v>85739205</v>
      </c>
      <c r="C226">
        <v>85739652</v>
      </c>
      <c r="D226">
        <v>85213619</v>
      </c>
      <c r="E226">
        <v>1</v>
      </c>
      <c r="F226">
        <v>1</v>
      </c>
      <c r="G226">
        <v>1081</v>
      </c>
      <c r="H226">
        <v>3</v>
      </c>
      <c r="I226" t="s">
        <v>186</v>
      </c>
      <c r="J226" t="s">
        <v>188</v>
      </c>
      <c r="K226" t="s">
        <v>187</v>
      </c>
      <c r="L226">
        <v>1301</v>
      </c>
      <c r="N226">
        <v>1003</v>
      </c>
      <c r="O226" t="s">
        <v>179</v>
      </c>
      <c r="P226" t="s">
        <v>179</v>
      </c>
      <c r="Q226">
        <v>1</v>
      </c>
      <c r="W226">
        <v>0</v>
      </c>
      <c r="X226">
        <v>-648477377</v>
      </c>
      <c r="Y226">
        <f>(AT226*1)</f>
        <v>40.200000000000003</v>
      </c>
      <c r="AA226">
        <v>80.59</v>
      </c>
      <c r="AB226">
        <v>0</v>
      </c>
      <c r="AC226">
        <v>0</v>
      </c>
      <c r="AD226">
        <v>0</v>
      </c>
      <c r="AE226">
        <v>80.59</v>
      </c>
      <c r="AF226">
        <v>0</v>
      </c>
      <c r="AG226">
        <v>0</v>
      </c>
      <c r="AH226">
        <v>0</v>
      </c>
      <c r="AI226">
        <v>1</v>
      </c>
      <c r="AJ226">
        <v>1</v>
      </c>
      <c r="AK226">
        <v>1</v>
      </c>
      <c r="AL226">
        <v>1</v>
      </c>
      <c r="AM226">
        <v>0</v>
      </c>
      <c r="AN226">
        <v>0</v>
      </c>
      <c r="AO226">
        <v>0</v>
      </c>
      <c r="AP226">
        <v>1</v>
      </c>
      <c r="AQ226">
        <v>0</v>
      </c>
      <c r="AR226">
        <v>0</v>
      </c>
      <c r="AS226" t="s">
        <v>3</v>
      </c>
      <c r="AT226">
        <v>40.200000000000003</v>
      </c>
      <c r="AU226" t="s">
        <v>35</v>
      </c>
      <c r="AV226">
        <v>0</v>
      </c>
      <c r="AW226">
        <v>1</v>
      </c>
      <c r="AX226">
        <v>-1</v>
      </c>
      <c r="AY226">
        <v>0</v>
      </c>
      <c r="AZ226">
        <v>0</v>
      </c>
      <c r="BA226" t="s">
        <v>3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ROUND(Y226*Source!I92,9)</f>
        <v>40.200000000000003</v>
      </c>
      <c r="CY226">
        <f>AA226</f>
        <v>80.59</v>
      </c>
      <c r="CZ226">
        <f>AE226</f>
        <v>80.59</v>
      </c>
      <c r="DA226">
        <f>AI226</f>
        <v>1</v>
      </c>
      <c r="DB226">
        <f>ROUND((ROUND(AT226*CZ226,2)*1),6)</f>
        <v>3239.72</v>
      </c>
      <c r="DC226">
        <f>ROUND((ROUND(AT226*AG226,2)*1),6)</f>
        <v>0</v>
      </c>
      <c r="DD226" t="s">
        <v>3</v>
      </c>
      <c r="DE226" t="s">
        <v>3</v>
      </c>
      <c r="DF226">
        <f t="shared" si="85"/>
        <v>3239.72</v>
      </c>
      <c r="DG226">
        <f t="shared" si="81"/>
        <v>0</v>
      </c>
      <c r="DH226">
        <f t="shared" si="80"/>
        <v>0</v>
      </c>
      <c r="DI226">
        <f t="shared" si="71"/>
        <v>0</v>
      </c>
      <c r="DJ226">
        <f>DF226</f>
        <v>3239.72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">
      <c r="A227">
        <f>ROW(Source!A93)</f>
        <v>93</v>
      </c>
      <c r="B227">
        <v>85739207</v>
      </c>
      <c r="C227">
        <v>85739652</v>
      </c>
      <c r="D227">
        <v>85164021</v>
      </c>
      <c r="E227">
        <v>1081</v>
      </c>
      <c r="F227">
        <v>1</v>
      </c>
      <c r="G227">
        <v>1081</v>
      </c>
      <c r="H227">
        <v>1</v>
      </c>
      <c r="I227" t="s">
        <v>472</v>
      </c>
      <c r="J227" t="s">
        <v>3</v>
      </c>
      <c r="K227" t="s">
        <v>473</v>
      </c>
      <c r="L227">
        <v>1191</v>
      </c>
      <c r="N227">
        <v>1013</v>
      </c>
      <c r="O227" t="s">
        <v>474</v>
      </c>
      <c r="P227" t="s">
        <v>474</v>
      </c>
      <c r="Q227">
        <v>1</v>
      </c>
      <c r="W227">
        <v>0</v>
      </c>
      <c r="X227">
        <v>476480486</v>
      </c>
      <c r="Y227">
        <f t="shared" ref="Y227:Y232" si="86">(AT227*1.2)</f>
        <v>190.79999999999998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1</v>
      </c>
      <c r="AL227">
        <v>1</v>
      </c>
      <c r="AM227">
        <v>5</v>
      </c>
      <c r="AN227">
        <v>0</v>
      </c>
      <c r="AO227">
        <v>1</v>
      </c>
      <c r="AP227">
        <v>1</v>
      </c>
      <c r="AQ227">
        <v>0</v>
      </c>
      <c r="AR227">
        <v>0</v>
      </c>
      <c r="AS227" t="s">
        <v>3</v>
      </c>
      <c r="AT227">
        <v>159</v>
      </c>
      <c r="AU227" t="s">
        <v>36</v>
      </c>
      <c r="AV227">
        <v>1</v>
      </c>
      <c r="AW227">
        <v>2</v>
      </c>
      <c r="AX227">
        <v>85739714</v>
      </c>
      <c r="AY227">
        <v>1</v>
      </c>
      <c r="AZ227">
        <v>0</v>
      </c>
      <c r="BA227">
        <v>250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U227">
        <f>ROUND(AT227*Source!I93*AH227*AL227,2)</f>
        <v>0</v>
      </c>
      <c r="CV227">
        <f>ROUND(Y227*Source!I93,9)</f>
        <v>190.8</v>
      </c>
      <c r="CW227">
        <v>0</v>
      </c>
      <c r="CX227">
        <f>ROUND(Y227*Source!I93,9)</f>
        <v>190.8</v>
      </c>
      <c r="CY227">
        <f>AD227</f>
        <v>0</v>
      </c>
      <c r="CZ227">
        <f>AH227</f>
        <v>0</v>
      </c>
      <c r="DA227">
        <f>AL227</f>
        <v>1</v>
      </c>
      <c r="DB227">
        <f t="shared" ref="DB227:DB232" si="87">ROUND((ROUND(AT227*CZ227,2)*1.2),6)</f>
        <v>0</v>
      </c>
      <c r="DC227">
        <f t="shared" ref="DC227:DC232" si="88">ROUND((ROUND(AT227*AG227,2)*1.2),6)</f>
        <v>0</v>
      </c>
      <c r="DD227" t="s">
        <v>3</v>
      </c>
      <c r="DE227" t="s">
        <v>3</v>
      </c>
      <c r="DF227">
        <f t="shared" si="85"/>
        <v>0</v>
      </c>
      <c r="DG227">
        <f t="shared" si="81"/>
        <v>0</v>
      </c>
      <c r="DH227">
        <f t="shared" si="80"/>
        <v>0</v>
      </c>
      <c r="DI227">
        <f t="shared" si="71"/>
        <v>0</v>
      </c>
      <c r="DJ227">
        <f>DI227</f>
        <v>0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">
      <c r="A228">
        <f>ROW(Source!A93)</f>
        <v>93</v>
      </c>
      <c r="B228">
        <v>85739207</v>
      </c>
      <c r="C228">
        <v>85739652</v>
      </c>
      <c r="D228">
        <v>85229527</v>
      </c>
      <c r="E228">
        <v>1</v>
      </c>
      <c r="F228">
        <v>1</v>
      </c>
      <c r="G228">
        <v>1081</v>
      </c>
      <c r="H228">
        <v>2</v>
      </c>
      <c r="I228" t="s">
        <v>546</v>
      </c>
      <c r="J228" t="s">
        <v>547</v>
      </c>
      <c r="K228" t="s">
        <v>548</v>
      </c>
      <c r="L228">
        <v>1368</v>
      </c>
      <c r="N228">
        <v>1011</v>
      </c>
      <c r="O228" t="s">
        <v>478</v>
      </c>
      <c r="P228" t="s">
        <v>478</v>
      </c>
      <c r="Q228">
        <v>1</v>
      </c>
      <c r="W228">
        <v>0</v>
      </c>
      <c r="X228">
        <v>-1222619517</v>
      </c>
      <c r="Y228">
        <f t="shared" si="86"/>
        <v>11.28</v>
      </c>
      <c r="AA228">
        <v>0</v>
      </c>
      <c r="AB228">
        <v>1209.95</v>
      </c>
      <c r="AC228">
        <v>758.78</v>
      </c>
      <c r="AD228">
        <v>0</v>
      </c>
      <c r="AE228">
        <v>0</v>
      </c>
      <c r="AF228">
        <v>48.07</v>
      </c>
      <c r="AG228">
        <v>12.62</v>
      </c>
      <c r="AH228">
        <v>0</v>
      </c>
      <c r="AI228">
        <v>1</v>
      </c>
      <c r="AJ228">
        <v>23.59</v>
      </c>
      <c r="AK228">
        <v>56.35</v>
      </c>
      <c r="AL228">
        <v>1</v>
      </c>
      <c r="AM228">
        <v>2</v>
      </c>
      <c r="AN228">
        <v>0</v>
      </c>
      <c r="AO228">
        <v>1</v>
      </c>
      <c r="AP228">
        <v>1</v>
      </c>
      <c r="AQ228">
        <v>0</v>
      </c>
      <c r="AR228">
        <v>0</v>
      </c>
      <c r="AS228" t="s">
        <v>3</v>
      </c>
      <c r="AT228">
        <v>9.4</v>
      </c>
      <c r="AU228" t="s">
        <v>36</v>
      </c>
      <c r="AV228">
        <v>0</v>
      </c>
      <c r="AW228">
        <v>2</v>
      </c>
      <c r="AX228">
        <v>85739715</v>
      </c>
      <c r="AY228">
        <v>1</v>
      </c>
      <c r="AZ228">
        <v>0</v>
      </c>
      <c r="BA228">
        <v>251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f>ROUND(Y228*Source!I93*DO228,9)</f>
        <v>142.3536</v>
      </c>
      <c r="CX228">
        <f>ROUND(Y228*Source!I93,9)</f>
        <v>11.28</v>
      </c>
      <c r="CY228">
        <f>AB228</f>
        <v>1209.95</v>
      </c>
      <c r="CZ228">
        <f>AF228</f>
        <v>48.07</v>
      </c>
      <c r="DA228">
        <f>AJ228</f>
        <v>23.59</v>
      </c>
      <c r="DB228">
        <f t="shared" si="87"/>
        <v>542.23199999999997</v>
      </c>
      <c r="DC228">
        <f t="shared" si="88"/>
        <v>142.35599999999999</v>
      </c>
      <c r="DD228" t="s">
        <v>3</v>
      </c>
      <c r="DE228" t="s">
        <v>3</v>
      </c>
      <c r="DF228">
        <f t="shared" si="85"/>
        <v>0</v>
      </c>
      <c r="DG228">
        <f>ROUND(ROUND(AF228*AJ228,2)*CX228,2)</f>
        <v>12791.18</v>
      </c>
      <c r="DH228">
        <f>ROUND(ROUND(AG228*AK228,2)*CX228,2)</f>
        <v>8021.66</v>
      </c>
      <c r="DI228">
        <f t="shared" si="71"/>
        <v>0</v>
      </c>
      <c r="DJ228">
        <f>DG228</f>
        <v>12791.18</v>
      </c>
      <c r="DK228">
        <v>0</v>
      </c>
      <c r="DL228" t="s">
        <v>485</v>
      </c>
      <c r="DM228">
        <v>0</v>
      </c>
      <c r="DN228" t="s">
        <v>474</v>
      </c>
      <c r="DO228">
        <v>12.62</v>
      </c>
    </row>
    <row r="229" spans="1:119" x14ac:dyDescent="0.2">
      <c r="A229">
        <f>ROW(Source!A93)</f>
        <v>93</v>
      </c>
      <c r="B229">
        <v>85739207</v>
      </c>
      <c r="C229">
        <v>85739652</v>
      </c>
      <c r="D229">
        <v>85229564</v>
      </c>
      <c r="E229">
        <v>1</v>
      </c>
      <c r="F229">
        <v>1</v>
      </c>
      <c r="G229">
        <v>1081</v>
      </c>
      <c r="H229">
        <v>2</v>
      </c>
      <c r="I229" t="s">
        <v>549</v>
      </c>
      <c r="J229" t="s">
        <v>550</v>
      </c>
      <c r="K229" t="s">
        <v>551</v>
      </c>
      <c r="L229">
        <v>1368</v>
      </c>
      <c r="N229">
        <v>1011</v>
      </c>
      <c r="O229" t="s">
        <v>478</v>
      </c>
      <c r="P229" t="s">
        <v>478</v>
      </c>
      <c r="Q229">
        <v>1</v>
      </c>
      <c r="W229">
        <v>0</v>
      </c>
      <c r="X229">
        <v>210297649</v>
      </c>
      <c r="Y229">
        <f t="shared" si="86"/>
        <v>10.199999999999999</v>
      </c>
      <c r="AA229">
        <v>0</v>
      </c>
      <c r="AB229">
        <v>65.790000000000006</v>
      </c>
      <c r="AC229">
        <v>0</v>
      </c>
      <c r="AD229">
        <v>0</v>
      </c>
      <c r="AE229">
        <v>0</v>
      </c>
      <c r="AF229">
        <v>5.79</v>
      </c>
      <c r="AG229">
        <v>0</v>
      </c>
      <c r="AH229">
        <v>0</v>
      </c>
      <c r="AI229">
        <v>1</v>
      </c>
      <c r="AJ229">
        <v>10.65</v>
      </c>
      <c r="AK229">
        <v>1</v>
      </c>
      <c r="AL229">
        <v>1</v>
      </c>
      <c r="AM229">
        <v>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8.5</v>
      </c>
      <c r="AU229" t="s">
        <v>36</v>
      </c>
      <c r="AV229">
        <v>0</v>
      </c>
      <c r="AW229">
        <v>2</v>
      </c>
      <c r="AX229">
        <v>85739716</v>
      </c>
      <c r="AY229">
        <v>1</v>
      </c>
      <c r="AZ229">
        <v>0</v>
      </c>
      <c r="BA229">
        <v>252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V229">
        <v>0</v>
      </c>
      <c r="CW229">
        <f>ROUND(Y229*Source!I93*DO229,9)</f>
        <v>0</v>
      </c>
      <c r="CX229">
        <f>ROUND(Y229*Source!I93,9)</f>
        <v>10.199999999999999</v>
      </c>
      <c r="CY229">
        <f>AB229</f>
        <v>65.790000000000006</v>
      </c>
      <c r="CZ229">
        <f>AF229</f>
        <v>5.79</v>
      </c>
      <c r="DA229">
        <f>AJ229</f>
        <v>10.65</v>
      </c>
      <c r="DB229">
        <f t="shared" si="87"/>
        <v>59.064</v>
      </c>
      <c r="DC229">
        <f t="shared" si="88"/>
        <v>0</v>
      </c>
      <c r="DD229" t="s">
        <v>3</v>
      </c>
      <c r="DE229" t="s">
        <v>3</v>
      </c>
      <c r="DF229">
        <f t="shared" si="85"/>
        <v>0</v>
      </c>
      <c r="DG229">
        <f>ROUND(ROUND(AF229*AJ229,2)*CX229,2)</f>
        <v>628.92999999999995</v>
      </c>
      <c r="DH229">
        <f>ROUND(ROUND(AG229,2)*CX229,2)</f>
        <v>0</v>
      </c>
      <c r="DI229">
        <f t="shared" si="71"/>
        <v>0</v>
      </c>
      <c r="DJ229">
        <f>DG229</f>
        <v>628.92999999999995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">
      <c r="A230">
        <f>ROW(Source!A93)</f>
        <v>93</v>
      </c>
      <c r="B230">
        <v>85739207</v>
      </c>
      <c r="C230">
        <v>85739652</v>
      </c>
      <c r="D230">
        <v>85229633</v>
      </c>
      <c r="E230">
        <v>1</v>
      </c>
      <c r="F230">
        <v>1</v>
      </c>
      <c r="G230">
        <v>1081</v>
      </c>
      <c r="H230">
        <v>2</v>
      </c>
      <c r="I230" t="s">
        <v>475</v>
      </c>
      <c r="J230" t="s">
        <v>476</v>
      </c>
      <c r="K230" t="s">
        <v>477</v>
      </c>
      <c r="L230">
        <v>1368</v>
      </c>
      <c r="N230">
        <v>1011</v>
      </c>
      <c r="O230" t="s">
        <v>478</v>
      </c>
      <c r="P230" t="s">
        <v>478</v>
      </c>
      <c r="Q230">
        <v>1</v>
      </c>
      <c r="W230">
        <v>0</v>
      </c>
      <c r="X230">
        <v>1498588441</v>
      </c>
      <c r="Y230">
        <f t="shared" si="86"/>
        <v>30</v>
      </c>
      <c r="AA230">
        <v>0</v>
      </c>
      <c r="AB230">
        <v>102.11</v>
      </c>
      <c r="AC230">
        <v>0</v>
      </c>
      <c r="AD230">
        <v>0</v>
      </c>
      <c r="AE230">
        <v>0</v>
      </c>
      <c r="AF230">
        <v>7.11</v>
      </c>
      <c r="AG230">
        <v>0</v>
      </c>
      <c r="AH230">
        <v>0</v>
      </c>
      <c r="AI230">
        <v>1</v>
      </c>
      <c r="AJ230">
        <v>13.46</v>
      </c>
      <c r="AK230">
        <v>1</v>
      </c>
      <c r="AL230">
        <v>1</v>
      </c>
      <c r="AM230">
        <v>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25</v>
      </c>
      <c r="AU230" t="s">
        <v>36</v>
      </c>
      <c r="AV230">
        <v>0</v>
      </c>
      <c r="AW230">
        <v>2</v>
      </c>
      <c r="AX230">
        <v>85739717</v>
      </c>
      <c r="AY230">
        <v>1</v>
      </c>
      <c r="AZ230">
        <v>0</v>
      </c>
      <c r="BA230">
        <v>253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f>ROUND(Y230*Source!I93*DO230,9)</f>
        <v>0</v>
      </c>
      <c r="CX230">
        <f>ROUND(Y230*Source!I93,9)</f>
        <v>30</v>
      </c>
      <c r="CY230">
        <f>AB230</f>
        <v>102.11</v>
      </c>
      <c r="CZ230">
        <f>AF230</f>
        <v>7.11</v>
      </c>
      <c r="DA230">
        <f>AJ230</f>
        <v>13.46</v>
      </c>
      <c r="DB230">
        <f t="shared" si="87"/>
        <v>213.3</v>
      </c>
      <c r="DC230">
        <f t="shared" si="88"/>
        <v>0</v>
      </c>
      <c r="DD230" t="s">
        <v>3</v>
      </c>
      <c r="DE230" t="s">
        <v>3</v>
      </c>
      <c r="DF230">
        <f t="shared" si="85"/>
        <v>0</v>
      </c>
      <c r="DG230">
        <f>ROUND(ROUND(AF230*AJ230,2)*CX230,2)</f>
        <v>2871</v>
      </c>
      <c r="DH230">
        <f>ROUND(ROUND(AG230,2)*CX230,2)</f>
        <v>0</v>
      </c>
      <c r="DI230">
        <f t="shared" si="71"/>
        <v>0</v>
      </c>
      <c r="DJ230">
        <f>DG230</f>
        <v>2871</v>
      </c>
      <c r="DK230">
        <v>0</v>
      </c>
      <c r="DL230" t="s">
        <v>3</v>
      </c>
      <c r="DM230">
        <v>0</v>
      </c>
      <c r="DN230" t="s">
        <v>3</v>
      </c>
      <c r="DO230">
        <v>0</v>
      </c>
    </row>
    <row r="231" spans="1:119" x14ac:dyDescent="0.2">
      <c r="A231">
        <f>ROW(Source!A93)</f>
        <v>93</v>
      </c>
      <c r="B231">
        <v>85739207</v>
      </c>
      <c r="C231">
        <v>85739652</v>
      </c>
      <c r="D231">
        <v>85229932</v>
      </c>
      <c r="E231">
        <v>1</v>
      </c>
      <c r="F231">
        <v>1</v>
      </c>
      <c r="G231">
        <v>1081</v>
      </c>
      <c r="H231">
        <v>2</v>
      </c>
      <c r="I231" t="s">
        <v>482</v>
      </c>
      <c r="J231" t="s">
        <v>483</v>
      </c>
      <c r="K231" t="s">
        <v>484</v>
      </c>
      <c r="L231">
        <v>1368</v>
      </c>
      <c r="N231">
        <v>1011</v>
      </c>
      <c r="O231" t="s">
        <v>478</v>
      </c>
      <c r="P231" t="s">
        <v>478</v>
      </c>
      <c r="Q231">
        <v>1</v>
      </c>
      <c r="W231">
        <v>0</v>
      </c>
      <c r="X231">
        <v>874612079</v>
      </c>
      <c r="Y231">
        <f t="shared" si="86"/>
        <v>1.9919999999999998</v>
      </c>
      <c r="AA231">
        <v>0</v>
      </c>
      <c r="AB231">
        <v>1513.56</v>
      </c>
      <c r="AC231">
        <v>758.78</v>
      </c>
      <c r="AD231">
        <v>0</v>
      </c>
      <c r="AE231">
        <v>0</v>
      </c>
      <c r="AF231">
        <v>83.1</v>
      </c>
      <c r="AG231">
        <v>12.62</v>
      </c>
      <c r="AH231">
        <v>0</v>
      </c>
      <c r="AI231">
        <v>1</v>
      </c>
      <c r="AJ231">
        <v>17.07</v>
      </c>
      <c r="AK231">
        <v>56.35</v>
      </c>
      <c r="AL231">
        <v>1</v>
      </c>
      <c r="AM231">
        <v>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1.66</v>
      </c>
      <c r="AU231" t="s">
        <v>36</v>
      </c>
      <c r="AV231">
        <v>0</v>
      </c>
      <c r="AW231">
        <v>2</v>
      </c>
      <c r="AX231">
        <v>85739718</v>
      </c>
      <c r="AY231">
        <v>1</v>
      </c>
      <c r="AZ231">
        <v>0</v>
      </c>
      <c r="BA231">
        <v>254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f>ROUND(Y231*Source!I93*DO231,9)</f>
        <v>25.139040000000001</v>
      </c>
      <c r="CX231">
        <f>ROUND(Y231*Source!I93,9)</f>
        <v>1.992</v>
      </c>
      <c r="CY231">
        <f>AB231</f>
        <v>1513.56</v>
      </c>
      <c r="CZ231">
        <f>AF231</f>
        <v>83.1</v>
      </c>
      <c r="DA231">
        <f>AJ231</f>
        <v>17.07</v>
      </c>
      <c r="DB231">
        <f t="shared" si="87"/>
        <v>165.54</v>
      </c>
      <c r="DC231">
        <f t="shared" si="88"/>
        <v>25.14</v>
      </c>
      <c r="DD231" t="s">
        <v>3</v>
      </c>
      <c r="DE231" t="s">
        <v>3</v>
      </c>
      <c r="DF231">
        <f t="shared" si="85"/>
        <v>0</v>
      </c>
      <c r="DG231">
        <f>ROUND(ROUND(AF231*AJ231,2)*CX231,2)</f>
        <v>2825.69</v>
      </c>
      <c r="DH231">
        <f>ROUND(ROUND(AG231*AK231,2)*CX231,2)</f>
        <v>1416.59</v>
      </c>
      <c r="DI231">
        <f t="shared" si="71"/>
        <v>0</v>
      </c>
      <c r="DJ231">
        <f>DG231</f>
        <v>2825.69</v>
      </c>
      <c r="DK231">
        <v>0</v>
      </c>
      <c r="DL231" t="s">
        <v>485</v>
      </c>
      <c r="DM231">
        <v>0</v>
      </c>
      <c r="DN231" t="s">
        <v>474</v>
      </c>
      <c r="DO231">
        <v>12.62</v>
      </c>
    </row>
    <row r="232" spans="1:119" x14ac:dyDescent="0.2">
      <c r="A232">
        <f>ROW(Source!A93)</f>
        <v>93</v>
      </c>
      <c r="B232">
        <v>85739207</v>
      </c>
      <c r="C232">
        <v>85739652</v>
      </c>
      <c r="D232">
        <v>85229250</v>
      </c>
      <c r="E232">
        <v>1</v>
      </c>
      <c r="F232">
        <v>1</v>
      </c>
      <c r="G232">
        <v>1081</v>
      </c>
      <c r="H232">
        <v>2</v>
      </c>
      <c r="I232" t="s">
        <v>552</v>
      </c>
      <c r="J232" t="s">
        <v>553</v>
      </c>
      <c r="K232" t="s">
        <v>554</v>
      </c>
      <c r="L232">
        <v>1368</v>
      </c>
      <c r="N232">
        <v>1011</v>
      </c>
      <c r="O232" t="s">
        <v>478</v>
      </c>
      <c r="P232" t="s">
        <v>478</v>
      </c>
      <c r="Q232">
        <v>1</v>
      </c>
      <c r="W232">
        <v>0</v>
      </c>
      <c r="X232">
        <v>-1755828087</v>
      </c>
      <c r="Y232">
        <f t="shared" si="86"/>
        <v>1.464</v>
      </c>
      <c r="AA232">
        <v>0</v>
      </c>
      <c r="AB232">
        <v>34.85</v>
      </c>
      <c r="AC232">
        <v>0</v>
      </c>
      <c r="AD232">
        <v>0</v>
      </c>
      <c r="AE232">
        <v>0</v>
      </c>
      <c r="AF232">
        <v>3.18</v>
      </c>
      <c r="AG232">
        <v>0</v>
      </c>
      <c r="AH232">
        <v>0</v>
      </c>
      <c r="AI232">
        <v>1</v>
      </c>
      <c r="AJ232">
        <v>10.27</v>
      </c>
      <c r="AK232">
        <v>1</v>
      </c>
      <c r="AL232">
        <v>1</v>
      </c>
      <c r="AM232">
        <v>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1.22</v>
      </c>
      <c r="AU232" t="s">
        <v>36</v>
      </c>
      <c r="AV232">
        <v>0</v>
      </c>
      <c r="AW232">
        <v>2</v>
      </c>
      <c r="AX232">
        <v>85739719</v>
      </c>
      <c r="AY232">
        <v>1</v>
      </c>
      <c r="AZ232">
        <v>0</v>
      </c>
      <c r="BA232">
        <v>255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f>ROUND(Y232*Source!I93*DO232,9)</f>
        <v>0</v>
      </c>
      <c r="CX232">
        <f>ROUND(Y232*Source!I93,9)</f>
        <v>1.464</v>
      </c>
      <c r="CY232">
        <f>AB232</f>
        <v>34.85</v>
      </c>
      <c r="CZ232">
        <f>AF232</f>
        <v>3.18</v>
      </c>
      <c r="DA232">
        <f>AJ232</f>
        <v>10.27</v>
      </c>
      <c r="DB232">
        <f t="shared" si="87"/>
        <v>4.6559999999999997</v>
      </c>
      <c r="DC232">
        <f t="shared" si="88"/>
        <v>0</v>
      </c>
      <c r="DD232" t="s">
        <v>3</v>
      </c>
      <c r="DE232" t="s">
        <v>3</v>
      </c>
      <c r="DF232">
        <f t="shared" si="85"/>
        <v>0</v>
      </c>
      <c r="DG232">
        <f>ROUND(ROUND(AF232*AJ232,2)*CX232,2)</f>
        <v>47.81</v>
      </c>
      <c r="DH232">
        <f t="shared" ref="DH232:DH252" si="89">ROUND(ROUND(AG232,2)*CX232,2)</f>
        <v>0</v>
      </c>
      <c r="DI232">
        <f t="shared" si="71"/>
        <v>0</v>
      </c>
      <c r="DJ232">
        <f>DG232</f>
        <v>47.81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">
      <c r="A233">
        <f>ROW(Source!A93)</f>
        <v>93</v>
      </c>
      <c r="B233">
        <v>85739207</v>
      </c>
      <c r="C233">
        <v>85739652</v>
      </c>
      <c r="D233">
        <v>85198960</v>
      </c>
      <c r="E233">
        <v>1</v>
      </c>
      <c r="F233">
        <v>1</v>
      </c>
      <c r="G233">
        <v>1081</v>
      </c>
      <c r="H233">
        <v>3</v>
      </c>
      <c r="I233" t="s">
        <v>513</v>
      </c>
      <c r="J233" t="s">
        <v>514</v>
      </c>
      <c r="K233" t="s">
        <v>515</v>
      </c>
      <c r="L233">
        <v>1339</v>
      </c>
      <c r="N233">
        <v>1007</v>
      </c>
      <c r="O233" t="s">
        <v>506</v>
      </c>
      <c r="P233" t="s">
        <v>506</v>
      </c>
      <c r="Q233">
        <v>1</v>
      </c>
      <c r="W233">
        <v>0</v>
      </c>
      <c r="X233">
        <v>-1622585150</v>
      </c>
      <c r="Y233">
        <f>(AT233*1)</f>
        <v>10</v>
      </c>
      <c r="AA233">
        <v>56.33</v>
      </c>
      <c r="AB233">
        <v>0</v>
      </c>
      <c r="AC233">
        <v>0</v>
      </c>
      <c r="AD233">
        <v>0</v>
      </c>
      <c r="AE233">
        <v>7.07</v>
      </c>
      <c r="AF233">
        <v>0</v>
      </c>
      <c r="AG233">
        <v>0</v>
      </c>
      <c r="AH233">
        <v>0</v>
      </c>
      <c r="AI233">
        <v>7.75</v>
      </c>
      <c r="AJ233">
        <v>1</v>
      </c>
      <c r="AK233">
        <v>1</v>
      </c>
      <c r="AL233">
        <v>1</v>
      </c>
      <c r="AM233">
        <v>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10</v>
      </c>
      <c r="AU233" t="s">
        <v>35</v>
      </c>
      <c r="AV233">
        <v>0</v>
      </c>
      <c r="AW233">
        <v>2</v>
      </c>
      <c r="AX233">
        <v>85739720</v>
      </c>
      <c r="AY233">
        <v>1</v>
      </c>
      <c r="AZ233">
        <v>0</v>
      </c>
      <c r="BA233">
        <v>256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v>0</v>
      </c>
      <c r="CX233">
        <f>ROUND(Y233*Source!I93,9)</f>
        <v>10</v>
      </c>
      <c r="CY233">
        <f>AA233</f>
        <v>56.33</v>
      </c>
      <c r="CZ233">
        <f>AE233</f>
        <v>7.07</v>
      </c>
      <c r="DA233">
        <f>AI233</f>
        <v>7.75</v>
      </c>
      <c r="DB233">
        <f>ROUND((ROUND(AT233*CZ233,2)*1),6)</f>
        <v>70.7</v>
      </c>
      <c r="DC233">
        <f>ROUND((ROUND(AT233*AG233,2)*1),6)</f>
        <v>0</v>
      </c>
      <c r="DD233" t="s">
        <v>3</v>
      </c>
      <c r="DE233" t="s">
        <v>3</v>
      </c>
      <c r="DF233">
        <f>ROUND(ROUND(AE233*AI233,2)*CX233,2)</f>
        <v>547.9</v>
      </c>
      <c r="DG233">
        <f t="shared" ref="DG233:DG252" si="90">ROUND(ROUND(AF233,2)*CX233,2)</f>
        <v>0</v>
      </c>
      <c r="DH233">
        <f t="shared" si="89"/>
        <v>0</v>
      </c>
      <c r="DI233">
        <f t="shared" si="71"/>
        <v>0</v>
      </c>
      <c r="DJ233">
        <f>DF233</f>
        <v>547.9</v>
      </c>
      <c r="DK233">
        <v>0</v>
      </c>
      <c r="DL233" t="s">
        <v>3</v>
      </c>
      <c r="DM233">
        <v>0</v>
      </c>
      <c r="DN233" t="s">
        <v>3</v>
      </c>
      <c r="DO233">
        <v>0</v>
      </c>
    </row>
    <row r="234" spans="1:119" x14ac:dyDescent="0.2">
      <c r="A234">
        <f>ROW(Source!A93)</f>
        <v>93</v>
      </c>
      <c r="B234">
        <v>85739207</v>
      </c>
      <c r="C234">
        <v>85739652</v>
      </c>
      <c r="D234">
        <v>85200023</v>
      </c>
      <c r="E234">
        <v>1</v>
      </c>
      <c r="F234">
        <v>1</v>
      </c>
      <c r="G234">
        <v>1081</v>
      </c>
      <c r="H234">
        <v>3</v>
      </c>
      <c r="I234" t="s">
        <v>555</v>
      </c>
      <c r="J234" t="s">
        <v>556</v>
      </c>
      <c r="K234" t="s">
        <v>557</v>
      </c>
      <c r="L234">
        <v>1348</v>
      </c>
      <c r="N234">
        <v>1009</v>
      </c>
      <c r="O234" t="s">
        <v>266</v>
      </c>
      <c r="P234" t="s">
        <v>266</v>
      </c>
      <c r="Q234">
        <v>1000</v>
      </c>
      <c r="W234">
        <v>0</v>
      </c>
      <c r="X234">
        <v>63955816</v>
      </c>
      <c r="Y234">
        <f>(AT234*1)</f>
        <v>7.7000000000000002E-3</v>
      </c>
      <c r="AA234">
        <v>99503.2</v>
      </c>
      <c r="AB234">
        <v>0</v>
      </c>
      <c r="AC234">
        <v>0</v>
      </c>
      <c r="AD234">
        <v>0</v>
      </c>
      <c r="AE234">
        <v>7185.82</v>
      </c>
      <c r="AF234">
        <v>0</v>
      </c>
      <c r="AG234">
        <v>0</v>
      </c>
      <c r="AH234">
        <v>0</v>
      </c>
      <c r="AI234">
        <v>13.47</v>
      </c>
      <c r="AJ234">
        <v>1</v>
      </c>
      <c r="AK234">
        <v>1</v>
      </c>
      <c r="AL234">
        <v>1</v>
      </c>
      <c r="AM234">
        <v>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7.7000000000000002E-3</v>
      </c>
      <c r="AU234" t="s">
        <v>35</v>
      </c>
      <c r="AV234">
        <v>0</v>
      </c>
      <c r="AW234">
        <v>2</v>
      </c>
      <c r="AX234">
        <v>85739721</v>
      </c>
      <c r="AY234">
        <v>1</v>
      </c>
      <c r="AZ234">
        <v>0</v>
      </c>
      <c r="BA234">
        <v>257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ROUND(Y234*Source!I93,9)</f>
        <v>7.7000000000000002E-3</v>
      </c>
      <c r="CY234">
        <f>AA234</f>
        <v>99503.2</v>
      </c>
      <c r="CZ234">
        <f>AE234</f>
        <v>7185.82</v>
      </c>
      <c r="DA234">
        <f>AI234</f>
        <v>13.47</v>
      </c>
      <c r="DB234">
        <f>ROUND((ROUND(AT234*CZ234,2)*1),6)</f>
        <v>55.33</v>
      </c>
      <c r="DC234">
        <f>ROUND((ROUND(AT234*AG234,2)*1),6)</f>
        <v>0</v>
      </c>
      <c r="DD234" t="s">
        <v>3</v>
      </c>
      <c r="DE234" t="s">
        <v>3</v>
      </c>
      <c r="DF234">
        <f>ROUND(ROUND(AE234*AI234,2)*CX234,2)</f>
        <v>745.31</v>
      </c>
      <c r="DG234">
        <f t="shared" si="90"/>
        <v>0</v>
      </c>
      <c r="DH234">
        <f t="shared" si="89"/>
        <v>0</v>
      </c>
      <c r="DI234">
        <f t="shared" si="71"/>
        <v>0</v>
      </c>
      <c r="DJ234">
        <f>DF234</f>
        <v>745.31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">
      <c r="A235">
        <f>ROW(Source!A93)</f>
        <v>93</v>
      </c>
      <c r="B235">
        <v>85739207</v>
      </c>
      <c r="C235">
        <v>85739652</v>
      </c>
      <c r="D235">
        <v>85213612</v>
      </c>
      <c r="E235">
        <v>1</v>
      </c>
      <c r="F235">
        <v>1</v>
      </c>
      <c r="G235">
        <v>1081</v>
      </c>
      <c r="H235">
        <v>3</v>
      </c>
      <c r="I235" t="s">
        <v>190</v>
      </c>
      <c r="J235" t="s">
        <v>192</v>
      </c>
      <c r="K235" t="s">
        <v>191</v>
      </c>
      <c r="L235">
        <v>1301</v>
      </c>
      <c r="N235">
        <v>1003</v>
      </c>
      <c r="O235" t="s">
        <v>179</v>
      </c>
      <c r="P235" t="s">
        <v>179</v>
      </c>
      <c r="Q235">
        <v>1</v>
      </c>
      <c r="W235">
        <v>0</v>
      </c>
      <c r="X235">
        <v>1214887306</v>
      </c>
      <c r="Y235">
        <f>(AT235*1)</f>
        <v>60.3</v>
      </c>
      <c r="AA235">
        <v>310.29000000000002</v>
      </c>
      <c r="AB235">
        <v>0</v>
      </c>
      <c r="AC235">
        <v>0</v>
      </c>
      <c r="AD235">
        <v>0</v>
      </c>
      <c r="AE235">
        <v>66.16</v>
      </c>
      <c r="AF235">
        <v>0</v>
      </c>
      <c r="AG235">
        <v>0</v>
      </c>
      <c r="AH235">
        <v>0</v>
      </c>
      <c r="AI235">
        <v>4.6900000000000004</v>
      </c>
      <c r="AJ235">
        <v>1</v>
      </c>
      <c r="AK235">
        <v>1</v>
      </c>
      <c r="AL235">
        <v>1</v>
      </c>
      <c r="AM235">
        <v>0</v>
      </c>
      <c r="AN235">
        <v>0</v>
      </c>
      <c r="AO235">
        <v>0</v>
      </c>
      <c r="AP235">
        <v>1</v>
      </c>
      <c r="AQ235">
        <v>0</v>
      </c>
      <c r="AR235">
        <v>0</v>
      </c>
      <c r="AS235" t="s">
        <v>3</v>
      </c>
      <c r="AT235">
        <v>60.3</v>
      </c>
      <c r="AU235" t="s">
        <v>35</v>
      </c>
      <c r="AV235">
        <v>0</v>
      </c>
      <c r="AW235">
        <v>1</v>
      </c>
      <c r="AX235">
        <v>-1</v>
      </c>
      <c r="AY235">
        <v>0</v>
      </c>
      <c r="AZ235">
        <v>0</v>
      </c>
      <c r="BA235" t="s">
        <v>3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v>0</v>
      </c>
      <c r="CX235">
        <f>ROUND(Y235*Source!I93,9)</f>
        <v>60.3</v>
      </c>
      <c r="CY235">
        <f>AA235</f>
        <v>310.29000000000002</v>
      </c>
      <c r="CZ235">
        <f>AE235</f>
        <v>66.16</v>
      </c>
      <c r="DA235">
        <f>AI235</f>
        <v>4.6900000000000004</v>
      </c>
      <c r="DB235">
        <f>ROUND((ROUND(AT235*CZ235,2)*1),6)</f>
        <v>3989.45</v>
      </c>
      <c r="DC235">
        <f>ROUND((ROUND(AT235*AG235,2)*1),6)</f>
        <v>0</v>
      </c>
      <c r="DD235" t="s">
        <v>3</v>
      </c>
      <c r="DE235" t="s">
        <v>3</v>
      </c>
      <c r="DF235">
        <f>ROUND(ROUND(AE235*AI235,2)*CX235,2)</f>
        <v>18710.490000000002</v>
      </c>
      <c r="DG235">
        <f t="shared" si="90"/>
        <v>0</v>
      </c>
      <c r="DH235">
        <f t="shared" si="89"/>
        <v>0</v>
      </c>
      <c r="DI235">
        <f t="shared" si="71"/>
        <v>0</v>
      </c>
      <c r="DJ235">
        <f>DF235</f>
        <v>18710.490000000002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">
      <c r="A236">
        <f>ROW(Source!A93)</f>
        <v>93</v>
      </c>
      <c r="B236">
        <v>85739207</v>
      </c>
      <c r="C236">
        <v>85739652</v>
      </c>
      <c r="D236">
        <v>85213619</v>
      </c>
      <c r="E236">
        <v>1</v>
      </c>
      <c r="F236">
        <v>1</v>
      </c>
      <c r="G236">
        <v>1081</v>
      </c>
      <c r="H236">
        <v>3</v>
      </c>
      <c r="I236" t="s">
        <v>186</v>
      </c>
      <c r="J236" t="s">
        <v>188</v>
      </c>
      <c r="K236" t="s">
        <v>187</v>
      </c>
      <c r="L236">
        <v>1301</v>
      </c>
      <c r="N236">
        <v>1003</v>
      </c>
      <c r="O236" t="s">
        <v>179</v>
      </c>
      <c r="P236" t="s">
        <v>179</v>
      </c>
      <c r="Q236">
        <v>1</v>
      </c>
      <c r="W236">
        <v>0</v>
      </c>
      <c r="X236">
        <v>-648477377</v>
      </c>
      <c r="Y236">
        <f>(AT236*1)</f>
        <v>40.200000000000003</v>
      </c>
      <c r="AA236">
        <v>369.91</v>
      </c>
      <c r="AB236">
        <v>0</v>
      </c>
      <c r="AC236">
        <v>0</v>
      </c>
      <c r="AD236">
        <v>0</v>
      </c>
      <c r="AE236">
        <v>80.59</v>
      </c>
      <c r="AF236">
        <v>0</v>
      </c>
      <c r="AG236">
        <v>0</v>
      </c>
      <c r="AH236">
        <v>0</v>
      </c>
      <c r="AI236">
        <v>4.59</v>
      </c>
      <c r="AJ236">
        <v>1</v>
      </c>
      <c r="AK236">
        <v>1</v>
      </c>
      <c r="AL236">
        <v>1</v>
      </c>
      <c r="AM236">
        <v>0</v>
      </c>
      <c r="AN236">
        <v>0</v>
      </c>
      <c r="AO236">
        <v>0</v>
      </c>
      <c r="AP236">
        <v>1</v>
      </c>
      <c r="AQ236">
        <v>0</v>
      </c>
      <c r="AR236">
        <v>0</v>
      </c>
      <c r="AS236" t="s">
        <v>3</v>
      </c>
      <c r="AT236">
        <v>40.200000000000003</v>
      </c>
      <c r="AU236" t="s">
        <v>35</v>
      </c>
      <c r="AV236">
        <v>0</v>
      </c>
      <c r="AW236">
        <v>1</v>
      </c>
      <c r="AX236">
        <v>-1</v>
      </c>
      <c r="AY236">
        <v>0</v>
      </c>
      <c r="AZ236">
        <v>0</v>
      </c>
      <c r="BA236" t="s">
        <v>3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v>0</v>
      </c>
      <c r="CX236">
        <f>ROUND(Y236*Source!I93,9)</f>
        <v>40.200000000000003</v>
      </c>
      <c r="CY236">
        <f>AA236</f>
        <v>369.91</v>
      </c>
      <c r="CZ236">
        <f>AE236</f>
        <v>80.59</v>
      </c>
      <c r="DA236">
        <f>AI236</f>
        <v>4.59</v>
      </c>
      <c r="DB236">
        <f>ROUND((ROUND(AT236*CZ236,2)*1),6)</f>
        <v>3239.72</v>
      </c>
      <c r="DC236">
        <f>ROUND((ROUND(AT236*AG236,2)*1),6)</f>
        <v>0</v>
      </c>
      <c r="DD236" t="s">
        <v>3</v>
      </c>
      <c r="DE236" t="s">
        <v>3</v>
      </c>
      <c r="DF236">
        <f>ROUND(ROUND(AE236*AI236,2)*CX236,2)</f>
        <v>14870.38</v>
      </c>
      <c r="DG236">
        <f t="shared" si="90"/>
        <v>0</v>
      </c>
      <c r="DH236">
        <f t="shared" si="89"/>
        <v>0</v>
      </c>
      <c r="DI236">
        <f t="shared" si="71"/>
        <v>0</v>
      </c>
      <c r="DJ236">
        <f>DF236</f>
        <v>14870.38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">
      <c r="A237">
        <f>ROW(Source!A98)</f>
        <v>98</v>
      </c>
      <c r="B237">
        <v>85739205</v>
      </c>
      <c r="C237">
        <v>85739726</v>
      </c>
      <c r="D237">
        <v>85164021</v>
      </c>
      <c r="E237">
        <v>1081</v>
      </c>
      <c r="F237">
        <v>1</v>
      </c>
      <c r="G237">
        <v>1081</v>
      </c>
      <c r="H237">
        <v>1</v>
      </c>
      <c r="I237" t="s">
        <v>472</v>
      </c>
      <c r="J237" t="s">
        <v>3</v>
      </c>
      <c r="K237" t="s">
        <v>473</v>
      </c>
      <c r="L237">
        <v>1191</v>
      </c>
      <c r="N237">
        <v>1013</v>
      </c>
      <c r="O237" t="s">
        <v>474</v>
      </c>
      <c r="P237" t="s">
        <v>474</v>
      </c>
      <c r="Q237">
        <v>1</v>
      </c>
      <c r="W237">
        <v>0</v>
      </c>
      <c r="X237">
        <v>476480486</v>
      </c>
      <c r="Y237">
        <f t="shared" ref="Y237:Y242" si="91">(AT237*1.2)</f>
        <v>168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-2</v>
      </c>
      <c r="AN237">
        <v>0</v>
      </c>
      <c r="AO237">
        <v>1</v>
      </c>
      <c r="AP237">
        <v>1</v>
      </c>
      <c r="AQ237">
        <v>0</v>
      </c>
      <c r="AR237">
        <v>0</v>
      </c>
      <c r="AS237" t="s">
        <v>3</v>
      </c>
      <c r="AT237">
        <v>140</v>
      </c>
      <c r="AU237" t="s">
        <v>36</v>
      </c>
      <c r="AV237">
        <v>1</v>
      </c>
      <c r="AW237">
        <v>2</v>
      </c>
      <c r="AX237">
        <v>85739728</v>
      </c>
      <c r="AY237">
        <v>1</v>
      </c>
      <c r="AZ237">
        <v>0</v>
      </c>
      <c r="BA237">
        <v>259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U237">
        <f>ROUND(AT237*Source!I98*AH237*AL237,2)</f>
        <v>0</v>
      </c>
      <c r="CV237">
        <f>ROUND(Y237*Source!I98,9)</f>
        <v>25.2</v>
      </c>
      <c r="CW237">
        <v>0</v>
      </c>
      <c r="CX237">
        <f>ROUND(Y237*Source!I98,9)</f>
        <v>25.2</v>
      </c>
      <c r="CY237">
        <f>AD237</f>
        <v>0</v>
      </c>
      <c r="CZ237">
        <f>AH237</f>
        <v>0</v>
      </c>
      <c r="DA237">
        <f>AL237</f>
        <v>1</v>
      </c>
      <c r="DB237">
        <f t="shared" ref="DB237:DB242" si="92">ROUND((ROUND(AT237*CZ237,2)*1.2),6)</f>
        <v>0</v>
      </c>
      <c r="DC237">
        <f t="shared" ref="DC237:DC242" si="93">ROUND((ROUND(AT237*AG237,2)*1.2),6)</f>
        <v>0</v>
      </c>
      <c r="DD237" t="s">
        <v>3</v>
      </c>
      <c r="DE237" t="s">
        <v>3</v>
      </c>
      <c r="DF237">
        <f t="shared" ref="DF237:DF257" si="94">ROUND(ROUND(AE237,2)*CX237,2)</f>
        <v>0</v>
      </c>
      <c r="DG237">
        <f t="shared" si="90"/>
        <v>0</v>
      </c>
      <c r="DH237">
        <f t="shared" si="89"/>
        <v>0</v>
      </c>
      <c r="DI237">
        <f t="shared" si="71"/>
        <v>0</v>
      </c>
      <c r="DJ237">
        <f>DI237</f>
        <v>0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">
      <c r="A238">
        <f>ROW(Source!A98)</f>
        <v>98</v>
      </c>
      <c r="B238">
        <v>85739205</v>
      </c>
      <c r="C238">
        <v>85739726</v>
      </c>
      <c r="D238">
        <v>85229527</v>
      </c>
      <c r="E238">
        <v>1</v>
      </c>
      <c r="F238">
        <v>1</v>
      </c>
      <c r="G238">
        <v>1081</v>
      </c>
      <c r="H238">
        <v>2</v>
      </c>
      <c r="I238" t="s">
        <v>546</v>
      </c>
      <c r="J238" t="s">
        <v>547</v>
      </c>
      <c r="K238" t="s">
        <v>548</v>
      </c>
      <c r="L238">
        <v>1368</v>
      </c>
      <c r="N238">
        <v>1011</v>
      </c>
      <c r="O238" t="s">
        <v>478</v>
      </c>
      <c r="P238" t="s">
        <v>478</v>
      </c>
      <c r="Q238">
        <v>1</v>
      </c>
      <c r="W238">
        <v>0</v>
      </c>
      <c r="X238">
        <v>-1222619517</v>
      </c>
      <c r="Y238">
        <f t="shared" si="91"/>
        <v>9</v>
      </c>
      <c r="AA238">
        <v>0</v>
      </c>
      <c r="AB238">
        <v>51.29</v>
      </c>
      <c r="AC238">
        <v>13.47</v>
      </c>
      <c r="AD238">
        <v>0</v>
      </c>
      <c r="AE238">
        <v>0</v>
      </c>
      <c r="AF238">
        <v>48.07</v>
      </c>
      <c r="AG238">
        <v>12.62</v>
      </c>
      <c r="AH238">
        <v>0</v>
      </c>
      <c r="AI238">
        <v>1</v>
      </c>
      <c r="AJ238">
        <v>1</v>
      </c>
      <c r="AK238">
        <v>1</v>
      </c>
      <c r="AL238">
        <v>1</v>
      </c>
      <c r="AM238">
        <v>-2</v>
      </c>
      <c r="AN238">
        <v>0</v>
      </c>
      <c r="AO238">
        <v>1</v>
      </c>
      <c r="AP238">
        <v>1</v>
      </c>
      <c r="AQ238">
        <v>0</v>
      </c>
      <c r="AR238">
        <v>0</v>
      </c>
      <c r="AS238" t="s">
        <v>3</v>
      </c>
      <c r="AT238">
        <v>7.5</v>
      </c>
      <c r="AU238" t="s">
        <v>36</v>
      </c>
      <c r="AV238">
        <v>0</v>
      </c>
      <c r="AW238">
        <v>2</v>
      </c>
      <c r="AX238">
        <v>85739729</v>
      </c>
      <c r="AY238">
        <v>1</v>
      </c>
      <c r="AZ238">
        <v>0</v>
      </c>
      <c r="BA238">
        <v>260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f>ROUND(Y238*Source!I98*DO238,9)</f>
        <v>17.036999999999999</v>
      </c>
      <c r="CX238">
        <f>ROUND(Y238*Source!I98,9)</f>
        <v>1.35</v>
      </c>
      <c r="CY238">
        <f>AB238</f>
        <v>51.29</v>
      </c>
      <c r="CZ238">
        <f>AF238</f>
        <v>48.07</v>
      </c>
      <c r="DA238">
        <f>AJ238</f>
        <v>1</v>
      </c>
      <c r="DB238">
        <f t="shared" si="92"/>
        <v>432.63600000000002</v>
      </c>
      <c r="DC238">
        <f t="shared" si="93"/>
        <v>113.58</v>
      </c>
      <c r="DD238" t="s">
        <v>3</v>
      </c>
      <c r="DE238" t="s">
        <v>3</v>
      </c>
      <c r="DF238">
        <f t="shared" si="94"/>
        <v>0</v>
      </c>
      <c r="DG238">
        <f t="shared" si="90"/>
        <v>64.89</v>
      </c>
      <c r="DH238">
        <f t="shared" si="89"/>
        <v>17.04</v>
      </c>
      <c r="DI238">
        <f t="shared" si="71"/>
        <v>0</v>
      </c>
      <c r="DJ238">
        <f>DG238</f>
        <v>64.89</v>
      </c>
      <c r="DK238">
        <v>0</v>
      </c>
      <c r="DL238" t="s">
        <v>485</v>
      </c>
      <c r="DM238">
        <v>0</v>
      </c>
      <c r="DN238" t="s">
        <v>474</v>
      </c>
      <c r="DO238">
        <v>12.62</v>
      </c>
    </row>
    <row r="239" spans="1:119" x14ac:dyDescent="0.2">
      <c r="A239">
        <f>ROW(Source!A98)</f>
        <v>98</v>
      </c>
      <c r="B239">
        <v>85739205</v>
      </c>
      <c r="C239">
        <v>85739726</v>
      </c>
      <c r="D239">
        <v>85229564</v>
      </c>
      <c r="E239">
        <v>1</v>
      </c>
      <c r="F239">
        <v>1</v>
      </c>
      <c r="G239">
        <v>1081</v>
      </c>
      <c r="H239">
        <v>2</v>
      </c>
      <c r="I239" t="s">
        <v>549</v>
      </c>
      <c r="J239" t="s">
        <v>550</v>
      </c>
      <c r="K239" t="s">
        <v>551</v>
      </c>
      <c r="L239">
        <v>1368</v>
      </c>
      <c r="N239">
        <v>1011</v>
      </c>
      <c r="O239" t="s">
        <v>478</v>
      </c>
      <c r="P239" t="s">
        <v>478</v>
      </c>
      <c r="Q239">
        <v>1</v>
      </c>
      <c r="W239">
        <v>0</v>
      </c>
      <c r="X239">
        <v>210297649</v>
      </c>
      <c r="Y239">
        <f t="shared" si="91"/>
        <v>8.4</v>
      </c>
      <c r="AA239">
        <v>0</v>
      </c>
      <c r="AB239">
        <v>6.18</v>
      </c>
      <c r="AC239">
        <v>0</v>
      </c>
      <c r="AD239">
        <v>0</v>
      </c>
      <c r="AE239">
        <v>0</v>
      </c>
      <c r="AF239">
        <v>5.79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-2</v>
      </c>
      <c r="AN239">
        <v>0</v>
      </c>
      <c r="AO239">
        <v>1</v>
      </c>
      <c r="AP239">
        <v>1</v>
      </c>
      <c r="AQ239">
        <v>0</v>
      </c>
      <c r="AR239">
        <v>0</v>
      </c>
      <c r="AS239" t="s">
        <v>3</v>
      </c>
      <c r="AT239">
        <v>7</v>
      </c>
      <c r="AU239" t="s">
        <v>36</v>
      </c>
      <c r="AV239">
        <v>0</v>
      </c>
      <c r="AW239">
        <v>2</v>
      </c>
      <c r="AX239">
        <v>85739730</v>
      </c>
      <c r="AY239">
        <v>1</v>
      </c>
      <c r="AZ239">
        <v>0</v>
      </c>
      <c r="BA239">
        <v>261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f>ROUND(Y239*Source!I98*DO239,9)</f>
        <v>0</v>
      </c>
      <c r="CX239">
        <f>ROUND(Y239*Source!I98,9)</f>
        <v>1.26</v>
      </c>
      <c r="CY239">
        <f>AB239</f>
        <v>6.18</v>
      </c>
      <c r="CZ239">
        <f>AF239</f>
        <v>5.79</v>
      </c>
      <c r="DA239">
        <f>AJ239</f>
        <v>1</v>
      </c>
      <c r="DB239">
        <f t="shared" si="92"/>
        <v>48.636000000000003</v>
      </c>
      <c r="DC239">
        <f t="shared" si="93"/>
        <v>0</v>
      </c>
      <c r="DD239" t="s">
        <v>3</v>
      </c>
      <c r="DE239" t="s">
        <v>3</v>
      </c>
      <c r="DF239">
        <f t="shared" si="94"/>
        <v>0</v>
      </c>
      <c r="DG239">
        <f t="shared" si="90"/>
        <v>7.3</v>
      </c>
      <c r="DH239">
        <f t="shared" si="89"/>
        <v>0</v>
      </c>
      <c r="DI239">
        <f t="shared" si="71"/>
        <v>0</v>
      </c>
      <c r="DJ239">
        <f>DG239</f>
        <v>7.3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">
      <c r="A240">
        <f>ROW(Source!A98)</f>
        <v>98</v>
      </c>
      <c r="B240">
        <v>85739205</v>
      </c>
      <c r="C240">
        <v>85739726</v>
      </c>
      <c r="D240">
        <v>85229633</v>
      </c>
      <c r="E240">
        <v>1</v>
      </c>
      <c r="F240">
        <v>1</v>
      </c>
      <c r="G240">
        <v>1081</v>
      </c>
      <c r="H240">
        <v>2</v>
      </c>
      <c r="I240" t="s">
        <v>475</v>
      </c>
      <c r="J240" t="s">
        <v>476</v>
      </c>
      <c r="K240" t="s">
        <v>477</v>
      </c>
      <c r="L240">
        <v>1368</v>
      </c>
      <c r="N240">
        <v>1011</v>
      </c>
      <c r="O240" t="s">
        <v>478</v>
      </c>
      <c r="P240" t="s">
        <v>478</v>
      </c>
      <c r="Q240">
        <v>1</v>
      </c>
      <c r="W240">
        <v>0</v>
      </c>
      <c r="X240">
        <v>1498588441</v>
      </c>
      <c r="Y240">
        <f t="shared" si="91"/>
        <v>11.16</v>
      </c>
      <c r="AA240">
        <v>0</v>
      </c>
      <c r="AB240">
        <v>7.59</v>
      </c>
      <c r="AC240">
        <v>0</v>
      </c>
      <c r="AD240">
        <v>0</v>
      </c>
      <c r="AE240">
        <v>0</v>
      </c>
      <c r="AF240">
        <v>7.11</v>
      </c>
      <c r="AG240">
        <v>0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-2</v>
      </c>
      <c r="AN240">
        <v>0</v>
      </c>
      <c r="AO240">
        <v>1</v>
      </c>
      <c r="AP240">
        <v>1</v>
      </c>
      <c r="AQ240">
        <v>0</v>
      </c>
      <c r="AR240">
        <v>0</v>
      </c>
      <c r="AS240" t="s">
        <v>3</v>
      </c>
      <c r="AT240">
        <v>9.3000000000000007</v>
      </c>
      <c r="AU240" t="s">
        <v>36</v>
      </c>
      <c r="AV240">
        <v>0</v>
      </c>
      <c r="AW240">
        <v>2</v>
      </c>
      <c r="AX240">
        <v>85739731</v>
      </c>
      <c r="AY240">
        <v>1</v>
      </c>
      <c r="AZ240">
        <v>0</v>
      </c>
      <c r="BA240">
        <v>262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f>ROUND(Y240*Source!I98*DO240,9)</f>
        <v>0</v>
      </c>
      <c r="CX240">
        <f>ROUND(Y240*Source!I98,9)</f>
        <v>1.6739999999999999</v>
      </c>
      <c r="CY240">
        <f>AB240</f>
        <v>7.59</v>
      </c>
      <c r="CZ240">
        <f>AF240</f>
        <v>7.11</v>
      </c>
      <c r="DA240">
        <f>AJ240</f>
        <v>1</v>
      </c>
      <c r="DB240">
        <f t="shared" si="92"/>
        <v>79.343999999999994</v>
      </c>
      <c r="DC240">
        <f t="shared" si="93"/>
        <v>0</v>
      </c>
      <c r="DD240" t="s">
        <v>3</v>
      </c>
      <c r="DE240" t="s">
        <v>3</v>
      </c>
      <c r="DF240">
        <f t="shared" si="94"/>
        <v>0</v>
      </c>
      <c r="DG240">
        <f t="shared" si="90"/>
        <v>11.9</v>
      </c>
      <c r="DH240">
        <f t="shared" si="89"/>
        <v>0</v>
      </c>
      <c r="DI240">
        <f t="shared" si="71"/>
        <v>0</v>
      </c>
      <c r="DJ240">
        <f>DG240</f>
        <v>11.9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">
      <c r="A241">
        <f>ROW(Source!A98)</f>
        <v>98</v>
      </c>
      <c r="B241">
        <v>85739205</v>
      </c>
      <c r="C241">
        <v>85739726</v>
      </c>
      <c r="D241">
        <v>85229932</v>
      </c>
      <c r="E241">
        <v>1</v>
      </c>
      <c r="F241">
        <v>1</v>
      </c>
      <c r="G241">
        <v>1081</v>
      </c>
      <c r="H241">
        <v>2</v>
      </c>
      <c r="I241" t="s">
        <v>482</v>
      </c>
      <c r="J241" t="s">
        <v>483</v>
      </c>
      <c r="K241" t="s">
        <v>484</v>
      </c>
      <c r="L241">
        <v>1368</v>
      </c>
      <c r="N241">
        <v>1011</v>
      </c>
      <c r="O241" t="s">
        <v>478</v>
      </c>
      <c r="P241" t="s">
        <v>478</v>
      </c>
      <c r="Q241">
        <v>1</v>
      </c>
      <c r="W241">
        <v>0</v>
      </c>
      <c r="X241">
        <v>874612079</v>
      </c>
      <c r="Y241">
        <f t="shared" si="91"/>
        <v>0.86399999999999999</v>
      </c>
      <c r="AA241">
        <v>0</v>
      </c>
      <c r="AB241">
        <v>88.67</v>
      </c>
      <c r="AC241">
        <v>13.47</v>
      </c>
      <c r="AD241">
        <v>0</v>
      </c>
      <c r="AE241">
        <v>0</v>
      </c>
      <c r="AF241">
        <v>83.1</v>
      </c>
      <c r="AG241">
        <v>12.62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-2</v>
      </c>
      <c r="AN241">
        <v>0</v>
      </c>
      <c r="AO241">
        <v>1</v>
      </c>
      <c r="AP241">
        <v>1</v>
      </c>
      <c r="AQ241">
        <v>0</v>
      </c>
      <c r="AR241">
        <v>0</v>
      </c>
      <c r="AS241" t="s">
        <v>3</v>
      </c>
      <c r="AT241">
        <v>0.72</v>
      </c>
      <c r="AU241" t="s">
        <v>36</v>
      </c>
      <c r="AV241">
        <v>0</v>
      </c>
      <c r="AW241">
        <v>2</v>
      </c>
      <c r="AX241">
        <v>85739732</v>
      </c>
      <c r="AY241">
        <v>1</v>
      </c>
      <c r="AZ241">
        <v>0</v>
      </c>
      <c r="BA241">
        <v>263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f>ROUND(Y241*Source!I98*DO241,9)</f>
        <v>1.6355519999999999</v>
      </c>
      <c r="CX241">
        <f>ROUND(Y241*Source!I98,9)</f>
        <v>0.12959999999999999</v>
      </c>
      <c r="CY241">
        <f>AB241</f>
        <v>88.67</v>
      </c>
      <c r="CZ241">
        <f>AF241</f>
        <v>83.1</v>
      </c>
      <c r="DA241">
        <f>AJ241</f>
        <v>1</v>
      </c>
      <c r="DB241">
        <f t="shared" si="92"/>
        <v>71.796000000000006</v>
      </c>
      <c r="DC241">
        <f t="shared" si="93"/>
        <v>10.907999999999999</v>
      </c>
      <c r="DD241" t="s">
        <v>3</v>
      </c>
      <c r="DE241" t="s">
        <v>3</v>
      </c>
      <c r="DF241">
        <f t="shared" si="94"/>
        <v>0</v>
      </c>
      <c r="DG241">
        <f t="shared" si="90"/>
        <v>10.77</v>
      </c>
      <c r="DH241">
        <f t="shared" si="89"/>
        <v>1.64</v>
      </c>
      <c r="DI241">
        <f t="shared" si="71"/>
        <v>0</v>
      </c>
      <c r="DJ241">
        <f>DG241</f>
        <v>10.77</v>
      </c>
      <c r="DK241">
        <v>0</v>
      </c>
      <c r="DL241" t="s">
        <v>485</v>
      </c>
      <c r="DM241">
        <v>0</v>
      </c>
      <c r="DN241" t="s">
        <v>474</v>
      </c>
      <c r="DO241">
        <v>12.62</v>
      </c>
    </row>
    <row r="242" spans="1:119" x14ac:dyDescent="0.2">
      <c r="A242">
        <f>ROW(Source!A98)</f>
        <v>98</v>
      </c>
      <c r="B242">
        <v>85739205</v>
      </c>
      <c r="C242">
        <v>85739726</v>
      </c>
      <c r="D242">
        <v>85229250</v>
      </c>
      <c r="E242">
        <v>1</v>
      </c>
      <c r="F242">
        <v>1</v>
      </c>
      <c r="G242">
        <v>1081</v>
      </c>
      <c r="H242">
        <v>2</v>
      </c>
      <c r="I242" t="s">
        <v>552</v>
      </c>
      <c r="J242" t="s">
        <v>553</v>
      </c>
      <c r="K242" t="s">
        <v>554</v>
      </c>
      <c r="L242">
        <v>1368</v>
      </c>
      <c r="N242">
        <v>1011</v>
      </c>
      <c r="O242" t="s">
        <v>478</v>
      </c>
      <c r="P242" t="s">
        <v>478</v>
      </c>
      <c r="Q242">
        <v>1</v>
      </c>
      <c r="W242">
        <v>0</v>
      </c>
      <c r="X242">
        <v>-1755828087</v>
      </c>
      <c r="Y242">
        <f t="shared" si="91"/>
        <v>0.63600000000000001</v>
      </c>
      <c r="AA242">
        <v>0</v>
      </c>
      <c r="AB242">
        <v>3.39</v>
      </c>
      <c r="AC242">
        <v>0</v>
      </c>
      <c r="AD242">
        <v>0</v>
      </c>
      <c r="AE242">
        <v>0</v>
      </c>
      <c r="AF242">
        <v>3.18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-2</v>
      </c>
      <c r="AN242">
        <v>0</v>
      </c>
      <c r="AO242">
        <v>1</v>
      </c>
      <c r="AP242">
        <v>1</v>
      </c>
      <c r="AQ242">
        <v>0</v>
      </c>
      <c r="AR242">
        <v>0</v>
      </c>
      <c r="AS242" t="s">
        <v>3</v>
      </c>
      <c r="AT242">
        <v>0.53</v>
      </c>
      <c r="AU242" t="s">
        <v>36</v>
      </c>
      <c r="AV242">
        <v>0</v>
      </c>
      <c r="AW242">
        <v>2</v>
      </c>
      <c r="AX242">
        <v>85739733</v>
      </c>
      <c r="AY242">
        <v>1</v>
      </c>
      <c r="AZ242">
        <v>0</v>
      </c>
      <c r="BA242">
        <v>264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f>ROUND(Y242*Source!I98*DO242,9)</f>
        <v>0</v>
      </c>
      <c r="CX242">
        <f>ROUND(Y242*Source!I98,9)</f>
        <v>9.5399999999999999E-2</v>
      </c>
      <c r="CY242">
        <f>AB242</f>
        <v>3.39</v>
      </c>
      <c r="CZ242">
        <f>AF242</f>
        <v>3.18</v>
      </c>
      <c r="DA242">
        <f>AJ242</f>
        <v>1</v>
      </c>
      <c r="DB242">
        <f t="shared" si="92"/>
        <v>2.028</v>
      </c>
      <c r="DC242">
        <f t="shared" si="93"/>
        <v>0</v>
      </c>
      <c r="DD242" t="s">
        <v>3</v>
      </c>
      <c r="DE242" t="s">
        <v>3</v>
      </c>
      <c r="DF242">
        <f t="shared" si="94"/>
        <v>0</v>
      </c>
      <c r="DG242">
        <f t="shared" si="90"/>
        <v>0.3</v>
      </c>
      <c r="DH242">
        <f t="shared" si="89"/>
        <v>0</v>
      </c>
      <c r="DI242">
        <f t="shared" si="71"/>
        <v>0</v>
      </c>
      <c r="DJ242">
        <f>DG242</f>
        <v>0.3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">
      <c r="A243">
        <f>ROW(Source!A98)</f>
        <v>98</v>
      </c>
      <c r="B243">
        <v>85739205</v>
      </c>
      <c r="C243">
        <v>85739726</v>
      </c>
      <c r="D243">
        <v>85198960</v>
      </c>
      <c r="E243">
        <v>1</v>
      </c>
      <c r="F243">
        <v>1</v>
      </c>
      <c r="G243">
        <v>1081</v>
      </c>
      <c r="H243">
        <v>3</v>
      </c>
      <c r="I243" t="s">
        <v>513</v>
      </c>
      <c r="J243" t="s">
        <v>514</v>
      </c>
      <c r="K243" t="s">
        <v>515</v>
      </c>
      <c r="L243">
        <v>1339</v>
      </c>
      <c r="N243">
        <v>1007</v>
      </c>
      <c r="O243" t="s">
        <v>506</v>
      </c>
      <c r="P243" t="s">
        <v>506</v>
      </c>
      <c r="Q243">
        <v>1</v>
      </c>
      <c r="W243">
        <v>0</v>
      </c>
      <c r="X243">
        <v>-1622585150</v>
      </c>
      <c r="Y243">
        <f t="shared" ref="Y243:Y251" si="95">(AT243*1)</f>
        <v>3</v>
      </c>
      <c r="AA243">
        <v>7.27</v>
      </c>
      <c r="AB243">
        <v>0</v>
      </c>
      <c r="AC243">
        <v>0</v>
      </c>
      <c r="AD243">
        <v>0</v>
      </c>
      <c r="AE243">
        <v>7.07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-2</v>
      </c>
      <c r="AN243">
        <v>0</v>
      </c>
      <c r="AO243">
        <v>1</v>
      </c>
      <c r="AP243">
        <v>1</v>
      </c>
      <c r="AQ243">
        <v>0</v>
      </c>
      <c r="AR243">
        <v>0</v>
      </c>
      <c r="AS243" t="s">
        <v>3</v>
      </c>
      <c r="AT243">
        <v>3</v>
      </c>
      <c r="AU243" t="s">
        <v>35</v>
      </c>
      <c r="AV243">
        <v>0</v>
      </c>
      <c r="AW243">
        <v>2</v>
      </c>
      <c r="AX243">
        <v>85739734</v>
      </c>
      <c r="AY243">
        <v>1</v>
      </c>
      <c r="AZ243">
        <v>0</v>
      </c>
      <c r="BA243">
        <v>265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ROUND(Y243*Source!I98,9)</f>
        <v>0.45</v>
      </c>
      <c r="CY243">
        <f t="shared" ref="CY243:CY251" si="96">AA243</f>
        <v>7.27</v>
      </c>
      <c r="CZ243">
        <f t="shared" ref="CZ243:CZ251" si="97">AE243</f>
        <v>7.07</v>
      </c>
      <c r="DA243">
        <f t="shared" ref="DA243:DA251" si="98">AI243</f>
        <v>1</v>
      </c>
      <c r="DB243">
        <f t="shared" ref="DB243:DB251" si="99">ROUND((ROUND(AT243*CZ243,2)*1),6)</f>
        <v>21.21</v>
      </c>
      <c r="DC243">
        <f t="shared" ref="DC243:DC251" si="100">ROUND((ROUND(AT243*AG243,2)*1),6)</f>
        <v>0</v>
      </c>
      <c r="DD243" t="s">
        <v>3</v>
      </c>
      <c r="DE243" t="s">
        <v>3</v>
      </c>
      <c r="DF243">
        <f t="shared" si="94"/>
        <v>3.18</v>
      </c>
      <c r="DG243">
        <f t="shared" si="90"/>
        <v>0</v>
      </c>
      <c r="DH243">
        <f t="shared" si="89"/>
        <v>0</v>
      </c>
      <c r="DI243">
        <f t="shared" si="71"/>
        <v>0</v>
      </c>
      <c r="DJ243">
        <f t="shared" ref="DJ243:DJ251" si="101">DF243</f>
        <v>3.18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">
      <c r="A244">
        <f>ROW(Source!A98)</f>
        <v>98</v>
      </c>
      <c r="B244">
        <v>85739205</v>
      </c>
      <c r="C244">
        <v>85739726</v>
      </c>
      <c r="D244">
        <v>85200023</v>
      </c>
      <c r="E244">
        <v>1</v>
      </c>
      <c r="F244">
        <v>1</v>
      </c>
      <c r="G244">
        <v>1081</v>
      </c>
      <c r="H244">
        <v>3</v>
      </c>
      <c r="I244" t="s">
        <v>555</v>
      </c>
      <c r="J244" t="s">
        <v>556</v>
      </c>
      <c r="K244" t="s">
        <v>557</v>
      </c>
      <c r="L244">
        <v>1348</v>
      </c>
      <c r="N244">
        <v>1009</v>
      </c>
      <c r="O244" t="s">
        <v>266</v>
      </c>
      <c r="P244" t="s">
        <v>266</v>
      </c>
      <c r="Q244">
        <v>1000</v>
      </c>
      <c r="W244">
        <v>0</v>
      </c>
      <c r="X244">
        <v>63955816</v>
      </c>
      <c r="Y244">
        <f t="shared" si="95"/>
        <v>1.6800000000000001E-3</v>
      </c>
      <c r="AA244">
        <v>7387.02</v>
      </c>
      <c r="AB244">
        <v>0</v>
      </c>
      <c r="AC244">
        <v>0</v>
      </c>
      <c r="AD244">
        <v>0</v>
      </c>
      <c r="AE244">
        <v>7185.82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-2</v>
      </c>
      <c r="AN244">
        <v>0</v>
      </c>
      <c r="AO244">
        <v>1</v>
      </c>
      <c r="AP244">
        <v>1</v>
      </c>
      <c r="AQ244">
        <v>0</v>
      </c>
      <c r="AR244">
        <v>0</v>
      </c>
      <c r="AS244" t="s">
        <v>3</v>
      </c>
      <c r="AT244">
        <v>1.6800000000000001E-3</v>
      </c>
      <c r="AU244" t="s">
        <v>35</v>
      </c>
      <c r="AV244">
        <v>0</v>
      </c>
      <c r="AW244">
        <v>2</v>
      </c>
      <c r="AX244">
        <v>85739735</v>
      </c>
      <c r="AY244">
        <v>1</v>
      </c>
      <c r="AZ244">
        <v>0</v>
      </c>
      <c r="BA244">
        <v>266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ROUND(Y244*Source!I98,9)</f>
        <v>2.52E-4</v>
      </c>
      <c r="CY244">
        <f t="shared" si="96"/>
        <v>7387.02</v>
      </c>
      <c r="CZ244">
        <f t="shared" si="97"/>
        <v>7185.82</v>
      </c>
      <c r="DA244">
        <f t="shared" si="98"/>
        <v>1</v>
      </c>
      <c r="DB244">
        <f t="shared" si="99"/>
        <v>12.07</v>
      </c>
      <c r="DC244">
        <f t="shared" si="100"/>
        <v>0</v>
      </c>
      <c r="DD244" t="s">
        <v>3</v>
      </c>
      <c r="DE244" t="s">
        <v>3</v>
      </c>
      <c r="DF244">
        <f t="shared" si="94"/>
        <v>1.81</v>
      </c>
      <c r="DG244">
        <f t="shared" si="90"/>
        <v>0</v>
      </c>
      <c r="DH244">
        <f t="shared" si="89"/>
        <v>0</v>
      </c>
      <c r="DI244">
        <f t="shared" si="71"/>
        <v>0</v>
      </c>
      <c r="DJ244">
        <f t="shared" si="101"/>
        <v>1.81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">
      <c r="A245">
        <f>ROW(Source!A98)</f>
        <v>98</v>
      </c>
      <c r="B245">
        <v>85739205</v>
      </c>
      <c r="C245">
        <v>85739726</v>
      </c>
      <c r="D245">
        <v>85200098</v>
      </c>
      <c r="E245">
        <v>1</v>
      </c>
      <c r="F245">
        <v>1</v>
      </c>
      <c r="G245">
        <v>1081</v>
      </c>
      <c r="H245">
        <v>3</v>
      </c>
      <c r="I245" t="s">
        <v>540</v>
      </c>
      <c r="J245" t="s">
        <v>541</v>
      </c>
      <c r="K245" t="s">
        <v>542</v>
      </c>
      <c r="L245">
        <v>1346</v>
      </c>
      <c r="N245">
        <v>1009</v>
      </c>
      <c r="O245" t="s">
        <v>502</v>
      </c>
      <c r="P245" t="s">
        <v>502</v>
      </c>
      <c r="Q245">
        <v>1</v>
      </c>
      <c r="W245">
        <v>0</v>
      </c>
      <c r="X245">
        <v>732400950</v>
      </c>
      <c r="Y245">
        <f t="shared" si="95"/>
        <v>0.81</v>
      </c>
      <c r="AA245">
        <v>21.59</v>
      </c>
      <c r="AB245">
        <v>0</v>
      </c>
      <c r="AC245">
        <v>0</v>
      </c>
      <c r="AD245">
        <v>0</v>
      </c>
      <c r="AE245">
        <v>21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-2</v>
      </c>
      <c r="AN245">
        <v>0</v>
      </c>
      <c r="AO245">
        <v>1</v>
      </c>
      <c r="AP245">
        <v>1</v>
      </c>
      <c r="AQ245">
        <v>0</v>
      </c>
      <c r="AR245">
        <v>0</v>
      </c>
      <c r="AS245" t="s">
        <v>3</v>
      </c>
      <c r="AT245">
        <v>0.81</v>
      </c>
      <c r="AU245" t="s">
        <v>35</v>
      </c>
      <c r="AV245">
        <v>0</v>
      </c>
      <c r="AW245">
        <v>2</v>
      </c>
      <c r="AX245">
        <v>85739736</v>
      </c>
      <c r="AY245">
        <v>1</v>
      </c>
      <c r="AZ245">
        <v>0</v>
      </c>
      <c r="BA245">
        <v>267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ROUND(Y245*Source!I98,9)</f>
        <v>0.1215</v>
      </c>
      <c r="CY245">
        <f t="shared" si="96"/>
        <v>21.59</v>
      </c>
      <c r="CZ245">
        <f t="shared" si="97"/>
        <v>21</v>
      </c>
      <c r="DA245">
        <f t="shared" si="98"/>
        <v>1</v>
      </c>
      <c r="DB245">
        <f t="shared" si="99"/>
        <v>17.010000000000002</v>
      </c>
      <c r="DC245">
        <f t="shared" si="100"/>
        <v>0</v>
      </c>
      <c r="DD245" t="s">
        <v>3</v>
      </c>
      <c r="DE245" t="s">
        <v>3</v>
      </c>
      <c r="DF245">
        <f t="shared" si="94"/>
        <v>2.5499999999999998</v>
      </c>
      <c r="DG245">
        <f t="shared" si="90"/>
        <v>0</v>
      </c>
      <c r="DH245">
        <f t="shared" si="89"/>
        <v>0</v>
      </c>
      <c r="DI245">
        <f t="shared" si="71"/>
        <v>0</v>
      </c>
      <c r="DJ245">
        <f t="shared" si="101"/>
        <v>2.5499999999999998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">
      <c r="A246">
        <f>ROW(Source!A98)</f>
        <v>98</v>
      </c>
      <c r="B246">
        <v>85739205</v>
      </c>
      <c r="C246">
        <v>85739726</v>
      </c>
      <c r="D246">
        <v>85200296</v>
      </c>
      <c r="E246">
        <v>1</v>
      </c>
      <c r="F246">
        <v>1</v>
      </c>
      <c r="G246">
        <v>1081</v>
      </c>
      <c r="H246">
        <v>3</v>
      </c>
      <c r="I246" t="s">
        <v>558</v>
      </c>
      <c r="J246" t="s">
        <v>559</v>
      </c>
      <c r="K246" t="s">
        <v>560</v>
      </c>
      <c r="L246">
        <v>1355</v>
      </c>
      <c r="N246">
        <v>1010</v>
      </c>
      <c r="O246" t="s">
        <v>240</v>
      </c>
      <c r="P246" t="s">
        <v>240</v>
      </c>
      <c r="Q246">
        <v>100</v>
      </c>
      <c r="W246">
        <v>0</v>
      </c>
      <c r="X246">
        <v>1567739421</v>
      </c>
      <c r="Y246">
        <f t="shared" si="95"/>
        <v>0.72</v>
      </c>
      <c r="AA246">
        <v>510.7</v>
      </c>
      <c r="AB246">
        <v>0</v>
      </c>
      <c r="AC246">
        <v>0</v>
      </c>
      <c r="AD246">
        <v>0</v>
      </c>
      <c r="AE246">
        <v>496.79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-2</v>
      </c>
      <c r="AN246">
        <v>0</v>
      </c>
      <c r="AO246">
        <v>1</v>
      </c>
      <c r="AP246">
        <v>1</v>
      </c>
      <c r="AQ246">
        <v>0</v>
      </c>
      <c r="AR246">
        <v>0</v>
      </c>
      <c r="AS246" t="s">
        <v>3</v>
      </c>
      <c r="AT246">
        <v>0.72</v>
      </c>
      <c r="AU246" t="s">
        <v>35</v>
      </c>
      <c r="AV246">
        <v>0</v>
      </c>
      <c r="AW246">
        <v>2</v>
      </c>
      <c r="AX246">
        <v>85739737</v>
      </c>
      <c r="AY246">
        <v>1</v>
      </c>
      <c r="AZ246">
        <v>0</v>
      </c>
      <c r="BA246">
        <v>268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ROUND(Y246*Source!I98,9)</f>
        <v>0.108</v>
      </c>
      <c r="CY246">
        <f t="shared" si="96"/>
        <v>510.7</v>
      </c>
      <c r="CZ246">
        <f t="shared" si="97"/>
        <v>496.79</v>
      </c>
      <c r="DA246">
        <f t="shared" si="98"/>
        <v>1</v>
      </c>
      <c r="DB246">
        <f t="shared" si="99"/>
        <v>357.69</v>
      </c>
      <c r="DC246">
        <f t="shared" si="100"/>
        <v>0</v>
      </c>
      <c r="DD246" t="s">
        <v>3</v>
      </c>
      <c r="DE246" t="s">
        <v>3</v>
      </c>
      <c r="DF246">
        <f t="shared" si="94"/>
        <v>53.65</v>
      </c>
      <c r="DG246">
        <f t="shared" si="90"/>
        <v>0</v>
      </c>
      <c r="DH246">
        <f t="shared" si="89"/>
        <v>0</v>
      </c>
      <c r="DI246">
        <f t="shared" si="71"/>
        <v>0</v>
      </c>
      <c r="DJ246">
        <f t="shared" si="101"/>
        <v>53.65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">
      <c r="A247">
        <f>ROW(Source!A98)</f>
        <v>98</v>
      </c>
      <c r="B247">
        <v>85739205</v>
      </c>
      <c r="C247">
        <v>85739726</v>
      </c>
      <c r="D247">
        <v>85200297</v>
      </c>
      <c r="E247">
        <v>1</v>
      </c>
      <c r="F247">
        <v>1</v>
      </c>
      <c r="G247">
        <v>1081</v>
      </c>
      <c r="H247">
        <v>3</v>
      </c>
      <c r="I247" t="s">
        <v>561</v>
      </c>
      <c r="J247" t="s">
        <v>562</v>
      </c>
      <c r="K247" t="s">
        <v>563</v>
      </c>
      <c r="L247">
        <v>1355</v>
      </c>
      <c r="N247">
        <v>1010</v>
      </c>
      <c r="O247" t="s">
        <v>240</v>
      </c>
      <c r="P247" t="s">
        <v>240</v>
      </c>
      <c r="Q247">
        <v>100</v>
      </c>
      <c r="W247">
        <v>0</v>
      </c>
      <c r="X247">
        <v>-96727844</v>
      </c>
      <c r="Y247">
        <f t="shared" si="95"/>
        <v>0.72</v>
      </c>
      <c r="AA247">
        <v>250.58</v>
      </c>
      <c r="AB247">
        <v>0</v>
      </c>
      <c r="AC247">
        <v>0</v>
      </c>
      <c r="AD247">
        <v>0</v>
      </c>
      <c r="AE247">
        <v>243.75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-2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0.72</v>
      </c>
      <c r="AU247" t="s">
        <v>35</v>
      </c>
      <c r="AV247">
        <v>0</v>
      </c>
      <c r="AW247">
        <v>2</v>
      </c>
      <c r="AX247">
        <v>85739738</v>
      </c>
      <c r="AY247">
        <v>1</v>
      </c>
      <c r="AZ247">
        <v>0</v>
      </c>
      <c r="BA247">
        <v>269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V247">
        <v>0</v>
      </c>
      <c r="CW247">
        <v>0</v>
      </c>
      <c r="CX247">
        <f>ROUND(Y247*Source!I98,9)</f>
        <v>0.108</v>
      </c>
      <c r="CY247">
        <f t="shared" si="96"/>
        <v>250.58</v>
      </c>
      <c r="CZ247">
        <f t="shared" si="97"/>
        <v>243.75</v>
      </c>
      <c r="DA247">
        <f t="shared" si="98"/>
        <v>1</v>
      </c>
      <c r="DB247">
        <f t="shared" si="99"/>
        <v>175.5</v>
      </c>
      <c r="DC247">
        <f t="shared" si="100"/>
        <v>0</v>
      </c>
      <c r="DD247" t="s">
        <v>3</v>
      </c>
      <c r="DE247" t="s">
        <v>3</v>
      </c>
      <c r="DF247">
        <f t="shared" si="94"/>
        <v>26.33</v>
      </c>
      <c r="DG247">
        <f t="shared" si="90"/>
        <v>0</v>
      </c>
      <c r="DH247">
        <f t="shared" si="89"/>
        <v>0</v>
      </c>
      <c r="DI247">
        <f t="shared" si="71"/>
        <v>0</v>
      </c>
      <c r="DJ247">
        <f t="shared" si="101"/>
        <v>26.33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">
      <c r="A248">
        <f>ROW(Source!A98)</f>
        <v>98</v>
      </c>
      <c r="B248">
        <v>85739205</v>
      </c>
      <c r="C248">
        <v>85739726</v>
      </c>
      <c r="D248">
        <v>85198892</v>
      </c>
      <c r="E248">
        <v>1</v>
      </c>
      <c r="F248">
        <v>1</v>
      </c>
      <c r="G248">
        <v>1081</v>
      </c>
      <c r="H248">
        <v>3</v>
      </c>
      <c r="I248" t="s">
        <v>543</v>
      </c>
      <c r="J248" t="s">
        <v>544</v>
      </c>
      <c r="K248" t="s">
        <v>545</v>
      </c>
      <c r="L248">
        <v>1339</v>
      </c>
      <c r="N248">
        <v>1007</v>
      </c>
      <c r="O248" t="s">
        <v>506</v>
      </c>
      <c r="P248" t="s">
        <v>506</v>
      </c>
      <c r="Q248">
        <v>1</v>
      </c>
      <c r="W248">
        <v>0</v>
      </c>
      <c r="X248">
        <v>-676034668</v>
      </c>
      <c r="Y248">
        <f t="shared" si="95"/>
        <v>0.54</v>
      </c>
      <c r="AA248">
        <v>54.92</v>
      </c>
      <c r="AB248">
        <v>0</v>
      </c>
      <c r="AC248">
        <v>0</v>
      </c>
      <c r="AD248">
        <v>0</v>
      </c>
      <c r="AE248">
        <v>53.42</v>
      </c>
      <c r="AF248">
        <v>0</v>
      </c>
      <c r="AG248">
        <v>0</v>
      </c>
      <c r="AH248">
        <v>0</v>
      </c>
      <c r="AI248">
        <v>1</v>
      </c>
      <c r="AJ248">
        <v>1</v>
      </c>
      <c r="AK248">
        <v>1</v>
      </c>
      <c r="AL248">
        <v>1</v>
      </c>
      <c r="AM248">
        <v>-2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0.54</v>
      </c>
      <c r="AU248" t="s">
        <v>35</v>
      </c>
      <c r="AV248">
        <v>0</v>
      </c>
      <c r="AW248">
        <v>2</v>
      </c>
      <c r="AX248">
        <v>85739739</v>
      </c>
      <c r="AY248">
        <v>1</v>
      </c>
      <c r="AZ248">
        <v>0</v>
      </c>
      <c r="BA248">
        <v>270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v>0</v>
      </c>
      <c r="CX248">
        <f>ROUND(Y248*Source!I98,9)</f>
        <v>8.1000000000000003E-2</v>
      </c>
      <c r="CY248">
        <f t="shared" si="96"/>
        <v>54.92</v>
      </c>
      <c r="CZ248">
        <f t="shared" si="97"/>
        <v>53.42</v>
      </c>
      <c r="DA248">
        <f t="shared" si="98"/>
        <v>1</v>
      </c>
      <c r="DB248">
        <f t="shared" si="99"/>
        <v>28.85</v>
      </c>
      <c r="DC248">
        <f t="shared" si="100"/>
        <v>0</v>
      </c>
      <c r="DD248" t="s">
        <v>3</v>
      </c>
      <c r="DE248" t="s">
        <v>3</v>
      </c>
      <c r="DF248">
        <f t="shared" si="94"/>
        <v>4.33</v>
      </c>
      <c r="DG248">
        <f t="shared" si="90"/>
        <v>0</v>
      </c>
      <c r="DH248">
        <f t="shared" si="89"/>
        <v>0</v>
      </c>
      <c r="DI248">
        <f t="shared" si="71"/>
        <v>0</v>
      </c>
      <c r="DJ248">
        <f t="shared" si="101"/>
        <v>4.33</v>
      </c>
      <c r="DK248">
        <v>0</v>
      </c>
      <c r="DL248" t="s">
        <v>3</v>
      </c>
      <c r="DM248">
        <v>0</v>
      </c>
      <c r="DN248" t="s">
        <v>3</v>
      </c>
      <c r="DO248">
        <v>0</v>
      </c>
    </row>
    <row r="249" spans="1:119" x14ac:dyDescent="0.2">
      <c r="A249">
        <f>ROW(Source!A98)</f>
        <v>98</v>
      </c>
      <c r="B249">
        <v>85739205</v>
      </c>
      <c r="C249">
        <v>85739726</v>
      </c>
      <c r="D249">
        <v>85199158</v>
      </c>
      <c r="E249">
        <v>1</v>
      </c>
      <c r="F249">
        <v>1</v>
      </c>
      <c r="G249">
        <v>1081</v>
      </c>
      <c r="H249">
        <v>3</v>
      </c>
      <c r="I249" t="s">
        <v>503</v>
      </c>
      <c r="J249" t="s">
        <v>504</v>
      </c>
      <c r="K249" t="s">
        <v>505</v>
      </c>
      <c r="L249">
        <v>1339</v>
      </c>
      <c r="N249">
        <v>1007</v>
      </c>
      <c r="O249" t="s">
        <v>506</v>
      </c>
      <c r="P249" t="s">
        <v>506</v>
      </c>
      <c r="Q249">
        <v>1</v>
      </c>
      <c r="W249">
        <v>0</v>
      </c>
      <c r="X249">
        <v>-1235260082</v>
      </c>
      <c r="Y249">
        <f t="shared" si="95"/>
        <v>0.81</v>
      </c>
      <c r="AA249">
        <v>5.98</v>
      </c>
      <c r="AB249">
        <v>0</v>
      </c>
      <c r="AC249">
        <v>0</v>
      </c>
      <c r="AD249">
        <v>0</v>
      </c>
      <c r="AE249">
        <v>5.82</v>
      </c>
      <c r="AF249">
        <v>0</v>
      </c>
      <c r="AG249">
        <v>0</v>
      </c>
      <c r="AH249">
        <v>0</v>
      </c>
      <c r="AI249">
        <v>1</v>
      </c>
      <c r="AJ249">
        <v>1</v>
      </c>
      <c r="AK249">
        <v>1</v>
      </c>
      <c r="AL249">
        <v>1</v>
      </c>
      <c r="AM249">
        <v>-2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0.81</v>
      </c>
      <c r="AU249" t="s">
        <v>35</v>
      </c>
      <c r="AV249">
        <v>0</v>
      </c>
      <c r="AW249">
        <v>2</v>
      </c>
      <c r="AX249">
        <v>85739740</v>
      </c>
      <c r="AY249">
        <v>1</v>
      </c>
      <c r="AZ249">
        <v>0</v>
      </c>
      <c r="BA249">
        <v>271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v>0</v>
      </c>
      <c r="CX249">
        <f>ROUND(Y249*Source!I98,9)</f>
        <v>0.1215</v>
      </c>
      <c r="CY249">
        <f t="shared" si="96"/>
        <v>5.98</v>
      </c>
      <c r="CZ249">
        <f t="shared" si="97"/>
        <v>5.82</v>
      </c>
      <c r="DA249">
        <f t="shared" si="98"/>
        <v>1</v>
      </c>
      <c r="DB249">
        <f t="shared" si="99"/>
        <v>4.71</v>
      </c>
      <c r="DC249">
        <f t="shared" si="100"/>
        <v>0</v>
      </c>
      <c r="DD249" t="s">
        <v>3</v>
      </c>
      <c r="DE249" t="s">
        <v>3</v>
      </c>
      <c r="DF249">
        <f t="shared" si="94"/>
        <v>0.71</v>
      </c>
      <c r="DG249">
        <f t="shared" si="90"/>
        <v>0</v>
      </c>
      <c r="DH249">
        <f t="shared" si="89"/>
        <v>0</v>
      </c>
      <c r="DI249">
        <f t="shared" si="71"/>
        <v>0</v>
      </c>
      <c r="DJ249">
        <f t="shared" si="101"/>
        <v>0.71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">
      <c r="A250">
        <f>ROW(Source!A98)</f>
        <v>98</v>
      </c>
      <c r="B250">
        <v>85739205</v>
      </c>
      <c r="C250">
        <v>85739726</v>
      </c>
      <c r="D250">
        <v>85211461</v>
      </c>
      <c r="E250">
        <v>1</v>
      </c>
      <c r="F250">
        <v>1</v>
      </c>
      <c r="G250">
        <v>1081</v>
      </c>
      <c r="H250">
        <v>3</v>
      </c>
      <c r="I250" t="s">
        <v>198</v>
      </c>
      <c r="J250" t="s">
        <v>200</v>
      </c>
      <c r="K250" t="s">
        <v>199</v>
      </c>
      <c r="L250">
        <v>1301</v>
      </c>
      <c r="N250">
        <v>1003</v>
      </c>
      <c r="O250" t="s">
        <v>179</v>
      </c>
      <c r="P250" t="s">
        <v>179</v>
      </c>
      <c r="Q250">
        <v>1</v>
      </c>
      <c r="W250">
        <v>0</v>
      </c>
      <c r="X250">
        <v>598797739</v>
      </c>
      <c r="Y250">
        <f t="shared" si="95"/>
        <v>100.5</v>
      </c>
      <c r="AA250">
        <v>76.08</v>
      </c>
      <c r="AB250">
        <v>0</v>
      </c>
      <c r="AC250">
        <v>0</v>
      </c>
      <c r="AD250">
        <v>0</v>
      </c>
      <c r="AE250">
        <v>76.08</v>
      </c>
      <c r="AF250">
        <v>0</v>
      </c>
      <c r="AG250">
        <v>0</v>
      </c>
      <c r="AH250">
        <v>0</v>
      </c>
      <c r="AI250">
        <v>1</v>
      </c>
      <c r="AJ250">
        <v>1</v>
      </c>
      <c r="AK250">
        <v>1</v>
      </c>
      <c r="AL250">
        <v>1</v>
      </c>
      <c r="AM250">
        <v>0</v>
      </c>
      <c r="AN250">
        <v>0</v>
      </c>
      <c r="AO250">
        <v>0</v>
      </c>
      <c r="AP250">
        <v>1</v>
      </c>
      <c r="AQ250">
        <v>0</v>
      </c>
      <c r="AR250">
        <v>0</v>
      </c>
      <c r="AS250" t="s">
        <v>3</v>
      </c>
      <c r="AT250">
        <v>100.5</v>
      </c>
      <c r="AU250" t="s">
        <v>35</v>
      </c>
      <c r="AV250">
        <v>0</v>
      </c>
      <c r="AW250">
        <v>1</v>
      </c>
      <c r="AX250">
        <v>-1</v>
      </c>
      <c r="AY250">
        <v>0</v>
      </c>
      <c r="AZ250">
        <v>0</v>
      </c>
      <c r="BA250" t="s">
        <v>3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v>0</v>
      </c>
      <c r="CX250">
        <f>ROUND(Y250*Source!I98,9)</f>
        <v>15.074999999999999</v>
      </c>
      <c r="CY250">
        <f t="shared" si="96"/>
        <v>76.08</v>
      </c>
      <c r="CZ250">
        <f t="shared" si="97"/>
        <v>76.08</v>
      </c>
      <c r="DA250">
        <f t="shared" si="98"/>
        <v>1</v>
      </c>
      <c r="DB250">
        <f t="shared" si="99"/>
        <v>7646.04</v>
      </c>
      <c r="DC250">
        <f t="shared" si="100"/>
        <v>0</v>
      </c>
      <c r="DD250" t="s">
        <v>3</v>
      </c>
      <c r="DE250" t="s">
        <v>3</v>
      </c>
      <c r="DF250">
        <f t="shared" si="94"/>
        <v>1146.9100000000001</v>
      </c>
      <c r="DG250">
        <f t="shared" si="90"/>
        <v>0</v>
      </c>
      <c r="DH250">
        <f t="shared" si="89"/>
        <v>0</v>
      </c>
      <c r="DI250">
        <f t="shared" si="71"/>
        <v>0</v>
      </c>
      <c r="DJ250">
        <f t="shared" si="101"/>
        <v>1146.9100000000001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">
      <c r="A251">
        <f>ROW(Source!A98)</f>
        <v>98</v>
      </c>
      <c r="B251">
        <v>85739205</v>
      </c>
      <c r="C251">
        <v>85739726</v>
      </c>
      <c r="D251">
        <v>85221547</v>
      </c>
      <c r="E251">
        <v>1</v>
      </c>
      <c r="F251">
        <v>1</v>
      </c>
      <c r="G251">
        <v>1081</v>
      </c>
      <c r="H251">
        <v>3</v>
      </c>
      <c r="I251" t="s">
        <v>564</v>
      </c>
      <c r="J251" t="s">
        <v>565</v>
      </c>
      <c r="K251" t="s">
        <v>566</v>
      </c>
      <c r="L251">
        <v>1354</v>
      </c>
      <c r="N251">
        <v>1010</v>
      </c>
      <c r="O251" t="s">
        <v>99</v>
      </c>
      <c r="P251" t="s">
        <v>99</v>
      </c>
      <c r="Q251">
        <v>1</v>
      </c>
      <c r="W251">
        <v>0</v>
      </c>
      <c r="X251">
        <v>483106430</v>
      </c>
      <c r="Y251">
        <f t="shared" si="95"/>
        <v>72</v>
      </c>
      <c r="AA251">
        <v>14.68</v>
      </c>
      <c r="AB251">
        <v>0</v>
      </c>
      <c r="AC251">
        <v>0</v>
      </c>
      <c r="AD251">
        <v>0</v>
      </c>
      <c r="AE251">
        <v>14.28</v>
      </c>
      <c r="AF251">
        <v>0</v>
      </c>
      <c r="AG251">
        <v>0</v>
      </c>
      <c r="AH251">
        <v>0</v>
      </c>
      <c r="AI251">
        <v>1</v>
      </c>
      <c r="AJ251">
        <v>1</v>
      </c>
      <c r="AK251">
        <v>1</v>
      </c>
      <c r="AL251">
        <v>1</v>
      </c>
      <c r="AM251">
        <v>-2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72</v>
      </c>
      <c r="AU251" t="s">
        <v>35</v>
      </c>
      <c r="AV251">
        <v>0</v>
      </c>
      <c r="AW251">
        <v>2</v>
      </c>
      <c r="AX251">
        <v>85739741</v>
      </c>
      <c r="AY251">
        <v>1</v>
      </c>
      <c r="AZ251">
        <v>0</v>
      </c>
      <c r="BA251">
        <v>272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v>0</v>
      </c>
      <c r="CX251">
        <f>ROUND(Y251*Source!I98,9)</f>
        <v>10.8</v>
      </c>
      <c r="CY251">
        <f t="shared" si="96"/>
        <v>14.68</v>
      </c>
      <c r="CZ251">
        <f t="shared" si="97"/>
        <v>14.28</v>
      </c>
      <c r="DA251">
        <f t="shared" si="98"/>
        <v>1</v>
      </c>
      <c r="DB251">
        <f t="shared" si="99"/>
        <v>1028.1600000000001</v>
      </c>
      <c r="DC251">
        <f t="shared" si="100"/>
        <v>0</v>
      </c>
      <c r="DD251" t="s">
        <v>3</v>
      </c>
      <c r="DE251" t="s">
        <v>3</v>
      </c>
      <c r="DF251">
        <f t="shared" si="94"/>
        <v>154.22</v>
      </c>
      <c r="DG251">
        <f t="shared" si="90"/>
        <v>0</v>
      </c>
      <c r="DH251">
        <f t="shared" si="89"/>
        <v>0</v>
      </c>
      <c r="DI251">
        <f t="shared" si="71"/>
        <v>0</v>
      </c>
      <c r="DJ251">
        <f t="shared" si="101"/>
        <v>154.22</v>
      </c>
      <c r="DK251">
        <v>0</v>
      </c>
      <c r="DL251" t="s">
        <v>3</v>
      </c>
      <c r="DM251">
        <v>0</v>
      </c>
      <c r="DN251" t="s">
        <v>3</v>
      </c>
      <c r="DO251">
        <v>0</v>
      </c>
    </row>
    <row r="252" spans="1:119" x14ac:dyDescent="0.2">
      <c r="A252">
        <f>ROW(Source!A99)</f>
        <v>99</v>
      </c>
      <c r="B252">
        <v>85739207</v>
      </c>
      <c r="C252">
        <v>85739726</v>
      </c>
      <c r="D252">
        <v>85164021</v>
      </c>
      <c r="E252">
        <v>1081</v>
      </c>
      <c r="F252">
        <v>1</v>
      </c>
      <c r="G252">
        <v>1081</v>
      </c>
      <c r="H252">
        <v>1</v>
      </c>
      <c r="I252" t="s">
        <v>472</v>
      </c>
      <c r="J252" t="s">
        <v>3</v>
      </c>
      <c r="K252" t="s">
        <v>473</v>
      </c>
      <c r="L252">
        <v>1191</v>
      </c>
      <c r="N252">
        <v>1013</v>
      </c>
      <c r="O252" t="s">
        <v>474</v>
      </c>
      <c r="P252" t="s">
        <v>474</v>
      </c>
      <c r="Q252">
        <v>1</v>
      </c>
      <c r="W252">
        <v>0</v>
      </c>
      <c r="X252">
        <v>476480486</v>
      </c>
      <c r="Y252">
        <f t="shared" ref="Y252:Y257" si="102">(AT252*1.2)</f>
        <v>168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1</v>
      </c>
      <c r="AL252">
        <v>1</v>
      </c>
      <c r="AM252">
        <v>5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140</v>
      </c>
      <c r="AU252" t="s">
        <v>36</v>
      </c>
      <c r="AV252">
        <v>1</v>
      </c>
      <c r="AW252">
        <v>2</v>
      </c>
      <c r="AX252">
        <v>85739728</v>
      </c>
      <c r="AY252">
        <v>1</v>
      </c>
      <c r="AZ252">
        <v>0</v>
      </c>
      <c r="BA252">
        <v>274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U252">
        <f>ROUND(AT252*Source!I99*AH252*AL252,2)</f>
        <v>0</v>
      </c>
      <c r="CV252">
        <f>ROUND(Y252*Source!I99,9)</f>
        <v>25.2</v>
      </c>
      <c r="CW252">
        <v>0</v>
      </c>
      <c r="CX252">
        <f>ROUND(Y252*Source!I99,9)</f>
        <v>25.2</v>
      </c>
      <c r="CY252">
        <f>AD252</f>
        <v>0</v>
      </c>
      <c r="CZ252">
        <f>AH252</f>
        <v>0</v>
      </c>
      <c r="DA252">
        <f>AL252</f>
        <v>1</v>
      </c>
      <c r="DB252">
        <f t="shared" ref="DB252:DB257" si="103">ROUND((ROUND(AT252*CZ252,2)*1.2),6)</f>
        <v>0</v>
      </c>
      <c r="DC252">
        <f t="shared" ref="DC252:DC257" si="104">ROUND((ROUND(AT252*AG252,2)*1.2),6)</f>
        <v>0</v>
      </c>
      <c r="DD252" t="s">
        <v>3</v>
      </c>
      <c r="DE252" t="s">
        <v>3</v>
      </c>
      <c r="DF252">
        <f t="shared" si="94"/>
        <v>0</v>
      </c>
      <c r="DG252">
        <f t="shared" si="90"/>
        <v>0</v>
      </c>
      <c r="DH252">
        <f t="shared" si="89"/>
        <v>0</v>
      </c>
      <c r="DI252">
        <f t="shared" si="71"/>
        <v>0</v>
      </c>
      <c r="DJ252">
        <f>DI252</f>
        <v>0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">
      <c r="A253">
        <f>ROW(Source!A99)</f>
        <v>99</v>
      </c>
      <c r="B253">
        <v>85739207</v>
      </c>
      <c r="C253">
        <v>85739726</v>
      </c>
      <c r="D253">
        <v>85229527</v>
      </c>
      <c r="E253">
        <v>1</v>
      </c>
      <c r="F253">
        <v>1</v>
      </c>
      <c r="G253">
        <v>1081</v>
      </c>
      <c r="H253">
        <v>2</v>
      </c>
      <c r="I253" t="s">
        <v>546</v>
      </c>
      <c r="J253" t="s">
        <v>547</v>
      </c>
      <c r="K253" t="s">
        <v>548</v>
      </c>
      <c r="L253">
        <v>1368</v>
      </c>
      <c r="N253">
        <v>1011</v>
      </c>
      <c r="O253" t="s">
        <v>478</v>
      </c>
      <c r="P253" t="s">
        <v>478</v>
      </c>
      <c r="Q253">
        <v>1</v>
      </c>
      <c r="W253">
        <v>0</v>
      </c>
      <c r="X253">
        <v>-1222619517</v>
      </c>
      <c r="Y253">
        <f t="shared" si="102"/>
        <v>9</v>
      </c>
      <c r="AA253">
        <v>0</v>
      </c>
      <c r="AB253">
        <v>1209.95</v>
      </c>
      <c r="AC253">
        <v>758.78</v>
      </c>
      <c r="AD253">
        <v>0</v>
      </c>
      <c r="AE253">
        <v>0</v>
      </c>
      <c r="AF253">
        <v>48.07</v>
      </c>
      <c r="AG253">
        <v>12.62</v>
      </c>
      <c r="AH253">
        <v>0</v>
      </c>
      <c r="AI253">
        <v>1</v>
      </c>
      <c r="AJ253">
        <v>23.59</v>
      </c>
      <c r="AK253">
        <v>56.35</v>
      </c>
      <c r="AL253">
        <v>1</v>
      </c>
      <c r="AM253">
        <v>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7.5</v>
      </c>
      <c r="AU253" t="s">
        <v>36</v>
      </c>
      <c r="AV253">
        <v>0</v>
      </c>
      <c r="AW253">
        <v>2</v>
      </c>
      <c r="AX253">
        <v>85739729</v>
      </c>
      <c r="AY253">
        <v>1</v>
      </c>
      <c r="AZ253">
        <v>0</v>
      </c>
      <c r="BA253">
        <v>275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f>ROUND(Y253*Source!I99*DO253,9)</f>
        <v>17.036999999999999</v>
      </c>
      <c r="CX253">
        <f>ROUND(Y253*Source!I99,9)</f>
        <v>1.35</v>
      </c>
      <c r="CY253">
        <f>AB253</f>
        <v>1209.95</v>
      </c>
      <c r="CZ253">
        <f>AF253</f>
        <v>48.07</v>
      </c>
      <c r="DA253">
        <f>AJ253</f>
        <v>23.59</v>
      </c>
      <c r="DB253">
        <f t="shared" si="103"/>
        <v>432.63600000000002</v>
      </c>
      <c r="DC253">
        <f t="shared" si="104"/>
        <v>113.58</v>
      </c>
      <c r="DD253" t="s">
        <v>3</v>
      </c>
      <c r="DE253" t="s">
        <v>3</v>
      </c>
      <c r="DF253">
        <f t="shared" si="94"/>
        <v>0</v>
      </c>
      <c r="DG253">
        <f>ROUND(ROUND(AF253*AJ253,2)*CX253,2)</f>
        <v>1530.86</v>
      </c>
      <c r="DH253">
        <f>ROUND(ROUND(AG253*AK253,2)*CX253,2)</f>
        <v>960.04</v>
      </c>
      <c r="DI253">
        <f t="shared" si="71"/>
        <v>0</v>
      </c>
      <c r="DJ253">
        <f>DG253</f>
        <v>1530.86</v>
      </c>
      <c r="DK253">
        <v>0</v>
      </c>
      <c r="DL253" t="s">
        <v>485</v>
      </c>
      <c r="DM253">
        <v>0</v>
      </c>
      <c r="DN253" t="s">
        <v>474</v>
      </c>
      <c r="DO253">
        <v>12.62</v>
      </c>
    </row>
    <row r="254" spans="1:119" x14ac:dyDescent="0.2">
      <c r="A254">
        <f>ROW(Source!A99)</f>
        <v>99</v>
      </c>
      <c r="B254">
        <v>85739207</v>
      </c>
      <c r="C254">
        <v>85739726</v>
      </c>
      <c r="D254">
        <v>85229564</v>
      </c>
      <c r="E254">
        <v>1</v>
      </c>
      <c r="F254">
        <v>1</v>
      </c>
      <c r="G254">
        <v>1081</v>
      </c>
      <c r="H254">
        <v>2</v>
      </c>
      <c r="I254" t="s">
        <v>549</v>
      </c>
      <c r="J254" t="s">
        <v>550</v>
      </c>
      <c r="K254" t="s">
        <v>551</v>
      </c>
      <c r="L254">
        <v>1368</v>
      </c>
      <c r="N254">
        <v>1011</v>
      </c>
      <c r="O254" t="s">
        <v>478</v>
      </c>
      <c r="P254" t="s">
        <v>478</v>
      </c>
      <c r="Q254">
        <v>1</v>
      </c>
      <c r="W254">
        <v>0</v>
      </c>
      <c r="X254">
        <v>210297649</v>
      </c>
      <c r="Y254">
        <f t="shared" si="102"/>
        <v>8.4</v>
      </c>
      <c r="AA254">
        <v>0</v>
      </c>
      <c r="AB254">
        <v>65.790000000000006</v>
      </c>
      <c r="AC254">
        <v>0</v>
      </c>
      <c r="AD254">
        <v>0</v>
      </c>
      <c r="AE254">
        <v>0</v>
      </c>
      <c r="AF254">
        <v>5.79</v>
      </c>
      <c r="AG254">
        <v>0</v>
      </c>
      <c r="AH254">
        <v>0</v>
      </c>
      <c r="AI254">
        <v>1</v>
      </c>
      <c r="AJ254">
        <v>10.65</v>
      </c>
      <c r="AK254">
        <v>1</v>
      </c>
      <c r="AL254">
        <v>1</v>
      </c>
      <c r="AM254">
        <v>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7</v>
      </c>
      <c r="AU254" t="s">
        <v>36</v>
      </c>
      <c r="AV254">
        <v>0</v>
      </c>
      <c r="AW254">
        <v>2</v>
      </c>
      <c r="AX254">
        <v>85739730</v>
      </c>
      <c r="AY254">
        <v>1</v>
      </c>
      <c r="AZ254">
        <v>0</v>
      </c>
      <c r="BA254">
        <v>276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f>ROUND(Y254*Source!I99*DO254,9)</f>
        <v>0</v>
      </c>
      <c r="CX254">
        <f>ROUND(Y254*Source!I99,9)</f>
        <v>1.26</v>
      </c>
      <c r="CY254">
        <f>AB254</f>
        <v>65.790000000000006</v>
      </c>
      <c r="CZ254">
        <f>AF254</f>
        <v>5.79</v>
      </c>
      <c r="DA254">
        <f>AJ254</f>
        <v>10.65</v>
      </c>
      <c r="DB254">
        <f t="shared" si="103"/>
        <v>48.636000000000003</v>
      </c>
      <c r="DC254">
        <f t="shared" si="104"/>
        <v>0</v>
      </c>
      <c r="DD254" t="s">
        <v>3</v>
      </c>
      <c r="DE254" t="s">
        <v>3</v>
      </c>
      <c r="DF254">
        <f t="shared" si="94"/>
        <v>0</v>
      </c>
      <c r="DG254">
        <f>ROUND(ROUND(AF254*AJ254,2)*CX254,2)</f>
        <v>77.69</v>
      </c>
      <c r="DH254">
        <f>ROUND(ROUND(AG254,2)*CX254,2)</f>
        <v>0</v>
      </c>
      <c r="DI254">
        <f t="shared" si="71"/>
        <v>0</v>
      </c>
      <c r="DJ254">
        <f>DG254</f>
        <v>77.69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">
      <c r="A255">
        <f>ROW(Source!A99)</f>
        <v>99</v>
      </c>
      <c r="B255">
        <v>85739207</v>
      </c>
      <c r="C255">
        <v>85739726</v>
      </c>
      <c r="D255">
        <v>85229633</v>
      </c>
      <c r="E255">
        <v>1</v>
      </c>
      <c r="F255">
        <v>1</v>
      </c>
      <c r="G255">
        <v>1081</v>
      </c>
      <c r="H255">
        <v>2</v>
      </c>
      <c r="I255" t="s">
        <v>475</v>
      </c>
      <c r="J255" t="s">
        <v>476</v>
      </c>
      <c r="K255" t="s">
        <v>477</v>
      </c>
      <c r="L255">
        <v>1368</v>
      </c>
      <c r="N255">
        <v>1011</v>
      </c>
      <c r="O255" t="s">
        <v>478</v>
      </c>
      <c r="P255" t="s">
        <v>478</v>
      </c>
      <c r="Q255">
        <v>1</v>
      </c>
      <c r="W255">
        <v>0</v>
      </c>
      <c r="X255">
        <v>1498588441</v>
      </c>
      <c r="Y255">
        <f t="shared" si="102"/>
        <v>11.16</v>
      </c>
      <c r="AA255">
        <v>0</v>
      </c>
      <c r="AB255">
        <v>102.11</v>
      </c>
      <c r="AC255">
        <v>0</v>
      </c>
      <c r="AD255">
        <v>0</v>
      </c>
      <c r="AE255">
        <v>0</v>
      </c>
      <c r="AF255">
        <v>7.11</v>
      </c>
      <c r="AG255">
        <v>0</v>
      </c>
      <c r="AH255">
        <v>0</v>
      </c>
      <c r="AI255">
        <v>1</v>
      </c>
      <c r="AJ255">
        <v>13.46</v>
      </c>
      <c r="AK255">
        <v>1</v>
      </c>
      <c r="AL255">
        <v>1</v>
      </c>
      <c r="AM255">
        <v>2</v>
      </c>
      <c r="AN255">
        <v>0</v>
      </c>
      <c r="AO255">
        <v>1</v>
      </c>
      <c r="AP255">
        <v>1</v>
      </c>
      <c r="AQ255">
        <v>0</v>
      </c>
      <c r="AR255">
        <v>0</v>
      </c>
      <c r="AS255" t="s">
        <v>3</v>
      </c>
      <c r="AT255">
        <v>9.3000000000000007</v>
      </c>
      <c r="AU255" t="s">
        <v>36</v>
      </c>
      <c r="AV255">
        <v>0</v>
      </c>
      <c r="AW255">
        <v>2</v>
      </c>
      <c r="AX255">
        <v>85739731</v>
      </c>
      <c r="AY255">
        <v>1</v>
      </c>
      <c r="AZ255">
        <v>0</v>
      </c>
      <c r="BA255">
        <v>277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f>ROUND(Y255*Source!I99*DO255,9)</f>
        <v>0</v>
      </c>
      <c r="CX255">
        <f>ROUND(Y255*Source!I99,9)</f>
        <v>1.6739999999999999</v>
      </c>
      <c r="CY255">
        <f>AB255</f>
        <v>102.11</v>
      </c>
      <c r="CZ255">
        <f>AF255</f>
        <v>7.11</v>
      </c>
      <c r="DA255">
        <f>AJ255</f>
        <v>13.46</v>
      </c>
      <c r="DB255">
        <f t="shared" si="103"/>
        <v>79.343999999999994</v>
      </c>
      <c r="DC255">
        <f t="shared" si="104"/>
        <v>0</v>
      </c>
      <c r="DD255" t="s">
        <v>3</v>
      </c>
      <c r="DE255" t="s">
        <v>3</v>
      </c>
      <c r="DF255">
        <f t="shared" si="94"/>
        <v>0</v>
      </c>
      <c r="DG255">
        <f>ROUND(ROUND(AF255*AJ255,2)*CX255,2)</f>
        <v>160.19999999999999</v>
      </c>
      <c r="DH255">
        <f>ROUND(ROUND(AG255,2)*CX255,2)</f>
        <v>0</v>
      </c>
      <c r="DI255">
        <f t="shared" si="71"/>
        <v>0</v>
      </c>
      <c r="DJ255">
        <f>DG255</f>
        <v>160.19999999999999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">
      <c r="A256">
        <f>ROW(Source!A99)</f>
        <v>99</v>
      </c>
      <c r="B256">
        <v>85739207</v>
      </c>
      <c r="C256">
        <v>85739726</v>
      </c>
      <c r="D256">
        <v>85229932</v>
      </c>
      <c r="E256">
        <v>1</v>
      </c>
      <c r="F256">
        <v>1</v>
      </c>
      <c r="G256">
        <v>1081</v>
      </c>
      <c r="H256">
        <v>2</v>
      </c>
      <c r="I256" t="s">
        <v>482</v>
      </c>
      <c r="J256" t="s">
        <v>483</v>
      </c>
      <c r="K256" t="s">
        <v>484</v>
      </c>
      <c r="L256">
        <v>1368</v>
      </c>
      <c r="N256">
        <v>1011</v>
      </c>
      <c r="O256" t="s">
        <v>478</v>
      </c>
      <c r="P256" t="s">
        <v>478</v>
      </c>
      <c r="Q256">
        <v>1</v>
      </c>
      <c r="W256">
        <v>0</v>
      </c>
      <c r="X256">
        <v>874612079</v>
      </c>
      <c r="Y256">
        <f t="shared" si="102"/>
        <v>0.86399999999999999</v>
      </c>
      <c r="AA256">
        <v>0</v>
      </c>
      <c r="AB256">
        <v>1513.56</v>
      </c>
      <c r="AC256">
        <v>758.78</v>
      </c>
      <c r="AD256">
        <v>0</v>
      </c>
      <c r="AE256">
        <v>0</v>
      </c>
      <c r="AF256">
        <v>83.1</v>
      </c>
      <c r="AG256">
        <v>12.62</v>
      </c>
      <c r="AH256">
        <v>0</v>
      </c>
      <c r="AI256">
        <v>1</v>
      </c>
      <c r="AJ256">
        <v>17.07</v>
      </c>
      <c r="AK256">
        <v>56.35</v>
      </c>
      <c r="AL256">
        <v>1</v>
      </c>
      <c r="AM256">
        <v>2</v>
      </c>
      <c r="AN256">
        <v>0</v>
      </c>
      <c r="AO256">
        <v>1</v>
      </c>
      <c r="AP256">
        <v>1</v>
      </c>
      <c r="AQ256">
        <v>0</v>
      </c>
      <c r="AR256">
        <v>0</v>
      </c>
      <c r="AS256" t="s">
        <v>3</v>
      </c>
      <c r="AT256">
        <v>0.72</v>
      </c>
      <c r="AU256" t="s">
        <v>36</v>
      </c>
      <c r="AV256">
        <v>0</v>
      </c>
      <c r="AW256">
        <v>2</v>
      </c>
      <c r="AX256">
        <v>85739732</v>
      </c>
      <c r="AY256">
        <v>1</v>
      </c>
      <c r="AZ256">
        <v>0</v>
      </c>
      <c r="BA256">
        <v>278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f>ROUND(Y256*Source!I99*DO256,9)</f>
        <v>1.6355519999999999</v>
      </c>
      <c r="CX256">
        <f>ROUND(Y256*Source!I99,9)</f>
        <v>0.12959999999999999</v>
      </c>
      <c r="CY256">
        <f>AB256</f>
        <v>1513.56</v>
      </c>
      <c r="CZ256">
        <f>AF256</f>
        <v>83.1</v>
      </c>
      <c r="DA256">
        <f>AJ256</f>
        <v>17.07</v>
      </c>
      <c r="DB256">
        <f t="shared" si="103"/>
        <v>71.796000000000006</v>
      </c>
      <c r="DC256">
        <f t="shared" si="104"/>
        <v>10.907999999999999</v>
      </c>
      <c r="DD256" t="s">
        <v>3</v>
      </c>
      <c r="DE256" t="s">
        <v>3</v>
      </c>
      <c r="DF256">
        <f t="shared" si="94"/>
        <v>0</v>
      </c>
      <c r="DG256">
        <f>ROUND(ROUND(AF256*AJ256,2)*CX256,2)</f>
        <v>183.84</v>
      </c>
      <c r="DH256">
        <f>ROUND(ROUND(AG256*AK256,2)*CX256,2)</f>
        <v>92.16</v>
      </c>
      <c r="DI256">
        <f t="shared" si="71"/>
        <v>0</v>
      </c>
      <c r="DJ256">
        <f>DG256</f>
        <v>183.84</v>
      </c>
      <c r="DK256">
        <v>0</v>
      </c>
      <c r="DL256" t="s">
        <v>485</v>
      </c>
      <c r="DM256">
        <v>0</v>
      </c>
      <c r="DN256" t="s">
        <v>474</v>
      </c>
      <c r="DO256">
        <v>12.62</v>
      </c>
    </row>
    <row r="257" spans="1:119" x14ac:dyDescent="0.2">
      <c r="A257">
        <f>ROW(Source!A99)</f>
        <v>99</v>
      </c>
      <c r="B257">
        <v>85739207</v>
      </c>
      <c r="C257">
        <v>85739726</v>
      </c>
      <c r="D257">
        <v>85229250</v>
      </c>
      <c r="E257">
        <v>1</v>
      </c>
      <c r="F257">
        <v>1</v>
      </c>
      <c r="G257">
        <v>1081</v>
      </c>
      <c r="H257">
        <v>2</v>
      </c>
      <c r="I257" t="s">
        <v>552</v>
      </c>
      <c r="J257" t="s">
        <v>553</v>
      </c>
      <c r="K257" t="s">
        <v>554</v>
      </c>
      <c r="L257">
        <v>1368</v>
      </c>
      <c r="N257">
        <v>1011</v>
      </c>
      <c r="O257" t="s">
        <v>478</v>
      </c>
      <c r="P257" t="s">
        <v>478</v>
      </c>
      <c r="Q257">
        <v>1</v>
      </c>
      <c r="W257">
        <v>0</v>
      </c>
      <c r="X257">
        <v>-1755828087</v>
      </c>
      <c r="Y257">
        <f t="shared" si="102"/>
        <v>0.63600000000000001</v>
      </c>
      <c r="AA257">
        <v>0</v>
      </c>
      <c r="AB257">
        <v>34.85</v>
      </c>
      <c r="AC257">
        <v>0</v>
      </c>
      <c r="AD257">
        <v>0</v>
      </c>
      <c r="AE257">
        <v>0</v>
      </c>
      <c r="AF257">
        <v>3.18</v>
      </c>
      <c r="AG257">
        <v>0</v>
      </c>
      <c r="AH257">
        <v>0</v>
      </c>
      <c r="AI257">
        <v>1</v>
      </c>
      <c r="AJ257">
        <v>10.27</v>
      </c>
      <c r="AK257">
        <v>1</v>
      </c>
      <c r="AL257">
        <v>1</v>
      </c>
      <c r="AM257">
        <v>2</v>
      </c>
      <c r="AN257">
        <v>0</v>
      </c>
      <c r="AO257">
        <v>1</v>
      </c>
      <c r="AP257">
        <v>1</v>
      </c>
      <c r="AQ257">
        <v>0</v>
      </c>
      <c r="AR257">
        <v>0</v>
      </c>
      <c r="AS257" t="s">
        <v>3</v>
      </c>
      <c r="AT257">
        <v>0.53</v>
      </c>
      <c r="AU257" t="s">
        <v>36</v>
      </c>
      <c r="AV257">
        <v>0</v>
      </c>
      <c r="AW257">
        <v>2</v>
      </c>
      <c r="AX257">
        <v>85739733</v>
      </c>
      <c r="AY257">
        <v>1</v>
      </c>
      <c r="AZ257">
        <v>0</v>
      </c>
      <c r="BA257">
        <v>279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f>ROUND(Y257*Source!I99*DO257,9)</f>
        <v>0</v>
      </c>
      <c r="CX257">
        <f>ROUND(Y257*Source!I99,9)</f>
        <v>9.5399999999999999E-2</v>
      </c>
      <c r="CY257">
        <f>AB257</f>
        <v>34.85</v>
      </c>
      <c r="CZ257">
        <f>AF257</f>
        <v>3.18</v>
      </c>
      <c r="DA257">
        <f>AJ257</f>
        <v>10.27</v>
      </c>
      <c r="DB257">
        <f t="shared" si="103"/>
        <v>2.028</v>
      </c>
      <c r="DC257">
        <f t="shared" si="104"/>
        <v>0</v>
      </c>
      <c r="DD257" t="s">
        <v>3</v>
      </c>
      <c r="DE257" t="s">
        <v>3</v>
      </c>
      <c r="DF257">
        <f t="shared" si="94"/>
        <v>0</v>
      </c>
      <c r="DG257">
        <f>ROUND(ROUND(AF257*AJ257,2)*CX257,2)</f>
        <v>3.12</v>
      </c>
      <c r="DH257">
        <f t="shared" ref="DH257:DH283" si="105">ROUND(ROUND(AG257,2)*CX257,2)</f>
        <v>0</v>
      </c>
      <c r="DI257">
        <f t="shared" ref="DI257:DI320" si="106">ROUND(ROUND(AH257,2)*CX257,2)</f>
        <v>0</v>
      </c>
      <c r="DJ257">
        <f>DG257</f>
        <v>3.12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">
      <c r="A258">
        <f>ROW(Source!A99)</f>
        <v>99</v>
      </c>
      <c r="B258">
        <v>85739207</v>
      </c>
      <c r="C258">
        <v>85739726</v>
      </c>
      <c r="D258">
        <v>85198960</v>
      </c>
      <c r="E258">
        <v>1</v>
      </c>
      <c r="F258">
        <v>1</v>
      </c>
      <c r="G258">
        <v>1081</v>
      </c>
      <c r="H258">
        <v>3</v>
      </c>
      <c r="I258" t="s">
        <v>513</v>
      </c>
      <c r="J258" t="s">
        <v>514</v>
      </c>
      <c r="K258" t="s">
        <v>515</v>
      </c>
      <c r="L258">
        <v>1339</v>
      </c>
      <c r="N258">
        <v>1007</v>
      </c>
      <c r="O258" t="s">
        <v>506</v>
      </c>
      <c r="P258" t="s">
        <v>506</v>
      </c>
      <c r="Q258">
        <v>1</v>
      </c>
      <c r="W258">
        <v>0</v>
      </c>
      <c r="X258">
        <v>-1622585150</v>
      </c>
      <c r="Y258">
        <f t="shared" ref="Y258:Y266" si="107">(AT258*1)</f>
        <v>3</v>
      </c>
      <c r="AA258">
        <v>56.33</v>
      </c>
      <c r="AB258">
        <v>0</v>
      </c>
      <c r="AC258">
        <v>0</v>
      </c>
      <c r="AD258">
        <v>0</v>
      </c>
      <c r="AE258">
        <v>7.07</v>
      </c>
      <c r="AF258">
        <v>0</v>
      </c>
      <c r="AG258">
        <v>0</v>
      </c>
      <c r="AH258">
        <v>0</v>
      </c>
      <c r="AI258">
        <v>7.75</v>
      </c>
      <c r="AJ258">
        <v>1</v>
      </c>
      <c r="AK258">
        <v>1</v>
      </c>
      <c r="AL258">
        <v>1</v>
      </c>
      <c r="AM258">
        <v>2</v>
      </c>
      <c r="AN258">
        <v>0</v>
      </c>
      <c r="AO258">
        <v>1</v>
      </c>
      <c r="AP258">
        <v>1</v>
      </c>
      <c r="AQ258">
        <v>0</v>
      </c>
      <c r="AR258">
        <v>0</v>
      </c>
      <c r="AS258" t="s">
        <v>3</v>
      </c>
      <c r="AT258">
        <v>3</v>
      </c>
      <c r="AU258" t="s">
        <v>35</v>
      </c>
      <c r="AV258">
        <v>0</v>
      </c>
      <c r="AW258">
        <v>2</v>
      </c>
      <c r="AX258">
        <v>85739734</v>
      </c>
      <c r="AY258">
        <v>1</v>
      </c>
      <c r="AZ258">
        <v>0</v>
      </c>
      <c r="BA258">
        <v>280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v>0</v>
      </c>
      <c r="CX258">
        <f>ROUND(Y258*Source!I99,9)</f>
        <v>0.45</v>
      </c>
      <c r="CY258">
        <f t="shared" ref="CY258:CY266" si="108">AA258</f>
        <v>56.33</v>
      </c>
      <c r="CZ258">
        <f t="shared" ref="CZ258:CZ266" si="109">AE258</f>
        <v>7.07</v>
      </c>
      <c r="DA258">
        <f t="shared" ref="DA258:DA266" si="110">AI258</f>
        <v>7.75</v>
      </c>
      <c r="DB258">
        <f t="shared" ref="DB258:DB266" si="111">ROUND((ROUND(AT258*CZ258,2)*1),6)</f>
        <v>21.21</v>
      </c>
      <c r="DC258">
        <f t="shared" ref="DC258:DC266" si="112">ROUND((ROUND(AT258*AG258,2)*1),6)</f>
        <v>0</v>
      </c>
      <c r="DD258" t="s">
        <v>3</v>
      </c>
      <c r="DE258" t="s">
        <v>3</v>
      </c>
      <c r="DF258">
        <f t="shared" ref="DF258:DF266" si="113">ROUND(ROUND(AE258*AI258,2)*CX258,2)</f>
        <v>24.66</v>
      </c>
      <c r="DG258">
        <f t="shared" ref="DG258:DG283" si="114">ROUND(ROUND(AF258,2)*CX258,2)</f>
        <v>0</v>
      </c>
      <c r="DH258">
        <f t="shared" si="105"/>
        <v>0</v>
      </c>
      <c r="DI258">
        <f t="shared" si="106"/>
        <v>0</v>
      </c>
      <c r="DJ258">
        <f t="shared" ref="DJ258:DJ266" si="115">DF258</f>
        <v>24.66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">
      <c r="A259">
        <f>ROW(Source!A99)</f>
        <v>99</v>
      </c>
      <c r="B259">
        <v>85739207</v>
      </c>
      <c r="C259">
        <v>85739726</v>
      </c>
      <c r="D259">
        <v>85200023</v>
      </c>
      <c r="E259">
        <v>1</v>
      </c>
      <c r="F259">
        <v>1</v>
      </c>
      <c r="G259">
        <v>1081</v>
      </c>
      <c r="H259">
        <v>3</v>
      </c>
      <c r="I259" t="s">
        <v>555</v>
      </c>
      <c r="J259" t="s">
        <v>556</v>
      </c>
      <c r="K259" t="s">
        <v>557</v>
      </c>
      <c r="L259">
        <v>1348</v>
      </c>
      <c r="N259">
        <v>1009</v>
      </c>
      <c r="O259" t="s">
        <v>266</v>
      </c>
      <c r="P259" t="s">
        <v>266</v>
      </c>
      <c r="Q259">
        <v>1000</v>
      </c>
      <c r="W259">
        <v>0</v>
      </c>
      <c r="X259">
        <v>63955816</v>
      </c>
      <c r="Y259">
        <f t="shared" si="107"/>
        <v>1.6800000000000001E-3</v>
      </c>
      <c r="AA259">
        <v>99503.2</v>
      </c>
      <c r="AB259">
        <v>0</v>
      </c>
      <c r="AC259">
        <v>0</v>
      </c>
      <c r="AD259">
        <v>0</v>
      </c>
      <c r="AE259">
        <v>7185.82</v>
      </c>
      <c r="AF259">
        <v>0</v>
      </c>
      <c r="AG259">
        <v>0</v>
      </c>
      <c r="AH259">
        <v>0</v>
      </c>
      <c r="AI259">
        <v>13.47</v>
      </c>
      <c r="AJ259">
        <v>1</v>
      </c>
      <c r="AK259">
        <v>1</v>
      </c>
      <c r="AL259">
        <v>1</v>
      </c>
      <c r="AM259">
        <v>2</v>
      </c>
      <c r="AN259">
        <v>0</v>
      </c>
      <c r="AO259">
        <v>1</v>
      </c>
      <c r="AP259">
        <v>1</v>
      </c>
      <c r="AQ259">
        <v>0</v>
      </c>
      <c r="AR259">
        <v>0</v>
      </c>
      <c r="AS259" t="s">
        <v>3</v>
      </c>
      <c r="AT259">
        <v>1.6800000000000001E-3</v>
      </c>
      <c r="AU259" t="s">
        <v>35</v>
      </c>
      <c r="AV259">
        <v>0</v>
      </c>
      <c r="AW259">
        <v>2</v>
      </c>
      <c r="AX259">
        <v>85739735</v>
      </c>
      <c r="AY259">
        <v>1</v>
      </c>
      <c r="AZ259">
        <v>0</v>
      </c>
      <c r="BA259">
        <v>281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ROUND(Y259*Source!I99,9)</f>
        <v>2.52E-4</v>
      </c>
      <c r="CY259">
        <f t="shared" si="108"/>
        <v>99503.2</v>
      </c>
      <c r="CZ259">
        <f t="shared" si="109"/>
        <v>7185.82</v>
      </c>
      <c r="DA259">
        <f t="shared" si="110"/>
        <v>13.47</v>
      </c>
      <c r="DB259">
        <f t="shared" si="111"/>
        <v>12.07</v>
      </c>
      <c r="DC259">
        <f t="shared" si="112"/>
        <v>0</v>
      </c>
      <c r="DD259" t="s">
        <v>3</v>
      </c>
      <c r="DE259" t="s">
        <v>3</v>
      </c>
      <c r="DF259">
        <f t="shared" si="113"/>
        <v>24.39</v>
      </c>
      <c r="DG259">
        <f t="shared" si="114"/>
        <v>0</v>
      </c>
      <c r="DH259">
        <f t="shared" si="105"/>
        <v>0</v>
      </c>
      <c r="DI259">
        <f t="shared" si="106"/>
        <v>0</v>
      </c>
      <c r="DJ259">
        <f t="shared" si="115"/>
        <v>24.39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">
      <c r="A260">
        <f>ROW(Source!A99)</f>
        <v>99</v>
      </c>
      <c r="B260">
        <v>85739207</v>
      </c>
      <c r="C260">
        <v>85739726</v>
      </c>
      <c r="D260">
        <v>85200098</v>
      </c>
      <c r="E260">
        <v>1</v>
      </c>
      <c r="F260">
        <v>1</v>
      </c>
      <c r="G260">
        <v>1081</v>
      </c>
      <c r="H260">
        <v>3</v>
      </c>
      <c r="I260" t="s">
        <v>540</v>
      </c>
      <c r="J260" t="s">
        <v>541</v>
      </c>
      <c r="K260" t="s">
        <v>542</v>
      </c>
      <c r="L260">
        <v>1346</v>
      </c>
      <c r="N260">
        <v>1009</v>
      </c>
      <c r="O260" t="s">
        <v>502</v>
      </c>
      <c r="P260" t="s">
        <v>502</v>
      </c>
      <c r="Q260">
        <v>1</v>
      </c>
      <c r="W260">
        <v>0</v>
      </c>
      <c r="X260">
        <v>732400950</v>
      </c>
      <c r="Y260">
        <f t="shared" si="107"/>
        <v>0.81</v>
      </c>
      <c r="AA260">
        <v>94.12</v>
      </c>
      <c r="AB260">
        <v>0</v>
      </c>
      <c r="AC260">
        <v>0</v>
      </c>
      <c r="AD260">
        <v>0</v>
      </c>
      <c r="AE260">
        <v>21</v>
      </c>
      <c r="AF260">
        <v>0</v>
      </c>
      <c r="AG260">
        <v>0</v>
      </c>
      <c r="AH260">
        <v>0</v>
      </c>
      <c r="AI260">
        <v>4.3600000000000003</v>
      </c>
      <c r="AJ260">
        <v>1</v>
      </c>
      <c r="AK260">
        <v>1</v>
      </c>
      <c r="AL260">
        <v>1</v>
      </c>
      <c r="AM260">
        <v>2</v>
      </c>
      <c r="AN260">
        <v>0</v>
      </c>
      <c r="AO260">
        <v>1</v>
      </c>
      <c r="AP260">
        <v>1</v>
      </c>
      <c r="AQ260">
        <v>0</v>
      </c>
      <c r="AR260">
        <v>0</v>
      </c>
      <c r="AS260" t="s">
        <v>3</v>
      </c>
      <c r="AT260">
        <v>0.81</v>
      </c>
      <c r="AU260" t="s">
        <v>35</v>
      </c>
      <c r="AV260">
        <v>0</v>
      </c>
      <c r="AW260">
        <v>2</v>
      </c>
      <c r="AX260">
        <v>85739736</v>
      </c>
      <c r="AY260">
        <v>1</v>
      </c>
      <c r="AZ260">
        <v>0</v>
      </c>
      <c r="BA260">
        <v>282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ROUND(Y260*Source!I99,9)</f>
        <v>0.1215</v>
      </c>
      <c r="CY260">
        <f t="shared" si="108"/>
        <v>94.12</v>
      </c>
      <c r="CZ260">
        <f t="shared" si="109"/>
        <v>21</v>
      </c>
      <c r="DA260">
        <f t="shared" si="110"/>
        <v>4.3600000000000003</v>
      </c>
      <c r="DB260">
        <f t="shared" si="111"/>
        <v>17.010000000000002</v>
      </c>
      <c r="DC260">
        <f t="shared" si="112"/>
        <v>0</v>
      </c>
      <c r="DD260" t="s">
        <v>3</v>
      </c>
      <c r="DE260" t="s">
        <v>3</v>
      </c>
      <c r="DF260">
        <f t="shared" si="113"/>
        <v>11.12</v>
      </c>
      <c r="DG260">
        <f t="shared" si="114"/>
        <v>0</v>
      </c>
      <c r="DH260">
        <f t="shared" si="105"/>
        <v>0</v>
      </c>
      <c r="DI260">
        <f t="shared" si="106"/>
        <v>0</v>
      </c>
      <c r="DJ260">
        <f t="shared" si="115"/>
        <v>11.12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">
      <c r="A261">
        <f>ROW(Source!A99)</f>
        <v>99</v>
      </c>
      <c r="B261">
        <v>85739207</v>
      </c>
      <c r="C261">
        <v>85739726</v>
      </c>
      <c r="D261">
        <v>85200296</v>
      </c>
      <c r="E261">
        <v>1</v>
      </c>
      <c r="F261">
        <v>1</v>
      </c>
      <c r="G261">
        <v>1081</v>
      </c>
      <c r="H261">
        <v>3</v>
      </c>
      <c r="I261" t="s">
        <v>558</v>
      </c>
      <c r="J261" t="s">
        <v>559</v>
      </c>
      <c r="K261" t="s">
        <v>560</v>
      </c>
      <c r="L261">
        <v>1355</v>
      </c>
      <c r="N261">
        <v>1010</v>
      </c>
      <c r="O261" t="s">
        <v>240</v>
      </c>
      <c r="P261" t="s">
        <v>240</v>
      </c>
      <c r="Q261">
        <v>100</v>
      </c>
      <c r="W261">
        <v>0</v>
      </c>
      <c r="X261">
        <v>1567739421</v>
      </c>
      <c r="Y261">
        <f t="shared" si="107"/>
        <v>0.72</v>
      </c>
      <c r="AA261">
        <v>480.06</v>
      </c>
      <c r="AB261">
        <v>0</v>
      </c>
      <c r="AC261">
        <v>0</v>
      </c>
      <c r="AD261">
        <v>0</v>
      </c>
      <c r="AE261">
        <v>496.79</v>
      </c>
      <c r="AF261">
        <v>0</v>
      </c>
      <c r="AG261">
        <v>0</v>
      </c>
      <c r="AH261">
        <v>0</v>
      </c>
      <c r="AI261">
        <v>0.94</v>
      </c>
      <c r="AJ261">
        <v>1</v>
      </c>
      <c r="AK261">
        <v>1</v>
      </c>
      <c r="AL261">
        <v>1</v>
      </c>
      <c r="AM261">
        <v>2</v>
      </c>
      <c r="AN261">
        <v>0</v>
      </c>
      <c r="AO261">
        <v>1</v>
      </c>
      <c r="AP261">
        <v>1</v>
      </c>
      <c r="AQ261">
        <v>0</v>
      </c>
      <c r="AR261">
        <v>0</v>
      </c>
      <c r="AS261" t="s">
        <v>3</v>
      </c>
      <c r="AT261">
        <v>0.72</v>
      </c>
      <c r="AU261" t="s">
        <v>35</v>
      </c>
      <c r="AV261">
        <v>0</v>
      </c>
      <c r="AW261">
        <v>2</v>
      </c>
      <c r="AX261">
        <v>85739737</v>
      </c>
      <c r="AY261">
        <v>1</v>
      </c>
      <c r="AZ261">
        <v>0</v>
      </c>
      <c r="BA261">
        <v>283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ROUND(Y261*Source!I99,9)</f>
        <v>0.108</v>
      </c>
      <c r="CY261">
        <f t="shared" si="108"/>
        <v>480.06</v>
      </c>
      <c r="CZ261">
        <f t="shared" si="109"/>
        <v>496.79</v>
      </c>
      <c r="DA261">
        <f t="shared" si="110"/>
        <v>0.94</v>
      </c>
      <c r="DB261">
        <f t="shared" si="111"/>
        <v>357.69</v>
      </c>
      <c r="DC261">
        <f t="shared" si="112"/>
        <v>0</v>
      </c>
      <c r="DD261" t="s">
        <v>3</v>
      </c>
      <c r="DE261" t="s">
        <v>3</v>
      </c>
      <c r="DF261">
        <f t="shared" si="113"/>
        <v>50.43</v>
      </c>
      <c r="DG261">
        <f t="shared" si="114"/>
        <v>0</v>
      </c>
      <c r="DH261">
        <f t="shared" si="105"/>
        <v>0</v>
      </c>
      <c r="DI261">
        <f t="shared" si="106"/>
        <v>0</v>
      </c>
      <c r="DJ261">
        <f t="shared" si="115"/>
        <v>50.43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">
      <c r="A262">
        <f>ROW(Source!A99)</f>
        <v>99</v>
      </c>
      <c r="B262">
        <v>85739207</v>
      </c>
      <c r="C262">
        <v>85739726</v>
      </c>
      <c r="D262">
        <v>85200297</v>
      </c>
      <c r="E262">
        <v>1</v>
      </c>
      <c r="F262">
        <v>1</v>
      </c>
      <c r="G262">
        <v>1081</v>
      </c>
      <c r="H262">
        <v>3</v>
      </c>
      <c r="I262" t="s">
        <v>561</v>
      </c>
      <c r="J262" t="s">
        <v>562</v>
      </c>
      <c r="K262" t="s">
        <v>563</v>
      </c>
      <c r="L262">
        <v>1355</v>
      </c>
      <c r="N262">
        <v>1010</v>
      </c>
      <c r="O262" t="s">
        <v>240</v>
      </c>
      <c r="P262" t="s">
        <v>240</v>
      </c>
      <c r="Q262">
        <v>100</v>
      </c>
      <c r="W262">
        <v>0</v>
      </c>
      <c r="X262">
        <v>-96727844</v>
      </c>
      <c r="Y262">
        <f t="shared" si="107"/>
        <v>0.72</v>
      </c>
      <c r="AA262">
        <v>578.83000000000004</v>
      </c>
      <c r="AB262">
        <v>0</v>
      </c>
      <c r="AC262">
        <v>0</v>
      </c>
      <c r="AD262">
        <v>0</v>
      </c>
      <c r="AE262">
        <v>243.75</v>
      </c>
      <c r="AF262">
        <v>0</v>
      </c>
      <c r="AG262">
        <v>0</v>
      </c>
      <c r="AH262">
        <v>0</v>
      </c>
      <c r="AI262">
        <v>2.31</v>
      </c>
      <c r="AJ262">
        <v>1</v>
      </c>
      <c r="AK262">
        <v>1</v>
      </c>
      <c r="AL262">
        <v>1</v>
      </c>
      <c r="AM262">
        <v>2</v>
      </c>
      <c r="AN262">
        <v>0</v>
      </c>
      <c r="AO262">
        <v>1</v>
      </c>
      <c r="AP262">
        <v>1</v>
      </c>
      <c r="AQ262">
        <v>0</v>
      </c>
      <c r="AR262">
        <v>0</v>
      </c>
      <c r="AS262" t="s">
        <v>3</v>
      </c>
      <c r="AT262">
        <v>0.72</v>
      </c>
      <c r="AU262" t="s">
        <v>35</v>
      </c>
      <c r="AV262">
        <v>0</v>
      </c>
      <c r="AW262">
        <v>2</v>
      </c>
      <c r="AX262">
        <v>85739738</v>
      </c>
      <c r="AY262">
        <v>1</v>
      </c>
      <c r="AZ262">
        <v>0</v>
      </c>
      <c r="BA262">
        <v>284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ROUND(Y262*Source!I99,9)</f>
        <v>0.108</v>
      </c>
      <c r="CY262">
        <f t="shared" si="108"/>
        <v>578.83000000000004</v>
      </c>
      <c r="CZ262">
        <f t="shared" si="109"/>
        <v>243.75</v>
      </c>
      <c r="DA262">
        <f t="shared" si="110"/>
        <v>2.31</v>
      </c>
      <c r="DB262">
        <f t="shared" si="111"/>
        <v>175.5</v>
      </c>
      <c r="DC262">
        <f t="shared" si="112"/>
        <v>0</v>
      </c>
      <c r="DD262" t="s">
        <v>3</v>
      </c>
      <c r="DE262" t="s">
        <v>3</v>
      </c>
      <c r="DF262">
        <f t="shared" si="113"/>
        <v>60.81</v>
      </c>
      <c r="DG262">
        <f t="shared" si="114"/>
        <v>0</v>
      </c>
      <c r="DH262">
        <f t="shared" si="105"/>
        <v>0</v>
      </c>
      <c r="DI262">
        <f t="shared" si="106"/>
        <v>0</v>
      </c>
      <c r="DJ262">
        <f t="shared" si="115"/>
        <v>60.81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">
      <c r="A263">
        <f>ROW(Source!A99)</f>
        <v>99</v>
      </c>
      <c r="B263">
        <v>85739207</v>
      </c>
      <c r="C263">
        <v>85739726</v>
      </c>
      <c r="D263">
        <v>85198892</v>
      </c>
      <c r="E263">
        <v>1</v>
      </c>
      <c r="F263">
        <v>1</v>
      </c>
      <c r="G263">
        <v>1081</v>
      </c>
      <c r="H263">
        <v>3</v>
      </c>
      <c r="I263" t="s">
        <v>543</v>
      </c>
      <c r="J263" t="s">
        <v>544</v>
      </c>
      <c r="K263" t="s">
        <v>545</v>
      </c>
      <c r="L263">
        <v>1339</v>
      </c>
      <c r="N263">
        <v>1007</v>
      </c>
      <c r="O263" t="s">
        <v>506</v>
      </c>
      <c r="P263" t="s">
        <v>506</v>
      </c>
      <c r="Q263">
        <v>1</v>
      </c>
      <c r="W263">
        <v>0</v>
      </c>
      <c r="X263">
        <v>-676034668</v>
      </c>
      <c r="Y263">
        <f t="shared" si="107"/>
        <v>0.54</v>
      </c>
      <c r="AA263">
        <v>781.45</v>
      </c>
      <c r="AB263">
        <v>0</v>
      </c>
      <c r="AC263">
        <v>0</v>
      </c>
      <c r="AD263">
        <v>0</v>
      </c>
      <c r="AE263">
        <v>53.42</v>
      </c>
      <c r="AF263">
        <v>0</v>
      </c>
      <c r="AG263">
        <v>0</v>
      </c>
      <c r="AH263">
        <v>0</v>
      </c>
      <c r="AI263">
        <v>14.23</v>
      </c>
      <c r="AJ263">
        <v>1</v>
      </c>
      <c r="AK263">
        <v>1</v>
      </c>
      <c r="AL263">
        <v>1</v>
      </c>
      <c r="AM263">
        <v>2</v>
      </c>
      <c r="AN263">
        <v>0</v>
      </c>
      <c r="AO263">
        <v>1</v>
      </c>
      <c r="AP263">
        <v>1</v>
      </c>
      <c r="AQ263">
        <v>0</v>
      </c>
      <c r="AR263">
        <v>0</v>
      </c>
      <c r="AS263" t="s">
        <v>3</v>
      </c>
      <c r="AT263">
        <v>0.54</v>
      </c>
      <c r="AU263" t="s">
        <v>35</v>
      </c>
      <c r="AV263">
        <v>0</v>
      </c>
      <c r="AW263">
        <v>2</v>
      </c>
      <c r="AX263">
        <v>85739739</v>
      </c>
      <c r="AY263">
        <v>1</v>
      </c>
      <c r="AZ263">
        <v>0</v>
      </c>
      <c r="BA263">
        <v>285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v>0</v>
      </c>
      <c r="CX263">
        <f>ROUND(Y263*Source!I99,9)</f>
        <v>8.1000000000000003E-2</v>
      </c>
      <c r="CY263">
        <f t="shared" si="108"/>
        <v>781.45</v>
      </c>
      <c r="CZ263">
        <f t="shared" si="109"/>
        <v>53.42</v>
      </c>
      <c r="DA263">
        <f t="shared" si="110"/>
        <v>14.23</v>
      </c>
      <c r="DB263">
        <f t="shared" si="111"/>
        <v>28.85</v>
      </c>
      <c r="DC263">
        <f t="shared" si="112"/>
        <v>0</v>
      </c>
      <c r="DD263" t="s">
        <v>3</v>
      </c>
      <c r="DE263" t="s">
        <v>3</v>
      </c>
      <c r="DF263">
        <f t="shared" si="113"/>
        <v>61.57</v>
      </c>
      <c r="DG263">
        <f t="shared" si="114"/>
        <v>0</v>
      </c>
      <c r="DH263">
        <f t="shared" si="105"/>
        <v>0</v>
      </c>
      <c r="DI263">
        <f t="shared" si="106"/>
        <v>0</v>
      </c>
      <c r="DJ263">
        <f t="shared" si="115"/>
        <v>61.57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">
      <c r="A264">
        <f>ROW(Source!A99)</f>
        <v>99</v>
      </c>
      <c r="B264">
        <v>85739207</v>
      </c>
      <c r="C264">
        <v>85739726</v>
      </c>
      <c r="D264">
        <v>85199158</v>
      </c>
      <c r="E264">
        <v>1</v>
      </c>
      <c r="F264">
        <v>1</v>
      </c>
      <c r="G264">
        <v>1081</v>
      </c>
      <c r="H264">
        <v>3</v>
      </c>
      <c r="I264" t="s">
        <v>503</v>
      </c>
      <c r="J264" t="s">
        <v>504</v>
      </c>
      <c r="K264" t="s">
        <v>505</v>
      </c>
      <c r="L264">
        <v>1339</v>
      </c>
      <c r="N264">
        <v>1007</v>
      </c>
      <c r="O264" t="s">
        <v>506</v>
      </c>
      <c r="P264" t="s">
        <v>506</v>
      </c>
      <c r="Q264">
        <v>1</v>
      </c>
      <c r="W264">
        <v>0</v>
      </c>
      <c r="X264">
        <v>-1235260082</v>
      </c>
      <c r="Y264">
        <f t="shared" si="107"/>
        <v>0.81</v>
      </c>
      <c r="AA264">
        <v>104.16</v>
      </c>
      <c r="AB264">
        <v>0</v>
      </c>
      <c r="AC264">
        <v>0</v>
      </c>
      <c r="AD264">
        <v>0</v>
      </c>
      <c r="AE264">
        <v>5.82</v>
      </c>
      <c r="AF264">
        <v>0</v>
      </c>
      <c r="AG264">
        <v>0</v>
      </c>
      <c r="AH264">
        <v>0</v>
      </c>
      <c r="AI264">
        <v>17.41</v>
      </c>
      <c r="AJ264">
        <v>1</v>
      </c>
      <c r="AK264">
        <v>1</v>
      </c>
      <c r="AL264">
        <v>1</v>
      </c>
      <c r="AM264">
        <v>2</v>
      </c>
      <c r="AN264">
        <v>0</v>
      </c>
      <c r="AO264">
        <v>1</v>
      </c>
      <c r="AP264">
        <v>1</v>
      </c>
      <c r="AQ264">
        <v>0</v>
      </c>
      <c r="AR264">
        <v>0</v>
      </c>
      <c r="AS264" t="s">
        <v>3</v>
      </c>
      <c r="AT264">
        <v>0.81</v>
      </c>
      <c r="AU264" t="s">
        <v>35</v>
      </c>
      <c r="AV264">
        <v>0</v>
      </c>
      <c r="AW264">
        <v>2</v>
      </c>
      <c r="AX264">
        <v>85739740</v>
      </c>
      <c r="AY264">
        <v>1</v>
      </c>
      <c r="AZ264">
        <v>0</v>
      </c>
      <c r="BA264">
        <v>286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v>0</v>
      </c>
      <c r="CX264">
        <f>ROUND(Y264*Source!I99,9)</f>
        <v>0.1215</v>
      </c>
      <c r="CY264">
        <f t="shared" si="108"/>
        <v>104.16</v>
      </c>
      <c r="CZ264">
        <f t="shared" si="109"/>
        <v>5.82</v>
      </c>
      <c r="DA264">
        <f t="shared" si="110"/>
        <v>17.41</v>
      </c>
      <c r="DB264">
        <f t="shared" si="111"/>
        <v>4.71</v>
      </c>
      <c r="DC264">
        <f t="shared" si="112"/>
        <v>0</v>
      </c>
      <c r="DD264" t="s">
        <v>3</v>
      </c>
      <c r="DE264" t="s">
        <v>3</v>
      </c>
      <c r="DF264">
        <f t="shared" si="113"/>
        <v>12.31</v>
      </c>
      <c r="DG264">
        <f t="shared" si="114"/>
        <v>0</v>
      </c>
      <c r="DH264">
        <f t="shared" si="105"/>
        <v>0</v>
      </c>
      <c r="DI264">
        <f t="shared" si="106"/>
        <v>0</v>
      </c>
      <c r="DJ264">
        <f t="shared" si="115"/>
        <v>12.31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">
      <c r="A265">
        <f>ROW(Source!A99)</f>
        <v>99</v>
      </c>
      <c r="B265">
        <v>85739207</v>
      </c>
      <c r="C265">
        <v>85739726</v>
      </c>
      <c r="D265">
        <v>85211461</v>
      </c>
      <c r="E265">
        <v>1</v>
      </c>
      <c r="F265">
        <v>1</v>
      </c>
      <c r="G265">
        <v>1081</v>
      </c>
      <c r="H265">
        <v>3</v>
      </c>
      <c r="I265" t="s">
        <v>198</v>
      </c>
      <c r="J265" t="s">
        <v>200</v>
      </c>
      <c r="K265" t="s">
        <v>199</v>
      </c>
      <c r="L265">
        <v>1301</v>
      </c>
      <c r="N265">
        <v>1003</v>
      </c>
      <c r="O265" t="s">
        <v>179</v>
      </c>
      <c r="P265" t="s">
        <v>179</v>
      </c>
      <c r="Q265">
        <v>1</v>
      </c>
      <c r="W265">
        <v>0</v>
      </c>
      <c r="X265">
        <v>598797739</v>
      </c>
      <c r="Y265">
        <f t="shared" si="107"/>
        <v>100.5</v>
      </c>
      <c r="AA265">
        <v>1001.21</v>
      </c>
      <c r="AB265">
        <v>0</v>
      </c>
      <c r="AC265">
        <v>0</v>
      </c>
      <c r="AD265">
        <v>0</v>
      </c>
      <c r="AE265">
        <v>76.08</v>
      </c>
      <c r="AF265">
        <v>0</v>
      </c>
      <c r="AG265">
        <v>0</v>
      </c>
      <c r="AH265">
        <v>0</v>
      </c>
      <c r="AI265">
        <v>13.16</v>
      </c>
      <c r="AJ265">
        <v>1</v>
      </c>
      <c r="AK265">
        <v>1</v>
      </c>
      <c r="AL265">
        <v>1</v>
      </c>
      <c r="AM265">
        <v>0</v>
      </c>
      <c r="AN265">
        <v>0</v>
      </c>
      <c r="AO265">
        <v>0</v>
      </c>
      <c r="AP265">
        <v>1</v>
      </c>
      <c r="AQ265">
        <v>0</v>
      </c>
      <c r="AR265">
        <v>0</v>
      </c>
      <c r="AS265" t="s">
        <v>3</v>
      </c>
      <c r="AT265">
        <v>100.5</v>
      </c>
      <c r="AU265" t="s">
        <v>35</v>
      </c>
      <c r="AV265">
        <v>0</v>
      </c>
      <c r="AW265">
        <v>1</v>
      </c>
      <c r="AX265">
        <v>-1</v>
      </c>
      <c r="AY265">
        <v>0</v>
      </c>
      <c r="AZ265">
        <v>0</v>
      </c>
      <c r="BA265" t="s">
        <v>3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V265">
        <v>0</v>
      </c>
      <c r="CW265">
        <v>0</v>
      </c>
      <c r="CX265">
        <f>ROUND(Y265*Source!I99,9)</f>
        <v>15.074999999999999</v>
      </c>
      <c r="CY265">
        <f t="shared" si="108"/>
        <v>1001.21</v>
      </c>
      <c r="CZ265">
        <f t="shared" si="109"/>
        <v>76.08</v>
      </c>
      <c r="DA265">
        <f t="shared" si="110"/>
        <v>13.16</v>
      </c>
      <c r="DB265">
        <f t="shared" si="111"/>
        <v>7646.04</v>
      </c>
      <c r="DC265">
        <f t="shared" si="112"/>
        <v>0</v>
      </c>
      <c r="DD265" t="s">
        <v>3</v>
      </c>
      <c r="DE265" t="s">
        <v>3</v>
      </c>
      <c r="DF265">
        <f t="shared" si="113"/>
        <v>15093.24</v>
      </c>
      <c r="DG265">
        <f t="shared" si="114"/>
        <v>0</v>
      </c>
      <c r="DH265">
        <f t="shared" si="105"/>
        <v>0</v>
      </c>
      <c r="DI265">
        <f t="shared" si="106"/>
        <v>0</v>
      </c>
      <c r="DJ265">
        <f t="shared" si="115"/>
        <v>15093.24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">
      <c r="A266">
        <f>ROW(Source!A99)</f>
        <v>99</v>
      </c>
      <c r="B266">
        <v>85739207</v>
      </c>
      <c r="C266">
        <v>85739726</v>
      </c>
      <c r="D266">
        <v>85221547</v>
      </c>
      <c r="E266">
        <v>1</v>
      </c>
      <c r="F266">
        <v>1</v>
      </c>
      <c r="G266">
        <v>1081</v>
      </c>
      <c r="H266">
        <v>3</v>
      </c>
      <c r="I266" t="s">
        <v>564</v>
      </c>
      <c r="J266" t="s">
        <v>565</v>
      </c>
      <c r="K266" t="s">
        <v>566</v>
      </c>
      <c r="L266">
        <v>1354</v>
      </c>
      <c r="N266">
        <v>1010</v>
      </c>
      <c r="O266" t="s">
        <v>99</v>
      </c>
      <c r="P266" t="s">
        <v>99</v>
      </c>
      <c r="Q266">
        <v>1</v>
      </c>
      <c r="W266">
        <v>0</v>
      </c>
      <c r="X266">
        <v>483106430</v>
      </c>
      <c r="Y266">
        <f t="shared" si="107"/>
        <v>72</v>
      </c>
      <c r="AA266">
        <v>17.47</v>
      </c>
      <c r="AB266">
        <v>0</v>
      </c>
      <c r="AC266">
        <v>0</v>
      </c>
      <c r="AD266">
        <v>0</v>
      </c>
      <c r="AE266">
        <v>14.28</v>
      </c>
      <c r="AF266">
        <v>0</v>
      </c>
      <c r="AG266">
        <v>0</v>
      </c>
      <c r="AH266">
        <v>0</v>
      </c>
      <c r="AI266">
        <v>1.19</v>
      </c>
      <c r="AJ266">
        <v>1</v>
      </c>
      <c r="AK266">
        <v>1</v>
      </c>
      <c r="AL266">
        <v>1</v>
      </c>
      <c r="AM266">
        <v>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72</v>
      </c>
      <c r="AU266" t="s">
        <v>35</v>
      </c>
      <c r="AV266">
        <v>0</v>
      </c>
      <c r="AW266">
        <v>2</v>
      </c>
      <c r="AX266">
        <v>85739741</v>
      </c>
      <c r="AY266">
        <v>1</v>
      </c>
      <c r="AZ266">
        <v>0</v>
      </c>
      <c r="BA266">
        <v>287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v>0</v>
      </c>
      <c r="CX266">
        <f>ROUND(Y266*Source!I99,9)</f>
        <v>10.8</v>
      </c>
      <c r="CY266">
        <f t="shared" si="108"/>
        <v>17.47</v>
      </c>
      <c r="CZ266">
        <f t="shared" si="109"/>
        <v>14.28</v>
      </c>
      <c r="DA266">
        <f t="shared" si="110"/>
        <v>1.19</v>
      </c>
      <c r="DB266">
        <f t="shared" si="111"/>
        <v>1028.1600000000001</v>
      </c>
      <c r="DC266">
        <f t="shared" si="112"/>
        <v>0</v>
      </c>
      <c r="DD266" t="s">
        <v>3</v>
      </c>
      <c r="DE266" t="s">
        <v>3</v>
      </c>
      <c r="DF266">
        <f t="shared" si="113"/>
        <v>183.49</v>
      </c>
      <c r="DG266">
        <f t="shared" si="114"/>
        <v>0</v>
      </c>
      <c r="DH266">
        <f t="shared" si="105"/>
        <v>0</v>
      </c>
      <c r="DI266">
        <f t="shared" si="106"/>
        <v>0</v>
      </c>
      <c r="DJ266">
        <f t="shared" si="115"/>
        <v>183.49</v>
      </c>
      <c r="DK266">
        <v>0</v>
      </c>
      <c r="DL266" t="s">
        <v>3</v>
      </c>
      <c r="DM266">
        <v>0</v>
      </c>
      <c r="DN266" t="s">
        <v>3</v>
      </c>
      <c r="DO266">
        <v>0</v>
      </c>
    </row>
    <row r="267" spans="1:119" x14ac:dyDescent="0.2">
      <c r="A267">
        <f>ROW(Source!A102)</f>
        <v>102</v>
      </c>
      <c r="B267">
        <v>85739205</v>
      </c>
      <c r="C267">
        <v>85739937</v>
      </c>
      <c r="D267">
        <v>85164021</v>
      </c>
      <c r="E267">
        <v>1081</v>
      </c>
      <c r="F267">
        <v>1</v>
      </c>
      <c r="G267">
        <v>1081</v>
      </c>
      <c r="H267">
        <v>1</v>
      </c>
      <c r="I267" t="s">
        <v>472</v>
      </c>
      <c r="J267" t="s">
        <v>3</v>
      </c>
      <c r="K267" t="s">
        <v>473</v>
      </c>
      <c r="L267">
        <v>1191</v>
      </c>
      <c r="N267">
        <v>1013</v>
      </c>
      <c r="O267" t="s">
        <v>474</v>
      </c>
      <c r="P267" t="s">
        <v>474</v>
      </c>
      <c r="Q267">
        <v>1</v>
      </c>
      <c r="W267">
        <v>0</v>
      </c>
      <c r="X267">
        <v>476480486</v>
      </c>
      <c r="Y267">
        <f t="shared" ref="Y267:Y298" si="116">AT267</f>
        <v>1730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-2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1730</v>
      </c>
      <c r="AU267" t="s">
        <v>3</v>
      </c>
      <c r="AV267">
        <v>1</v>
      </c>
      <c r="AW267">
        <v>2</v>
      </c>
      <c r="AX267">
        <v>85739940</v>
      </c>
      <c r="AY267">
        <v>1</v>
      </c>
      <c r="AZ267">
        <v>0</v>
      </c>
      <c r="BA267">
        <v>289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U267">
        <f>ROUND(AT267*Source!I102*AH267*AL267,2)</f>
        <v>0</v>
      </c>
      <c r="CV267">
        <f>ROUND(Y267*Source!I102,9)</f>
        <v>51.9</v>
      </c>
      <c r="CW267">
        <v>0</v>
      </c>
      <c r="CX267">
        <f>ROUND(Y267*Source!I102,9)</f>
        <v>51.9</v>
      </c>
      <c r="CY267">
        <f>AD267</f>
        <v>0</v>
      </c>
      <c r="CZ267">
        <f>AH267</f>
        <v>0</v>
      </c>
      <c r="DA267">
        <f>AL267</f>
        <v>1</v>
      </c>
      <c r="DB267">
        <f t="shared" ref="DB267:DB298" si="117">ROUND(ROUND(AT267*CZ267,2),6)</f>
        <v>0</v>
      </c>
      <c r="DC267">
        <f t="shared" ref="DC267:DC298" si="118">ROUND(ROUND(AT267*AG267,2),6)</f>
        <v>0</v>
      </c>
      <c r="DD267" t="s">
        <v>3</v>
      </c>
      <c r="DE267" t="s">
        <v>3</v>
      </c>
      <c r="DF267">
        <f t="shared" ref="DF267:DF288" si="119">ROUND(ROUND(AE267,2)*CX267,2)</f>
        <v>0</v>
      </c>
      <c r="DG267">
        <f t="shared" si="114"/>
        <v>0</v>
      </c>
      <c r="DH267">
        <f t="shared" si="105"/>
        <v>0</v>
      </c>
      <c r="DI267">
        <f t="shared" si="106"/>
        <v>0</v>
      </c>
      <c r="DJ267">
        <f>DI267</f>
        <v>0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">
      <c r="A268">
        <f>ROW(Source!A102)</f>
        <v>102</v>
      </c>
      <c r="B268">
        <v>85739205</v>
      </c>
      <c r="C268">
        <v>85739937</v>
      </c>
      <c r="D268">
        <v>85229527</v>
      </c>
      <c r="E268">
        <v>1</v>
      </c>
      <c r="F268">
        <v>1</v>
      </c>
      <c r="G268">
        <v>1081</v>
      </c>
      <c r="H268">
        <v>2</v>
      </c>
      <c r="I268" t="s">
        <v>546</v>
      </c>
      <c r="J268" t="s">
        <v>547</v>
      </c>
      <c r="K268" t="s">
        <v>548</v>
      </c>
      <c r="L268">
        <v>1368</v>
      </c>
      <c r="N268">
        <v>1011</v>
      </c>
      <c r="O268" t="s">
        <v>478</v>
      </c>
      <c r="P268" t="s">
        <v>478</v>
      </c>
      <c r="Q268">
        <v>1</v>
      </c>
      <c r="W268">
        <v>0</v>
      </c>
      <c r="X268">
        <v>-1222619517</v>
      </c>
      <c r="Y268">
        <f t="shared" si="116"/>
        <v>13.5</v>
      </c>
      <c r="AA268">
        <v>0</v>
      </c>
      <c r="AB268">
        <v>51.29</v>
      </c>
      <c r="AC268">
        <v>13.47</v>
      </c>
      <c r="AD268">
        <v>0</v>
      </c>
      <c r="AE268">
        <v>0</v>
      </c>
      <c r="AF268">
        <v>48.07</v>
      </c>
      <c r="AG268">
        <v>12.62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-2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13.5</v>
      </c>
      <c r="AU268" t="s">
        <v>3</v>
      </c>
      <c r="AV268">
        <v>0</v>
      </c>
      <c r="AW268">
        <v>2</v>
      </c>
      <c r="AX268">
        <v>85739941</v>
      </c>
      <c r="AY268">
        <v>1</v>
      </c>
      <c r="AZ268">
        <v>0</v>
      </c>
      <c r="BA268">
        <v>290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f>ROUND(Y268*Source!I102*DO268,9)</f>
        <v>5.1111000000000004</v>
      </c>
      <c r="CX268">
        <f>ROUND(Y268*Source!I102,9)</f>
        <v>0.40500000000000003</v>
      </c>
      <c r="CY268">
        <f>AB268</f>
        <v>51.29</v>
      </c>
      <c r="CZ268">
        <f>AF268</f>
        <v>48.07</v>
      </c>
      <c r="DA268">
        <f>AJ268</f>
        <v>1</v>
      </c>
      <c r="DB268">
        <f t="shared" si="117"/>
        <v>648.95000000000005</v>
      </c>
      <c r="DC268">
        <f t="shared" si="118"/>
        <v>170.37</v>
      </c>
      <c r="DD268" t="s">
        <v>3</v>
      </c>
      <c r="DE268" t="s">
        <v>3</v>
      </c>
      <c r="DF268">
        <f t="shared" si="119"/>
        <v>0</v>
      </c>
      <c r="DG268">
        <f t="shared" si="114"/>
        <v>19.47</v>
      </c>
      <c r="DH268">
        <f t="shared" si="105"/>
        <v>5.1100000000000003</v>
      </c>
      <c r="DI268">
        <f t="shared" si="106"/>
        <v>0</v>
      </c>
      <c r="DJ268">
        <f>DG268</f>
        <v>19.47</v>
      </c>
      <c r="DK268">
        <v>0</v>
      </c>
      <c r="DL268" t="s">
        <v>485</v>
      </c>
      <c r="DM268">
        <v>0</v>
      </c>
      <c r="DN268" t="s">
        <v>474</v>
      </c>
      <c r="DO268">
        <v>12.62</v>
      </c>
    </row>
    <row r="269" spans="1:119" x14ac:dyDescent="0.2">
      <c r="A269">
        <f>ROW(Source!A102)</f>
        <v>102</v>
      </c>
      <c r="B269">
        <v>85739205</v>
      </c>
      <c r="C269">
        <v>85739937</v>
      </c>
      <c r="D269">
        <v>85229564</v>
      </c>
      <c r="E269">
        <v>1</v>
      </c>
      <c r="F269">
        <v>1</v>
      </c>
      <c r="G269">
        <v>1081</v>
      </c>
      <c r="H269">
        <v>2</v>
      </c>
      <c r="I269" t="s">
        <v>549</v>
      </c>
      <c r="J269" t="s">
        <v>550</v>
      </c>
      <c r="K269" t="s">
        <v>551</v>
      </c>
      <c r="L269">
        <v>1368</v>
      </c>
      <c r="N269">
        <v>1011</v>
      </c>
      <c r="O269" t="s">
        <v>478</v>
      </c>
      <c r="P269" t="s">
        <v>478</v>
      </c>
      <c r="Q269">
        <v>1</v>
      </c>
      <c r="W269">
        <v>0</v>
      </c>
      <c r="X269">
        <v>210297649</v>
      </c>
      <c r="Y269">
        <f t="shared" si="116"/>
        <v>110</v>
      </c>
      <c r="AA269">
        <v>0</v>
      </c>
      <c r="AB269">
        <v>6.18</v>
      </c>
      <c r="AC269">
        <v>0</v>
      </c>
      <c r="AD269">
        <v>0</v>
      </c>
      <c r="AE269">
        <v>0</v>
      </c>
      <c r="AF269">
        <v>5.79</v>
      </c>
      <c r="AG269">
        <v>0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-2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110</v>
      </c>
      <c r="AU269" t="s">
        <v>3</v>
      </c>
      <c r="AV269">
        <v>0</v>
      </c>
      <c r="AW269">
        <v>2</v>
      </c>
      <c r="AX269">
        <v>85739942</v>
      </c>
      <c r="AY269">
        <v>1</v>
      </c>
      <c r="AZ269">
        <v>0</v>
      </c>
      <c r="BA269">
        <v>291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f>ROUND(Y269*Source!I102*DO269,9)</f>
        <v>0</v>
      </c>
      <c r="CX269">
        <f>ROUND(Y269*Source!I102,9)</f>
        <v>3.3</v>
      </c>
      <c r="CY269">
        <f>AB269</f>
        <v>6.18</v>
      </c>
      <c r="CZ269">
        <f>AF269</f>
        <v>5.79</v>
      </c>
      <c r="DA269">
        <f>AJ269</f>
        <v>1</v>
      </c>
      <c r="DB269">
        <f t="shared" si="117"/>
        <v>636.9</v>
      </c>
      <c r="DC269">
        <f t="shared" si="118"/>
        <v>0</v>
      </c>
      <c r="DD269" t="s">
        <v>3</v>
      </c>
      <c r="DE269" t="s">
        <v>3</v>
      </c>
      <c r="DF269">
        <f t="shared" si="119"/>
        <v>0</v>
      </c>
      <c r="DG269">
        <f t="shared" si="114"/>
        <v>19.11</v>
      </c>
      <c r="DH269">
        <f t="shared" si="105"/>
        <v>0</v>
      </c>
      <c r="DI269">
        <f t="shared" si="106"/>
        <v>0</v>
      </c>
      <c r="DJ269">
        <f>DG269</f>
        <v>19.11</v>
      </c>
      <c r="DK269">
        <v>0</v>
      </c>
      <c r="DL269" t="s">
        <v>3</v>
      </c>
      <c r="DM269">
        <v>0</v>
      </c>
      <c r="DN269" t="s">
        <v>3</v>
      </c>
      <c r="DO269">
        <v>0</v>
      </c>
    </row>
    <row r="270" spans="1:119" x14ac:dyDescent="0.2">
      <c r="A270">
        <f>ROW(Source!A102)</f>
        <v>102</v>
      </c>
      <c r="B270">
        <v>85739205</v>
      </c>
      <c r="C270">
        <v>85739937</v>
      </c>
      <c r="D270">
        <v>85229633</v>
      </c>
      <c r="E270">
        <v>1</v>
      </c>
      <c r="F270">
        <v>1</v>
      </c>
      <c r="G270">
        <v>1081</v>
      </c>
      <c r="H270">
        <v>2</v>
      </c>
      <c r="I270" t="s">
        <v>475</v>
      </c>
      <c r="J270" t="s">
        <v>476</v>
      </c>
      <c r="K270" t="s">
        <v>477</v>
      </c>
      <c r="L270">
        <v>1368</v>
      </c>
      <c r="N270">
        <v>1011</v>
      </c>
      <c r="O270" t="s">
        <v>478</v>
      </c>
      <c r="P270" t="s">
        <v>478</v>
      </c>
      <c r="Q270">
        <v>1</v>
      </c>
      <c r="W270">
        <v>0</v>
      </c>
      <c r="X270">
        <v>1498588441</v>
      </c>
      <c r="Y270">
        <f t="shared" si="116"/>
        <v>114</v>
      </c>
      <c r="AA270">
        <v>0</v>
      </c>
      <c r="AB270">
        <v>7.59</v>
      </c>
      <c r="AC270">
        <v>0</v>
      </c>
      <c r="AD270">
        <v>0</v>
      </c>
      <c r="AE270">
        <v>0</v>
      </c>
      <c r="AF270">
        <v>7.11</v>
      </c>
      <c r="AG270">
        <v>0</v>
      </c>
      <c r="AH270">
        <v>0</v>
      </c>
      <c r="AI270">
        <v>1</v>
      </c>
      <c r="AJ270">
        <v>1</v>
      </c>
      <c r="AK270">
        <v>1</v>
      </c>
      <c r="AL270">
        <v>1</v>
      </c>
      <c r="AM270">
        <v>-2</v>
      </c>
      <c r="AN270">
        <v>0</v>
      </c>
      <c r="AO270">
        <v>1</v>
      </c>
      <c r="AP270">
        <v>1</v>
      </c>
      <c r="AQ270">
        <v>0</v>
      </c>
      <c r="AR270">
        <v>0</v>
      </c>
      <c r="AS270" t="s">
        <v>3</v>
      </c>
      <c r="AT270">
        <v>114</v>
      </c>
      <c r="AU270" t="s">
        <v>3</v>
      </c>
      <c r="AV270">
        <v>0</v>
      </c>
      <c r="AW270">
        <v>2</v>
      </c>
      <c r="AX270">
        <v>85739943</v>
      </c>
      <c r="AY270">
        <v>1</v>
      </c>
      <c r="AZ270">
        <v>0</v>
      </c>
      <c r="BA270">
        <v>292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f>ROUND(Y270*Source!I102*DO270,9)</f>
        <v>0</v>
      </c>
      <c r="CX270">
        <f>ROUND(Y270*Source!I102,9)</f>
        <v>3.42</v>
      </c>
      <c r="CY270">
        <f>AB270</f>
        <v>7.59</v>
      </c>
      <c r="CZ270">
        <f>AF270</f>
        <v>7.11</v>
      </c>
      <c r="DA270">
        <f>AJ270</f>
        <v>1</v>
      </c>
      <c r="DB270">
        <f t="shared" si="117"/>
        <v>810.54</v>
      </c>
      <c r="DC270">
        <f t="shared" si="118"/>
        <v>0</v>
      </c>
      <c r="DD270" t="s">
        <v>3</v>
      </c>
      <c r="DE270" t="s">
        <v>3</v>
      </c>
      <c r="DF270">
        <f t="shared" si="119"/>
        <v>0</v>
      </c>
      <c r="DG270">
        <f t="shared" si="114"/>
        <v>24.32</v>
      </c>
      <c r="DH270">
        <f t="shared" si="105"/>
        <v>0</v>
      </c>
      <c r="DI270">
        <f t="shared" si="106"/>
        <v>0</v>
      </c>
      <c r="DJ270">
        <f>DG270</f>
        <v>24.32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">
      <c r="A271">
        <f>ROW(Source!A102)</f>
        <v>102</v>
      </c>
      <c r="B271">
        <v>85739205</v>
      </c>
      <c r="C271">
        <v>85739937</v>
      </c>
      <c r="D271">
        <v>85229932</v>
      </c>
      <c r="E271">
        <v>1</v>
      </c>
      <c r="F271">
        <v>1</v>
      </c>
      <c r="G271">
        <v>1081</v>
      </c>
      <c r="H271">
        <v>2</v>
      </c>
      <c r="I271" t="s">
        <v>482</v>
      </c>
      <c r="J271" t="s">
        <v>483</v>
      </c>
      <c r="K271" t="s">
        <v>484</v>
      </c>
      <c r="L271">
        <v>1368</v>
      </c>
      <c r="N271">
        <v>1011</v>
      </c>
      <c r="O271" t="s">
        <v>478</v>
      </c>
      <c r="P271" t="s">
        <v>478</v>
      </c>
      <c r="Q271">
        <v>1</v>
      </c>
      <c r="W271">
        <v>0</v>
      </c>
      <c r="X271">
        <v>874612079</v>
      </c>
      <c r="Y271">
        <f t="shared" si="116"/>
        <v>5.36</v>
      </c>
      <c r="AA271">
        <v>0</v>
      </c>
      <c r="AB271">
        <v>88.67</v>
      </c>
      <c r="AC271">
        <v>13.47</v>
      </c>
      <c r="AD271">
        <v>0</v>
      </c>
      <c r="AE271">
        <v>0</v>
      </c>
      <c r="AF271">
        <v>83.1</v>
      </c>
      <c r="AG271">
        <v>12.62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-2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5.36</v>
      </c>
      <c r="AU271" t="s">
        <v>3</v>
      </c>
      <c r="AV271">
        <v>0</v>
      </c>
      <c r="AW271">
        <v>2</v>
      </c>
      <c r="AX271">
        <v>85739944</v>
      </c>
      <c r="AY271">
        <v>1</v>
      </c>
      <c r="AZ271">
        <v>0</v>
      </c>
      <c r="BA271">
        <v>293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f>ROUND(Y271*Source!I102*DO271,9)</f>
        <v>2.029296</v>
      </c>
      <c r="CX271">
        <f>ROUND(Y271*Source!I102,9)</f>
        <v>0.1608</v>
      </c>
      <c r="CY271">
        <f>AB271</f>
        <v>88.67</v>
      </c>
      <c r="CZ271">
        <f>AF271</f>
        <v>83.1</v>
      </c>
      <c r="DA271">
        <f>AJ271</f>
        <v>1</v>
      </c>
      <c r="DB271">
        <f t="shared" si="117"/>
        <v>445.42</v>
      </c>
      <c r="DC271">
        <f t="shared" si="118"/>
        <v>67.64</v>
      </c>
      <c r="DD271" t="s">
        <v>3</v>
      </c>
      <c r="DE271" t="s">
        <v>3</v>
      </c>
      <c r="DF271">
        <f t="shared" si="119"/>
        <v>0</v>
      </c>
      <c r="DG271">
        <f t="shared" si="114"/>
        <v>13.36</v>
      </c>
      <c r="DH271">
        <f t="shared" si="105"/>
        <v>2.0299999999999998</v>
      </c>
      <c r="DI271">
        <f t="shared" si="106"/>
        <v>0</v>
      </c>
      <c r="DJ271">
        <f>DG271</f>
        <v>13.36</v>
      </c>
      <c r="DK271">
        <v>0</v>
      </c>
      <c r="DL271" t="s">
        <v>485</v>
      </c>
      <c r="DM271">
        <v>0</v>
      </c>
      <c r="DN271" t="s">
        <v>474</v>
      </c>
      <c r="DO271">
        <v>12.62</v>
      </c>
    </row>
    <row r="272" spans="1:119" x14ac:dyDescent="0.2">
      <c r="A272">
        <f>ROW(Source!A102)</f>
        <v>102</v>
      </c>
      <c r="B272">
        <v>85739205</v>
      </c>
      <c r="C272">
        <v>85739937</v>
      </c>
      <c r="D272">
        <v>85229250</v>
      </c>
      <c r="E272">
        <v>1</v>
      </c>
      <c r="F272">
        <v>1</v>
      </c>
      <c r="G272">
        <v>1081</v>
      </c>
      <c r="H272">
        <v>2</v>
      </c>
      <c r="I272" t="s">
        <v>552</v>
      </c>
      <c r="J272" t="s">
        <v>553</v>
      </c>
      <c r="K272" t="s">
        <v>554</v>
      </c>
      <c r="L272">
        <v>1368</v>
      </c>
      <c r="N272">
        <v>1011</v>
      </c>
      <c r="O272" t="s">
        <v>478</v>
      </c>
      <c r="P272" t="s">
        <v>478</v>
      </c>
      <c r="Q272">
        <v>1</v>
      </c>
      <c r="W272">
        <v>0</v>
      </c>
      <c r="X272">
        <v>-1755828087</v>
      </c>
      <c r="Y272">
        <f t="shared" si="116"/>
        <v>4</v>
      </c>
      <c r="AA272">
        <v>0</v>
      </c>
      <c r="AB272">
        <v>3.39</v>
      </c>
      <c r="AC272">
        <v>0</v>
      </c>
      <c r="AD272">
        <v>0</v>
      </c>
      <c r="AE272">
        <v>0</v>
      </c>
      <c r="AF272">
        <v>3.18</v>
      </c>
      <c r="AG272">
        <v>0</v>
      </c>
      <c r="AH272">
        <v>0</v>
      </c>
      <c r="AI272">
        <v>1</v>
      </c>
      <c r="AJ272">
        <v>1</v>
      </c>
      <c r="AK272">
        <v>1</v>
      </c>
      <c r="AL272">
        <v>1</v>
      </c>
      <c r="AM272">
        <v>-2</v>
      </c>
      <c r="AN272">
        <v>0</v>
      </c>
      <c r="AO272">
        <v>1</v>
      </c>
      <c r="AP272">
        <v>1</v>
      </c>
      <c r="AQ272">
        <v>0</v>
      </c>
      <c r="AR272">
        <v>0</v>
      </c>
      <c r="AS272" t="s">
        <v>3</v>
      </c>
      <c r="AT272">
        <v>4</v>
      </c>
      <c r="AU272" t="s">
        <v>3</v>
      </c>
      <c r="AV272">
        <v>0</v>
      </c>
      <c r="AW272">
        <v>2</v>
      </c>
      <c r="AX272">
        <v>85739945</v>
      </c>
      <c r="AY272">
        <v>1</v>
      </c>
      <c r="AZ272">
        <v>0</v>
      </c>
      <c r="BA272">
        <v>294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f>ROUND(Y272*Source!I102*DO272,9)</f>
        <v>0</v>
      </c>
      <c r="CX272">
        <f>ROUND(Y272*Source!I102,9)</f>
        <v>0.12</v>
      </c>
      <c r="CY272">
        <f>AB272</f>
        <v>3.39</v>
      </c>
      <c r="CZ272">
        <f>AF272</f>
        <v>3.18</v>
      </c>
      <c r="DA272">
        <f>AJ272</f>
        <v>1</v>
      </c>
      <c r="DB272">
        <f t="shared" si="117"/>
        <v>12.72</v>
      </c>
      <c r="DC272">
        <f t="shared" si="118"/>
        <v>0</v>
      </c>
      <c r="DD272" t="s">
        <v>3</v>
      </c>
      <c r="DE272" t="s">
        <v>3</v>
      </c>
      <c r="DF272">
        <f t="shared" si="119"/>
        <v>0</v>
      </c>
      <c r="DG272">
        <f t="shared" si="114"/>
        <v>0.38</v>
      </c>
      <c r="DH272">
        <f t="shared" si="105"/>
        <v>0</v>
      </c>
      <c r="DI272">
        <f t="shared" si="106"/>
        <v>0</v>
      </c>
      <c r="DJ272">
        <f>DG272</f>
        <v>0.38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">
      <c r="A273">
        <f>ROW(Source!A102)</f>
        <v>102</v>
      </c>
      <c r="B273">
        <v>85739205</v>
      </c>
      <c r="C273">
        <v>85739937</v>
      </c>
      <c r="D273">
        <v>85198960</v>
      </c>
      <c r="E273">
        <v>1</v>
      </c>
      <c r="F273">
        <v>1</v>
      </c>
      <c r="G273">
        <v>1081</v>
      </c>
      <c r="H273">
        <v>3</v>
      </c>
      <c r="I273" t="s">
        <v>513</v>
      </c>
      <c r="J273" t="s">
        <v>514</v>
      </c>
      <c r="K273" t="s">
        <v>515</v>
      </c>
      <c r="L273">
        <v>1339</v>
      </c>
      <c r="N273">
        <v>1007</v>
      </c>
      <c r="O273" t="s">
        <v>506</v>
      </c>
      <c r="P273" t="s">
        <v>506</v>
      </c>
      <c r="Q273">
        <v>1</v>
      </c>
      <c r="W273">
        <v>0</v>
      </c>
      <c r="X273">
        <v>-1622585150</v>
      </c>
      <c r="Y273">
        <f t="shared" si="116"/>
        <v>30</v>
      </c>
      <c r="AA273">
        <v>7.27</v>
      </c>
      <c r="AB273">
        <v>0</v>
      </c>
      <c r="AC273">
        <v>0</v>
      </c>
      <c r="AD273">
        <v>0</v>
      </c>
      <c r="AE273">
        <v>7.07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-2</v>
      </c>
      <c r="AN273">
        <v>0</v>
      </c>
      <c r="AO273">
        <v>1</v>
      </c>
      <c r="AP273">
        <v>1</v>
      </c>
      <c r="AQ273">
        <v>0</v>
      </c>
      <c r="AR273">
        <v>0</v>
      </c>
      <c r="AS273" t="s">
        <v>3</v>
      </c>
      <c r="AT273">
        <v>30</v>
      </c>
      <c r="AU273" t="s">
        <v>3</v>
      </c>
      <c r="AV273">
        <v>0</v>
      </c>
      <c r="AW273">
        <v>2</v>
      </c>
      <c r="AX273">
        <v>85739946</v>
      </c>
      <c r="AY273">
        <v>1</v>
      </c>
      <c r="AZ273">
        <v>0</v>
      </c>
      <c r="BA273">
        <v>295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v>0</v>
      </c>
      <c r="CX273">
        <f>ROUND(Y273*Source!I102,9)</f>
        <v>0.9</v>
      </c>
      <c r="CY273">
        <f t="shared" ref="CY273:CY282" si="120">AA273</f>
        <v>7.27</v>
      </c>
      <c r="CZ273">
        <f t="shared" ref="CZ273:CZ282" si="121">AE273</f>
        <v>7.07</v>
      </c>
      <c r="DA273">
        <f t="shared" ref="DA273:DA282" si="122">AI273</f>
        <v>1</v>
      </c>
      <c r="DB273">
        <f t="shared" si="117"/>
        <v>212.1</v>
      </c>
      <c r="DC273">
        <f t="shared" si="118"/>
        <v>0</v>
      </c>
      <c r="DD273" t="s">
        <v>3</v>
      </c>
      <c r="DE273" t="s">
        <v>3</v>
      </c>
      <c r="DF273">
        <f t="shared" si="119"/>
        <v>6.36</v>
      </c>
      <c r="DG273">
        <f t="shared" si="114"/>
        <v>0</v>
      </c>
      <c r="DH273">
        <f t="shared" si="105"/>
        <v>0</v>
      </c>
      <c r="DI273">
        <f t="shared" si="106"/>
        <v>0</v>
      </c>
      <c r="DJ273">
        <f t="shared" ref="DJ273:DJ282" si="123">DF273</f>
        <v>6.36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">
      <c r="A274">
        <f>ROW(Source!A102)</f>
        <v>102</v>
      </c>
      <c r="B274">
        <v>85739205</v>
      </c>
      <c r="C274">
        <v>85739937</v>
      </c>
      <c r="D274">
        <v>85200023</v>
      </c>
      <c r="E274">
        <v>1</v>
      </c>
      <c r="F274">
        <v>1</v>
      </c>
      <c r="G274">
        <v>1081</v>
      </c>
      <c r="H274">
        <v>3</v>
      </c>
      <c r="I274" t="s">
        <v>555</v>
      </c>
      <c r="J274" t="s">
        <v>556</v>
      </c>
      <c r="K274" t="s">
        <v>557</v>
      </c>
      <c r="L274">
        <v>1348</v>
      </c>
      <c r="N274">
        <v>1009</v>
      </c>
      <c r="O274" t="s">
        <v>266</v>
      </c>
      <c r="P274" t="s">
        <v>266</v>
      </c>
      <c r="Q274">
        <v>1000</v>
      </c>
      <c r="W274">
        <v>0</v>
      </c>
      <c r="X274">
        <v>63955816</v>
      </c>
      <c r="Y274">
        <f t="shared" si="116"/>
        <v>2.3599999999999999E-2</v>
      </c>
      <c r="AA274">
        <v>7387.02</v>
      </c>
      <c r="AB274">
        <v>0</v>
      </c>
      <c r="AC274">
        <v>0</v>
      </c>
      <c r="AD274">
        <v>0</v>
      </c>
      <c r="AE274">
        <v>7185.82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-2</v>
      </c>
      <c r="AN274">
        <v>0</v>
      </c>
      <c r="AO274">
        <v>1</v>
      </c>
      <c r="AP274">
        <v>1</v>
      </c>
      <c r="AQ274">
        <v>0</v>
      </c>
      <c r="AR274">
        <v>0</v>
      </c>
      <c r="AS274" t="s">
        <v>3</v>
      </c>
      <c r="AT274">
        <v>2.3599999999999999E-2</v>
      </c>
      <c r="AU274" t="s">
        <v>3</v>
      </c>
      <c r="AV274">
        <v>0</v>
      </c>
      <c r="AW274">
        <v>2</v>
      </c>
      <c r="AX274">
        <v>85739947</v>
      </c>
      <c r="AY274">
        <v>1</v>
      </c>
      <c r="AZ274">
        <v>0</v>
      </c>
      <c r="BA274">
        <v>296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ROUND(Y274*Source!I102,9)</f>
        <v>7.0799999999999997E-4</v>
      </c>
      <c r="CY274">
        <f t="shared" si="120"/>
        <v>7387.02</v>
      </c>
      <c r="CZ274">
        <f t="shared" si="121"/>
        <v>7185.82</v>
      </c>
      <c r="DA274">
        <f t="shared" si="122"/>
        <v>1</v>
      </c>
      <c r="DB274">
        <f t="shared" si="117"/>
        <v>169.59</v>
      </c>
      <c r="DC274">
        <f t="shared" si="118"/>
        <v>0</v>
      </c>
      <c r="DD274" t="s">
        <v>3</v>
      </c>
      <c r="DE274" t="s">
        <v>3</v>
      </c>
      <c r="DF274">
        <f t="shared" si="119"/>
        <v>5.09</v>
      </c>
      <c r="DG274">
        <f t="shared" si="114"/>
        <v>0</v>
      </c>
      <c r="DH274">
        <f t="shared" si="105"/>
        <v>0</v>
      </c>
      <c r="DI274">
        <f t="shared" si="106"/>
        <v>0</v>
      </c>
      <c r="DJ274">
        <f t="shared" si="123"/>
        <v>5.09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">
      <c r="A275">
        <f>ROW(Source!A102)</f>
        <v>102</v>
      </c>
      <c r="B275">
        <v>85739205</v>
      </c>
      <c r="C275">
        <v>85739937</v>
      </c>
      <c r="D275">
        <v>85200098</v>
      </c>
      <c r="E275">
        <v>1</v>
      </c>
      <c r="F275">
        <v>1</v>
      </c>
      <c r="G275">
        <v>1081</v>
      </c>
      <c r="H275">
        <v>3</v>
      </c>
      <c r="I275" t="s">
        <v>540</v>
      </c>
      <c r="J275" t="s">
        <v>541</v>
      </c>
      <c r="K275" t="s">
        <v>542</v>
      </c>
      <c r="L275">
        <v>1346</v>
      </c>
      <c r="N275">
        <v>1009</v>
      </c>
      <c r="O275" t="s">
        <v>502</v>
      </c>
      <c r="P275" t="s">
        <v>502</v>
      </c>
      <c r="Q275">
        <v>1</v>
      </c>
      <c r="W275">
        <v>0</v>
      </c>
      <c r="X275">
        <v>732400950</v>
      </c>
      <c r="Y275">
        <f t="shared" si="116"/>
        <v>11.6</v>
      </c>
      <c r="AA275">
        <v>21.59</v>
      </c>
      <c r="AB275">
        <v>0</v>
      </c>
      <c r="AC275">
        <v>0</v>
      </c>
      <c r="AD275">
        <v>0</v>
      </c>
      <c r="AE275">
        <v>21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-2</v>
      </c>
      <c r="AN275">
        <v>0</v>
      </c>
      <c r="AO275">
        <v>1</v>
      </c>
      <c r="AP275">
        <v>1</v>
      </c>
      <c r="AQ275">
        <v>0</v>
      </c>
      <c r="AR275">
        <v>0</v>
      </c>
      <c r="AS275" t="s">
        <v>3</v>
      </c>
      <c r="AT275">
        <v>11.6</v>
      </c>
      <c r="AU275" t="s">
        <v>3</v>
      </c>
      <c r="AV275">
        <v>0</v>
      </c>
      <c r="AW275">
        <v>2</v>
      </c>
      <c r="AX275">
        <v>85739948</v>
      </c>
      <c r="AY275">
        <v>1</v>
      </c>
      <c r="AZ275">
        <v>0</v>
      </c>
      <c r="BA275">
        <v>297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V275">
        <v>0</v>
      </c>
      <c r="CW275">
        <v>0</v>
      </c>
      <c r="CX275">
        <f>ROUND(Y275*Source!I102,9)</f>
        <v>0.34799999999999998</v>
      </c>
      <c r="CY275">
        <f t="shared" si="120"/>
        <v>21.59</v>
      </c>
      <c r="CZ275">
        <f t="shared" si="121"/>
        <v>21</v>
      </c>
      <c r="DA275">
        <f t="shared" si="122"/>
        <v>1</v>
      </c>
      <c r="DB275">
        <f t="shared" si="117"/>
        <v>243.6</v>
      </c>
      <c r="DC275">
        <f t="shared" si="118"/>
        <v>0</v>
      </c>
      <c r="DD275" t="s">
        <v>3</v>
      </c>
      <c r="DE275" t="s">
        <v>3</v>
      </c>
      <c r="DF275">
        <f t="shared" si="119"/>
        <v>7.31</v>
      </c>
      <c r="DG275">
        <f t="shared" si="114"/>
        <v>0</v>
      </c>
      <c r="DH275">
        <f t="shared" si="105"/>
        <v>0</v>
      </c>
      <c r="DI275">
        <f t="shared" si="106"/>
        <v>0</v>
      </c>
      <c r="DJ275">
        <f t="shared" si="123"/>
        <v>7.31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">
      <c r="A276">
        <f>ROW(Source!A102)</f>
        <v>102</v>
      </c>
      <c r="B276">
        <v>85739205</v>
      </c>
      <c r="C276">
        <v>85739937</v>
      </c>
      <c r="D276">
        <v>85200296</v>
      </c>
      <c r="E276">
        <v>1</v>
      </c>
      <c r="F276">
        <v>1</v>
      </c>
      <c r="G276">
        <v>1081</v>
      </c>
      <c r="H276">
        <v>3</v>
      </c>
      <c r="I276" t="s">
        <v>558</v>
      </c>
      <c r="J276" t="s">
        <v>559</v>
      </c>
      <c r="K276" t="s">
        <v>560</v>
      </c>
      <c r="L276">
        <v>1355</v>
      </c>
      <c r="N276">
        <v>1010</v>
      </c>
      <c r="O276" t="s">
        <v>240</v>
      </c>
      <c r="P276" t="s">
        <v>240</v>
      </c>
      <c r="Q276">
        <v>100</v>
      </c>
      <c r="W276">
        <v>0</v>
      </c>
      <c r="X276">
        <v>1567739421</v>
      </c>
      <c r="Y276">
        <f t="shared" si="116"/>
        <v>3.6</v>
      </c>
      <c r="AA276">
        <v>510.7</v>
      </c>
      <c r="AB276">
        <v>0</v>
      </c>
      <c r="AC276">
        <v>0</v>
      </c>
      <c r="AD276">
        <v>0</v>
      </c>
      <c r="AE276">
        <v>496.79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-2</v>
      </c>
      <c r="AN276">
        <v>0</v>
      </c>
      <c r="AO276">
        <v>1</v>
      </c>
      <c r="AP276">
        <v>1</v>
      </c>
      <c r="AQ276">
        <v>0</v>
      </c>
      <c r="AR276">
        <v>0</v>
      </c>
      <c r="AS276" t="s">
        <v>3</v>
      </c>
      <c r="AT276">
        <v>3.6</v>
      </c>
      <c r="AU276" t="s">
        <v>3</v>
      </c>
      <c r="AV276">
        <v>0</v>
      </c>
      <c r="AW276">
        <v>2</v>
      </c>
      <c r="AX276">
        <v>85739949</v>
      </c>
      <c r="AY276">
        <v>1</v>
      </c>
      <c r="AZ276">
        <v>0</v>
      </c>
      <c r="BA276">
        <v>298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ROUND(Y276*Source!I102,9)</f>
        <v>0.108</v>
      </c>
      <c r="CY276">
        <f t="shared" si="120"/>
        <v>510.7</v>
      </c>
      <c r="CZ276">
        <f t="shared" si="121"/>
        <v>496.79</v>
      </c>
      <c r="DA276">
        <f t="shared" si="122"/>
        <v>1</v>
      </c>
      <c r="DB276">
        <f t="shared" si="117"/>
        <v>1788.44</v>
      </c>
      <c r="DC276">
        <f t="shared" si="118"/>
        <v>0</v>
      </c>
      <c r="DD276" t="s">
        <v>3</v>
      </c>
      <c r="DE276" t="s">
        <v>3</v>
      </c>
      <c r="DF276">
        <f t="shared" si="119"/>
        <v>53.65</v>
      </c>
      <c r="DG276">
        <f t="shared" si="114"/>
        <v>0</v>
      </c>
      <c r="DH276">
        <f t="shared" si="105"/>
        <v>0</v>
      </c>
      <c r="DI276">
        <f t="shared" si="106"/>
        <v>0</v>
      </c>
      <c r="DJ276">
        <f t="shared" si="123"/>
        <v>53.65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">
      <c r="A277">
        <f>ROW(Source!A102)</f>
        <v>102</v>
      </c>
      <c r="B277">
        <v>85739205</v>
      </c>
      <c r="C277">
        <v>85739937</v>
      </c>
      <c r="D277">
        <v>85200297</v>
      </c>
      <c r="E277">
        <v>1</v>
      </c>
      <c r="F277">
        <v>1</v>
      </c>
      <c r="G277">
        <v>1081</v>
      </c>
      <c r="H277">
        <v>3</v>
      </c>
      <c r="I277" t="s">
        <v>561</v>
      </c>
      <c r="J277" t="s">
        <v>562</v>
      </c>
      <c r="K277" t="s">
        <v>563</v>
      </c>
      <c r="L277">
        <v>1355</v>
      </c>
      <c r="N277">
        <v>1010</v>
      </c>
      <c r="O277" t="s">
        <v>240</v>
      </c>
      <c r="P277" t="s">
        <v>240</v>
      </c>
      <c r="Q277">
        <v>100</v>
      </c>
      <c r="W277">
        <v>0</v>
      </c>
      <c r="X277">
        <v>-96727844</v>
      </c>
      <c r="Y277">
        <f t="shared" si="116"/>
        <v>3.6</v>
      </c>
      <c r="AA277">
        <v>250.58</v>
      </c>
      <c r="AB277">
        <v>0</v>
      </c>
      <c r="AC277">
        <v>0</v>
      </c>
      <c r="AD277">
        <v>0</v>
      </c>
      <c r="AE277">
        <v>243.75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-2</v>
      </c>
      <c r="AN277">
        <v>0</v>
      </c>
      <c r="AO277">
        <v>1</v>
      </c>
      <c r="AP277">
        <v>1</v>
      </c>
      <c r="AQ277">
        <v>0</v>
      </c>
      <c r="AR277">
        <v>0</v>
      </c>
      <c r="AS277" t="s">
        <v>3</v>
      </c>
      <c r="AT277">
        <v>3.6</v>
      </c>
      <c r="AU277" t="s">
        <v>3</v>
      </c>
      <c r="AV277">
        <v>0</v>
      </c>
      <c r="AW277">
        <v>2</v>
      </c>
      <c r="AX277">
        <v>85739950</v>
      </c>
      <c r="AY277">
        <v>1</v>
      </c>
      <c r="AZ277">
        <v>0</v>
      </c>
      <c r="BA277">
        <v>299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ROUND(Y277*Source!I102,9)</f>
        <v>0.108</v>
      </c>
      <c r="CY277">
        <f t="shared" si="120"/>
        <v>250.58</v>
      </c>
      <c r="CZ277">
        <f t="shared" si="121"/>
        <v>243.75</v>
      </c>
      <c r="DA277">
        <f t="shared" si="122"/>
        <v>1</v>
      </c>
      <c r="DB277">
        <f t="shared" si="117"/>
        <v>877.5</v>
      </c>
      <c r="DC277">
        <f t="shared" si="118"/>
        <v>0</v>
      </c>
      <c r="DD277" t="s">
        <v>3</v>
      </c>
      <c r="DE277" t="s">
        <v>3</v>
      </c>
      <c r="DF277">
        <f t="shared" si="119"/>
        <v>26.33</v>
      </c>
      <c r="DG277">
        <f t="shared" si="114"/>
        <v>0</v>
      </c>
      <c r="DH277">
        <f t="shared" si="105"/>
        <v>0</v>
      </c>
      <c r="DI277">
        <f t="shared" si="106"/>
        <v>0</v>
      </c>
      <c r="DJ277">
        <f t="shared" si="123"/>
        <v>26.33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">
      <c r="A278">
        <f>ROW(Source!A102)</f>
        <v>102</v>
      </c>
      <c r="B278">
        <v>85739205</v>
      </c>
      <c r="C278">
        <v>85739937</v>
      </c>
      <c r="D278">
        <v>85198892</v>
      </c>
      <c r="E278">
        <v>1</v>
      </c>
      <c r="F278">
        <v>1</v>
      </c>
      <c r="G278">
        <v>1081</v>
      </c>
      <c r="H278">
        <v>3</v>
      </c>
      <c r="I278" t="s">
        <v>543</v>
      </c>
      <c r="J278" t="s">
        <v>544</v>
      </c>
      <c r="K278" t="s">
        <v>545</v>
      </c>
      <c r="L278">
        <v>1339</v>
      </c>
      <c r="N278">
        <v>1007</v>
      </c>
      <c r="O278" t="s">
        <v>506</v>
      </c>
      <c r="P278" t="s">
        <v>506</v>
      </c>
      <c r="Q278">
        <v>1</v>
      </c>
      <c r="W278">
        <v>0</v>
      </c>
      <c r="X278">
        <v>-676034668</v>
      </c>
      <c r="Y278">
        <f t="shared" si="116"/>
        <v>9</v>
      </c>
      <c r="AA278">
        <v>54.92</v>
      </c>
      <c r="AB278">
        <v>0</v>
      </c>
      <c r="AC278">
        <v>0</v>
      </c>
      <c r="AD278">
        <v>0</v>
      </c>
      <c r="AE278">
        <v>53.42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-2</v>
      </c>
      <c r="AN278">
        <v>0</v>
      </c>
      <c r="AO278">
        <v>1</v>
      </c>
      <c r="AP278">
        <v>1</v>
      </c>
      <c r="AQ278">
        <v>0</v>
      </c>
      <c r="AR278">
        <v>0</v>
      </c>
      <c r="AS278" t="s">
        <v>3</v>
      </c>
      <c r="AT278">
        <v>9</v>
      </c>
      <c r="AU278" t="s">
        <v>3</v>
      </c>
      <c r="AV278">
        <v>0</v>
      </c>
      <c r="AW278">
        <v>2</v>
      </c>
      <c r="AX278">
        <v>85739951</v>
      </c>
      <c r="AY278">
        <v>1</v>
      </c>
      <c r="AZ278">
        <v>0</v>
      </c>
      <c r="BA278">
        <v>300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v>0</v>
      </c>
      <c r="CX278">
        <f>ROUND(Y278*Source!I102,9)</f>
        <v>0.27</v>
      </c>
      <c r="CY278">
        <f t="shared" si="120"/>
        <v>54.92</v>
      </c>
      <c r="CZ278">
        <f t="shared" si="121"/>
        <v>53.42</v>
      </c>
      <c r="DA278">
        <f t="shared" si="122"/>
        <v>1</v>
      </c>
      <c r="DB278">
        <f t="shared" si="117"/>
        <v>480.78</v>
      </c>
      <c r="DC278">
        <f t="shared" si="118"/>
        <v>0</v>
      </c>
      <c r="DD278" t="s">
        <v>3</v>
      </c>
      <c r="DE278" t="s">
        <v>3</v>
      </c>
      <c r="DF278">
        <f t="shared" si="119"/>
        <v>14.42</v>
      </c>
      <c r="DG278">
        <f t="shared" si="114"/>
        <v>0</v>
      </c>
      <c r="DH278">
        <f t="shared" si="105"/>
        <v>0</v>
      </c>
      <c r="DI278">
        <f t="shared" si="106"/>
        <v>0</v>
      </c>
      <c r="DJ278">
        <f t="shared" si="123"/>
        <v>14.42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">
      <c r="A279">
        <f>ROW(Source!A102)</f>
        <v>102</v>
      </c>
      <c r="B279">
        <v>85739205</v>
      </c>
      <c r="C279">
        <v>85739937</v>
      </c>
      <c r="D279">
        <v>85199158</v>
      </c>
      <c r="E279">
        <v>1</v>
      </c>
      <c r="F279">
        <v>1</v>
      </c>
      <c r="G279">
        <v>1081</v>
      </c>
      <c r="H279">
        <v>3</v>
      </c>
      <c r="I279" t="s">
        <v>503</v>
      </c>
      <c r="J279" t="s">
        <v>504</v>
      </c>
      <c r="K279" t="s">
        <v>505</v>
      </c>
      <c r="L279">
        <v>1339</v>
      </c>
      <c r="N279">
        <v>1007</v>
      </c>
      <c r="O279" t="s">
        <v>506</v>
      </c>
      <c r="P279" t="s">
        <v>506</v>
      </c>
      <c r="Q279">
        <v>1</v>
      </c>
      <c r="W279">
        <v>0</v>
      </c>
      <c r="X279">
        <v>-1235260082</v>
      </c>
      <c r="Y279">
        <f t="shared" si="116"/>
        <v>11.6</v>
      </c>
      <c r="AA279">
        <v>5.98</v>
      </c>
      <c r="AB279">
        <v>0</v>
      </c>
      <c r="AC279">
        <v>0</v>
      </c>
      <c r="AD279">
        <v>0</v>
      </c>
      <c r="AE279">
        <v>5.82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-2</v>
      </c>
      <c r="AN279">
        <v>0</v>
      </c>
      <c r="AO279">
        <v>1</v>
      </c>
      <c r="AP279">
        <v>1</v>
      </c>
      <c r="AQ279">
        <v>0</v>
      </c>
      <c r="AR279">
        <v>0</v>
      </c>
      <c r="AS279" t="s">
        <v>3</v>
      </c>
      <c r="AT279">
        <v>11.6</v>
      </c>
      <c r="AU279" t="s">
        <v>3</v>
      </c>
      <c r="AV279">
        <v>0</v>
      </c>
      <c r="AW279">
        <v>2</v>
      </c>
      <c r="AX279">
        <v>85739952</v>
      </c>
      <c r="AY279">
        <v>1</v>
      </c>
      <c r="AZ279">
        <v>0</v>
      </c>
      <c r="BA279">
        <v>301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v>0</v>
      </c>
      <c r="CX279">
        <f>ROUND(Y279*Source!I102,9)</f>
        <v>0.34799999999999998</v>
      </c>
      <c r="CY279">
        <f t="shared" si="120"/>
        <v>5.98</v>
      </c>
      <c r="CZ279">
        <f t="shared" si="121"/>
        <v>5.82</v>
      </c>
      <c r="DA279">
        <f t="shared" si="122"/>
        <v>1</v>
      </c>
      <c r="DB279">
        <f t="shared" si="117"/>
        <v>67.510000000000005</v>
      </c>
      <c r="DC279">
        <f t="shared" si="118"/>
        <v>0</v>
      </c>
      <c r="DD279" t="s">
        <v>3</v>
      </c>
      <c r="DE279" t="s">
        <v>3</v>
      </c>
      <c r="DF279">
        <f t="shared" si="119"/>
        <v>2.0299999999999998</v>
      </c>
      <c r="DG279">
        <f t="shared" si="114"/>
        <v>0</v>
      </c>
      <c r="DH279">
        <f t="shared" si="105"/>
        <v>0</v>
      </c>
      <c r="DI279">
        <f t="shared" si="106"/>
        <v>0</v>
      </c>
      <c r="DJ279">
        <f t="shared" si="123"/>
        <v>2.0299999999999998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">
      <c r="A280">
        <f>ROW(Source!A102)</f>
        <v>102</v>
      </c>
      <c r="B280">
        <v>85739205</v>
      </c>
      <c r="C280">
        <v>85739937</v>
      </c>
      <c r="D280">
        <v>85211458</v>
      </c>
      <c r="E280">
        <v>1</v>
      </c>
      <c r="F280">
        <v>1</v>
      </c>
      <c r="G280">
        <v>1081</v>
      </c>
      <c r="H280">
        <v>3</v>
      </c>
      <c r="I280" t="s">
        <v>209</v>
      </c>
      <c r="J280" t="s">
        <v>211</v>
      </c>
      <c r="K280" t="s">
        <v>210</v>
      </c>
      <c r="L280">
        <v>1301</v>
      </c>
      <c r="N280">
        <v>1003</v>
      </c>
      <c r="O280" t="s">
        <v>179</v>
      </c>
      <c r="P280" t="s">
        <v>179</v>
      </c>
      <c r="Q280">
        <v>1</v>
      </c>
      <c r="W280">
        <v>0</v>
      </c>
      <c r="X280">
        <v>-2048145394</v>
      </c>
      <c r="Y280">
        <f t="shared" si="116"/>
        <v>500</v>
      </c>
      <c r="AA280">
        <v>41.57</v>
      </c>
      <c r="AB280">
        <v>0</v>
      </c>
      <c r="AC280">
        <v>0</v>
      </c>
      <c r="AD280">
        <v>0</v>
      </c>
      <c r="AE280">
        <v>41.57</v>
      </c>
      <c r="AF280">
        <v>0</v>
      </c>
      <c r="AG280">
        <v>0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 t="s">
        <v>3</v>
      </c>
      <c r="AT280">
        <v>500</v>
      </c>
      <c r="AU280" t="s">
        <v>3</v>
      </c>
      <c r="AV280">
        <v>0</v>
      </c>
      <c r="AW280">
        <v>1</v>
      </c>
      <c r="AX280">
        <v>-1</v>
      </c>
      <c r="AY280">
        <v>0</v>
      </c>
      <c r="AZ280">
        <v>0</v>
      </c>
      <c r="BA280" t="s">
        <v>3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ROUND(Y280*Source!I102,9)</f>
        <v>15</v>
      </c>
      <c r="CY280">
        <f t="shared" si="120"/>
        <v>41.57</v>
      </c>
      <c r="CZ280">
        <f t="shared" si="121"/>
        <v>41.57</v>
      </c>
      <c r="DA280">
        <f t="shared" si="122"/>
        <v>1</v>
      </c>
      <c r="DB280">
        <f t="shared" si="117"/>
        <v>20785</v>
      </c>
      <c r="DC280">
        <f t="shared" si="118"/>
        <v>0</v>
      </c>
      <c r="DD280" t="s">
        <v>3</v>
      </c>
      <c r="DE280" t="s">
        <v>3</v>
      </c>
      <c r="DF280">
        <f t="shared" si="119"/>
        <v>623.54999999999995</v>
      </c>
      <c r="DG280">
        <f t="shared" si="114"/>
        <v>0</v>
      </c>
      <c r="DH280">
        <f t="shared" si="105"/>
        <v>0</v>
      </c>
      <c r="DI280">
        <f t="shared" si="106"/>
        <v>0</v>
      </c>
      <c r="DJ280">
        <f t="shared" si="123"/>
        <v>623.54999999999995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">
      <c r="A281">
        <f>ROW(Source!A102)</f>
        <v>102</v>
      </c>
      <c r="B281">
        <v>85739205</v>
      </c>
      <c r="C281">
        <v>85739937</v>
      </c>
      <c r="D281">
        <v>85211459</v>
      </c>
      <c r="E281">
        <v>1</v>
      </c>
      <c r="F281">
        <v>1</v>
      </c>
      <c r="G281">
        <v>1081</v>
      </c>
      <c r="H281">
        <v>3</v>
      </c>
      <c r="I281" t="s">
        <v>206</v>
      </c>
      <c r="J281" t="s">
        <v>208</v>
      </c>
      <c r="K281" t="s">
        <v>207</v>
      </c>
      <c r="L281">
        <v>1301</v>
      </c>
      <c r="N281">
        <v>1003</v>
      </c>
      <c r="O281" t="s">
        <v>179</v>
      </c>
      <c r="P281" t="s">
        <v>179</v>
      </c>
      <c r="Q281">
        <v>1</v>
      </c>
      <c r="W281">
        <v>0</v>
      </c>
      <c r="X281">
        <v>-173671470</v>
      </c>
      <c r="Y281">
        <f t="shared" si="116"/>
        <v>500</v>
      </c>
      <c r="AA281">
        <v>51.28</v>
      </c>
      <c r="AB281">
        <v>0</v>
      </c>
      <c r="AC281">
        <v>0</v>
      </c>
      <c r="AD281">
        <v>0</v>
      </c>
      <c r="AE281">
        <v>51.28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0</v>
      </c>
      <c r="AS281" t="s">
        <v>3</v>
      </c>
      <c r="AT281">
        <v>500</v>
      </c>
      <c r="AU281" t="s">
        <v>3</v>
      </c>
      <c r="AV281">
        <v>0</v>
      </c>
      <c r="AW281">
        <v>1</v>
      </c>
      <c r="AX281">
        <v>-1</v>
      </c>
      <c r="AY281">
        <v>0</v>
      </c>
      <c r="AZ281">
        <v>0</v>
      </c>
      <c r="BA281" t="s">
        <v>3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V281">
        <v>0</v>
      </c>
      <c r="CW281">
        <v>0</v>
      </c>
      <c r="CX281">
        <f>ROUND(Y281*Source!I102,9)</f>
        <v>15</v>
      </c>
      <c r="CY281">
        <f t="shared" si="120"/>
        <v>51.28</v>
      </c>
      <c r="CZ281">
        <f t="shared" si="121"/>
        <v>51.28</v>
      </c>
      <c r="DA281">
        <f t="shared" si="122"/>
        <v>1</v>
      </c>
      <c r="DB281">
        <f t="shared" si="117"/>
        <v>25640</v>
      </c>
      <c r="DC281">
        <f t="shared" si="118"/>
        <v>0</v>
      </c>
      <c r="DD281" t="s">
        <v>3</v>
      </c>
      <c r="DE281" t="s">
        <v>3</v>
      </c>
      <c r="DF281">
        <f t="shared" si="119"/>
        <v>769.2</v>
      </c>
      <c r="DG281">
        <f t="shared" si="114"/>
        <v>0</v>
      </c>
      <c r="DH281">
        <f t="shared" si="105"/>
        <v>0</v>
      </c>
      <c r="DI281">
        <f t="shared" si="106"/>
        <v>0</v>
      </c>
      <c r="DJ281">
        <f t="shared" si="123"/>
        <v>769.2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">
      <c r="A282">
        <f>ROW(Source!A102)</f>
        <v>102</v>
      </c>
      <c r="B282">
        <v>85739205</v>
      </c>
      <c r="C282">
        <v>85739937</v>
      </c>
      <c r="D282">
        <v>85221547</v>
      </c>
      <c r="E282">
        <v>1</v>
      </c>
      <c r="F282">
        <v>1</v>
      </c>
      <c r="G282">
        <v>1081</v>
      </c>
      <c r="H282">
        <v>3</v>
      </c>
      <c r="I282" t="s">
        <v>564</v>
      </c>
      <c r="J282" t="s">
        <v>565</v>
      </c>
      <c r="K282" t="s">
        <v>566</v>
      </c>
      <c r="L282">
        <v>1354</v>
      </c>
      <c r="N282">
        <v>1010</v>
      </c>
      <c r="O282" t="s">
        <v>99</v>
      </c>
      <c r="P282" t="s">
        <v>99</v>
      </c>
      <c r="Q282">
        <v>1</v>
      </c>
      <c r="W282">
        <v>0</v>
      </c>
      <c r="X282">
        <v>483106430</v>
      </c>
      <c r="Y282">
        <f t="shared" si="116"/>
        <v>360</v>
      </c>
      <c r="AA282">
        <v>14.68</v>
      </c>
      <c r="AB282">
        <v>0</v>
      </c>
      <c r="AC282">
        <v>0</v>
      </c>
      <c r="AD282">
        <v>0</v>
      </c>
      <c r="AE282">
        <v>14.28</v>
      </c>
      <c r="AF282">
        <v>0</v>
      </c>
      <c r="AG282">
        <v>0</v>
      </c>
      <c r="AH282">
        <v>0</v>
      </c>
      <c r="AI282">
        <v>1</v>
      </c>
      <c r="AJ282">
        <v>1</v>
      </c>
      <c r="AK282">
        <v>1</v>
      </c>
      <c r="AL282">
        <v>1</v>
      </c>
      <c r="AM282">
        <v>-2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360</v>
      </c>
      <c r="AU282" t="s">
        <v>3</v>
      </c>
      <c r="AV282">
        <v>0</v>
      </c>
      <c r="AW282">
        <v>2</v>
      </c>
      <c r="AX282">
        <v>85739953</v>
      </c>
      <c r="AY282">
        <v>1</v>
      </c>
      <c r="AZ282">
        <v>0</v>
      </c>
      <c r="BA282">
        <v>302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v>0</v>
      </c>
      <c r="CX282">
        <f>ROUND(Y282*Source!I102,9)</f>
        <v>10.8</v>
      </c>
      <c r="CY282">
        <f t="shared" si="120"/>
        <v>14.68</v>
      </c>
      <c r="CZ282">
        <f t="shared" si="121"/>
        <v>14.28</v>
      </c>
      <c r="DA282">
        <f t="shared" si="122"/>
        <v>1</v>
      </c>
      <c r="DB282">
        <f t="shared" si="117"/>
        <v>5140.8</v>
      </c>
      <c r="DC282">
        <f t="shared" si="118"/>
        <v>0</v>
      </c>
      <c r="DD282" t="s">
        <v>3</v>
      </c>
      <c r="DE282" t="s">
        <v>3</v>
      </c>
      <c r="DF282">
        <f t="shared" si="119"/>
        <v>154.22</v>
      </c>
      <c r="DG282">
        <f t="shared" si="114"/>
        <v>0</v>
      </c>
      <c r="DH282">
        <f t="shared" si="105"/>
        <v>0</v>
      </c>
      <c r="DI282">
        <f t="shared" si="106"/>
        <v>0</v>
      </c>
      <c r="DJ282">
        <f t="shared" si="123"/>
        <v>154.22</v>
      </c>
      <c r="DK282">
        <v>0</v>
      </c>
      <c r="DL282" t="s">
        <v>3</v>
      </c>
      <c r="DM282">
        <v>0</v>
      </c>
      <c r="DN282" t="s">
        <v>3</v>
      </c>
      <c r="DO282">
        <v>0</v>
      </c>
    </row>
    <row r="283" spans="1:119" x14ac:dyDescent="0.2">
      <c r="A283">
        <f>ROW(Source!A103)</f>
        <v>103</v>
      </c>
      <c r="B283">
        <v>85739207</v>
      </c>
      <c r="C283">
        <v>85739937</v>
      </c>
      <c r="D283">
        <v>85164021</v>
      </c>
      <c r="E283">
        <v>1081</v>
      </c>
      <c r="F283">
        <v>1</v>
      </c>
      <c r="G283">
        <v>1081</v>
      </c>
      <c r="H283">
        <v>1</v>
      </c>
      <c r="I283" t="s">
        <v>472</v>
      </c>
      <c r="J283" t="s">
        <v>3</v>
      </c>
      <c r="K283" t="s">
        <v>473</v>
      </c>
      <c r="L283">
        <v>1191</v>
      </c>
      <c r="N283">
        <v>1013</v>
      </c>
      <c r="O283" t="s">
        <v>474</v>
      </c>
      <c r="P283" t="s">
        <v>474</v>
      </c>
      <c r="Q283">
        <v>1</v>
      </c>
      <c r="W283">
        <v>0</v>
      </c>
      <c r="X283">
        <v>476480486</v>
      </c>
      <c r="Y283">
        <f t="shared" si="116"/>
        <v>1730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1</v>
      </c>
      <c r="AK283">
        <v>1</v>
      </c>
      <c r="AL283">
        <v>1</v>
      </c>
      <c r="AM283">
        <v>5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1730</v>
      </c>
      <c r="AU283" t="s">
        <v>3</v>
      </c>
      <c r="AV283">
        <v>1</v>
      </c>
      <c r="AW283">
        <v>2</v>
      </c>
      <c r="AX283">
        <v>85739940</v>
      </c>
      <c r="AY283">
        <v>1</v>
      </c>
      <c r="AZ283">
        <v>0</v>
      </c>
      <c r="BA283">
        <v>304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U283">
        <f>ROUND(AT283*Source!I103*AH283*AL283,2)</f>
        <v>0</v>
      </c>
      <c r="CV283">
        <f>ROUND(Y283*Source!I103,9)</f>
        <v>51.9</v>
      </c>
      <c r="CW283">
        <v>0</v>
      </c>
      <c r="CX283">
        <f>ROUND(Y283*Source!I103,9)</f>
        <v>51.9</v>
      </c>
      <c r="CY283">
        <f>AD283</f>
        <v>0</v>
      </c>
      <c r="CZ283">
        <f>AH283</f>
        <v>0</v>
      </c>
      <c r="DA283">
        <f>AL283</f>
        <v>1</v>
      </c>
      <c r="DB283">
        <f t="shared" si="117"/>
        <v>0</v>
      </c>
      <c r="DC283">
        <f t="shared" si="118"/>
        <v>0</v>
      </c>
      <c r="DD283" t="s">
        <v>3</v>
      </c>
      <c r="DE283" t="s">
        <v>3</v>
      </c>
      <c r="DF283">
        <f t="shared" si="119"/>
        <v>0</v>
      </c>
      <c r="DG283">
        <f t="shared" si="114"/>
        <v>0</v>
      </c>
      <c r="DH283">
        <f t="shared" si="105"/>
        <v>0</v>
      </c>
      <c r="DI283">
        <f t="shared" si="106"/>
        <v>0</v>
      </c>
      <c r="DJ283">
        <f>DI283</f>
        <v>0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">
      <c r="A284">
        <f>ROW(Source!A103)</f>
        <v>103</v>
      </c>
      <c r="B284">
        <v>85739207</v>
      </c>
      <c r="C284">
        <v>85739937</v>
      </c>
      <c r="D284">
        <v>85229527</v>
      </c>
      <c r="E284">
        <v>1</v>
      </c>
      <c r="F284">
        <v>1</v>
      </c>
      <c r="G284">
        <v>1081</v>
      </c>
      <c r="H284">
        <v>2</v>
      </c>
      <c r="I284" t="s">
        <v>546</v>
      </c>
      <c r="J284" t="s">
        <v>547</v>
      </c>
      <c r="K284" t="s">
        <v>548</v>
      </c>
      <c r="L284">
        <v>1368</v>
      </c>
      <c r="N284">
        <v>1011</v>
      </c>
      <c r="O284" t="s">
        <v>478</v>
      </c>
      <c r="P284" t="s">
        <v>478</v>
      </c>
      <c r="Q284">
        <v>1</v>
      </c>
      <c r="W284">
        <v>0</v>
      </c>
      <c r="X284">
        <v>-1222619517</v>
      </c>
      <c r="Y284">
        <f t="shared" si="116"/>
        <v>13.5</v>
      </c>
      <c r="AA284">
        <v>0</v>
      </c>
      <c r="AB284">
        <v>1209.95</v>
      </c>
      <c r="AC284">
        <v>758.78</v>
      </c>
      <c r="AD284">
        <v>0</v>
      </c>
      <c r="AE284">
        <v>0</v>
      </c>
      <c r="AF284">
        <v>48.07</v>
      </c>
      <c r="AG284">
        <v>12.62</v>
      </c>
      <c r="AH284">
        <v>0</v>
      </c>
      <c r="AI284">
        <v>1</v>
      </c>
      <c r="AJ284">
        <v>23.59</v>
      </c>
      <c r="AK284">
        <v>56.35</v>
      </c>
      <c r="AL284">
        <v>1</v>
      </c>
      <c r="AM284">
        <v>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13.5</v>
      </c>
      <c r="AU284" t="s">
        <v>3</v>
      </c>
      <c r="AV284">
        <v>0</v>
      </c>
      <c r="AW284">
        <v>2</v>
      </c>
      <c r="AX284">
        <v>85739941</v>
      </c>
      <c r="AY284">
        <v>1</v>
      </c>
      <c r="AZ284">
        <v>0</v>
      </c>
      <c r="BA284">
        <v>305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f>ROUND(Y284*Source!I103*DO284,9)</f>
        <v>5.1111000000000004</v>
      </c>
      <c r="CX284">
        <f>ROUND(Y284*Source!I103,9)</f>
        <v>0.40500000000000003</v>
      </c>
      <c r="CY284">
        <f>AB284</f>
        <v>1209.95</v>
      </c>
      <c r="CZ284">
        <f>AF284</f>
        <v>48.07</v>
      </c>
      <c r="DA284">
        <f>AJ284</f>
        <v>23.59</v>
      </c>
      <c r="DB284">
        <f t="shared" si="117"/>
        <v>648.95000000000005</v>
      </c>
      <c r="DC284">
        <f t="shared" si="118"/>
        <v>170.37</v>
      </c>
      <c r="DD284" t="s">
        <v>3</v>
      </c>
      <c r="DE284" t="s">
        <v>3</v>
      </c>
      <c r="DF284">
        <f t="shared" si="119"/>
        <v>0</v>
      </c>
      <c r="DG284">
        <f>ROUND(ROUND(AF284*AJ284,2)*CX284,2)</f>
        <v>459.26</v>
      </c>
      <c r="DH284">
        <f>ROUND(ROUND(AG284*AK284,2)*CX284,2)</f>
        <v>288.01</v>
      </c>
      <c r="DI284">
        <f t="shared" si="106"/>
        <v>0</v>
      </c>
      <c r="DJ284">
        <f>DG284</f>
        <v>459.26</v>
      </c>
      <c r="DK284">
        <v>0</v>
      </c>
      <c r="DL284" t="s">
        <v>485</v>
      </c>
      <c r="DM284">
        <v>0</v>
      </c>
      <c r="DN284" t="s">
        <v>474</v>
      </c>
      <c r="DO284">
        <v>12.62</v>
      </c>
    </row>
    <row r="285" spans="1:119" x14ac:dyDescent="0.2">
      <c r="A285">
        <f>ROW(Source!A103)</f>
        <v>103</v>
      </c>
      <c r="B285">
        <v>85739207</v>
      </c>
      <c r="C285">
        <v>85739937</v>
      </c>
      <c r="D285">
        <v>85229564</v>
      </c>
      <c r="E285">
        <v>1</v>
      </c>
      <c r="F285">
        <v>1</v>
      </c>
      <c r="G285">
        <v>1081</v>
      </c>
      <c r="H285">
        <v>2</v>
      </c>
      <c r="I285" t="s">
        <v>549</v>
      </c>
      <c r="J285" t="s">
        <v>550</v>
      </c>
      <c r="K285" t="s">
        <v>551</v>
      </c>
      <c r="L285">
        <v>1368</v>
      </c>
      <c r="N285">
        <v>1011</v>
      </c>
      <c r="O285" t="s">
        <v>478</v>
      </c>
      <c r="P285" t="s">
        <v>478</v>
      </c>
      <c r="Q285">
        <v>1</v>
      </c>
      <c r="W285">
        <v>0</v>
      </c>
      <c r="X285">
        <v>210297649</v>
      </c>
      <c r="Y285">
        <f t="shared" si="116"/>
        <v>110</v>
      </c>
      <c r="AA285">
        <v>0</v>
      </c>
      <c r="AB285">
        <v>65.790000000000006</v>
      </c>
      <c r="AC285">
        <v>0</v>
      </c>
      <c r="AD285">
        <v>0</v>
      </c>
      <c r="AE285">
        <v>0</v>
      </c>
      <c r="AF285">
        <v>5.79</v>
      </c>
      <c r="AG285">
        <v>0</v>
      </c>
      <c r="AH285">
        <v>0</v>
      </c>
      <c r="AI285">
        <v>1</v>
      </c>
      <c r="AJ285">
        <v>10.65</v>
      </c>
      <c r="AK285">
        <v>1</v>
      </c>
      <c r="AL285">
        <v>1</v>
      </c>
      <c r="AM285">
        <v>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110</v>
      </c>
      <c r="AU285" t="s">
        <v>3</v>
      </c>
      <c r="AV285">
        <v>0</v>
      </c>
      <c r="AW285">
        <v>2</v>
      </c>
      <c r="AX285">
        <v>85739942</v>
      </c>
      <c r="AY285">
        <v>1</v>
      </c>
      <c r="AZ285">
        <v>0</v>
      </c>
      <c r="BA285">
        <v>306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f>ROUND(Y285*Source!I103*DO285,9)</f>
        <v>0</v>
      </c>
      <c r="CX285">
        <f>ROUND(Y285*Source!I103,9)</f>
        <v>3.3</v>
      </c>
      <c r="CY285">
        <f>AB285</f>
        <v>65.790000000000006</v>
      </c>
      <c r="CZ285">
        <f>AF285</f>
        <v>5.79</v>
      </c>
      <c r="DA285">
        <f>AJ285</f>
        <v>10.65</v>
      </c>
      <c r="DB285">
        <f t="shared" si="117"/>
        <v>636.9</v>
      </c>
      <c r="DC285">
        <f t="shared" si="118"/>
        <v>0</v>
      </c>
      <c r="DD285" t="s">
        <v>3</v>
      </c>
      <c r="DE285" t="s">
        <v>3</v>
      </c>
      <c r="DF285">
        <f t="shared" si="119"/>
        <v>0</v>
      </c>
      <c r="DG285">
        <f>ROUND(ROUND(AF285*AJ285,2)*CX285,2)</f>
        <v>203.48</v>
      </c>
      <c r="DH285">
        <f>ROUND(ROUND(AG285,2)*CX285,2)</f>
        <v>0</v>
      </c>
      <c r="DI285">
        <f t="shared" si="106"/>
        <v>0</v>
      </c>
      <c r="DJ285">
        <f>DG285</f>
        <v>203.48</v>
      </c>
      <c r="DK285">
        <v>0</v>
      </c>
      <c r="DL285" t="s">
        <v>3</v>
      </c>
      <c r="DM285">
        <v>0</v>
      </c>
      <c r="DN285" t="s">
        <v>3</v>
      </c>
      <c r="DO285">
        <v>0</v>
      </c>
    </row>
    <row r="286" spans="1:119" x14ac:dyDescent="0.2">
      <c r="A286">
        <f>ROW(Source!A103)</f>
        <v>103</v>
      </c>
      <c r="B286">
        <v>85739207</v>
      </c>
      <c r="C286">
        <v>85739937</v>
      </c>
      <c r="D286">
        <v>85229633</v>
      </c>
      <c r="E286">
        <v>1</v>
      </c>
      <c r="F286">
        <v>1</v>
      </c>
      <c r="G286">
        <v>1081</v>
      </c>
      <c r="H286">
        <v>2</v>
      </c>
      <c r="I286" t="s">
        <v>475</v>
      </c>
      <c r="J286" t="s">
        <v>476</v>
      </c>
      <c r="K286" t="s">
        <v>477</v>
      </c>
      <c r="L286">
        <v>1368</v>
      </c>
      <c r="N286">
        <v>1011</v>
      </c>
      <c r="O286" t="s">
        <v>478</v>
      </c>
      <c r="P286" t="s">
        <v>478</v>
      </c>
      <c r="Q286">
        <v>1</v>
      </c>
      <c r="W286">
        <v>0</v>
      </c>
      <c r="X286">
        <v>1498588441</v>
      </c>
      <c r="Y286">
        <f t="shared" si="116"/>
        <v>114</v>
      </c>
      <c r="AA286">
        <v>0</v>
      </c>
      <c r="AB286">
        <v>102.11</v>
      </c>
      <c r="AC286">
        <v>0</v>
      </c>
      <c r="AD286">
        <v>0</v>
      </c>
      <c r="AE286">
        <v>0</v>
      </c>
      <c r="AF286">
        <v>7.11</v>
      </c>
      <c r="AG286">
        <v>0</v>
      </c>
      <c r="AH286">
        <v>0</v>
      </c>
      <c r="AI286">
        <v>1</v>
      </c>
      <c r="AJ286">
        <v>13.46</v>
      </c>
      <c r="AK286">
        <v>1</v>
      </c>
      <c r="AL286">
        <v>1</v>
      </c>
      <c r="AM286">
        <v>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114</v>
      </c>
      <c r="AU286" t="s">
        <v>3</v>
      </c>
      <c r="AV286">
        <v>0</v>
      </c>
      <c r="AW286">
        <v>2</v>
      </c>
      <c r="AX286">
        <v>85739943</v>
      </c>
      <c r="AY286">
        <v>1</v>
      </c>
      <c r="AZ286">
        <v>0</v>
      </c>
      <c r="BA286">
        <v>307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f>ROUND(Y286*Source!I103*DO286,9)</f>
        <v>0</v>
      </c>
      <c r="CX286">
        <f>ROUND(Y286*Source!I103,9)</f>
        <v>3.42</v>
      </c>
      <c r="CY286">
        <f>AB286</f>
        <v>102.11</v>
      </c>
      <c r="CZ286">
        <f>AF286</f>
        <v>7.11</v>
      </c>
      <c r="DA286">
        <f>AJ286</f>
        <v>13.46</v>
      </c>
      <c r="DB286">
        <f t="shared" si="117"/>
        <v>810.54</v>
      </c>
      <c r="DC286">
        <f t="shared" si="118"/>
        <v>0</v>
      </c>
      <c r="DD286" t="s">
        <v>3</v>
      </c>
      <c r="DE286" t="s">
        <v>3</v>
      </c>
      <c r="DF286">
        <f t="shared" si="119"/>
        <v>0</v>
      </c>
      <c r="DG286">
        <f>ROUND(ROUND(AF286*AJ286,2)*CX286,2)</f>
        <v>327.29000000000002</v>
      </c>
      <c r="DH286">
        <f>ROUND(ROUND(AG286,2)*CX286,2)</f>
        <v>0</v>
      </c>
      <c r="DI286">
        <f t="shared" si="106"/>
        <v>0</v>
      </c>
      <c r="DJ286">
        <f>DG286</f>
        <v>327.29000000000002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">
      <c r="A287">
        <f>ROW(Source!A103)</f>
        <v>103</v>
      </c>
      <c r="B287">
        <v>85739207</v>
      </c>
      <c r="C287">
        <v>85739937</v>
      </c>
      <c r="D287">
        <v>85229932</v>
      </c>
      <c r="E287">
        <v>1</v>
      </c>
      <c r="F287">
        <v>1</v>
      </c>
      <c r="G287">
        <v>1081</v>
      </c>
      <c r="H287">
        <v>2</v>
      </c>
      <c r="I287" t="s">
        <v>482</v>
      </c>
      <c r="J287" t="s">
        <v>483</v>
      </c>
      <c r="K287" t="s">
        <v>484</v>
      </c>
      <c r="L287">
        <v>1368</v>
      </c>
      <c r="N287">
        <v>1011</v>
      </c>
      <c r="O287" t="s">
        <v>478</v>
      </c>
      <c r="P287" t="s">
        <v>478</v>
      </c>
      <c r="Q287">
        <v>1</v>
      </c>
      <c r="W287">
        <v>0</v>
      </c>
      <c r="X287">
        <v>874612079</v>
      </c>
      <c r="Y287">
        <f t="shared" si="116"/>
        <v>5.36</v>
      </c>
      <c r="AA287">
        <v>0</v>
      </c>
      <c r="AB287">
        <v>1513.56</v>
      </c>
      <c r="AC287">
        <v>758.78</v>
      </c>
      <c r="AD287">
        <v>0</v>
      </c>
      <c r="AE287">
        <v>0</v>
      </c>
      <c r="AF287">
        <v>83.1</v>
      </c>
      <c r="AG287">
        <v>12.62</v>
      </c>
      <c r="AH287">
        <v>0</v>
      </c>
      <c r="AI287">
        <v>1</v>
      </c>
      <c r="AJ287">
        <v>17.07</v>
      </c>
      <c r="AK287">
        <v>56.35</v>
      </c>
      <c r="AL287">
        <v>1</v>
      </c>
      <c r="AM287">
        <v>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5.36</v>
      </c>
      <c r="AU287" t="s">
        <v>3</v>
      </c>
      <c r="AV287">
        <v>0</v>
      </c>
      <c r="AW287">
        <v>2</v>
      </c>
      <c r="AX287">
        <v>85739944</v>
      </c>
      <c r="AY287">
        <v>1</v>
      </c>
      <c r="AZ287">
        <v>0</v>
      </c>
      <c r="BA287">
        <v>308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f>ROUND(Y287*Source!I103*DO287,9)</f>
        <v>2.029296</v>
      </c>
      <c r="CX287">
        <f>ROUND(Y287*Source!I103,9)</f>
        <v>0.1608</v>
      </c>
      <c r="CY287">
        <f>AB287</f>
        <v>1513.56</v>
      </c>
      <c r="CZ287">
        <f>AF287</f>
        <v>83.1</v>
      </c>
      <c r="DA287">
        <f>AJ287</f>
        <v>17.07</v>
      </c>
      <c r="DB287">
        <f t="shared" si="117"/>
        <v>445.42</v>
      </c>
      <c r="DC287">
        <f t="shared" si="118"/>
        <v>67.64</v>
      </c>
      <c r="DD287" t="s">
        <v>3</v>
      </c>
      <c r="DE287" t="s">
        <v>3</v>
      </c>
      <c r="DF287">
        <f t="shared" si="119"/>
        <v>0</v>
      </c>
      <c r="DG287">
        <f>ROUND(ROUND(AF287*AJ287,2)*CX287,2)</f>
        <v>228.1</v>
      </c>
      <c r="DH287">
        <f>ROUND(ROUND(AG287*AK287,2)*CX287,2)</f>
        <v>114.35</v>
      </c>
      <c r="DI287">
        <f t="shared" si="106"/>
        <v>0</v>
      </c>
      <c r="DJ287">
        <f>DG287</f>
        <v>228.1</v>
      </c>
      <c r="DK287">
        <v>0</v>
      </c>
      <c r="DL287" t="s">
        <v>485</v>
      </c>
      <c r="DM287">
        <v>0</v>
      </c>
      <c r="DN287" t="s">
        <v>474</v>
      </c>
      <c r="DO287">
        <v>12.62</v>
      </c>
    </row>
    <row r="288" spans="1:119" x14ac:dyDescent="0.2">
      <c r="A288">
        <f>ROW(Source!A103)</f>
        <v>103</v>
      </c>
      <c r="B288">
        <v>85739207</v>
      </c>
      <c r="C288">
        <v>85739937</v>
      </c>
      <c r="D288">
        <v>85229250</v>
      </c>
      <c r="E288">
        <v>1</v>
      </c>
      <c r="F288">
        <v>1</v>
      </c>
      <c r="G288">
        <v>1081</v>
      </c>
      <c r="H288">
        <v>2</v>
      </c>
      <c r="I288" t="s">
        <v>552</v>
      </c>
      <c r="J288" t="s">
        <v>553</v>
      </c>
      <c r="K288" t="s">
        <v>554</v>
      </c>
      <c r="L288">
        <v>1368</v>
      </c>
      <c r="N288">
        <v>1011</v>
      </c>
      <c r="O288" t="s">
        <v>478</v>
      </c>
      <c r="P288" t="s">
        <v>478</v>
      </c>
      <c r="Q288">
        <v>1</v>
      </c>
      <c r="W288">
        <v>0</v>
      </c>
      <c r="X288">
        <v>-1755828087</v>
      </c>
      <c r="Y288">
        <f t="shared" si="116"/>
        <v>4</v>
      </c>
      <c r="AA288">
        <v>0</v>
      </c>
      <c r="AB288">
        <v>34.85</v>
      </c>
      <c r="AC288">
        <v>0</v>
      </c>
      <c r="AD288">
        <v>0</v>
      </c>
      <c r="AE288">
        <v>0</v>
      </c>
      <c r="AF288">
        <v>3.18</v>
      </c>
      <c r="AG288">
        <v>0</v>
      </c>
      <c r="AH288">
        <v>0</v>
      </c>
      <c r="AI288">
        <v>1</v>
      </c>
      <c r="AJ288">
        <v>10.27</v>
      </c>
      <c r="AK288">
        <v>1</v>
      </c>
      <c r="AL288">
        <v>1</v>
      </c>
      <c r="AM288">
        <v>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4</v>
      </c>
      <c r="AU288" t="s">
        <v>3</v>
      </c>
      <c r="AV288">
        <v>0</v>
      </c>
      <c r="AW288">
        <v>2</v>
      </c>
      <c r="AX288">
        <v>85739945</v>
      </c>
      <c r="AY288">
        <v>1</v>
      </c>
      <c r="AZ288">
        <v>0</v>
      </c>
      <c r="BA288">
        <v>309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f>ROUND(Y288*Source!I103*DO288,9)</f>
        <v>0</v>
      </c>
      <c r="CX288">
        <f>ROUND(Y288*Source!I103,9)</f>
        <v>0.12</v>
      </c>
      <c r="CY288">
        <f>AB288</f>
        <v>34.85</v>
      </c>
      <c r="CZ288">
        <f>AF288</f>
        <v>3.18</v>
      </c>
      <c r="DA288">
        <f>AJ288</f>
        <v>10.27</v>
      </c>
      <c r="DB288">
        <f t="shared" si="117"/>
        <v>12.72</v>
      </c>
      <c r="DC288">
        <f t="shared" si="118"/>
        <v>0</v>
      </c>
      <c r="DD288" t="s">
        <v>3</v>
      </c>
      <c r="DE288" t="s">
        <v>3</v>
      </c>
      <c r="DF288">
        <f t="shared" si="119"/>
        <v>0</v>
      </c>
      <c r="DG288">
        <f>ROUND(ROUND(AF288*AJ288,2)*CX288,2)</f>
        <v>3.92</v>
      </c>
      <c r="DH288">
        <f t="shared" ref="DH288:DH315" si="124">ROUND(ROUND(AG288,2)*CX288,2)</f>
        <v>0</v>
      </c>
      <c r="DI288">
        <f t="shared" si="106"/>
        <v>0</v>
      </c>
      <c r="DJ288">
        <f>DG288</f>
        <v>3.92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">
      <c r="A289">
        <f>ROW(Source!A103)</f>
        <v>103</v>
      </c>
      <c r="B289">
        <v>85739207</v>
      </c>
      <c r="C289">
        <v>85739937</v>
      </c>
      <c r="D289">
        <v>85198960</v>
      </c>
      <c r="E289">
        <v>1</v>
      </c>
      <c r="F289">
        <v>1</v>
      </c>
      <c r="G289">
        <v>1081</v>
      </c>
      <c r="H289">
        <v>3</v>
      </c>
      <c r="I289" t="s">
        <v>513</v>
      </c>
      <c r="J289" t="s">
        <v>514</v>
      </c>
      <c r="K289" t="s">
        <v>515</v>
      </c>
      <c r="L289">
        <v>1339</v>
      </c>
      <c r="N289">
        <v>1007</v>
      </c>
      <c r="O289" t="s">
        <v>506</v>
      </c>
      <c r="P289" t="s">
        <v>506</v>
      </c>
      <c r="Q289">
        <v>1</v>
      </c>
      <c r="W289">
        <v>0</v>
      </c>
      <c r="X289">
        <v>-1622585150</v>
      </c>
      <c r="Y289">
        <f t="shared" si="116"/>
        <v>30</v>
      </c>
      <c r="AA289">
        <v>56.33</v>
      </c>
      <c r="AB289">
        <v>0</v>
      </c>
      <c r="AC289">
        <v>0</v>
      </c>
      <c r="AD289">
        <v>0</v>
      </c>
      <c r="AE289">
        <v>7.07</v>
      </c>
      <c r="AF289">
        <v>0</v>
      </c>
      <c r="AG289">
        <v>0</v>
      </c>
      <c r="AH289">
        <v>0</v>
      </c>
      <c r="AI289">
        <v>7.75</v>
      </c>
      <c r="AJ289">
        <v>1</v>
      </c>
      <c r="AK289">
        <v>1</v>
      </c>
      <c r="AL289">
        <v>1</v>
      </c>
      <c r="AM289">
        <v>2</v>
      </c>
      <c r="AN289">
        <v>0</v>
      </c>
      <c r="AO289">
        <v>1</v>
      </c>
      <c r="AP289">
        <v>1</v>
      </c>
      <c r="AQ289">
        <v>0</v>
      </c>
      <c r="AR289">
        <v>0</v>
      </c>
      <c r="AS289" t="s">
        <v>3</v>
      </c>
      <c r="AT289">
        <v>30</v>
      </c>
      <c r="AU289" t="s">
        <v>3</v>
      </c>
      <c r="AV289">
        <v>0</v>
      </c>
      <c r="AW289">
        <v>2</v>
      </c>
      <c r="AX289">
        <v>85739946</v>
      </c>
      <c r="AY289">
        <v>1</v>
      </c>
      <c r="AZ289">
        <v>0</v>
      </c>
      <c r="BA289">
        <v>310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v>0</v>
      </c>
      <c r="CX289">
        <f>ROUND(Y289*Source!I103,9)</f>
        <v>0.9</v>
      </c>
      <c r="CY289">
        <f t="shared" ref="CY289:CY298" si="125">AA289</f>
        <v>56.33</v>
      </c>
      <c r="CZ289">
        <f t="shared" ref="CZ289:CZ298" si="126">AE289</f>
        <v>7.07</v>
      </c>
      <c r="DA289">
        <f t="shared" ref="DA289:DA298" si="127">AI289</f>
        <v>7.75</v>
      </c>
      <c r="DB289">
        <f t="shared" si="117"/>
        <v>212.1</v>
      </c>
      <c r="DC289">
        <f t="shared" si="118"/>
        <v>0</v>
      </c>
      <c r="DD289" t="s">
        <v>3</v>
      </c>
      <c r="DE289" t="s">
        <v>3</v>
      </c>
      <c r="DF289">
        <f t="shared" ref="DF289:DF298" si="128">ROUND(ROUND(AE289*AI289,2)*CX289,2)</f>
        <v>49.31</v>
      </c>
      <c r="DG289">
        <f t="shared" ref="DG289:DG315" si="129">ROUND(ROUND(AF289,2)*CX289,2)</f>
        <v>0</v>
      </c>
      <c r="DH289">
        <f t="shared" si="124"/>
        <v>0</v>
      </c>
      <c r="DI289">
        <f t="shared" si="106"/>
        <v>0</v>
      </c>
      <c r="DJ289">
        <f t="shared" ref="DJ289:DJ298" si="130">DF289</f>
        <v>49.31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">
      <c r="A290">
        <f>ROW(Source!A103)</f>
        <v>103</v>
      </c>
      <c r="B290">
        <v>85739207</v>
      </c>
      <c r="C290">
        <v>85739937</v>
      </c>
      <c r="D290">
        <v>85200023</v>
      </c>
      <c r="E290">
        <v>1</v>
      </c>
      <c r="F290">
        <v>1</v>
      </c>
      <c r="G290">
        <v>1081</v>
      </c>
      <c r="H290">
        <v>3</v>
      </c>
      <c r="I290" t="s">
        <v>555</v>
      </c>
      <c r="J290" t="s">
        <v>556</v>
      </c>
      <c r="K290" t="s">
        <v>557</v>
      </c>
      <c r="L290">
        <v>1348</v>
      </c>
      <c r="N290">
        <v>1009</v>
      </c>
      <c r="O290" t="s">
        <v>266</v>
      </c>
      <c r="P290" t="s">
        <v>266</v>
      </c>
      <c r="Q290">
        <v>1000</v>
      </c>
      <c r="W290">
        <v>0</v>
      </c>
      <c r="X290">
        <v>63955816</v>
      </c>
      <c r="Y290">
        <f t="shared" si="116"/>
        <v>2.3599999999999999E-2</v>
      </c>
      <c r="AA290">
        <v>99503.2</v>
      </c>
      <c r="AB290">
        <v>0</v>
      </c>
      <c r="AC290">
        <v>0</v>
      </c>
      <c r="AD290">
        <v>0</v>
      </c>
      <c r="AE290">
        <v>7185.82</v>
      </c>
      <c r="AF290">
        <v>0</v>
      </c>
      <c r="AG290">
        <v>0</v>
      </c>
      <c r="AH290">
        <v>0</v>
      </c>
      <c r="AI290">
        <v>13.47</v>
      </c>
      <c r="AJ290">
        <v>1</v>
      </c>
      <c r="AK290">
        <v>1</v>
      </c>
      <c r="AL290">
        <v>1</v>
      </c>
      <c r="AM290">
        <v>2</v>
      </c>
      <c r="AN290">
        <v>0</v>
      </c>
      <c r="AO290">
        <v>1</v>
      </c>
      <c r="AP290">
        <v>1</v>
      </c>
      <c r="AQ290">
        <v>0</v>
      </c>
      <c r="AR290">
        <v>0</v>
      </c>
      <c r="AS290" t="s">
        <v>3</v>
      </c>
      <c r="AT290">
        <v>2.3599999999999999E-2</v>
      </c>
      <c r="AU290" t="s">
        <v>3</v>
      </c>
      <c r="AV290">
        <v>0</v>
      </c>
      <c r="AW290">
        <v>2</v>
      </c>
      <c r="AX290">
        <v>85739947</v>
      </c>
      <c r="AY290">
        <v>1</v>
      </c>
      <c r="AZ290">
        <v>0</v>
      </c>
      <c r="BA290">
        <v>311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ROUND(Y290*Source!I103,9)</f>
        <v>7.0799999999999997E-4</v>
      </c>
      <c r="CY290">
        <f t="shared" si="125"/>
        <v>99503.2</v>
      </c>
      <c r="CZ290">
        <f t="shared" si="126"/>
        <v>7185.82</v>
      </c>
      <c r="DA290">
        <f t="shared" si="127"/>
        <v>13.47</v>
      </c>
      <c r="DB290">
        <f t="shared" si="117"/>
        <v>169.59</v>
      </c>
      <c r="DC290">
        <f t="shared" si="118"/>
        <v>0</v>
      </c>
      <c r="DD290" t="s">
        <v>3</v>
      </c>
      <c r="DE290" t="s">
        <v>3</v>
      </c>
      <c r="DF290">
        <f t="shared" si="128"/>
        <v>68.53</v>
      </c>
      <c r="DG290">
        <f t="shared" si="129"/>
        <v>0</v>
      </c>
      <c r="DH290">
        <f t="shared" si="124"/>
        <v>0</v>
      </c>
      <c r="DI290">
        <f t="shared" si="106"/>
        <v>0</v>
      </c>
      <c r="DJ290">
        <f t="shared" si="130"/>
        <v>68.53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">
      <c r="A291">
        <f>ROW(Source!A103)</f>
        <v>103</v>
      </c>
      <c r="B291">
        <v>85739207</v>
      </c>
      <c r="C291">
        <v>85739937</v>
      </c>
      <c r="D291">
        <v>85200098</v>
      </c>
      <c r="E291">
        <v>1</v>
      </c>
      <c r="F291">
        <v>1</v>
      </c>
      <c r="G291">
        <v>1081</v>
      </c>
      <c r="H291">
        <v>3</v>
      </c>
      <c r="I291" t="s">
        <v>540</v>
      </c>
      <c r="J291" t="s">
        <v>541</v>
      </c>
      <c r="K291" t="s">
        <v>542</v>
      </c>
      <c r="L291">
        <v>1346</v>
      </c>
      <c r="N291">
        <v>1009</v>
      </c>
      <c r="O291" t="s">
        <v>502</v>
      </c>
      <c r="P291" t="s">
        <v>502</v>
      </c>
      <c r="Q291">
        <v>1</v>
      </c>
      <c r="W291">
        <v>0</v>
      </c>
      <c r="X291">
        <v>732400950</v>
      </c>
      <c r="Y291">
        <f t="shared" si="116"/>
        <v>11.6</v>
      </c>
      <c r="AA291">
        <v>94.12</v>
      </c>
      <c r="AB291">
        <v>0</v>
      </c>
      <c r="AC291">
        <v>0</v>
      </c>
      <c r="AD291">
        <v>0</v>
      </c>
      <c r="AE291">
        <v>21</v>
      </c>
      <c r="AF291">
        <v>0</v>
      </c>
      <c r="AG291">
        <v>0</v>
      </c>
      <c r="AH291">
        <v>0</v>
      </c>
      <c r="AI291">
        <v>4.3600000000000003</v>
      </c>
      <c r="AJ291">
        <v>1</v>
      </c>
      <c r="AK291">
        <v>1</v>
      </c>
      <c r="AL291">
        <v>1</v>
      </c>
      <c r="AM291">
        <v>2</v>
      </c>
      <c r="AN291">
        <v>0</v>
      </c>
      <c r="AO291">
        <v>1</v>
      </c>
      <c r="AP291">
        <v>1</v>
      </c>
      <c r="AQ291">
        <v>0</v>
      </c>
      <c r="AR291">
        <v>0</v>
      </c>
      <c r="AS291" t="s">
        <v>3</v>
      </c>
      <c r="AT291">
        <v>11.6</v>
      </c>
      <c r="AU291" t="s">
        <v>3</v>
      </c>
      <c r="AV291">
        <v>0</v>
      </c>
      <c r="AW291">
        <v>2</v>
      </c>
      <c r="AX291">
        <v>85739948</v>
      </c>
      <c r="AY291">
        <v>1</v>
      </c>
      <c r="AZ291">
        <v>0</v>
      </c>
      <c r="BA291">
        <v>312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ROUND(Y291*Source!I103,9)</f>
        <v>0.34799999999999998</v>
      </c>
      <c r="CY291">
        <f t="shared" si="125"/>
        <v>94.12</v>
      </c>
      <c r="CZ291">
        <f t="shared" si="126"/>
        <v>21</v>
      </c>
      <c r="DA291">
        <f t="shared" si="127"/>
        <v>4.3600000000000003</v>
      </c>
      <c r="DB291">
        <f t="shared" si="117"/>
        <v>243.6</v>
      </c>
      <c r="DC291">
        <f t="shared" si="118"/>
        <v>0</v>
      </c>
      <c r="DD291" t="s">
        <v>3</v>
      </c>
      <c r="DE291" t="s">
        <v>3</v>
      </c>
      <c r="DF291">
        <f t="shared" si="128"/>
        <v>31.86</v>
      </c>
      <c r="DG291">
        <f t="shared" si="129"/>
        <v>0</v>
      </c>
      <c r="DH291">
        <f t="shared" si="124"/>
        <v>0</v>
      </c>
      <c r="DI291">
        <f t="shared" si="106"/>
        <v>0</v>
      </c>
      <c r="DJ291">
        <f t="shared" si="130"/>
        <v>31.86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">
      <c r="A292">
        <f>ROW(Source!A103)</f>
        <v>103</v>
      </c>
      <c r="B292">
        <v>85739207</v>
      </c>
      <c r="C292">
        <v>85739937</v>
      </c>
      <c r="D292">
        <v>85200296</v>
      </c>
      <c r="E292">
        <v>1</v>
      </c>
      <c r="F292">
        <v>1</v>
      </c>
      <c r="G292">
        <v>1081</v>
      </c>
      <c r="H292">
        <v>3</v>
      </c>
      <c r="I292" t="s">
        <v>558</v>
      </c>
      <c r="J292" t="s">
        <v>559</v>
      </c>
      <c r="K292" t="s">
        <v>560</v>
      </c>
      <c r="L292">
        <v>1355</v>
      </c>
      <c r="N292">
        <v>1010</v>
      </c>
      <c r="O292" t="s">
        <v>240</v>
      </c>
      <c r="P292" t="s">
        <v>240</v>
      </c>
      <c r="Q292">
        <v>100</v>
      </c>
      <c r="W292">
        <v>0</v>
      </c>
      <c r="X292">
        <v>1567739421</v>
      </c>
      <c r="Y292">
        <f t="shared" si="116"/>
        <v>3.6</v>
      </c>
      <c r="AA292">
        <v>480.06</v>
      </c>
      <c r="AB292">
        <v>0</v>
      </c>
      <c r="AC292">
        <v>0</v>
      </c>
      <c r="AD292">
        <v>0</v>
      </c>
      <c r="AE292">
        <v>496.79</v>
      </c>
      <c r="AF292">
        <v>0</v>
      </c>
      <c r="AG292">
        <v>0</v>
      </c>
      <c r="AH292">
        <v>0</v>
      </c>
      <c r="AI292">
        <v>0.94</v>
      </c>
      <c r="AJ292">
        <v>1</v>
      </c>
      <c r="AK292">
        <v>1</v>
      </c>
      <c r="AL292">
        <v>1</v>
      </c>
      <c r="AM292">
        <v>2</v>
      </c>
      <c r="AN292">
        <v>0</v>
      </c>
      <c r="AO292">
        <v>1</v>
      </c>
      <c r="AP292">
        <v>1</v>
      </c>
      <c r="AQ292">
        <v>0</v>
      </c>
      <c r="AR292">
        <v>0</v>
      </c>
      <c r="AS292" t="s">
        <v>3</v>
      </c>
      <c r="AT292">
        <v>3.6</v>
      </c>
      <c r="AU292" t="s">
        <v>3</v>
      </c>
      <c r="AV292">
        <v>0</v>
      </c>
      <c r="AW292">
        <v>2</v>
      </c>
      <c r="AX292">
        <v>85739949</v>
      </c>
      <c r="AY292">
        <v>1</v>
      </c>
      <c r="AZ292">
        <v>0</v>
      </c>
      <c r="BA292">
        <v>313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ROUND(Y292*Source!I103,9)</f>
        <v>0.108</v>
      </c>
      <c r="CY292">
        <f t="shared" si="125"/>
        <v>480.06</v>
      </c>
      <c r="CZ292">
        <f t="shared" si="126"/>
        <v>496.79</v>
      </c>
      <c r="DA292">
        <f t="shared" si="127"/>
        <v>0.94</v>
      </c>
      <c r="DB292">
        <f t="shared" si="117"/>
        <v>1788.44</v>
      </c>
      <c r="DC292">
        <f t="shared" si="118"/>
        <v>0</v>
      </c>
      <c r="DD292" t="s">
        <v>3</v>
      </c>
      <c r="DE292" t="s">
        <v>3</v>
      </c>
      <c r="DF292">
        <f t="shared" si="128"/>
        <v>50.43</v>
      </c>
      <c r="DG292">
        <f t="shared" si="129"/>
        <v>0</v>
      </c>
      <c r="DH292">
        <f t="shared" si="124"/>
        <v>0</v>
      </c>
      <c r="DI292">
        <f t="shared" si="106"/>
        <v>0</v>
      </c>
      <c r="DJ292">
        <f t="shared" si="130"/>
        <v>50.43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">
      <c r="A293">
        <f>ROW(Source!A103)</f>
        <v>103</v>
      </c>
      <c r="B293">
        <v>85739207</v>
      </c>
      <c r="C293">
        <v>85739937</v>
      </c>
      <c r="D293">
        <v>85200297</v>
      </c>
      <c r="E293">
        <v>1</v>
      </c>
      <c r="F293">
        <v>1</v>
      </c>
      <c r="G293">
        <v>1081</v>
      </c>
      <c r="H293">
        <v>3</v>
      </c>
      <c r="I293" t="s">
        <v>561</v>
      </c>
      <c r="J293" t="s">
        <v>562</v>
      </c>
      <c r="K293" t="s">
        <v>563</v>
      </c>
      <c r="L293">
        <v>1355</v>
      </c>
      <c r="N293">
        <v>1010</v>
      </c>
      <c r="O293" t="s">
        <v>240</v>
      </c>
      <c r="P293" t="s">
        <v>240</v>
      </c>
      <c r="Q293">
        <v>100</v>
      </c>
      <c r="W293">
        <v>0</v>
      </c>
      <c r="X293">
        <v>-96727844</v>
      </c>
      <c r="Y293">
        <f t="shared" si="116"/>
        <v>3.6</v>
      </c>
      <c r="AA293">
        <v>578.83000000000004</v>
      </c>
      <c r="AB293">
        <v>0</v>
      </c>
      <c r="AC293">
        <v>0</v>
      </c>
      <c r="AD293">
        <v>0</v>
      </c>
      <c r="AE293">
        <v>243.75</v>
      </c>
      <c r="AF293">
        <v>0</v>
      </c>
      <c r="AG293">
        <v>0</v>
      </c>
      <c r="AH293">
        <v>0</v>
      </c>
      <c r="AI293">
        <v>2.31</v>
      </c>
      <c r="AJ293">
        <v>1</v>
      </c>
      <c r="AK293">
        <v>1</v>
      </c>
      <c r="AL293">
        <v>1</v>
      </c>
      <c r="AM293">
        <v>2</v>
      </c>
      <c r="AN293">
        <v>0</v>
      </c>
      <c r="AO293">
        <v>1</v>
      </c>
      <c r="AP293">
        <v>1</v>
      </c>
      <c r="AQ293">
        <v>0</v>
      </c>
      <c r="AR293">
        <v>0</v>
      </c>
      <c r="AS293" t="s">
        <v>3</v>
      </c>
      <c r="AT293">
        <v>3.6</v>
      </c>
      <c r="AU293" t="s">
        <v>3</v>
      </c>
      <c r="AV293">
        <v>0</v>
      </c>
      <c r="AW293">
        <v>2</v>
      </c>
      <c r="AX293">
        <v>85739950</v>
      </c>
      <c r="AY293">
        <v>1</v>
      </c>
      <c r="AZ293">
        <v>0</v>
      </c>
      <c r="BA293">
        <v>314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ROUND(Y293*Source!I103,9)</f>
        <v>0.108</v>
      </c>
      <c r="CY293">
        <f t="shared" si="125"/>
        <v>578.83000000000004</v>
      </c>
      <c r="CZ293">
        <f t="shared" si="126"/>
        <v>243.75</v>
      </c>
      <c r="DA293">
        <f t="shared" si="127"/>
        <v>2.31</v>
      </c>
      <c r="DB293">
        <f t="shared" si="117"/>
        <v>877.5</v>
      </c>
      <c r="DC293">
        <f t="shared" si="118"/>
        <v>0</v>
      </c>
      <c r="DD293" t="s">
        <v>3</v>
      </c>
      <c r="DE293" t="s">
        <v>3</v>
      </c>
      <c r="DF293">
        <f t="shared" si="128"/>
        <v>60.81</v>
      </c>
      <c r="DG293">
        <f t="shared" si="129"/>
        <v>0</v>
      </c>
      <c r="DH293">
        <f t="shared" si="124"/>
        <v>0</v>
      </c>
      <c r="DI293">
        <f t="shared" si="106"/>
        <v>0</v>
      </c>
      <c r="DJ293">
        <f t="shared" si="130"/>
        <v>60.81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">
      <c r="A294">
        <f>ROW(Source!A103)</f>
        <v>103</v>
      </c>
      <c r="B294">
        <v>85739207</v>
      </c>
      <c r="C294">
        <v>85739937</v>
      </c>
      <c r="D294">
        <v>85198892</v>
      </c>
      <c r="E294">
        <v>1</v>
      </c>
      <c r="F294">
        <v>1</v>
      </c>
      <c r="G294">
        <v>1081</v>
      </c>
      <c r="H294">
        <v>3</v>
      </c>
      <c r="I294" t="s">
        <v>543</v>
      </c>
      <c r="J294" t="s">
        <v>544</v>
      </c>
      <c r="K294" t="s">
        <v>545</v>
      </c>
      <c r="L294">
        <v>1339</v>
      </c>
      <c r="N294">
        <v>1007</v>
      </c>
      <c r="O294" t="s">
        <v>506</v>
      </c>
      <c r="P294" t="s">
        <v>506</v>
      </c>
      <c r="Q294">
        <v>1</v>
      </c>
      <c r="W294">
        <v>0</v>
      </c>
      <c r="X294">
        <v>-676034668</v>
      </c>
      <c r="Y294">
        <f t="shared" si="116"/>
        <v>9</v>
      </c>
      <c r="AA294">
        <v>781.45</v>
      </c>
      <c r="AB294">
        <v>0</v>
      </c>
      <c r="AC294">
        <v>0</v>
      </c>
      <c r="AD294">
        <v>0</v>
      </c>
      <c r="AE294">
        <v>53.42</v>
      </c>
      <c r="AF294">
        <v>0</v>
      </c>
      <c r="AG294">
        <v>0</v>
      </c>
      <c r="AH294">
        <v>0</v>
      </c>
      <c r="AI294">
        <v>14.23</v>
      </c>
      <c r="AJ294">
        <v>1</v>
      </c>
      <c r="AK294">
        <v>1</v>
      </c>
      <c r="AL294">
        <v>1</v>
      </c>
      <c r="AM294">
        <v>2</v>
      </c>
      <c r="AN294">
        <v>0</v>
      </c>
      <c r="AO294">
        <v>1</v>
      </c>
      <c r="AP294">
        <v>1</v>
      </c>
      <c r="AQ294">
        <v>0</v>
      </c>
      <c r="AR294">
        <v>0</v>
      </c>
      <c r="AS294" t="s">
        <v>3</v>
      </c>
      <c r="AT294">
        <v>9</v>
      </c>
      <c r="AU294" t="s">
        <v>3</v>
      </c>
      <c r="AV294">
        <v>0</v>
      </c>
      <c r="AW294">
        <v>2</v>
      </c>
      <c r="AX294">
        <v>85739951</v>
      </c>
      <c r="AY294">
        <v>1</v>
      </c>
      <c r="AZ294">
        <v>0</v>
      </c>
      <c r="BA294">
        <v>315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ROUND(Y294*Source!I103,9)</f>
        <v>0.27</v>
      </c>
      <c r="CY294">
        <f t="shared" si="125"/>
        <v>781.45</v>
      </c>
      <c r="CZ294">
        <f t="shared" si="126"/>
        <v>53.42</v>
      </c>
      <c r="DA294">
        <f t="shared" si="127"/>
        <v>14.23</v>
      </c>
      <c r="DB294">
        <f t="shared" si="117"/>
        <v>480.78</v>
      </c>
      <c r="DC294">
        <f t="shared" si="118"/>
        <v>0</v>
      </c>
      <c r="DD294" t="s">
        <v>3</v>
      </c>
      <c r="DE294" t="s">
        <v>3</v>
      </c>
      <c r="DF294">
        <f t="shared" si="128"/>
        <v>205.25</v>
      </c>
      <c r="DG294">
        <f t="shared" si="129"/>
        <v>0</v>
      </c>
      <c r="DH294">
        <f t="shared" si="124"/>
        <v>0</v>
      </c>
      <c r="DI294">
        <f t="shared" si="106"/>
        <v>0</v>
      </c>
      <c r="DJ294">
        <f t="shared" si="130"/>
        <v>205.25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">
      <c r="A295">
        <f>ROW(Source!A103)</f>
        <v>103</v>
      </c>
      <c r="B295">
        <v>85739207</v>
      </c>
      <c r="C295">
        <v>85739937</v>
      </c>
      <c r="D295">
        <v>85199158</v>
      </c>
      <c r="E295">
        <v>1</v>
      </c>
      <c r="F295">
        <v>1</v>
      </c>
      <c r="G295">
        <v>1081</v>
      </c>
      <c r="H295">
        <v>3</v>
      </c>
      <c r="I295" t="s">
        <v>503</v>
      </c>
      <c r="J295" t="s">
        <v>504</v>
      </c>
      <c r="K295" t="s">
        <v>505</v>
      </c>
      <c r="L295">
        <v>1339</v>
      </c>
      <c r="N295">
        <v>1007</v>
      </c>
      <c r="O295" t="s">
        <v>506</v>
      </c>
      <c r="P295" t="s">
        <v>506</v>
      </c>
      <c r="Q295">
        <v>1</v>
      </c>
      <c r="W295">
        <v>0</v>
      </c>
      <c r="X295">
        <v>-1235260082</v>
      </c>
      <c r="Y295">
        <f t="shared" si="116"/>
        <v>11.6</v>
      </c>
      <c r="AA295">
        <v>104.16</v>
      </c>
      <c r="AB295">
        <v>0</v>
      </c>
      <c r="AC295">
        <v>0</v>
      </c>
      <c r="AD295">
        <v>0</v>
      </c>
      <c r="AE295">
        <v>5.82</v>
      </c>
      <c r="AF295">
        <v>0</v>
      </c>
      <c r="AG295">
        <v>0</v>
      </c>
      <c r="AH295">
        <v>0</v>
      </c>
      <c r="AI295">
        <v>17.41</v>
      </c>
      <c r="AJ295">
        <v>1</v>
      </c>
      <c r="AK295">
        <v>1</v>
      </c>
      <c r="AL295">
        <v>1</v>
      </c>
      <c r="AM295">
        <v>2</v>
      </c>
      <c r="AN295">
        <v>0</v>
      </c>
      <c r="AO295">
        <v>1</v>
      </c>
      <c r="AP295">
        <v>1</v>
      </c>
      <c r="AQ295">
        <v>0</v>
      </c>
      <c r="AR295">
        <v>0</v>
      </c>
      <c r="AS295" t="s">
        <v>3</v>
      </c>
      <c r="AT295">
        <v>11.6</v>
      </c>
      <c r="AU295" t="s">
        <v>3</v>
      </c>
      <c r="AV295">
        <v>0</v>
      </c>
      <c r="AW295">
        <v>2</v>
      </c>
      <c r="AX295">
        <v>85739952</v>
      </c>
      <c r="AY295">
        <v>1</v>
      </c>
      <c r="AZ295">
        <v>0</v>
      </c>
      <c r="BA295">
        <v>316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ROUND(Y295*Source!I103,9)</f>
        <v>0.34799999999999998</v>
      </c>
      <c r="CY295">
        <f t="shared" si="125"/>
        <v>104.16</v>
      </c>
      <c r="CZ295">
        <f t="shared" si="126"/>
        <v>5.82</v>
      </c>
      <c r="DA295">
        <f t="shared" si="127"/>
        <v>17.41</v>
      </c>
      <c r="DB295">
        <f t="shared" si="117"/>
        <v>67.510000000000005</v>
      </c>
      <c r="DC295">
        <f t="shared" si="118"/>
        <v>0</v>
      </c>
      <c r="DD295" t="s">
        <v>3</v>
      </c>
      <c r="DE295" t="s">
        <v>3</v>
      </c>
      <c r="DF295">
        <f t="shared" si="128"/>
        <v>35.26</v>
      </c>
      <c r="DG295">
        <f t="shared" si="129"/>
        <v>0</v>
      </c>
      <c r="DH295">
        <f t="shared" si="124"/>
        <v>0</v>
      </c>
      <c r="DI295">
        <f t="shared" si="106"/>
        <v>0</v>
      </c>
      <c r="DJ295">
        <f t="shared" si="130"/>
        <v>35.26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">
      <c r="A296">
        <f>ROW(Source!A103)</f>
        <v>103</v>
      </c>
      <c r="B296">
        <v>85739207</v>
      </c>
      <c r="C296">
        <v>85739937</v>
      </c>
      <c r="D296">
        <v>85211458</v>
      </c>
      <c r="E296">
        <v>1</v>
      </c>
      <c r="F296">
        <v>1</v>
      </c>
      <c r="G296">
        <v>1081</v>
      </c>
      <c r="H296">
        <v>3</v>
      </c>
      <c r="I296" t="s">
        <v>209</v>
      </c>
      <c r="J296" t="s">
        <v>211</v>
      </c>
      <c r="K296" t="s">
        <v>210</v>
      </c>
      <c r="L296">
        <v>1301</v>
      </c>
      <c r="N296">
        <v>1003</v>
      </c>
      <c r="O296" t="s">
        <v>179</v>
      </c>
      <c r="P296" t="s">
        <v>179</v>
      </c>
      <c r="Q296">
        <v>1</v>
      </c>
      <c r="W296">
        <v>0</v>
      </c>
      <c r="X296">
        <v>-2048145394</v>
      </c>
      <c r="Y296">
        <f t="shared" si="116"/>
        <v>500</v>
      </c>
      <c r="AA296">
        <v>687.98</v>
      </c>
      <c r="AB296">
        <v>0</v>
      </c>
      <c r="AC296">
        <v>0</v>
      </c>
      <c r="AD296">
        <v>0</v>
      </c>
      <c r="AE296">
        <v>41.57</v>
      </c>
      <c r="AF296">
        <v>0</v>
      </c>
      <c r="AG296">
        <v>0</v>
      </c>
      <c r="AH296">
        <v>0</v>
      </c>
      <c r="AI296">
        <v>16.55</v>
      </c>
      <c r="AJ296">
        <v>1</v>
      </c>
      <c r="AK296">
        <v>1</v>
      </c>
      <c r="AL296">
        <v>1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 t="s">
        <v>3</v>
      </c>
      <c r="AT296">
        <v>500</v>
      </c>
      <c r="AU296" t="s">
        <v>3</v>
      </c>
      <c r="AV296">
        <v>0</v>
      </c>
      <c r="AW296">
        <v>1</v>
      </c>
      <c r="AX296">
        <v>-1</v>
      </c>
      <c r="AY296">
        <v>0</v>
      </c>
      <c r="AZ296">
        <v>0</v>
      </c>
      <c r="BA296" t="s">
        <v>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ROUND(Y296*Source!I103,9)</f>
        <v>15</v>
      </c>
      <c r="CY296">
        <f t="shared" si="125"/>
        <v>687.98</v>
      </c>
      <c r="CZ296">
        <f t="shared" si="126"/>
        <v>41.57</v>
      </c>
      <c r="DA296">
        <f t="shared" si="127"/>
        <v>16.55</v>
      </c>
      <c r="DB296">
        <f t="shared" si="117"/>
        <v>20785</v>
      </c>
      <c r="DC296">
        <f t="shared" si="118"/>
        <v>0</v>
      </c>
      <c r="DD296" t="s">
        <v>3</v>
      </c>
      <c r="DE296" t="s">
        <v>3</v>
      </c>
      <c r="DF296">
        <f t="shared" si="128"/>
        <v>10319.700000000001</v>
      </c>
      <c r="DG296">
        <f t="shared" si="129"/>
        <v>0</v>
      </c>
      <c r="DH296">
        <f t="shared" si="124"/>
        <v>0</v>
      </c>
      <c r="DI296">
        <f t="shared" si="106"/>
        <v>0</v>
      </c>
      <c r="DJ296">
        <f t="shared" si="130"/>
        <v>10319.700000000001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">
      <c r="A297">
        <f>ROW(Source!A103)</f>
        <v>103</v>
      </c>
      <c r="B297">
        <v>85739207</v>
      </c>
      <c r="C297">
        <v>85739937</v>
      </c>
      <c r="D297">
        <v>85211459</v>
      </c>
      <c r="E297">
        <v>1</v>
      </c>
      <c r="F297">
        <v>1</v>
      </c>
      <c r="G297">
        <v>1081</v>
      </c>
      <c r="H297">
        <v>3</v>
      </c>
      <c r="I297" t="s">
        <v>206</v>
      </c>
      <c r="J297" t="s">
        <v>208</v>
      </c>
      <c r="K297" t="s">
        <v>207</v>
      </c>
      <c r="L297">
        <v>1301</v>
      </c>
      <c r="N297">
        <v>1003</v>
      </c>
      <c r="O297" t="s">
        <v>179</v>
      </c>
      <c r="P297" t="s">
        <v>179</v>
      </c>
      <c r="Q297">
        <v>1</v>
      </c>
      <c r="W297">
        <v>0</v>
      </c>
      <c r="X297">
        <v>-173671470</v>
      </c>
      <c r="Y297">
        <f t="shared" si="116"/>
        <v>500</v>
      </c>
      <c r="AA297">
        <v>1062.52</v>
      </c>
      <c r="AB297">
        <v>0</v>
      </c>
      <c r="AC297">
        <v>0</v>
      </c>
      <c r="AD297">
        <v>0</v>
      </c>
      <c r="AE297">
        <v>51.28</v>
      </c>
      <c r="AF297">
        <v>0</v>
      </c>
      <c r="AG297">
        <v>0</v>
      </c>
      <c r="AH297">
        <v>0</v>
      </c>
      <c r="AI297">
        <v>20.72</v>
      </c>
      <c r="AJ297">
        <v>1</v>
      </c>
      <c r="AK297">
        <v>1</v>
      </c>
      <c r="AL297">
        <v>1</v>
      </c>
      <c r="AM297">
        <v>0</v>
      </c>
      <c r="AN297">
        <v>0</v>
      </c>
      <c r="AO297">
        <v>0</v>
      </c>
      <c r="AP297">
        <v>1</v>
      </c>
      <c r="AQ297">
        <v>0</v>
      </c>
      <c r="AR297">
        <v>0</v>
      </c>
      <c r="AS297" t="s">
        <v>3</v>
      </c>
      <c r="AT297">
        <v>500</v>
      </c>
      <c r="AU297" t="s">
        <v>3</v>
      </c>
      <c r="AV297">
        <v>0</v>
      </c>
      <c r="AW297">
        <v>1</v>
      </c>
      <c r="AX297">
        <v>-1</v>
      </c>
      <c r="AY297">
        <v>0</v>
      </c>
      <c r="AZ297">
        <v>0</v>
      </c>
      <c r="BA297" t="s">
        <v>3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V297">
        <v>0</v>
      </c>
      <c r="CW297">
        <v>0</v>
      </c>
      <c r="CX297">
        <f>ROUND(Y297*Source!I103,9)</f>
        <v>15</v>
      </c>
      <c r="CY297">
        <f t="shared" si="125"/>
        <v>1062.52</v>
      </c>
      <c r="CZ297">
        <f t="shared" si="126"/>
        <v>51.28</v>
      </c>
      <c r="DA297">
        <f t="shared" si="127"/>
        <v>20.72</v>
      </c>
      <c r="DB297">
        <f t="shared" si="117"/>
        <v>25640</v>
      </c>
      <c r="DC297">
        <f t="shared" si="118"/>
        <v>0</v>
      </c>
      <c r="DD297" t="s">
        <v>3</v>
      </c>
      <c r="DE297" t="s">
        <v>3</v>
      </c>
      <c r="DF297">
        <f t="shared" si="128"/>
        <v>15937.8</v>
      </c>
      <c r="DG297">
        <f t="shared" si="129"/>
        <v>0</v>
      </c>
      <c r="DH297">
        <f t="shared" si="124"/>
        <v>0</v>
      </c>
      <c r="DI297">
        <f t="shared" si="106"/>
        <v>0</v>
      </c>
      <c r="DJ297">
        <f t="shared" si="130"/>
        <v>15937.8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">
      <c r="A298">
        <f>ROW(Source!A103)</f>
        <v>103</v>
      </c>
      <c r="B298">
        <v>85739207</v>
      </c>
      <c r="C298">
        <v>85739937</v>
      </c>
      <c r="D298">
        <v>85221547</v>
      </c>
      <c r="E298">
        <v>1</v>
      </c>
      <c r="F298">
        <v>1</v>
      </c>
      <c r="G298">
        <v>1081</v>
      </c>
      <c r="H298">
        <v>3</v>
      </c>
      <c r="I298" t="s">
        <v>564</v>
      </c>
      <c r="J298" t="s">
        <v>565</v>
      </c>
      <c r="K298" t="s">
        <v>566</v>
      </c>
      <c r="L298">
        <v>1354</v>
      </c>
      <c r="N298">
        <v>1010</v>
      </c>
      <c r="O298" t="s">
        <v>99</v>
      </c>
      <c r="P298" t="s">
        <v>99</v>
      </c>
      <c r="Q298">
        <v>1</v>
      </c>
      <c r="W298">
        <v>0</v>
      </c>
      <c r="X298">
        <v>483106430</v>
      </c>
      <c r="Y298">
        <f t="shared" si="116"/>
        <v>360</v>
      </c>
      <c r="AA298">
        <v>17.47</v>
      </c>
      <c r="AB298">
        <v>0</v>
      </c>
      <c r="AC298">
        <v>0</v>
      </c>
      <c r="AD298">
        <v>0</v>
      </c>
      <c r="AE298">
        <v>14.28</v>
      </c>
      <c r="AF298">
        <v>0</v>
      </c>
      <c r="AG298">
        <v>0</v>
      </c>
      <c r="AH298">
        <v>0</v>
      </c>
      <c r="AI298">
        <v>1.19</v>
      </c>
      <c r="AJ298">
        <v>1</v>
      </c>
      <c r="AK298">
        <v>1</v>
      </c>
      <c r="AL298">
        <v>1</v>
      </c>
      <c r="AM298">
        <v>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360</v>
      </c>
      <c r="AU298" t="s">
        <v>3</v>
      </c>
      <c r="AV298">
        <v>0</v>
      </c>
      <c r="AW298">
        <v>2</v>
      </c>
      <c r="AX298">
        <v>85739953</v>
      </c>
      <c r="AY298">
        <v>1</v>
      </c>
      <c r="AZ298">
        <v>0</v>
      </c>
      <c r="BA298">
        <v>317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v>0</v>
      </c>
      <c r="CX298">
        <f>ROUND(Y298*Source!I103,9)</f>
        <v>10.8</v>
      </c>
      <c r="CY298">
        <f t="shared" si="125"/>
        <v>17.47</v>
      </c>
      <c r="CZ298">
        <f t="shared" si="126"/>
        <v>14.28</v>
      </c>
      <c r="DA298">
        <f t="shared" si="127"/>
        <v>1.19</v>
      </c>
      <c r="DB298">
        <f t="shared" si="117"/>
        <v>5140.8</v>
      </c>
      <c r="DC298">
        <f t="shared" si="118"/>
        <v>0</v>
      </c>
      <c r="DD298" t="s">
        <v>3</v>
      </c>
      <c r="DE298" t="s">
        <v>3</v>
      </c>
      <c r="DF298">
        <f t="shared" si="128"/>
        <v>183.49</v>
      </c>
      <c r="DG298">
        <f t="shared" si="129"/>
        <v>0</v>
      </c>
      <c r="DH298">
        <f t="shared" si="124"/>
        <v>0</v>
      </c>
      <c r="DI298">
        <f t="shared" si="106"/>
        <v>0</v>
      </c>
      <c r="DJ298">
        <f t="shared" si="130"/>
        <v>183.49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">
      <c r="A299">
        <f>ROW(Source!A108)</f>
        <v>108</v>
      </c>
      <c r="B299">
        <v>85739205</v>
      </c>
      <c r="C299">
        <v>85739727</v>
      </c>
      <c r="D299">
        <v>85164021</v>
      </c>
      <c r="E299">
        <v>1081</v>
      </c>
      <c r="F299">
        <v>1</v>
      </c>
      <c r="G299">
        <v>1081</v>
      </c>
      <c r="H299">
        <v>1</v>
      </c>
      <c r="I299" t="s">
        <v>472</v>
      </c>
      <c r="J299" t="s">
        <v>3</v>
      </c>
      <c r="K299" t="s">
        <v>473</v>
      </c>
      <c r="L299">
        <v>1191</v>
      </c>
      <c r="N299">
        <v>1013</v>
      </c>
      <c r="O299" t="s">
        <v>474</v>
      </c>
      <c r="P299" t="s">
        <v>474</v>
      </c>
      <c r="Q299">
        <v>1</v>
      </c>
      <c r="W299">
        <v>0</v>
      </c>
      <c r="X299">
        <v>476480486</v>
      </c>
      <c r="Y299">
        <f t="shared" ref="Y299:Y304" si="131">(AT299*1.2)</f>
        <v>166.79999999999998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</v>
      </c>
      <c r="AJ299">
        <v>1</v>
      </c>
      <c r="AK299">
        <v>1</v>
      </c>
      <c r="AL299">
        <v>1</v>
      </c>
      <c r="AM299">
        <v>-2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139</v>
      </c>
      <c r="AU299" t="s">
        <v>36</v>
      </c>
      <c r="AV299">
        <v>1</v>
      </c>
      <c r="AW299">
        <v>2</v>
      </c>
      <c r="AX299">
        <v>85739744</v>
      </c>
      <c r="AY299">
        <v>1</v>
      </c>
      <c r="AZ299">
        <v>0</v>
      </c>
      <c r="BA299">
        <v>319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U299">
        <f>ROUND(AT299*Source!I108*AH299*AL299,2)</f>
        <v>0</v>
      </c>
      <c r="CV299">
        <f>ROUND(Y299*Source!I108,9)</f>
        <v>50.04</v>
      </c>
      <c r="CW299">
        <v>0</v>
      </c>
      <c r="CX299">
        <f>ROUND(Y299*Source!I108,9)</f>
        <v>50.04</v>
      </c>
      <c r="CY299">
        <f>AD299</f>
        <v>0</v>
      </c>
      <c r="CZ299">
        <f>AH299</f>
        <v>0</v>
      </c>
      <c r="DA299">
        <f>AL299</f>
        <v>1</v>
      </c>
      <c r="DB299">
        <f t="shared" ref="DB299:DB304" si="132">ROUND((ROUND(AT299*CZ299,2)*1.2),6)</f>
        <v>0</v>
      </c>
      <c r="DC299">
        <f t="shared" ref="DC299:DC304" si="133">ROUND((ROUND(AT299*AG299,2)*1.2),6)</f>
        <v>0</v>
      </c>
      <c r="DD299" t="s">
        <v>3</v>
      </c>
      <c r="DE299" t="s">
        <v>3</v>
      </c>
      <c r="DF299">
        <f t="shared" ref="DF299:DF320" si="134">ROUND(ROUND(AE299,2)*CX299,2)</f>
        <v>0</v>
      </c>
      <c r="DG299">
        <f t="shared" si="129"/>
        <v>0</v>
      </c>
      <c r="DH299">
        <f t="shared" si="124"/>
        <v>0</v>
      </c>
      <c r="DI299">
        <f t="shared" si="106"/>
        <v>0</v>
      </c>
      <c r="DJ299">
        <f>DI299</f>
        <v>0</v>
      </c>
      <c r="DK299">
        <v>0</v>
      </c>
      <c r="DL299" t="s">
        <v>3</v>
      </c>
      <c r="DM299">
        <v>0</v>
      </c>
      <c r="DN299" t="s">
        <v>3</v>
      </c>
      <c r="DO299">
        <v>0</v>
      </c>
    </row>
    <row r="300" spans="1:119" x14ac:dyDescent="0.2">
      <c r="A300">
        <f>ROW(Source!A108)</f>
        <v>108</v>
      </c>
      <c r="B300">
        <v>85739205</v>
      </c>
      <c r="C300">
        <v>85739727</v>
      </c>
      <c r="D300">
        <v>85229527</v>
      </c>
      <c r="E300">
        <v>1</v>
      </c>
      <c r="F300">
        <v>1</v>
      </c>
      <c r="G300">
        <v>1081</v>
      </c>
      <c r="H300">
        <v>2</v>
      </c>
      <c r="I300" t="s">
        <v>546</v>
      </c>
      <c r="J300" t="s">
        <v>547</v>
      </c>
      <c r="K300" t="s">
        <v>548</v>
      </c>
      <c r="L300">
        <v>1368</v>
      </c>
      <c r="N300">
        <v>1011</v>
      </c>
      <c r="O300" t="s">
        <v>478</v>
      </c>
      <c r="P300" t="s">
        <v>478</v>
      </c>
      <c r="Q300">
        <v>1</v>
      </c>
      <c r="W300">
        <v>0</v>
      </c>
      <c r="X300">
        <v>-1222619517</v>
      </c>
      <c r="Y300">
        <f t="shared" si="131"/>
        <v>9</v>
      </c>
      <c r="AA300">
        <v>0</v>
      </c>
      <c r="AB300">
        <v>51.29</v>
      </c>
      <c r="AC300">
        <v>13.47</v>
      </c>
      <c r="AD300">
        <v>0</v>
      </c>
      <c r="AE300">
        <v>0</v>
      </c>
      <c r="AF300">
        <v>48.07</v>
      </c>
      <c r="AG300">
        <v>12.62</v>
      </c>
      <c r="AH300">
        <v>0</v>
      </c>
      <c r="AI300">
        <v>1</v>
      </c>
      <c r="AJ300">
        <v>1</v>
      </c>
      <c r="AK300">
        <v>1</v>
      </c>
      <c r="AL300">
        <v>1</v>
      </c>
      <c r="AM300">
        <v>-2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7.5</v>
      </c>
      <c r="AU300" t="s">
        <v>36</v>
      </c>
      <c r="AV300">
        <v>0</v>
      </c>
      <c r="AW300">
        <v>2</v>
      </c>
      <c r="AX300">
        <v>85739745</v>
      </c>
      <c r="AY300">
        <v>1</v>
      </c>
      <c r="AZ300">
        <v>0</v>
      </c>
      <c r="BA300">
        <v>320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f>ROUND(Y300*Source!I108*DO300,9)</f>
        <v>34.073999999999998</v>
      </c>
      <c r="CX300">
        <f>ROUND(Y300*Source!I108,9)</f>
        <v>2.7</v>
      </c>
      <c r="CY300">
        <f>AB300</f>
        <v>51.29</v>
      </c>
      <c r="CZ300">
        <f>AF300</f>
        <v>48.07</v>
      </c>
      <c r="DA300">
        <f>AJ300</f>
        <v>1</v>
      </c>
      <c r="DB300">
        <f t="shared" si="132"/>
        <v>432.63600000000002</v>
      </c>
      <c r="DC300">
        <f t="shared" si="133"/>
        <v>113.58</v>
      </c>
      <c r="DD300" t="s">
        <v>3</v>
      </c>
      <c r="DE300" t="s">
        <v>3</v>
      </c>
      <c r="DF300">
        <f t="shared" si="134"/>
        <v>0</v>
      </c>
      <c r="DG300">
        <f t="shared" si="129"/>
        <v>129.79</v>
      </c>
      <c r="DH300">
        <f t="shared" si="124"/>
        <v>34.07</v>
      </c>
      <c r="DI300">
        <f t="shared" si="106"/>
        <v>0</v>
      </c>
      <c r="DJ300">
        <f>DG300</f>
        <v>129.79</v>
      </c>
      <c r="DK300">
        <v>0</v>
      </c>
      <c r="DL300" t="s">
        <v>485</v>
      </c>
      <c r="DM300">
        <v>0</v>
      </c>
      <c r="DN300" t="s">
        <v>474</v>
      </c>
      <c r="DO300">
        <v>12.62</v>
      </c>
    </row>
    <row r="301" spans="1:119" x14ac:dyDescent="0.2">
      <c r="A301">
        <f>ROW(Source!A108)</f>
        <v>108</v>
      </c>
      <c r="B301">
        <v>85739205</v>
      </c>
      <c r="C301">
        <v>85739727</v>
      </c>
      <c r="D301">
        <v>85229564</v>
      </c>
      <c r="E301">
        <v>1</v>
      </c>
      <c r="F301">
        <v>1</v>
      </c>
      <c r="G301">
        <v>1081</v>
      </c>
      <c r="H301">
        <v>2</v>
      </c>
      <c r="I301" t="s">
        <v>549</v>
      </c>
      <c r="J301" t="s">
        <v>550</v>
      </c>
      <c r="K301" t="s">
        <v>551</v>
      </c>
      <c r="L301">
        <v>1368</v>
      </c>
      <c r="N301">
        <v>1011</v>
      </c>
      <c r="O301" t="s">
        <v>478</v>
      </c>
      <c r="P301" t="s">
        <v>478</v>
      </c>
      <c r="Q301">
        <v>1</v>
      </c>
      <c r="W301">
        <v>0</v>
      </c>
      <c r="X301">
        <v>210297649</v>
      </c>
      <c r="Y301">
        <f t="shared" si="131"/>
        <v>8.4</v>
      </c>
      <c r="AA301">
        <v>0</v>
      </c>
      <c r="AB301">
        <v>6.18</v>
      </c>
      <c r="AC301">
        <v>0</v>
      </c>
      <c r="AD301">
        <v>0</v>
      </c>
      <c r="AE301">
        <v>0</v>
      </c>
      <c r="AF301">
        <v>5.79</v>
      </c>
      <c r="AG301">
        <v>0</v>
      </c>
      <c r="AH301">
        <v>0</v>
      </c>
      <c r="AI301">
        <v>1</v>
      </c>
      <c r="AJ301">
        <v>1</v>
      </c>
      <c r="AK301">
        <v>1</v>
      </c>
      <c r="AL301">
        <v>1</v>
      </c>
      <c r="AM301">
        <v>-2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7</v>
      </c>
      <c r="AU301" t="s">
        <v>36</v>
      </c>
      <c r="AV301">
        <v>0</v>
      </c>
      <c r="AW301">
        <v>2</v>
      </c>
      <c r="AX301">
        <v>85739746</v>
      </c>
      <c r="AY301">
        <v>1</v>
      </c>
      <c r="AZ301">
        <v>0</v>
      </c>
      <c r="BA301">
        <v>321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f>ROUND(Y301*Source!I108*DO301,9)</f>
        <v>0</v>
      </c>
      <c r="CX301">
        <f>ROUND(Y301*Source!I108,9)</f>
        <v>2.52</v>
      </c>
      <c r="CY301">
        <f>AB301</f>
        <v>6.18</v>
      </c>
      <c r="CZ301">
        <f>AF301</f>
        <v>5.79</v>
      </c>
      <c r="DA301">
        <f>AJ301</f>
        <v>1</v>
      </c>
      <c r="DB301">
        <f t="shared" si="132"/>
        <v>48.636000000000003</v>
      </c>
      <c r="DC301">
        <f t="shared" si="133"/>
        <v>0</v>
      </c>
      <c r="DD301" t="s">
        <v>3</v>
      </c>
      <c r="DE301" t="s">
        <v>3</v>
      </c>
      <c r="DF301">
        <f t="shared" si="134"/>
        <v>0</v>
      </c>
      <c r="DG301">
        <f t="shared" si="129"/>
        <v>14.59</v>
      </c>
      <c r="DH301">
        <f t="shared" si="124"/>
        <v>0</v>
      </c>
      <c r="DI301">
        <f t="shared" si="106"/>
        <v>0</v>
      </c>
      <c r="DJ301">
        <f>DG301</f>
        <v>14.59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">
      <c r="A302">
        <f>ROW(Source!A108)</f>
        <v>108</v>
      </c>
      <c r="B302">
        <v>85739205</v>
      </c>
      <c r="C302">
        <v>85739727</v>
      </c>
      <c r="D302">
        <v>85229633</v>
      </c>
      <c r="E302">
        <v>1</v>
      </c>
      <c r="F302">
        <v>1</v>
      </c>
      <c r="G302">
        <v>1081</v>
      </c>
      <c r="H302">
        <v>2</v>
      </c>
      <c r="I302" t="s">
        <v>475</v>
      </c>
      <c r="J302" t="s">
        <v>476</v>
      </c>
      <c r="K302" t="s">
        <v>477</v>
      </c>
      <c r="L302">
        <v>1368</v>
      </c>
      <c r="N302">
        <v>1011</v>
      </c>
      <c r="O302" t="s">
        <v>478</v>
      </c>
      <c r="P302" t="s">
        <v>478</v>
      </c>
      <c r="Q302">
        <v>1</v>
      </c>
      <c r="W302">
        <v>0</v>
      </c>
      <c r="X302">
        <v>1498588441</v>
      </c>
      <c r="Y302">
        <f t="shared" si="131"/>
        <v>11.183999999999999</v>
      </c>
      <c r="AA302">
        <v>0</v>
      </c>
      <c r="AB302">
        <v>7.59</v>
      </c>
      <c r="AC302">
        <v>0</v>
      </c>
      <c r="AD302">
        <v>0</v>
      </c>
      <c r="AE302">
        <v>0</v>
      </c>
      <c r="AF302">
        <v>7.11</v>
      </c>
      <c r="AG302">
        <v>0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-2</v>
      </c>
      <c r="AN302">
        <v>0</v>
      </c>
      <c r="AO302">
        <v>1</v>
      </c>
      <c r="AP302">
        <v>1</v>
      </c>
      <c r="AQ302">
        <v>0</v>
      </c>
      <c r="AR302">
        <v>0</v>
      </c>
      <c r="AS302" t="s">
        <v>3</v>
      </c>
      <c r="AT302">
        <v>9.32</v>
      </c>
      <c r="AU302" t="s">
        <v>36</v>
      </c>
      <c r="AV302">
        <v>0</v>
      </c>
      <c r="AW302">
        <v>2</v>
      </c>
      <c r="AX302">
        <v>85739747</v>
      </c>
      <c r="AY302">
        <v>1</v>
      </c>
      <c r="AZ302">
        <v>0</v>
      </c>
      <c r="BA302">
        <v>322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f>ROUND(Y302*Source!I108*DO302,9)</f>
        <v>0</v>
      </c>
      <c r="CX302">
        <f>ROUND(Y302*Source!I108,9)</f>
        <v>3.3552</v>
      </c>
      <c r="CY302">
        <f>AB302</f>
        <v>7.59</v>
      </c>
      <c r="CZ302">
        <f>AF302</f>
        <v>7.11</v>
      </c>
      <c r="DA302">
        <f>AJ302</f>
        <v>1</v>
      </c>
      <c r="DB302">
        <f t="shared" si="132"/>
        <v>79.524000000000001</v>
      </c>
      <c r="DC302">
        <f t="shared" si="133"/>
        <v>0</v>
      </c>
      <c r="DD302" t="s">
        <v>3</v>
      </c>
      <c r="DE302" t="s">
        <v>3</v>
      </c>
      <c r="DF302">
        <f t="shared" si="134"/>
        <v>0</v>
      </c>
      <c r="DG302">
        <f t="shared" si="129"/>
        <v>23.86</v>
      </c>
      <c r="DH302">
        <f t="shared" si="124"/>
        <v>0</v>
      </c>
      <c r="DI302">
        <f t="shared" si="106"/>
        <v>0</v>
      </c>
      <c r="DJ302">
        <f>DG302</f>
        <v>23.86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">
      <c r="A303">
        <f>ROW(Source!A108)</f>
        <v>108</v>
      </c>
      <c r="B303">
        <v>85739205</v>
      </c>
      <c r="C303">
        <v>85739727</v>
      </c>
      <c r="D303">
        <v>85229932</v>
      </c>
      <c r="E303">
        <v>1</v>
      </c>
      <c r="F303">
        <v>1</v>
      </c>
      <c r="G303">
        <v>1081</v>
      </c>
      <c r="H303">
        <v>2</v>
      </c>
      <c r="I303" t="s">
        <v>482</v>
      </c>
      <c r="J303" t="s">
        <v>483</v>
      </c>
      <c r="K303" t="s">
        <v>484</v>
      </c>
      <c r="L303">
        <v>1368</v>
      </c>
      <c r="N303">
        <v>1011</v>
      </c>
      <c r="O303" t="s">
        <v>478</v>
      </c>
      <c r="P303" t="s">
        <v>478</v>
      </c>
      <c r="Q303">
        <v>1</v>
      </c>
      <c r="W303">
        <v>0</v>
      </c>
      <c r="X303">
        <v>874612079</v>
      </c>
      <c r="Y303">
        <f t="shared" si="131"/>
        <v>0.64800000000000002</v>
      </c>
      <c r="AA303">
        <v>0</v>
      </c>
      <c r="AB303">
        <v>88.67</v>
      </c>
      <c r="AC303">
        <v>13.47</v>
      </c>
      <c r="AD303">
        <v>0</v>
      </c>
      <c r="AE303">
        <v>0</v>
      </c>
      <c r="AF303">
        <v>83.1</v>
      </c>
      <c r="AG303">
        <v>12.62</v>
      </c>
      <c r="AH303">
        <v>0</v>
      </c>
      <c r="AI303">
        <v>1</v>
      </c>
      <c r="AJ303">
        <v>1</v>
      </c>
      <c r="AK303">
        <v>1</v>
      </c>
      <c r="AL303">
        <v>1</v>
      </c>
      <c r="AM303">
        <v>-2</v>
      </c>
      <c r="AN303">
        <v>0</v>
      </c>
      <c r="AO303">
        <v>1</v>
      </c>
      <c r="AP303">
        <v>1</v>
      </c>
      <c r="AQ303">
        <v>0</v>
      </c>
      <c r="AR303">
        <v>0</v>
      </c>
      <c r="AS303" t="s">
        <v>3</v>
      </c>
      <c r="AT303">
        <v>0.54</v>
      </c>
      <c r="AU303" t="s">
        <v>36</v>
      </c>
      <c r="AV303">
        <v>0</v>
      </c>
      <c r="AW303">
        <v>2</v>
      </c>
      <c r="AX303">
        <v>85739748</v>
      </c>
      <c r="AY303">
        <v>1</v>
      </c>
      <c r="AZ303">
        <v>0</v>
      </c>
      <c r="BA303">
        <v>323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f>ROUND(Y303*Source!I108*DO303,9)</f>
        <v>2.453328</v>
      </c>
      <c r="CX303">
        <f>ROUND(Y303*Source!I108,9)</f>
        <v>0.19439999999999999</v>
      </c>
      <c r="CY303">
        <f>AB303</f>
        <v>88.67</v>
      </c>
      <c r="CZ303">
        <f>AF303</f>
        <v>83.1</v>
      </c>
      <c r="DA303">
        <f>AJ303</f>
        <v>1</v>
      </c>
      <c r="DB303">
        <f t="shared" si="132"/>
        <v>53.844000000000001</v>
      </c>
      <c r="DC303">
        <f t="shared" si="133"/>
        <v>8.1720000000000006</v>
      </c>
      <c r="DD303" t="s">
        <v>3</v>
      </c>
      <c r="DE303" t="s">
        <v>3</v>
      </c>
      <c r="DF303">
        <f t="shared" si="134"/>
        <v>0</v>
      </c>
      <c r="DG303">
        <f t="shared" si="129"/>
        <v>16.149999999999999</v>
      </c>
      <c r="DH303">
        <f t="shared" si="124"/>
        <v>2.4500000000000002</v>
      </c>
      <c r="DI303">
        <f t="shared" si="106"/>
        <v>0</v>
      </c>
      <c r="DJ303">
        <f>DG303</f>
        <v>16.149999999999999</v>
      </c>
      <c r="DK303">
        <v>0</v>
      </c>
      <c r="DL303" t="s">
        <v>485</v>
      </c>
      <c r="DM303">
        <v>0</v>
      </c>
      <c r="DN303" t="s">
        <v>474</v>
      </c>
      <c r="DO303">
        <v>12.62</v>
      </c>
    </row>
    <row r="304" spans="1:119" x14ac:dyDescent="0.2">
      <c r="A304">
        <f>ROW(Source!A108)</f>
        <v>108</v>
      </c>
      <c r="B304">
        <v>85739205</v>
      </c>
      <c r="C304">
        <v>85739727</v>
      </c>
      <c r="D304">
        <v>85229250</v>
      </c>
      <c r="E304">
        <v>1</v>
      </c>
      <c r="F304">
        <v>1</v>
      </c>
      <c r="G304">
        <v>1081</v>
      </c>
      <c r="H304">
        <v>2</v>
      </c>
      <c r="I304" t="s">
        <v>552</v>
      </c>
      <c r="J304" t="s">
        <v>553</v>
      </c>
      <c r="K304" t="s">
        <v>554</v>
      </c>
      <c r="L304">
        <v>1368</v>
      </c>
      <c r="N304">
        <v>1011</v>
      </c>
      <c r="O304" t="s">
        <v>478</v>
      </c>
      <c r="P304" t="s">
        <v>478</v>
      </c>
      <c r="Q304">
        <v>1</v>
      </c>
      <c r="W304">
        <v>0</v>
      </c>
      <c r="X304">
        <v>-1755828087</v>
      </c>
      <c r="Y304">
        <f t="shared" si="131"/>
        <v>0.48</v>
      </c>
      <c r="AA304">
        <v>0</v>
      </c>
      <c r="AB304">
        <v>3.39</v>
      </c>
      <c r="AC304">
        <v>0</v>
      </c>
      <c r="AD304">
        <v>0</v>
      </c>
      <c r="AE304">
        <v>0</v>
      </c>
      <c r="AF304">
        <v>3.18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-2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0.4</v>
      </c>
      <c r="AU304" t="s">
        <v>36</v>
      </c>
      <c r="AV304">
        <v>0</v>
      </c>
      <c r="AW304">
        <v>2</v>
      </c>
      <c r="AX304">
        <v>85739749</v>
      </c>
      <c r="AY304">
        <v>1</v>
      </c>
      <c r="AZ304">
        <v>0</v>
      </c>
      <c r="BA304">
        <v>324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f>ROUND(Y304*Source!I108*DO304,9)</f>
        <v>0</v>
      </c>
      <c r="CX304">
        <f>ROUND(Y304*Source!I108,9)</f>
        <v>0.14399999999999999</v>
      </c>
      <c r="CY304">
        <f>AB304</f>
        <v>3.39</v>
      </c>
      <c r="CZ304">
        <f>AF304</f>
        <v>3.18</v>
      </c>
      <c r="DA304">
        <f>AJ304</f>
        <v>1</v>
      </c>
      <c r="DB304">
        <f t="shared" si="132"/>
        <v>1.524</v>
      </c>
      <c r="DC304">
        <f t="shared" si="133"/>
        <v>0</v>
      </c>
      <c r="DD304" t="s">
        <v>3</v>
      </c>
      <c r="DE304" t="s">
        <v>3</v>
      </c>
      <c r="DF304">
        <f t="shared" si="134"/>
        <v>0</v>
      </c>
      <c r="DG304">
        <f t="shared" si="129"/>
        <v>0.46</v>
      </c>
      <c r="DH304">
        <f t="shared" si="124"/>
        <v>0</v>
      </c>
      <c r="DI304">
        <f t="shared" si="106"/>
        <v>0</v>
      </c>
      <c r="DJ304">
        <f>DG304</f>
        <v>0.46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">
      <c r="A305">
        <f>ROW(Source!A108)</f>
        <v>108</v>
      </c>
      <c r="B305">
        <v>85739205</v>
      </c>
      <c r="C305">
        <v>85739727</v>
      </c>
      <c r="D305">
        <v>85198960</v>
      </c>
      <c r="E305">
        <v>1</v>
      </c>
      <c r="F305">
        <v>1</v>
      </c>
      <c r="G305">
        <v>1081</v>
      </c>
      <c r="H305">
        <v>3</v>
      </c>
      <c r="I305" t="s">
        <v>513</v>
      </c>
      <c r="J305" t="s">
        <v>514</v>
      </c>
      <c r="K305" t="s">
        <v>515</v>
      </c>
      <c r="L305">
        <v>1339</v>
      </c>
      <c r="N305">
        <v>1007</v>
      </c>
      <c r="O305" t="s">
        <v>506</v>
      </c>
      <c r="P305" t="s">
        <v>506</v>
      </c>
      <c r="Q305">
        <v>1</v>
      </c>
      <c r="W305">
        <v>0</v>
      </c>
      <c r="X305">
        <v>-1622585150</v>
      </c>
      <c r="Y305">
        <f t="shared" ref="Y305:Y314" si="135">(AT305*1)</f>
        <v>3</v>
      </c>
      <c r="AA305">
        <v>7.27</v>
      </c>
      <c r="AB305">
        <v>0</v>
      </c>
      <c r="AC305">
        <v>0</v>
      </c>
      <c r="AD305">
        <v>0</v>
      </c>
      <c r="AE305">
        <v>7.07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-2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3</v>
      </c>
      <c r="AU305" t="s">
        <v>35</v>
      </c>
      <c r="AV305">
        <v>0</v>
      </c>
      <c r="AW305">
        <v>2</v>
      </c>
      <c r="AX305">
        <v>85739750</v>
      </c>
      <c r="AY305">
        <v>1</v>
      </c>
      <c r="AZ305">
        <v>0</v>
      </c>
      <c r="BA305">
        <v>325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V305">
        <v>0</v>
      </c>
      <c r="CW305">
        <v>0</v>
      </c>
      <c r="CX305">
        <f>ROUND(Y305*Source!I108,9)</f>
        <v>0.9</v>
      </c>
      <c r="CY305">
        <f t="shared" ref="CY305:CY314" si="136">AA305</f>
        <v>7.27</v>
      </c>
      <c r="CZ305">
        <f t="shared" ref="CZ305:CZ314" si="137">AE305</f>
        <v>7.07</v>
      </c>
      <c r="DA305">
        <f t="shared" ref="DA305:DA314" si="138">AI305</f>
        <v>1</v>
      </c>
      <c r="DB305">
        <f t="shared" ref="DB305:DB314" si="139">ROUND((ROUND(AT305*CZ305,2)*1),6)</f>
        <v>21.21</v>
      </c>
      <c r="DC305">
        <f t="shared" ref="DC305:DC314" si="140">ROUND((ROUND(AT305*AG305,2)*1),6)</f>
        <v>0</v>
      </c>
      <c r="DD305" t="s">
        <v>3</v>
      </c>
      <c r="DE305" t="s">
        <v>3</v>
      </c>
      <c r="DF305">
        <f t="shared" si="134"/>
        <v>6.36</v>
      </c>
      <c r="DG305">
        <f t="shared" si="129"/>
        <v>0</v>
      </c>
      <c r="DH305">
        <f t="shared" si="124"/>
        <v>0</v>
      </c>
      <c r="DI305">
        <f t="shared" si="106"/>
        <v>0</v>
      </c>
      <c r="DJ305">
        <f t="shared" ref="DJ305:DJ314" si="141">DF305</f>
        <v>6.36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">
      <c r="A306">
        <f>ROW(Source!A108)</f>
        <v>108</v>
      </c>
      <c r="B306">
        <v>85739205</v>
      </c>
      <c r="C306">
        <v>85739727</v>
      </c>
      <c r="D306">
        <v>85200023</v>
      </c>
      <c r="E306">
        <v>1</v>
      </c>
      <c r="F306">
        <v>1</v>
      </c>
      <c r="G306">
        <v>1081</v>
      </c>
      <c r="H306">
        <v>3</v>
      </c>
      <c r="I306" t="s">
        <v>555</v>
      </c>
      <c r="J306" t="s">
        <v>556</v>
      </c>
      <c r="K306" t="s">
        <v>557</v>
      </c>
      <c r="L306">
        <v>1348</v>
      </c>
      <c r="N306">
        <v>1009</v>
      </c>
      <c r="O306" t="s">
        <v>266</v>
      </c>
      <c r="P306" t="s">
        <v>266</v>
      </c>
      <c r="Q306">
        <v>1000</v>
      </c>
      <c r="W306">
        <v>0</v>
      </c>
      <c r="X306">
        <v>63955816</v>
      </c>
      <c r="Y306">
        <f t="shared" si="135"/>
        <v>1.56E-3</v>
      </c>
      <c r="AA306">
        <v>7387.02</v>
      </c>
      <c r="AB306">
        <v>0</v>
      </c>
      <c r="AC306">
        <v>0</v>
      </c>
      <c r="AD306">
        <v>0</v>
      </c>
      <c r="AE306">
        <v>7185.82</v>
      </c>
      <c r="AF306">
        <v>0</v>
      </c>
      <c r="AG306">
        <v>0</v>
      </c>
      <c r="AH306">
        <v>0</v>
      </c>
      <c r="AI306">
        <v>1</v>
      </c>
      <c r="AJ306">
        <v>1</v>
      </c>
      <c r="AK306">
        <v>1</v>
      </c>
      <c r="AL306">
        <v>1</v>
      </c>
      <c r="AM306">
        <v>-2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1.56E-3</v>
      </c>
      <c r="AU306" t="s">
        <v>35</v>
      </c>
      <c r="AV306">
        <v>0</v>
      </c>
      <c r="AW306">
        <v>2</v>
      </c>
      <c r="AX306">
        <v>85739751</v>
      </c>
      <c r="AY306">
        <v>1</v>
      </c>
      <c r="AZ306">
        <v>0</v>
      </c>
      <c r="BA306">
        <v>326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v>0</v>
      </c>
      <c r="CX306">
        <f>ROUND(Y306*Source!I108,9)</f>
        <v>4.6799999999999999E-4</v>
      </c>
      <c r="CY306">
        <f t="shared" si="136"/>
        <v>7387.02</v>
      </c>
      <c r="CZ306">
        <f t="shared" si="137"/>
        <v>7185.82</v>
      </c>
      <c r="DA306">
        <f t="shared" si="138"/>
        <v>1</v>
      </c>
      <c r="DB306">
        <f t="shared" si="139"/>
        <v>11.21</v>
      </c>
      <c r="DC306">
        <f t="shared" si="140"/>
        <v>0</v>
      </c>
      <c r="DD306" t="s">
        <v>3</v>
      </c>
      <c r="DE306" t="s">
        <v>3</v>
      </c>
      <c r="DF306">
        <f t="shared" si="134"/>
        <v>3.36</v>
      </c>
      <c r="DG306">
        <f t="shared" si="129"/>
        <v>0</v>
      </c>
      <c r="DH306">
        <f t="shared" si="124"/>
        <v>0</v>
      </c>
      <c r="DI306">
        <f t="shared" si="106"/>
        <v>0</v>
      </c>
      <c r="DJ306">
        <f t="shared" si="141"/>
        <v>3.36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">
      <c r="A307">
        <f>ROW(Source!A108)</f>
        <v>108</v>
      </c>
      <c r="B307">
        <v>85739205</v>
      </c>
      <c r="C307">
        <v>85739727</v>
      </c>
      <c r="D307">
        <v>85200098</v>
      </c>
      <c r="E307">
        <v>1</v>
      </c>
      <c r="F307">
        <v>1</v>
      </c>
      <c r="G307">
        <v>1081</v>
      </c>
      <c r="H307">
        <v>3</v>
      </c>
      <c r="I307" t="s">
        <v>540</v>
      </c>
      <c r="J307" t="s">
        <v>541</v>
      </c>
      <c r="K307" t="s">
        <v>542</v>
      </c>
      <c r="L307">
        <v>1346</v>
      </c>
      <c r="N307">
        <v>1009</v>
      </c>
      <c r="O307" t="s">
        <v>502</v>
      </c>
      <c r="P307" t="s">
        <v>502</v>
      </c>
      <c r="Q307">
        <v>1</v>
      </c>
      <c r="W307">
        <v>0</v>
      </c>
      <c r="X307">
        <v>732400950</v>
      </c>
      <c r="Y307">
        <f t="shared" si="135"/>
        <v>0.76</v>
      </c>
      <c r="AA307">
        <v>21.59</v>
      </c>
      <c r="AB307">
        <v>0</v>
      </c>
      <c r="AC307">
        <v>0</v>
      </c>
      <c r="AD307">
        <v>0</v>
      </c>
      <c r="AE307">
        <v>21</v>
      </c>
      <c r="AF307">
        <v>0</v>
      </c>
      <c r="AG307">
        <v>0</v>
      </c>
      <c r="AH307">
        <v>0</v>
      </c>
      <c r="AI307">
        <v>1</v>
      </c>
      <c r="AJ307">
        <v>1</v>
      </c>
      <c r="AK307">
        <v>1</v>
      </c>
      <c r="AL307">
        <v>1</v>
      </c>
      <c r="AM307">
        <v>-2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0.76</v>
      </c>
      <c r="AU307" t="s">
        <v>35</v>
      </c>
      <c r="AV307">
        <v>0</v>
      </c>
      <c r="AW307">
        <v>2</v>
      </c>
      <c r="AX307">
        <v>85739752</v>
      </c>
      <c r="AY307">
        <v>1</v>
      </c>
      <c r="AZ307">
        <v>0</v>
      </c>
      <c r="BA307">
        <v>327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v>0</v>
      </c>
      <c r="CX307">
        <f>ROUND(Y307*Source!I108,9)</f>
        <v>0.22800000000000001</v>
      </c>
      <c r="CY307">
        <f t="shared" si="136"/>
        <v>21.59</v>
      </c>
      <c r="CZ307">
        <f t="shared" si="137"/>
        <v>21</v>
      </c>
      <c r="DA307">
        <f t="shared" si="138"/>
        <v>1</v>
      </c>
      <c r="DB307">
        <f t="shared" si="139"/>
        <v>15.96</v>
      </c>
      <c r="DC307">
        <f t="shared" si="140"/>
        <v>0</v>
      </c>
      <c r="DD307" t="s">
        <v>3</v>
      </c>
      <c r="DE307" t="s">
        <v>3</v>
      </c>
      <c r="DF307">
        <f t="shared" si="134"/>
        <v>4.79</v>
      </c>
      <c r="DG307">
        <f t="shared" si="129"/>
        <v>0</v>
      </c>
      <c r="DH307">
        <f t="shared" si="124"/>
        <v>0</v>
      </c>
      <c r="DI307">
        <f t="shared" si="106"/>
        <v>0</v>
      </c>
      <c r="DJ307">
        <f t="shared" si="141"/>
        <v>4.79</v>
      </c>
      <c r="DK307">
        <v>0</v>
      </c>
      <c r="DL307" t="s">
        <v>3</v>
      </c>
      <c r="DM307">
        <v>0</v>
      </c>
      <c r="DN307" t="s">
        <v>3</v>
      </c>
      <c r="DO307">
        <v>0</v>
      </c>
    </row>
    <row r="308" spans="1:119" x14ac:dyDescent="0.2">
      <c r="A308">
        <f>ROW(Source!A108)</f>
        <v>108</v>
      </c>
      <c r="B308">
        <v>85739205</v>
      </c>
      <c r="C308">
        <v>85739727</v>
      </c>
      <c r="D308">
        <v>85200296</v>
      </c>
      <c r="E308">
        <v>1</v>
      </c>
      <c r="F308">
        <v>1</v>
      </c>
      <c r="G308">
        <v>1081</v>
      </c>
      <c r="H308">
        <v>3</v>
      </c>
      <c r="I308" t="s">
        <v>558</v>
      </c>
      <c r="J308" t="s">
        <v>559</v>
      </c>
      <c r="K308" t="s">
        <v>560</v>
      </c>
      <c r="L308">
        <v>1355</v>
      </c>
      <c r="N308">
        <v>1010</v>
      </c>
      <c r="O308" t="s">
        <v>240</v>
      </c>
      <c r="P308" t="s">
        <v>240</v>
      </c>
      <c r="Q308">
        <v>100</v>
      </c>
      <c r="W308">
        <v>0</v>
      </c>
      <c r="X308">
        <v>1567739421</v>
      </c>
      <c r="Y308">
        <f t="shared" si="135"/>
        <v>0.36</v>
      </c>
      <c r="AA308">
        <v>510.7</v>
      </c>
      <c r="AB308">
        <v>0</v>
      </c>
      <c r="AC308">
        <v>0</v>
      </c>
      <c r="AD308">
        <v>0</v>
      </c>
      <c r="AE308">
        <v>496.79</v>
      </c>
      <c r="AF308">
        <v>0</v>
      </c>
      <c r="AG308">
        <v>0</v>
      </c>
      <c r="AH308">
        <v>0</v>
      </c>
      <c r="AI308">
        <v>1</v>
      </c>
      <c r="AJ308">
        <v>1</v>
      </c>
      <c r="AK308">
        <v>1</v>
      </c>
      <c r="AL308">
        <v>1</v>
      </c>
      <c r="AM308">
        <v>-2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0.36</v>
      </c>
      <c r="AU308" t="s">
        <v>35</v>
      </c>
      <c r="AV308">
        <v>0</v>
      </c>
      <c r="AW308">
        <v>2</v>
      </c>
      <c r="AX308">
        <v>85739753</v>
      </c>
      <c r="AY308">
        <v>1</v>
      </c>
      <c r="AZ308">
        <v>0</v>
      </c>
      <c r="BA308">
        <v>328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ROUND(Y308*Source!I108,9)</f>
        <v>0.108</v>
      </c>
      <c r="CY308">
        <f t="shared" si="136"/>
        <v>510.7</v>
      </c>
      <c r="CZ308">
        <f t="shared" si="137"/>
        <v>496.79</v>
      </c>
      <c r="DA308">
        <f t="shared" si="138"/>
        <v>1</v>
      </c>
      <c r="DB308">
        <f t="shared" si="139"/>
        <v>178.84</v>
      </c>
      <c r="DC308">
        <f t="shared" si="140"/>
        <v>0</v>
      </c>
      <c r="DD308" t="s">
        <v>3</v>
      </c>
      <c r="DE308" t="s">
        <v>3</v>
      </c>
      <c r="DF308">
        <f t="shared" si="134"/>
        <v>53.65</v>
      </c>
      <c r="DG308">
        <f t="shared" si="129"/>
        <v>0</v>
      </c>
      <c r="DH308">
        <f t="shared" si="124"/>
        <v>0</v>
      </c>
      <c r="DI308">
        <f t="shared" si="106"/>
        <v>0</v>
      </c>
      <c r="DJ308">
        <f t="shared" si="141"/>
        <v>53.65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">
      <c r="A309">
        <f>ROW(Source!A108)</f>
        <v>108</v>
      </c>
      <c r="B309">
        <v>85739205</v>
      </c>
      <c r="C309">
        <v>85739727</v>
      </c>
      <c r="D309">
        <v>85200297</v>
      </c>
      <c r="E309">
        <v>1</v>
      </c>
      <c r="F309">
        <v>1</v>
      </c>
      <c r="G309">
        <v>1081</v>
      </c>
      <c r="H309">
        <v>3</v>
      </c>
      <c r="I309" t="s">
        <v>561</v>
      </c>
      <c r="J309" t="s">
        <v>562</v>
      </c>
      <c r="K309" t="s">
        <v>563</v>
      </c>
      <c r="L309">
        <v>1355</v>
      </c>
      <c r="N309">
        <v>1010</v>
      </c>
      <c r="O309" t="s">
        <v>240</v>
      </c>
      <c r="P309" t="s">
        <v>240</v>
      </c>
      <c r="Q309">
        <v>100</v>
      </c>
      <c r="W309">
        <v>0</v>
      </c>
      <c r="X309">
        <v>-96727844</v>
      </c>
      <c r="Y309">
        <f t="shared" si="135"/>
        <v>0.36</v>
      </c>
      <c r="AA309">
        <v>250.58</v>
      </c>
      <c r="AB309">
        <v>0</v>
      </c>
      <c r="AC309">
        <v>0</v>
      </c>
      <c r="AD309">
        <v>0</v>
      </c>
      <c r="AE309">
        <v>243.75</v>
      </c>
      <c r="AF309">
        <v>0</v>
      </c>
      <c r="AG309">
        <v>0</v>
      </c>
      <c r="AH309">
        <v>0</v>
      </c>
      <c r="AI309">
        <v>1</v>
      </c>
      <c r="AJ309">
        <v>1</v>
      </c>
      <c r="AK309">
        <v>1</v>
      </c>
      <c r="AL309">
        <v>1</v>
      </c>
      <c r="AM309">
        <v>-2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0.36</v>
      </c>
      <c r="AU309" t="s">
        <v>35</v>
      </c>
      <c r="AV309">
        <v>0</v>
      </c>
      <c r="AW309">
        <v>2</v>
      </c>
      <c r="AX309">
        <v>85739754</v>
      </c>
      <c r="AY309">
        <v>1</v>
      </c>
      <c r="AZ309">
        <v>0</v>
      </c>
      <c r="BA309">
        <v>329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v>0</v>
      </c>
      <c r="CX309">
        <f>ROUND(Y309*Source!I108,9)</f>
        <v>0.108</v>
      </c>
      <c r="CY309">
        <f t="shared" si="136"/>
        <v>250.58</v>
      </c>
      <c r="CZ309">
        <f t="shared" si="137"/>
        <v>243.75</v>
      </c>
      <c r="DA309">
        <f t="shared" si="138"/>
        <v>1</v>
      </c>
      <c r="DB309">
        <f t="shared" si="139"/>
        <v>87.75</v>
      </c>
      <c r="DC309">
        <f t="shared" si="140"/>
        <v>0</v>
      </c>
      <c r="DD309" t="s">
        <v>3</v>
      </c>
      <c r="DE309" t="s">
        <v>3</v>
      </c>
      <c r="DF309">
        <f t="shared" si="134"/>
        <v>26.33</v>
      </c>
      <c r="DG309">
        <f t="shared" si="129"/>
        <v>0</v>
      </c>
      <c r="DH309">
        <f t="shared" si="124"/>
        <v>0</v>
      </c>
      <c r="DI309">
        <f t="shared" si="106"/>
        <v>0</v>
      </c>
      <c r="DJ309">
        <f t="shared" si="141"/>
        <v>26.33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">
      <c r="A310">
        <f>ROW(Source!A108)</f>
        <v>108</v>
      </c>
      <c r="B310">
        <v>85739205</v>
      </c>
      <c r="C310">
        <v>85739727</v>
      </c>
      <c r="D310">
        <v>85198892</v>
      </c>
      <c r="E310">
        <v>1</v>
      </c>
      <c r="F310">
        <v>1</v>
      </c>
      <c r="G310">
        <v>1081</v>
      </c>
      <c r="H310">
        <v>3</v>
      </c>
      <c r="I310" t="s">
        <v>543</v>
      </c>
      <c r="J310" t="s">
        <v>544</v>
      </c>
      <c r="K310" t="s">
        <v>545</v>
      </c>
      <c r="L310">
        <v>1339</v>
      </c>
      <c r="N310">
        <v>1007</v>
      </c>
      <c r="O310" t="s">
        <v>506</v>
      </c>
      <c r="P310" t="s">
        <v>506</v>
      </c>
      <c r="Q310">
        <v>1</v>
      </c>
      <c r="W310">
        <v>0</v>
      </c>
      <c r="X310">
        <v>-676034668</v>
      </c>
      <c r="Y310">
        <f t="shared" si="135"/>
        <v>0.59</v>
      </c>
      <c r="AA310">
        <v>54.92</v>
      </c>
      <c r="AB310">
        <v>0</v>
      </c>
      <c r="AC310">
        <v>0</v>
      </c>
      <c r="AD310">
        <v>0</v>
      </c>
      <c r="AE310">
        <v>53.42</v>
      </c>
      <c r="AF310">
        <v>0</v>
      </c>
      <c r="AG310">
        <v>0</v>
      </c>
      <c r="AH310">
        <v>0</v>
      </c>
      <c r="AI310">
        <v>1</v>
      </c>
      <c r="AJ310">
        <v>1</v>
      </c>
      <c r="AK310">
        <v>1</v>
      </c>
      <c r="AL310">
        <v>1</v>
      </c>
      <c r="AM310">
        <v>-2</v>
      </c>
      <c r="AN310">
        <v>0</v>
      </c>
      <c r="AO310">
        <v>1</v>
      </c>
      <c r="AP310">
        <v>1</v>
      </c>
      <c r="AQ310">
        <v>0</v>
      </c>
      <c r="AR310">
        <v>0</v>
      </c>
      <c r="AS310" t="s">
        <v>3</v>
      </c>
      <c r="AT310">
        <v>0.59</v>
      </c>
      <c r="AU310" t="s">
        <v>35</v>
      </c>
      <c r="AV310">
        <v>0</v>
      </c>
      <c r="AW310">
        <v>2</v>
      </c>
      <c r="AX310">
        <v>85739755</v>
      </c>
      <c r="AY310">
        <v>1</v>
      </c>
      <c r="AZ310">
        <v>0</v>
      </c>
      <c r="BA310">
        <v>330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v>0</v>
      </c>
      <c r="CX310">
        <f>ROUND(Y310*Source!I108,9)</f>
        <v>0.17699999999999999</v>
      </c>
      <c r="CY310">
        <f t="shared" si="136"/>
        <v>54.92</v>
      </c>
      <c r="CZ310">
        <f t="shared" si="137"/>
        <v>53.42</v>
      </c>
      <c r="DA310">
        <f t="shared" si="138"/>
        <v>1</v>
      </c>
      <c r="DB310">
        <f t="shared" si="139"/>
        <v>31.52</v>
      </c>
      <c r="DC310">
        <f t="shared" si="140"/>
        <v>0</v>
      </c>
      <c r="DD310" t="s">
        <v>3</v>
      </c>
      <c r="DE310" t="s">
        <v>3</v>
      </c>
      <c r="DF310">
        <f t="shared" si="134"/>
        <v>9.4600000000000009</v>
      </c>
      <c r="DG310">
        <f t="shared" si="129"/>
        <v>0</v>
      </c>
      <c r="DH310">
        <f t="shared" si="124"/>
        <v>0</v>
      </c>
      <c r="DI310">
        <f t="shared" si="106"/>
        <v>0</v>
      </c>
      <c r="DJ310">
        <f t="shared" si="141"/>
        <v>9.4600000000000009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">
      <c r="A311">
        <f>ROW(Source!A108)</f>
        <v>108</v>
      </c>
      <c r="B311">
        <v>85739205</v>
      </c>
      <c r="C311">
        <v>85739727</v>
      </c>
      <c r="D311">
        <v>85199158</v>
      </c>
      <c r="E311">
        <v>1</v>
      </c>
      <c r="F311">
        <v>1</v>
      </c>
      <c r="G311">
        <v>1081</v>
      </c>
      <c r="H311">
        <v>3</v>
      </c>
      <c r="I311" t="s">
        <v>503</v>
      </c>
      <c r="J311" t="s">
        <v>504</v>
      </c>
      <c r="K311" t="s">
        <v>505</v>
      </c>
      <c r="L311">
        <v>1339</v>
      </c>
      <c r="N311">
        <v>1007</v>
      </c>
      <c r="O311" t="s">
        <v>506</v>
      </c>
      <c r="P311" t="s">
        <v>506</v>
      </c>
      <c r="Q311">
        <v>1</v>
      </c>
      <c r="W311">
        <v>0</v>
      </c>
      <c r="X311">
        <v>-1235260082</v>
      </c>
      <c r="Y311">
        <f t="shared" si="135"/>
        <v>0.76</v>
      </c>
      <c r="AA311">
        <v>5.98</v>
      </c>
      <c r="AB311">
        <v>0</v>
      </c>
      <c r="AC311">
        <v>0</v>
      </c>
      <c r="AD311">
        <v>0</v>
      </c>
      <c r="AE311">
        <v>5.82</v>
      </c>
      <c r="AF311">
        <v>0</v>
      </c>
      <c r="AG311">
        <v>0</v>
      </c>
      <c r="AH311">
        <v>0</v>
      </c>
      <c r="AI311">
        <v>1</v>
      </c>
      <c r="AJ311">
        <v>1</v>
      </c>
      <c r="AK311">
        <v>1</v>
      </c>
      <c r="AL311">
        <v>1</v>
      </c>
      <c r="AM311">
        <v>-2</v>
      </c>
      <c r="AN311">
        <v>0</v>
      </c>
      <c r="AO311">
        <v>1</v>
      </c>
      <c r="AP311">
        <v>1</v>
      </c>
      <c r="AQ311">
        <v>0</v>
      </c>
      <c r="AR311">
        <v>0</v>
      </c>
      <c r="AS311" t="s">
        <v>3</v>
      </c>
      <c r="AT311">
        <v>0.76</v>
      </c>
      <c r="AU311" t="s">
        <v>35</v>
      </c>
      <c r="AV311">
        <v>0</v>
      </c>
      <c r="AW311">
        <v>2</v>
      </c>
      <c r="AX311">
        <v>85739756</v>
      </c>
      <c r="AY311">
        <v>1</v>
      </c>
      <c r="AZ311">
        <v>0</v>
      </c>
      <c r="BA311">
        <v>331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ROUND(Y311*Source!I108,9)</f>
        <v>0.22800000000000001</v>
      </c>
      <c r="CY311">
        <f t="shared" si="136"/>
        <v>5.98</v>
      </c>
      <c r="CZ311">
        <f t="shared" si="137"/>
        <v>5.82</v>
      </c>
      <c r="DA311">
        <f t="shared" si="138"/>
        <v>1</v>
      </c>
      <c r="DB311">
        <f t="shared" si="139"/>
        <v>4.42</v>
      </c>
      <c r="DC311">
        <f t="shared" si="140"/>
        <v>0</v>
      </c>
      <c r="DD311" t="s">
        <v>3</v>
      </c>
      <c r="DE311" t="s">
        <v>3</v>
      </c>
      <c r="DF311">
        <f t="shared" si="134"/>
        <v>1.33</v>
      </c>
      <c r="DG311">
        <f t="shared" si="129"/>
        <v>0</v>
      </c>
      <c r="DH311">
        <f t="shared" si="124"/>
        <v>0</v>
      </c>
      <c r="DI311">
        <f t="shared" si="106"/>
        <v>0</v>
      </c>
      <c r="DJ311">
        <f t="shared" si="141"/>
        <v>1.33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">
      <c r="A312">
        <f>ROW(Source!A108)</f>
        <v>108</v>
      </c>
      <c r="B312">
        <v>85739205</v>
      </c>
      <c r="C312">
        <v>85739727</v>
      </c>
      <c r="D312">
        <v>85211458</v>
      </c>
      <c r="E312">
        <v>1</v>
      </c>
      <c r="F312">
        <v>1</v>
      </c>
      <c r="G312">
        <v>1081</v>
      </c>
      <c r="H312">
        <v>3</v>
      </c>
      <c r="I312" t="s">
        <v>209</v>
      </c>
      <c r="J312" t="s">
        <v>211</v>
      </c>
      <c r="K312" t="s">
        <v>210</v>
      </c>
      <c r="L312">
        <v>1301</v>
      </c>
      <c r="N312">
        <v>1003</v>
      </c>
      <c r="O312" t="s">
        <v>179</v>
      </c>
      <c r="P312" t="s">
        <v>179</v>
      </c>
      <c r="Q312">
        <v>1</v>
      </c>
      <c r="W312">
        <v>0</v>
      </c>
      <c r="X312">
        <v>-2048145394</v>
      </c>
      <c r="Y312">
        <f t="shared" si="135"/>
        <v>50.25</v>
      </c>
      <c r="AA312">
        <v>41.57</v>
      </c>
      <c r="AB312">
        <v>0</v>
      </c>
      <c r="AC312">
        <v>0</v>
      </c>
      <c r="AD312">
        <v>0</v>
      </c>
      <c r="AE312">
        <v>41.57</v>
      </c>
      <c r="AF312">
        <v>0</v>
      </c>
      <c r="AG312">
        <v>0</v>
      </c>
      <c r="AH312">
        <v>0</v>
      </c>
      <c r="AI312">
        <v>1</v>
      </c>
      <c r="AJ312">
        <v>1</v>
      </c>
      <c r="AK312">
        <v>1</v>
      </c>
      <c r="AL312">
        <v>1</v>
      </c>
      <c r="AM312">
        <v>0</v>
      </c>
      <c r="AN312">
        <v>0</v>
      </c>
      <c r="AO312">
        <v>0</v>
      </c>
      <c r="AP312">
        <v>1</v>
      </c>
      <c r="AQ312">
        <v>0</v>
      </c>
      <c r="AR312">
        <v>0</v>
      </c>
      <c r="AS312" t="s">
        <v>3</v>
      </c>
      <c r="AT312">
        <v>50.25</v>
      </c>
      <c r="AU312" t="s">
        <v>35</v>
      </c>
      <c r="AV312">
        <v>0</v>
      </c>
      <c r="AW312">
        <v>1</v>
      </c>
      <c r="AX312">
        <v>-1</v>
      </c>
      <c r="AY312">
        <v>0</v>
      </c>
      <c r="AZ312">
        <v>0</v>
      </c>
      <c r="BA312" t="s">
        <v>3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ROUND(Y312*Source!I108,9)</f>
        <v>15.074999999999999</v>
      </c>
      <c r="CY312">
        <f t="shared" si="136"/>
        <v>41.57</v>
      </c>
      <c r="CZ312">
        <f t="shared" si="137"/>
        <v>41.57</v>
      </c>
      <c r="DA312">
        <f t="shared" si="138"/>
        <v>1</v>
      </c>
      <c r="DB312">
        <f t="shared" si="139"/>
        <v>2088.89</v>
      </c>
      <c r="DC312">
        <f t="shared" si="140"/>
        <v>0</v>
      </c>
      <c r="DD312" t="s">
        <v>3</v>
      </c>
      <c r="DE312" t="s">
        <v>3</v>
      </c>
      <c r="DF312">
        <f t="shared" si="134"/>
        <v>626.66999999999996</v>
      </c>
      <c r="DG312">
        <f t="shared" si="129"/>
        <v>0</v>
      </c>
      <c r="DH312">
        <f t="shared" si="124"/>
        <v>0</v>
      </c>
      <c r="DI312">
        <f t="shared" si="106"/>
        <v>0</v>
      </c>
      <c r="DJ312">
        <f t="shared" si="141"/>
        <v>626.66999999999996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">
      <c r="A313">
        <f>ROW(Source!A108)</f>
        <v>108</v>
      </c>
      <c r="B313">
        <v>85739205</v>
      </c>
      <c r="C313">
        <v>85739727</v>
      </c>
      <c r="D313">
        <v>85211459</v>
      </c>
      <c r="E313">
        <v>1</v>
      </c>
      <c r="F313">
        <v>1</v>
      </c>
      <c r="G313">
        <v>1081</v>
      </c>
      <c r="H313">
        <v>3</v>
      </c>
      <c r="I313" t="s">
        <v>206</v>
      </c>
      <c r="J313" t="s">
        <v>208</v>
      </c>
      <c r="K313" t="s">
        <v>207</v>
      </c>
      <c r="L313">
        <v>1301</v>
      </c>
      <c r="N313">
        <v>1003</v>
      </c>
      <c r="O313" t="s">
        <v>179</v>
      </c>
      <c r="P313" t="s">
        <v>179</v>
      </c>
      <c r="Q313">
        <v>1</v>
      </c>
      <c r="W313">
        <v>0</v>
      </c>
      <c r="X313">
        <v>-173671470</v>
      </c>
      <c r="Y313">
        <f t="shared" si="135"/>
        <v>50.25</v>
      </c>
      <c r="AA313">
        <v>51.28</v>
      </c>
      <c r="AB313">
        <v>0</v>
      </c>
      <c r="AC313">
        <v>0</v>
      </c>
      <c r="AD313">
        <v>0</v>
      </c>
      <c r="AE313">
        <v>51.28</v>
      </c>
      <c r="AF313">
        <v>0</v>
      </c>
      <c r="AG313">
        <v>0</v>
      </c>
      <c r="AH313">
        <v>0</v>
      </c>
      <c r="AI313">
        <v>1</v>
      </c>
      <c r="AJ313">
        <v>1</v>
      </c>
      <c r="AK313">
        <v>1</v>
      </c>
      <c r="AL313">
        <v>1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0</v>
      </c>
      <c r="AS313" t="s">
        <v>3</v>
      </c>
      <c r="AT313">
        <v>50.25</v>
      </c>
      <c r="AU313" t="s">
        <v>35</v>
      </c>
      <c r="AV313">
        <v>0</v>
      </c>
      <c r="AW313">
        <v>1</v>
      </c>
      <c r="AX313">
        <v>-1</v>
      </c>
      <c r="AY313">
        <v>0</v>
      </c>
      <c r="AZ313">
        <v>0</v>
      </c>
      <c r="BA313" t="s">
        <v>3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V313">
        <v>0</v>
      </c>
      <c r="CW313">
        <v>0</v>
      </c>
      <c r="CX313">
        <f>ROUND(Y313*Source!I108,9)</f>
        <v>15.074999999999999</v>
      </c>
      <c r="CY313">
        <f t="shared" si="136"/>
        <v>51.28</v>
      </c>
      <c r="CZ313">
        <f t="shared" si="137"/>
        <v>51.28</v>
      </c>
      <c r="DA313">
        <f t="shared" si="138"/>
        <v>1</v>
      </c>
      <c r="DB313">
        <f t="shared" si="139"/>
        <v>2576.8200000000002</v>
      </c>
      <c r="DC313">
        <f t="shared" si="140"/>
        <v>0</v>
      </c>
      <c r="DD313" t="s">
        <v>3</v>
      </c>
      <c r="DE313" t="s">
        <v>3</v>
      </c>
      <c r="DF313">
        <f t="shared" si="134"/>
        <v>773.05</v>
      </c>
      <c r="DG313">
        <f t="shared" si="129"/>
        <v>0</v>
      </c>
      <c r="DH313">
        <f t="shared" si="124"/>
        <v>0</v>
      </c>
      <c r="DI313">
        <f t="shared" si="106"/>
        <v>0</v>
      </c>
      <c r="DJ313">
        <f t="shared" si="141"/>
        <v>773.05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">
      <c r="A314">
        <f>ROW(Source!A108)</f>
        <v>108</v>
      </c>
      <c r="B314">
        <v>85739205</v>
      </c>
      <c r="C314">
        <v>85739727</v>
      </c>
      <c r="D314">
        <v>85221547</v>
      </c>
      <c r="E314">
        <v>1</v>
      </c>
      <c r="F314">
        <v>1</v>
      </c>
      <c r="G314">
        <v>1081</v>
      </c>
      <c r="H314">
        <v>3</v>
      </c>
      <c r="I314" t="s">
        <v>564</v>
      </c>
      <c r="J314" t="s">
        <v>565</v>
      </c>
      <c r="K314" t="s">
        <v>566</v>
      </c>
      <c r="L314">
        <v>1354</v>
      </c>
      <c r="N314">
        <v>1010</v>
      </c>
      <c r="O314" t="s">
        <v>99</v>
      </c>
      <c r="P314" t="s">
        <v>99</v>
      </c>
      <c r="Q314">
        <v>1</v>
      </c>
      <c r="W314">
        <v>0</v>
      </c>
      <c r="X314">
        <v>483106430</v>
      </c>
      <c r="Y314">
        <f t="shared" si="135"/>
        <v>36</v>
      </c>
      <c r="AA314">
        <v>14.68</v>
      </c>
      <c r="AB314">
        <v>0</v>
      </c>
      <c r="AC314">
        <v>0</v>
      </c>
      <c r="AD314">
        <v>0</v>
      </c>
      <c r="AE314">
        <v>14.28</v>
      </c>
      <c r="AF314">
        <v>0</v>
      </c>
      <c r="AG314">
        <v>0</v>
      </c>
      <c r="AH314">
        <v>0</v>
      </c>
      <c r="AI314">
        <v>1</v>
      </c>
      <c r="AJ314">
        <v>1</v>
      </c>
      <c r="AK314">
        <v>1</v>
      </c>
      <c r="AL314">
        <v>1</v>
      </c>
      <c r="AM314">
        <v>-2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36</v>
      </c>
      <c r="AU314" t="s">
        <v>35</v>
      </c>
      <c r="AV314">
        <v>0</v>
      </c>
      <c r="AW314">
        <v>2</v>
      </c>
      <c r="AX314">
        <v>85739757</v>
      </c>
      <c r="AY314">
        <v>1</v>
      </c>
      <c r="AZ314">
        <v>0</v>
      </c>
      <c r="BA314">
        <v>332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v>0</v>
      </c>
      <c r="CX314">
        <f>ROUND(Y314*Source!I108,9)</f>
        <v>10.8</v>
      </c>
      <c r="CY314">
        <f t="shared" si="136"/>
        <v>14.68</v>
      </c>
      <c r="CZ314">
        <f t="shared" si="137"/>
        <v>14.28</v>
      </c>
      <c r="DA314">
        <f t="shared" si="138"/>
        <v>1</v>
      </c>
      <c r="DB314">
        <f t="shared" si="139"/>
        <v>514.08000000000004</v>
      </c>
      <c r="DC314">
        <f t="shared" si="140"/>
        <v>0</v>
      </c>
      <c r="DD314" t="s">
        <v>3</v>
      </c>
      <c r="DE314" t="s">
        <v>3</v>
      </c>
      <c r="DF314">
        <f t="shared" si="134"/>
        <v>154.22</v>
      </c>
      <c r="DG314">
        <f t="shared" si="129"/>
        <v>0</v>
      </c>
      <c r="DH314">
        <f t="shared" si="124"/>
        <v>0</v>
      </c>
      <c r="DI314">
        <f t="shared" si="106"/>
        <v>0</v>
      </c>
      <c r="DJ314">
        <f t="shared" si="141"/>
        <v>154.22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">
      <c r="A315">
        <f>ROW(Source!A109)</f>
        <v>109</v>
      </c>
      <c r="B315">
        <v>85739207</v>
      </c>
      <c r="C315">
        <v>85739727</v>
      </c>
      <c r="D315">
        <v>85164021</v>
      </c>
      <c r="E315">
        <v>1081</v>
      </c>
      <c r="F315">
        <v>1</v>
      </c>
      <c r="G315">
        <v>1081</v>
      </c>
      <c r="H315">
        <v>1</v>
      </c>
      <c r="I315" t="s">
        <v>472</v>
      </c>
      <c r="J315" t="s">
        <v>3</v>
      </c>
      <c r="K315" t="s">
        <v>473</v>
      </c>
      <c r="L315">
        <v>1191</v>
      </c>
      <c r="N315">
        <v>1013</v>
      </c>
      <c r="O315" t="s">
        <v>474</v>
      </c>
      <c r="P315" t="s">
        <v>474</v>
      </c>
      <c r="Q315">
        <v>1</v>
      </c>
      <c r="W315">
        <v>0</v>
      </c>
      <c r="X315">
        <v>476480486</v>
      </c>
      <c r="Y315">
        <f t="shared" ref="Y315:Y320" si="142">(AT315*1.2)</f>
        <v>166.79999999999998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</v>
      </c>
      <c r="AJ315">
        <v>1</v>
      </c>
      <c r="AK315">
        <v>1</v>
      </c>
      <c r="AL315">
        <v>1</v>
      </c>
      <c r="AM315">
        <v>5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139</v>
      </c>
      <c r="AU315" t="s">
        <v>36</v>
      </c>
      <c r="AV315">
        <v>1</v>
      </c>
      <c r="AW315">
        <v>2</v>
      </c>
      <c r="AX315">
        <v>85739744</v>
      </c>
      <c r="AY315">
        <v>1</v>
      </c>
      <c r="AZ315">
        <v>0</v>
      </c>
      <c r="BA315">
        <v>334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U315">
        <f>ROUND(AT315*Source!I109*AH315*AL315,2)</f>
        <v>0</v>
      </c>
      <c r="CV315">
        <f>ROUND(Y315*Source!I109,9)</f>
        <v>50.04</v>
      </c>
      <c r="CW315">
        <v>0</v>
      </c>
      <c r="CX315">
        <f>ROUND(Y315*Source!I109,9)</f>
        <v>50.04</v>
      </c>
      <c r="CY315">
        <f>AD315</f>
        <v>0</v>
      </c>
      <c r="CZ315">
        <f>AH315</f>
        <v>0</v>
      </c>
      <c r="DA315">
        <f>AL315</f>
        <v>1</v>
      </c>
      <c r="DB315">
        <f t="shared" ref="DB315:DB320" si="143">ROUND((ROUND(AT315*CZ315,2)*1.2),6)</f>
        <v>0</v>
      </c>
      <c r="DC315">
        <f t="shared" ref="DC315:DC320" si="144">ROUND((ROUND(AT315*AG315,2)*1.2),6)</f>
        <v>0</v>
      </c>
      <c r="DD315" t="s">
        <v>3</v>
      </c>
      <c r="DE315" t="s">
        <v>3</v>
      </c>
      <c r="DF315">
        <f t="shared" si="134"/>
        <v>0</v>
      </c>
      <c r="DG315">
        <f t="shared" si="129"/>
        <v>0</v>
      </c>
      <c r="DH315">
        <f t="shared" si="124"/>
        <v>0</v>
      </c>
      <c r="DI315">
        <f t="shared" si="106"/>
        <v>0</v>
      </c>
      <c r="DJ315">
        <f>DI315</f>
        <v>0</v>
      </c>
      <c r="DK315">
        <v>0</v>
      </c>
      <c r="DL315" t="s">
        <v>3</v>
      </c>
      <c r="DM315">
        <v>0</v>
      </c>
      <c r="DN315" t="s">
        <v>3</v>
      </c>
      <c r="DO315">
        <v>0</v>
      </c>
    </row>
    <row r="316" spans="1:119" x14ac:dyDescent="0.2">
      <c r="A316">
        <f>ROW(Source!A109)</f>
        <v>109</v>
      </c>
      <c r="B316">
        <v>85739207</v>
      </c>
      <c r="C316">
        <v>85739727</v>
      </c>
      <c r="D316">
        <v>85229527</v>
      </c>
      <c r="E316">
        <v>1</v>
      </c>
      <c r="F316">
        <v>1</v>
      </c>
      <c r="G316">
        <v>1081</v>
      </c>
      <c r="H316">
        <v>2</v>
      </c>
      <c r="I316" t="s">
        <v>546</v>
      </c>
      <c r="J316" t="s">
        <v>547</v>
      </c>
      <c r="K316" t="s">
        <v>548</v>
      </c>
      <c r="L316">
        <v>1368</v>
      </c>
      <c r="N316">
        <v>1011</v>
      </c>
      <c r="O316" t="s">
        <v>478</v>
      </c>
      <c r="P316" t="s">
        <v>478</v>
      </c>
      <c r="Q316">
        <v>1</v>
      </c>
      <c r="W316">
        <v>0</v>
      </c>
      <c r="X316">
        <v>-1222619517</v>
      </c>
      <c r="Y316">
        <f t="shared" si="142"/>
        <v>9</v>
      </c>
      <c r="AA316">
        <v>0</v>
      </c>
      <c r="AB316">
        <v>1209.95</v>
      </c>
      <c r="AC316">
        <v>758.78</v>
      </c>
      <c r="AD316">
        <v>0</v>
      </c>
      <c r="AE316">
        <v>0</v>
      </c>
      <c r="AF316">
        <v>48.07</v>
      </c>
      <c r="AG316">
        <v>12.62</v>
      </c>
      <c r="AH316">
        <v>0</v>
      </c>
      <c r="AI316">
        <v>1</v>
      </c>
      <c r="AJ316">
        <v>23.59</v>
      </c>
      <c r="AK316">
        <v>56.35</v>
      </c>
      <c r="AL316">
        <v>1</v>
      </c>
      <c r="AM316">
        <v>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7.5</v>
      </c>
      <c r="AU316" t="s">
        <v>36</v>
      </c>
      <c r="AV316">
        <v>0</v>
      </c>
      <c r="AW316">
        <v>2</v>
      </c>
      <c r="AX316">
        <v>85739745</v>
      </c>
      <c r="AY316">
        <v>1</v>
      </c>
      <c r="AZ316">
        <v>0</v>
      </c>
      <c r="BA316">
        <v>335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f>ROUND(Y316*Source!I109*DO316,9)</f>
        <v>34.073999999999998</v>
      </c>
      <c r="CX316">
        <f>ROUND(Y316*Source!I109,9)</f>
        <v>2.7</v>
      </c>
      <c r="CY316">
        <f>AB316</f>
        <v>1209.95</v>
      </c>
      <c r="CZ316">
        <f>AF316</f>
        <v>48.07</v>
      </c>
      <c r="DA316">
        <f>AJ316</f>
        <v>23.59</v>
      </c>
      <c r="DB316">
        <f t="shared" si="143"/>
        <v>432.63600000000002</v>
      </c>
      <c r="DC316">
        <f t="shared" si="144"/>
        <v>113.58</v>
      </c>
      <c r="DD316" t="s">
        <v>3</v>
      </c>
      <c r="DE316" t="s">
        <v>3</v>
      </c>
      <c r="DF316">
        <f t="shared" si="134"/>
        <v>0</v>
      </c>
      <c r="DG316">
        <f>ROUND(ROUND(AF316*AJ316,2)*CX316,2)</f>
        <v>3061.72</v>
      </c>
      <c r="DH316">
        <f>ROUND(ROUND(AG316*AK316,2)*CX316,2)</f>
        <v>1920.08</v>
      </c>
      <c r="DI316">
        <f t="shared" si="106"/>
        <v>0</v>
      </c>
      <c r="DJ316">
        <f>DG316</f>
        <v>3061.72</v>
      </c>
      <c r="DK316">
        <v>0</v>
      </c>
      <c r="DL316" t="s">
        <v>485</v>
      </c>
      <c r="DM316">
        <v>0</v>
      </c>
      <c r="DN316" t="s">
        <v>474</v>
      </c>
      <c r="DO316">
        <v>12.62</v>
      </c>
    </row>
    <row r="317" spans="1:119" x14ac:dyDescent="0.2">
      <c r="A317">
        <f>ROW(Source!A109)</f>
        <v>109</v>
      </c>
      <c r="B317">
        <v>85739207</v>
      </c>
      <c r="C317">
        <v>85739727</v>
      </c>
      <c r="D317">
        <v>85229564</v>
      </c>
      <c r="E317">
        <v>1</v>
      </c>
      <c r="F317">
        <v>1</v>
      </c>
      <c r="G317">
        <v>1081</v>
      </c>
      <c r="H317">
        <v>2</v>
      </c>
      <c r="I317" t="s">
        <v>549</v>
      </c>
      <c r="J317" t="s">
        <v>550</v>
      </c>
      <c r="K317" t="s">
        <v>551</v>
      </c>
      <c r="L317">
        <v>1368</v>
      </c>
      <c r="N317">
        <v>1011</v>
      </c>
      <c r="O317" t="s">
        <v>478</v>
      </c>
      <c r="P317" t="s">
        <v>478</v>
      </c>
      <c r="Q317">
        <v>1</v>
      </c>
      <c r="W317">
        <v>0</v>
      </c>
      <c r="X317">
        <v>210297649</v>
      </c>
      <c r="Y317">
        <f t="shared" si="142"/>
        <v>8.4</v>
      </c>
      <c r="AA317">
        <v>0</v>
      </c>
      <c r="AB317">
        <v>65.790000000000006</v>
      </c>
      <c r="AC317">
        <v>0</v>
      </c>
      <c r="AD317">
        <v>0</v>
      </c>
      <c r="AE317">
        <v>0</v>
      </c>
      <c r="AF317">
        <v>5.79</v>
      </c>
      <c r="AG317">
        <v>0</v>
      </c>
      <c r="AH317">
        <v>0</v>
      </c>
      <c r="AI317">
        <v>1</v>
      </c>
      <c r="AJ317">
        <v>10.65</v>
      </c>
      <c r="AK317">
        <v>1</v>
      </c>
      <c r="AL317">
        <v>1</v>
      </c>
      <c r="AM317">
        <v>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7</v>
      </c>
      <c r="AU317" t="s">
        <v>36</v>
      </c>
      <c r="AV317">
        <v>0</v>
      </c>
      <c r="AW317">
        <v>2</v>
      </c>
      <c r="AX317">
        <v>85739746</v>
      </c>
      <c r="AY317">
        <v>1</v>
      </c>
      <c r="AZ317">
        <v>0</v>
      </c>
      <c r="BA317">
        <v>336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f>ROUND(Y317*Source!I109*DO317,9)</f>
        <v>0</v>
      </c>
      <c r="CX317">
        <f>ROUND(Y317*Source!I109,9)</f>
        <v>2.52</v>
      </c>
      <c r="CY317">
        <f>AB317</f>
        <v>65.790000000000006</v>
      </c>
      <c r="CZ317">
        <f>AF317</f>
        <v>5.79</v>
      </c>
      <c r="DA317">
        <f>AJ317</f>
        <v>10.65</v>
      </c>
      <c r="DB317">
        <f t="shared" si="143"/>
        <v>48.636000000000003</v>
      </c>
      <c r="DC317">
        <f t="shared" si="144"/>
        <v>0</v>
      </c>
      <c r="DD317" t="s">
        <v>3</v>
      </c>
      <c r="DE317" t="s">
        <v>3</v>
      </c>
      <c r="DF317">
        <f t="shared" si="134"/>
        <v>0</v>
      </c>
      <c r="DG317">
        <f>ROUND(ROUND(AF317*AJ317,2)*CX317,2)</f>
        <v>155.38</v>
      </c>
      <c r="DH317">
        <f>ROUND(ROUND(AG317,2)*CX317,2)</f>
        <v>0</v>
      </c>
      <c r="DI317">
        <f t="shared" si="106"/>
        <v>0</v>
      </c>
      <c r="DJ317">
        <f>DG317</f>
        <v>155.38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">
      <c r="A318">
        <f>ROW(Source!A109)</f>
        <v>109</v>
      </c>
      <c r="B318">
        <v>85739207</v>
      </c>
      <c r="C318">
        <v>85739727</v>
      </c>
      <c r="D318">
        <v>85229633</v>
      </c>
      <c r="E318">
        <v>1</v>
      </c>
      <c r="F318">
        <v>1</v>
      </c>
      <c r="G318">
        <v>1081</v>
      </c>
      <c r="H318">
        <v>2</v>
      </c>
      <c r="I318" t="s">
        <v>475</v>
      </c>
      <c r="J318" t="s">
        <v>476</v>
      </c>
      <c r="K318" t="s">
        <v>477</v>
      </c>
      <c r="L318">
        <v>1368</v>
      </c>
      <c r="N318">
        <v>1011</v>
      </c>
      <c r="O318" t="s">
        <v>478</v>
      </c>
      <c r="P318" t="s">
        <v>478</v>
      </c>
      <c r="Q318">
        <v>1</v>
      </c>
      <c r="W318">
        <v>0</v>
      </c>
      <c r="X318">
        <v>1498588441</v>
      </c>
      <c r="Y318">
        <f t="shared" si="142"/>
        <v>11.183999999999999</v>
      </c>
      <c r="AA318">
        <v>0</v>
      </c>
      <c r="AB318">
        <v>102.11</v>
      </c>
      <c r="AC318">
        <v>0</v>
      </c>
      <c r="AD318">
        <v>0</v>
      </c>
      <c r="AE318">
        <v>0</v>
      </c>
      <c r="AF318">
        <v>7.11</v>
      </c>
      <c r="AG318">
        <v>0</v>
      </c>
      <c r="AH318">
        <v>0</v>
      </c>
      <c r="AI318">
        <v>1</v>
      </c>
      <c r="AJ318">
        <v>13.46</v>
      </c>
      <c r="AK318">
        <v>1</v>
      </c>
      <c r="AL318">
        <v>1</v>
      </c>
      <c r="AM318">
        <v>2</v>
      </c>
      <c r="AN318">
        <v>0</v>
      </c>
      <c r="AO318">
        <v>1</v>
      </c>
      <c r="AP318">
        <v>1</v>
      </c>
      <c r="AQ318">
        <v>0</v>
      </c>
      <c r="AR318">
        <v>0</v>
      </c>
      <c r="AS318" t="s">
        <v>3</v>
      </c>
      <c r="AT318">
        <v>9.32</v>
      </c>
      <c r="AU318" t="s">
        <v>36</v>
      </c>
      <c r="AV318">
        <v>0</v>
      </c>
      <c r="AW318">
        <v>2</v>
      </c>
      <c r="AX318">
        <v>85739747</v>
      </c>
      <c r="AY318">
        <v>1</v>
      </c>
      <c r="AZ318">
        <v>0</v>
      </c>
      <c r="BA318">
        <v>337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f>ROUND(Y318*Source!I109*DO318,9)</f>
        <v>0</v>
      </c>
      <c r="CX318">
        <f>ROUND(Y318*Source!I109,9)</f>
        <v>3.3552</v>
      </c>
      <c r="CY318">
        <f>AB318</f>
        <v>102.11</v>
      </c>
      <c r="CZ318">
        <f>AF318</f>
        <v>7.11</v>
      </c>
      <c r="DA318">
        <f>AJ318</f>
        <v>13.46</v>
      </c>
      <c r="DB318">
        <f t="shared" si="143"/>
        <v>79.524000000000001</v>
      </c>
      <c r="DC318">
        <f t="shared" si="144"/>
        <v>0</v>
      </c>
      <c r="DD318" t="s">
        <v>3</v>
      </c>
      <c r="DE318" t="s">
        <v>3</v>
      </c>
      <c r="DF318">
        <f t="shared" si="134"/>
        <v>0</v>
      </c>
      <c r="DG318">
        <f>ROUND(ROUND(AF318*AJ318,2)*CX318,2)</f>
        <v>321.08999999999997</v>
      </c>
      <c r="DH318">
        <f>ROUND(ROUND(AG318,2)*CX318,2)</f>
        <v>0</v>
      </c>
      <c r="DI318">
        <f t="shared" si="106"/>
        <v>0</v>
      </c>
      <c r="DJ318">
        <f>DG318</f>
        <v>321.08999999999997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">
      <c r="A319">
        <f>ROW(Source!A109)</f>
        <v>109</v>
      </c>
      <c r="B319">
        <v>85739207</v>
      </c>
      <c r="C319">
        <v>85739727</v>
      </c>
      <c r="D319">
        <v>85229932</v>
      </c>
      <c r="E319">
        <v>1</v>
      </c>
      <c r="F319">
        <v>1</v>
      </c>
      <c r="G319">
        <v>1081</v>
      </c>
      <c r="H319">
        <v>2</v>
      </c>
      <c r="I319" t="s">
        <v>482</v>
      </c>
      <c r="J319" t="s">
        <v>483</v>
      </c>
      <c r="K319" t="s">
        <v>484</v>
      </c>
      <c r="L319">
        <v>1368</v>
      </c>
      <c r="N319">
        <v>1011</v>
      </c>
      <c r="O319" t="s">
        <v>478</v>
      </c>
      <c r="P319" t="s">
        <v>478</v>
      </c>
      <c r="Q319">
        <v>1</v>
      </c>
      <c r="W319">
        <v>0</v>
      </c>
      <c r="X319">
        <v>874612079</v>
      </c>
      <c r="Y319">
        <f t="shared" si="142"/>
        <v>0.64800000000000002</v>
      </c>
      <c r="AA319">
        <v>0</v>
      </c>
      <c r="AB319">
        <v>1513.56</v>
      </c>
      <c r="AC319">
        <v>758.78</v>
      </c>
      <c r="AD319">
        <v>0</v>
      </c>
      <c r="AE319">
        <v>0</v>
      </c>
      <c r="AF319">
        <v>83.1</v>
      </c>
      <c r="AG319">
        <v>12.62</v>
      </c>
      <c r="AH319">
        <v>0</v>
      </c>
      <c r="AI319">
        <v>1</v>
      </c>
      <c r="AJ319">
        <v>17.07</v>
      </c>
      <c r="AK319">
        <v>56.35</v>
      </c>
      <c r="AL319">
        <v>1</v>
      </c>
      <c r="AM319">
        <v>2</v>
      </c>
      <c r="AN319">
        <v>0</v>
      </c>
      <c r="AO319">
        <v>1</v>
      </c>
      <c r="AP319">
        <v>1</v>
      </c>
      <c r="AQ319">
        <v>0</v>
      </c>
      <c r="AR319">
        <v>0</v>
      </c>
      <c r="AS319" t="s">
        <v>3</v>
      </c>
      <c r="AT319">
        <v>0.54</v>
      </c>
      <c r="AU319" t="s">
        <v>36</v>
      </c>
      <c r="AV319">
        <v>0</v>
      </c>
      <c r="AW319">
        <v>2</v>
      </c>
      <c r="AX319">
        <v>85739748</v>
      </c>
      <c r="AY319">
        <v>1</v>
      </c>
      <c r="AZ319">
        <v>0</v>
      </c>
      <c r="BA319">
        <v>338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f>ROUND(Y319*Source!I109*DO319,9)</f>
        <v>2.453328</v>
      </c>
      <c r="CX319">
        <f>ROUND(Y319*Source!I109,9)</f>
        <v>0.19439999999999999</v>
      </c>
      <c r="CY319">
        <f>AB319</f>
        <v>1513.56</v>
      </c>
      <c r="CZ319">
        <f>AF319</f>
        <v>83.1</v>
      </c>
      <c r="DA319">
        <f>AJ319</f>
        <v>17.07</v>
      </c>
      <c r="DB319">
        <f t="shared" si="143"/>
        <v>53.844000000000001</v>
      </c>
      <c r="DC319">
        <f t="shared" si="144"/>
        <v>8.1720000000000006</v>
      </c>
      <c r="DD319" t="s">
        <v>3</v>
      </c>
      <c r="DE319" t="s">
        <v>3</v>
      </c>
      <c r="DF319">
        <f t="shared" si="134"/>
        <v>0</v>
      </c>
      <c r="DG319">
        <f>ROUND(ROUND(AF319*AJ319,2)*CX319,2)</f>
        <v>275.76</v>
      </c>
      <c r="DH319">
        <f>ROUND(ROUND(AG319*AK319,2)*CX319,2)</f>
        <v>138.25</v>
      </c>
      <c r="DI319">
        <f t="shared" si="106"/>
        <v>0</v>
      </c>
      <c r="DJ319">
        <f>DG319</f>
        <v>275.76</v>
      </c>
      <c r="DK319">
        <v>0</v>
      </c>
      <c r="DL319" t="s">
        <v>485</v>
      </c>
      <c r="DM319">
        <v>0</v>
      </c>
      <c r="DN319" t="s">
        <v>474</v>
      </c>
      <c r="DO319">
        <v>12.62</v>
      </c>
    </row>
    <row r="320" spans="1:119" x14ac:dyDescent="0.2">
      <c r="A320">
        <f>ROW(Source!A109)</f>
        <v>109</v>
      </c>
      <c r="B320">
        <v>85739207</v>
      </c>
      <c r="C320">
        <v>85739727</v>
      </c>
      <c r="D320">
        <v>85229250</v>
      </c>
      <c r="E320">
        <v>1</v>
      </c>
      <c r="F320">
        <v>1</v>
      </c>
      <c r="G320">
        <v>1081</v>
      </c>
      <c r="H320">
        <v>2</v>
      </c>
      <c r="I320" t="s">
        <v>552</v>
      </c>
      <c r="J320" t="s">
        <v>553</v>
      </c>
      <c r="K320" t="s">
        <v>554</v>
      </c>
      <c r="L320">
        <v>1368</v>
      </c>
      <c r="N320">
        <v>1011</v>
      </c>
      <c r="O320" t="s">
        <v>478</v>
      </c>
      <c r="P320" t="s">
        <v>478</v>
      </c>
      <c r="Q320">
        <v>1</v>
      </c>
      <c r="W320">
        <v>0</v>
      </c>
      <c r="X320">
        <v>-1755828087</v>
      </c>
      <c r="Y320">
        <f t="shared" si="142"/>
        <v>0.48</v>
      </c>
      <c r="AA320">
        <v>0</v>
      </c>
      <c r="AB320">
        <v>34.85</v>
      </c>
      <c r="AC320">
        <v>0</v>
      </c>
      <c r="AD320">
        <v>0</v>
      </c>
      <c r="AE320">
        <v>0</v>
      </c>
      <c r="AF320">
        <v>3.18</v>
      </c>
      <c r="AG320">
        <v>0</v>
      </c>
      <c r="AH320">
        <v>0</v>
      </c>
      <c r="AI320">
        <v>1</v>
      </c>
      <c r="AJ320">
        <v>10.27</v>
      </c>
      <c r="AK320">
        <v>1</v>
      </c>
      <c r="AL320">
        <v>1</v>
      </c>
      <c r="AM320">
        <v>2</v>
      </c>
      <c r="AN320">
        <v>0</v>
      </c>
      <c r="AO320">
        <v>1</v>
      </c>
      <c r="AP320">
        <v>1</v>
      </c>
      <c r="AQ320">
        <v>0</v>
      </c>
      <c r="AR320">
        <v>0</v>
      </c>
      <c r="AS320" t="s">
        <v>3</v>
      </c>
      <c r="AT320">
        <v>0.4</v>
      </c>
      <c r="AU320" t="s">
        <v>36</v>
      </c>
      <c r="AV320">
        <v>0</v>
      </c>
      <c r="AW320">
        <v>2</v>
      </c>
      <c r="AX320">
        <v>85739749</v>
      </c>
      <c r="AY320">
        <v>1</v>
      </c>
      <c r="AZ320">
        <v>0</v>
      </c>
      <c r="BA320">
        <v>339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f>ROUND(Y320*Source!I109*DO320,9)</f>
        <v>0</v>
      </c>
      <c r="CX320">
        <f>ROUND(Y320*Source!I109,9)</f>
        <v>0.14399999999999999</v>
      </c>
      <c r="CY320">
        <f>AB320</f>
        <v>34.85</v>
      </c>
      <c r="CZ320">
        <f>AF320</f>
        <v>3.18</v>
      </c>
      <c r="DA320">
        <f>AJ320</f>
        <v>10.27</v>
      </c>
      <c r="DB320">
        <f t="shared" si="143"/>
        <v>1.524</v>
      </c>
      <c r="DC320">
        <f t="shared" si="144"/>
        <v>0</v>
      </c>
      <c r="DD320" t="s">
        <v>3</v>
      </c>
      <c r="DE320" t="s">
        <v>3</v>
      </c>
      <c r="DF320">
        <f t="shared" si="134"/>
        <v>0</v>
      </c>
      <c r="DG320">
        <f>ROUND(ROUND(AF320*AJ320,2)*CX320,2)</f>
        <v>4.7</v>
      </c>
      <c r="DH320">
        <f t="shared" ref="DH320:DH335" si="145">ROUND(ROUND(AG320,2)*CX320,2)</f>
        <v>0</v>
      </c>
      <c r="DI320">
        <f t="shared" si="106"/>
        <v>0</v>
      </c>
      <c r="DJ320">
        <f>DG320</f>
        <v>4.7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">
      <c r="A321">
        <f>ROW(Source!A109)</f>
        <v>109</v>
      </c>
      <c r="B321">
        <v>85739207</v>
      </c>
      <c r="C321">
        <v>85739727</v>
      </c>
      <c r="D321">
        <v>85198960</v>
      </c>
      <c r="E321">
        <v>1</v>
      </c>
      <c r="F321">
        <v>1</v>
      </c>
      <c r="G321">
        <v>1081</v>
      </c>
      <c r="H321">
        <v>3</v>
      </c>
      <c r="I321" t="s">
        <v>513</v>
      </c>
      <c r="J321" t="s">
        <v>514</v>
      </c>
      <c r="K321" t="s">
        <v>515</v>
      </c>
      <c r="L321">
        <v>1339</v>
      </c>
      <c r="N321">
        <v>1007</v>
      </c>
      <c r="O321" t="s">
        <v>506</v>
      </c>
      <c r="P321" t="s">
        <v>506</v>
      </c>
      <c r="Q321">
        <v>1</v>
      </c>
      <c r="W321">
        <v>0</v>
      </c>
      <c r="X321">
        <v>-1622585150</v>
      </c>
      <c r="Y321">
        <f t="shared" ref="Y321:Y330" si="146">(AT321*1)</f>
        <v>3</v>
      </c>
      <c r="AA321">
        <v>56.33</v>
      </c>
      <c r="AB321">
        <v>0</v>
      </c>
      <c r="AC321">
        <v>0</v>
      </c>
      <c r="AD321">
        <v>0</v>
      </c>
      <c r="AE321">
        <v>7.07</v>
      </c>
      <c r="AF321">
        <v>0</v>
      </c>
      <c r="AG321">
        <v>0</v>
      </c>
      <c r="AH321">
        <v>0</v>
      </c>
      <c r="AI321">
        <v>7.75</v>
      </c>
      <c r="AJ321">
        <v>1</v>
      </c>
      <c r="AK321">
        <v>1</v>
      </c>
      <c r="AL321">
        <v>1</v>
      </c>
      <c r="AM321">
        <v>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3</v>
      </c>
      <c r="AU321" t="s">
        <v>35</v>
      </c>
      <c r="AV321">
        <v>0</v>
      </c>
      <c r="AW321">
        <v>2</v>
      </c>
      <c r="AX321">
        <v>85739750</v>
      </c>
      <c r="AY321">
        <v>1</v>
      </c>
      <c r="AZ321">
        <v>0</v>
      </c>
      <c r="BA321">
        <v>340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ROUND(Y321*Source!I109,9)</f>
        <v>0.9</v>
      </c>
      <c r="CY321">
        <f t="shared" ref="CY321:CY330" si="147">AA321</f>
        <v>56.33</v>
      </c>
      <c r="CZ321">
        <f t="shared" ref="CZ321:CZ330" si="148">AE321</f>
        <v>7.07</v>
      </c>
      <c r="DA321">
        <f t="shared" ref="DA321:DA330" si="149">AI321</f>
        <v>7.75</v>
      </c>
      <c r="DB321">
        <f t="shared" ref="DB321:DB330" si="150">ROUND((ROUND(AT321*CZ321,2)*1),6)</f>
        <v>21.21</v>
      </c>
      <c r="DC321">
        <f t="shared" ref="DC321:DC330" si="151">ROUND((ROUND(AT321*AG321,2)*1),6)</f>
        <v>0</v>
      </c>
      <c r="DD321" t="s">
        <v>3</v>
      </c>
      <c r="DE321" t="s">
        <v>3</v>
      </c>
      <c r="DF321">
        <f t="shared" ref="DF321:DF330" si="152">ROUND(ROUND(AE321*AI321,2)*CX321,2)</f>
        <v>49.31</v>
      </c>
      <c r="DG321">
        <f t="shared" ref="DG321:DG335" si="153">ROUND(ROUND(AF321,2)*CX321,2)</f>
        <v>0</v>
      </c>
      <c r="DH321">
        <f t="shared" si="145"/>
        <v>0</v>
      </c>
      <c r="DI321">
        <f t="shared" ref="DI321:DI384" si="154">ROUND(ROUND(AH321,2)*CX321,2)</f>
        <v>0</v>
      </c>
      <c r="DJ321">
        <f t="shared" ref="DJ321:DJ330" si="155">DF321</f>
        <v>49.31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">
      <c r="A322">
        <f>ROW(Source!A109)</f>
        <v>109</v>
      </c>
      <c r="B322">
        <v>85739207</v>
      </c>
      <c r="C322">
        <v>85739727</v>
      </c>
      <c r="D322">
        <v>85200023</v>
      </c>
      <c r="E322">
        <v>1</v>
      </c>
      <c r="F322">
        <v>1</v>
      </c>
      <c r="G322">
        <v>1081</v>
      </c>
      <c r="H322">
        <v>3</v>
      </c>
      <c r="I322" t="s">
        <v>555</v>
      </c>
      <c r="J322" t="s">
        <v>556</v>
      </c>
      <c r="K322" t="s">
        <v>557</v>
      </c>
      <c r="L322">
        <v>1348</v>
      </c>
      <c r="N322">
        <v>1009</v>
      </c>
      <c r="O322" t="s">
        <v>266</v>
      </c>
      <c r="P322" t="s">
        <v>266</v>
      </c>
      <c r="Q322">
        <v>1000</v>
      </c>
      <c r="W322">
        <v>0</v>
      </c>
      <c r="X322">
        <v>63955816</v>
      </c>
      <c r="Y322">
        <f t="shared" si="146"/>
        <v>1.56E-3</v>
      </c>
      <c r="AA322">
        <v>99503.2</v>
      </c>
      <c r="AB322">
        <v>0</v>
      </c>
      <c r="AC322">
        <v>0</v>
      </c>
      <c r="AD322">
        <v>0</v>
      </c>
      <c r="AE322">
        <v>7185.82</v>
      </c>
      <c r="AF322">
        <v>0</v>
      </c>
      <c r="AG322">
        <v>0</v>
      </c>
      <c r="AH322">
        <v>0</v>
      </c>
      <c r="AI322">
        <v>13.47</v>
      </c>
      <c r="AJ322">
        <v>1</v>
      </c>
      <c r="AK322">
        <v>1</v>
      </c>
      <c r="AL322">
        <v>1</v>
      </c>
      <c r="AM322">
        <v>2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1.56E-3</v>
      </c>
      <c r="AU322" t="s">
        <v>35</v>
      </c>
      <c r="AV322">
        <v>0</v>
      </c>
      <c r="AW322">
        <v>2</v>
      </c>
      <c r="AX322">
        <v>85739751</v>
      </c>
      <c r="AY322">
        <v>1</v>
      </c>
      <c r="AZ322">
        <v>0</v>
      </c>
      <c r="BA322">
        <v>341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V322">
        <v>0</v>
      </c>
      <c r="CW322">
        <v>0</v>
      </c>
      <c r="CX322">
        <f>ROUND(Y322*Source!I109,9)</f>
        <v>4.6799999999999999E-4</v>
      </c>
      <c r="CY322">
        <f t="shared" si="147"/>
        <v>99503.2</v>
      </c>
      <c r="CZ322">
        <f t="shared" si="148"/>
        <v>7185.82</v>
      </c>
      <c r="DA322">
        <f t="shared" si="149"/>
        <v>13.47</v>
      </c>
      <c r="DB322">
        <f t="shared" si="150"/>
        <v>11.21</v>
      </c>
      <c r="DC322">
        <f t="shared" si="151"/>
        <v>0</v>
      </c>
      <c r="DD322" t="s">
        <v>3</v>
      </c>
      <c r="DE322" t="s">
        <v>3</v>
      </c>
      <c r="DF322">
        <f t="shared" si="152"/>
        <v>45.3</v>
      </c>
      <c r="DG322">
        <f t="shared" si="153"/>
        <v>0</v>
      </c>
      <c r="DH322">
        <f t="shared" si="145"/>
        <v>0</v>
      </c>
      <c r="DI322">
        <f t="shared" si="154"/>
        <v>0</v>
      </c>
      <c r="DJ322">
        <f t="shared" si="155"/>
        <v>45.3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">
      <c r="A323">
        <f>ROW(Source!A109)</f>
        <v>109</v>
      </c>
      <c r="B323">
        <v>85739207</v>
      </c>
      <c r="C323">
        <v>85739727</v>
      </c>
      <c r="D323">
        <v>85200098</v>
      </c>
      <c r="E323">
        <v>1</v>
      </c>
      <c r="F323">
        <v>1</v>
      </c>
      <c r="G323">
        <v>1081</v>
      </c>
      <c r="H323">
        <v>3</v>
      </c>
      <c r="I323" t="s">
        <v>540</v>
      </c>
      <c r="J323" t="s">
        <v>541</v>
      </c>
      <c r="K323" t="s">
        <v>542</v>
      </c>
      <c r="L323">
        <v>1346</v>
      </c>
      <c r="N323">
        <v>1009</v>
      </c>
      <c r="O323" t="s">
        <v>502</v>
      </c>
      <c r="P323" t="s">
        <v>502</v>
      </c>
      <c r="Q323">
        <v>1</v>
      </c>
      <c r="W323">
        <v>0</v>
      </c>
      <c r="X323">
        <v>732400950</v>
      </c>
      <c r="Y323">
        <f t="shared" si="146"/>
        <v>0.76</v>
      </c>
      <c r="AA323">
        <v>94.12</v>
      </c>
      <c r="AB323">
        <v>0</v>
      </c>
      <c r="AC323">
        <v>0</v>
      </c>
      <c r="AD323">
        <v>0</v>
      </c>
      <c r="AE323">
        <v>21</v>
      </c>
      <c r="AF323">
        <v>0</v>
      </c>
      <c r="AG323">
        <v>0</v>
      </c>
      <c r="AH323">
        <v>0</v>
      </c>
      <c r="AI323">
        <v>4.3600000000000003</v>
      </c>
      <c r="AJ323">
        <v>1</v>
      </c>
      <c r="AK323">
        <v>1</v>
      </c>
      <c r="AL323">
        <v>1</v>
      </c>
      <c r="AM323">
        <v>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0.76</v>
      </c>
      <c r="AU323" t="s">
        <v>35</v>
      </c>
      <c r="AV323">
        <v>0</v>
      </c>
      <c r="AW323">
        <v>2</v>
      </c>
      <c r="AX323">
        <v>85739752</v>
      </c>
      <c r="AY323">
        <v>1</v>
      </c>
      <c r="AZ323">
        <v>0</v>
      </c>
      <c r="BA323">
        <v>342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v>0</v>
      </c>
      <c r="CX323">
        <f>ROUND(Y323*Source!I109,9)</f>
        <v>0.22800000000000001</v>
      </c>
      <c r="CY323">
        <f t="shared" si="147"/>
        <v>94.12</v>
      </c>
      <c r="CZ323">
        <f t="shared" si="148"/>
        <v>21</v>
      </c>
      <c r="DA323">
        <f t="shared" si="149"/>
        <v>4.3600000000000003</v>
      </c>
      <c r="DB323">
        <f t="shared" si="150"/>
        <v>15.96</v>
      </c>
      <c r="DC323">
        <f t="shared" si="151"/>
        <v>0</v>
      </c>
      <c r="DD323" t="s">
        <v>3</v>
      </c>
      <c r="DE323" t="s">
        <v>3</v>
      </c>
      <c r="DF323">
        <f t="shared" si="152"/>
        <v>20.88</v>
      </c>
      <c r="DG323">
        <f t="shared" si="153"/>
        <v>0</v>
      </c>
      <c r="DH323">
        <f t="shared" si="145"/>
        <v>0</v>
      </c>
      <c r="DI323">
        <f t="shared" si="154"/>
        <v>0</v>
      </c>
      <c r="DJ323">
        <f t="shared" si="155"/>
        <v>20.88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">
      <c r="A324">
        <f>ROW(Source!A109)</f>
        <v>109</v>
      </c>
      <c r="B324">
        <v>85739207</v>
      </c>
      <c r="C324">
        <v>85739727</v>
      </c>
      <c r="D324">
        <v>85200296</v>
      </c>
      <c r="E324">
        <v>1</v>
      </c>
      <c r="F324">
        <v>1</v>
      </c>
      <c r="G324">
        <v>1081</v>
      </c>
      <c r="H324">
        <v>3</v>
      </c>
      <c r="I324" t="s">
        <v>558</v>
      </c>
      <c r="J324" t="s">
        <v>559</v>
      </c>
      <c r="K324" t="s">
        <v>560</v>
      </c>
      <c r="L324">
        <v>1355</v>
      </c>
      <c r="N324">
        <v>1010</v>
      </c>
      <c r="O324" t="s">
        <v>240</v>
      </c>
      <c r="P324" t="s">
        <v>240</v>
      </c>
      <c r="Q324">
        <v>100</v>
      </c>
      <c r="W324">
        <v>0</v>
      </c>
      <c r="X324">
        <v>1567739421</v>
      </c>
      <c r="Y324">
        <f t="shared" si="146"/>
        <v>0.36</v>
      </c>
      <c r="AA324">
        <v>480.06</v>
      </c>
      <c r="AB324">
        <v>0</v>
      </c>
      <c r="AC324">
        <v>0</v>
      </c>
      <c r="AD324">
        <v>0</v>
      </c>
      <c r="AE324">
        <v>496.79</v>
      </c>
      <c r="AF324">
        <v>0</v>
      </c>
      <c r="AG324">
        <v>0</v>
      </c>
      <c r="AH324">
        <v>0</v>
      </c>
      <c r="AI324">
        <v>0.94</v>
      </c>
      <c r="AJ324">
        <v>1</v>
      </c>
      <c r="AK324">
        <v>1</v>
      </c>
      <c r="AL324">
        <v>1</v>
      </c>
      <c r="AM324">
        <v>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0.36</v>
      </c>
      <c r="AU324" t="s">
        <v>35</v>
      </c>
      <c r="AV324">
        <v>0</v>
      </c>
      <c r="AW324">
        <v>2</v>
      </c>
      <c r="AX324">
        <v>85739753</v>
      </c>
      <c r="AY324">
        <v>1</v>
      </c>
      <c r="AZ324">
        <v>0</v>
      </c>
      <c r="BA324">
        <v>343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v>0</v>
      </c>
      <c r="CX324">
        <f>ROUND(Y324*Source!I109,9)</f>
        <v>0.108</v>
      </c>
      <c r="CY324">
        <f t="shared" si="147"/>
        <v>480.06</v>
      </c>
      <c r="CZ324">
        <f t="shared" si="148"/>
        <v>496.79</v>
      </c>
      <c r="DA324">
        <f t="shared" si="149"/>
        <v>0.94</v>
      </c>
      <c r="DB324">
        <f t="shared" si="150"/>
        <v>178.84</v>
      </c>
      <c r="DC324">
        <f t="shared" si="151"/>
        <v>0</v>
      </c>
      <c r="DD324" t="s">
        <v>3</v>
      </c>
      <c r="DE324" t="s">
        <v>3</v>
      </c>
      <c r="DF324">
        <f t="shared" si="152"/>
        <v>50.43</v>
      </c>
      <c r="DG324">
        <f t="shared" si="153"/>
        <v>0</v>
      </c>
      <c r="DH324">
        <f t="shared" si="145"/>
        <v>0</v>
      </c>
      <c r="DI324">
        <f t="shared" si="154"/>
        <v>0</v>
      </c>
      <c r="DJ324">
        <f t="shared" si="155"/>
        <v>50.43</v>
      </c>
      <c r="DK324">
        <v>0</v>
      </c>
      <c r="DL324" t="s">
        <v>3</v>
      </c>
      <c r="DM324">
        <v>0</v>
      </c>
      <c r="DN324" t="s">
        <v>3</v>
      </c>
      <c r="DO324">
        <v>0</v>
      </c>
    </row>
    <row r="325" spans="1:119" x14ac:dyDescent="0.2">
      <c r="A325">
        <f>ROW(Source!A109)</f>
        <v>109</v>
      </c>
      <c r="B325">
        <v>85739207</v>
      </c>
      <c r="C325">
        <v>85739727</v>
      </c>
      <c r="D325">
        <v>85200297</v>
      </c>
      <c r="E325">
        <v>1</v>
      </c>
      <c r="F325">
        <v>1</v>
      </c>
      <c r="G325">
        <v>1081</v>
      </c>
      <c r="H325">
        <v>3</v>
      </c>
      <c r="I325" t="s">
        <v>561</v>
      </c>
      <c r="J325" t="s">
        <v>562</v>
      </c>
      <c r="K325" t="s">
        <v>563</v>
      </c>
      <c r="L325">
        <v>1355</v>
      </c>
      <c r="N325">
        <v>1010</v>
      </c>
      <c r="O325" t="s">
        <v>240</v>
      </c>
      <c r="P325" t="s">
        <v>240</v>
      </c>
      <c r="Q325">
        <v>100</v>
      </c>
      <c r="W325">
        <v>0</v>
      </c>
      <c r="X325">
        <v>-96727844</v>
      </c>
      <c r="Y325">
        <f t="shared" si="146"/>
        <v>0.36</v>
      </c>
      <c r="AA325">
        <v>578.83000000000004</v>
      </c>
      <c r="AB325">
        <v>0</v>
      </c>
      <c r="AC325">
        <v>0</v>
      </c>
      <c r="AD325">
        <v>0</v>
      </c>
      <c r="AE325">
        <v>243.75</v>
      </c>
      <c r="AF325">
        <v>0</v>
      </c>
      <c r="AG325">
        <v>0</v>
      </c>
      <c r="AH325">
        <v>0</v>
      </c>
      <c r="AI325">
        <v>2.31</v>
      </c>
      <c r="AJ325">
        <v>1</v>
      </c>
      <c r="AK325">
        <v>1</v>
      </c>
      <c r="AL325">
        <v>1</v>
      </c>
      <c r="AM325">
        <v>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0.36</v>
      </c>
      <c r="AU325" t="s">
        <v>35</v>
      </c>
      <c r="AV325">
        <v>0</v>
      </c>
      <c r="AW325">
        <v>2</v>
      </c>
      <c r="AX325">
        <v>85739754</v>
      </c>
      <c r="AY325">
        <v>1</v>
      </c>
      <c r="AZ325">
        <v>0</v>
      </c>
      <c r="BA325">
        <v>344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v>0</v>
      </c>
      <c r="CX325">
        <f>ROUND(Y325*Source!I109,9)</f>
        <v>0.108</v>
      </c>
      <c r="CY325">
        <f t="shared" si="147"/>
        <v>578.83000000000004</v>
      </c>
      <c r="CZ325">
        <f t="shared" si="148"/>
        <v>243.75</v>
      </c>
      <c r="DA325">
        <f t="shared" si="149"/>
        <v>2.31</v>
      </c>
      <c r="DB325">
        <f t="shared" si="150"/>
        <v>87.75</v>
      </c>
      <c r="DC325">
        <f t="shared" si="151"/>
        <v>0</v>
      </c>
      <c r="DD325" t="s">
        <v>3</v>
      </c>
      <c r="DE325" t="s">
        <v>3</v>
      </c>
      <c r="DF325">
        <f t="shared" si="152"/>
        <v>60.81</v>
      </c>
      <c r="DG325">
        <f t="shared" si="153"/>
        <v>0</v>
      </c>
      <c r="DH325">
        <f t="shared" si="145"/>
        <v>0</v>
      </c>
      <c r="DI325">
        <f t="shared" si="154"/>
        <v>0</v>
      </c>
      <c r="DJ325">
        <f t="shared" si="155"/>
        <v>60.81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">
      <c r="A326">
        <f>ROW(Source!A109)</f>
        <v>109</v>
      </c>
      <c r="B326">
        <v>85739207</v>
      </c>
      <c r="C326">
        <v>85739727</v>
      </c>
      <c r="D326">
        <v>85198892</v>
      </c>
      <c r="E326">
        <v>1</v>
      </c>
      <c r="F326">
        <v>1</v>
      </c>
      <c r="G326">
        <v>1081</v>
      </c>
      <c r="H326">
        <v>3</v>
      </c>
      <c r="I326" t="s">
        <v>543</v>
      </c>
      <c r="J326" t="s">
        <v>544</v>
      </c>
      <c r="K326" t="s">
        <v>545</v>
      </c>
      <c r="L326">
        <v>1339</v>
      </c>
      <c r="N326">
        <v>1007</v>
      </c>
      <c r="O326" t="s">
        <v>506</v>
      </c>
      <c r="P326" t="s">
        <v>506</v>
      </c>
      <c r="Q326">
        <v>1</v>
      </c>
      <c r="W326">
        <v>0</v>
      </c>
      <c r="X326">
        <v>-676034668</v>
      </c>
      <c r="Y326">
        <f t="shared" si="146"/>
        <v>0.59</v>
      </c>
      <c r="AA326">
        <v>781.45</v>
      </c>
      <c r="AB326">
        <v>0</v>
      </c>
      <c r="AC326">
        <v>0</v>
      </c>
      <c r="AD326">
        <v>0</v>
      </c>
      <c r="AE326">
        <v>53.42</v>
      </c>
      <c r="AF326">
        <v>0</v>
      </c>
      <c r="AG326">
        <v>0</v>
      </c>
      <c r="AH326">
        <v>0</v>
      </c>
      <c r="AI326">
        <v>14.23</v>
      </c>
      <c r="AJ326">
        <v>1</v>
      </c>
      <c r="AK326">
        <v>1</v>
      </c>
      <c r="AL326">
        <v>1</v>
      </c>
      <c r="AM326">
        <v>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0.59</v>
      </c>
      <c r="AU326" t="s">
        <v>35</v>
      </c>
      <c r="AV326">
        <v>0</v>
      </c>
      <c r="AW326">
        <v>2</v>
      </c>
      <c r="AX326">
        <v>85739755</v>
      </c>
      <c r="AY326">
        <v>1</v>
      </c>
      <c r="AZ326">
        <v>0</v>
      </c>
      <c r="BA326">
        <v>345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v>0</v>
      </c>
      <c r="CX326">
        <f>ROUND(Y326*Source!I109,9)</f>
        <v>0.17699999999999999</v>
      </c>
      <c r="CY326">
        <f t="shared" si="147"/>
        <v>781.45</v>
      </c>
      <c r="CZ326">
        <f t="shared" si="148"/>
        <v>53.42</v>
      </c>
      <c r="DA326">
        <f t="shared" si="149"/>
        <v>14.23</v>
      </c>
      <c r="DB326">
        <f t="shared" si="150"/>
        <v>31.52</v>
      </c>
      <c r="DC326">
        <f t="shared" si="151"/>
        <v>0</v>
      </c>
      <c r="DD326" t="s">
        <v>3</v>
      </c>
      <c r="DE326" t="s">
        <v>3</v>
      </c>
      <c r="DF326">
        <f t="shared" si="152"/>
        <v>134.55000000000001</v>
      </c>
      <c r="DG326">
        <f t="shared" si="153"/>
        <v>0</v>
      </c>
      <c r="DH326">
        <f t="shared" si="145"/>
        <v>0</v>
      </c>
      <c r="DI326">
        <f t="shared" si="154"/>
        <v>0</v>
      </c>
      <c r="DJ326">
        <f t="shared" si="155"/>
        <v>134.55000000000001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">
      <c r="A327">
        <f>ROW(Source!A109)</f>
        <v>109</v>
      </c>
      <c r="B327">
        <v>85739207</v>
      </c>
      <c r="C327">
        <v>85739727</v>
      </c>
      <c r="D327">
        <v>85199158</v>
      </c>
      <c r="E327">
        <v>1</v>
      </c>
      <c r="F327">
        <v>1</v>
      </c>
      <c r="G327">
        <v>1081</v>
      </c>
      <c r="H327">
        <v>3</v>
      </c>
      <c r="I327" t="s">
        <v>503</v>
      </c>
      <c r="J327" t="s">
        <v>504</v>
      </c>
      <c r="K327" t="s">
        <v>505</v>
      </c>
      <c r="L327">
        <v>1339</v>
      </c>
      <c r="N327">
        <v>1007</v>
      </c>
      <c r="O327" t="s">
        <v>506</v>
      </c>
      <c r="P327" t="s">
        <v>506</v>
      </c>
      <c r="Q327">
        <v>1</v>
      </c>
      <c r="W327">
        <v>0</v>
      </c>
      <c r="X327">
        <v>-1235260082</v>
      </c>
      <c r="Y327">
        <f t="shared" si="146"/>
        <v>0.76</v>
      </c>
      <c r="AA327">
        <v>104.16</v>
      </c>
      <c r="AB327">
        <v>0</v>
      </c>
      <c r="AC327">
        <v>0</v>
      </c>
      <c r="AD327">
        <v>0</v>
      </c>
      <c r="AE327">
        <v>5.82</v>
      </c>
      <c r="AF327">
        <v>0</v>
      </c>
      <c r="AG327">
        <v>0</v>
      </c>
      <c r="AH327">
        <v>0</v>
      </c>
      <c r="AI327">
        <v>17.41</v>
      </c>
      <c r="AJ327">
        <v>1</v>
      </c>
      <c r="AK327">
        <v>1</v>
      </c>
      <c r="AL327">
        <v>1</v>
      </c>
      <c r="AM327">
        <v>2</v>
      </c>
      <c r="AN327">
        <v>0</v>
      </c>
      <c r="AO327">
        <v>1</v>
      </c>
      <c r="AP327">
        <v>1</v>
      </c>
      <c r="AQ327">
        <v>0</v>
      </c>
      <c r="AR327">
        <v>0</v>
      </c>
      <c r="AS327" t="s">
        <v>3</v>
      </c>
      <c r="AT327">
        <v>0.76</v>
      </c>
      <c r="AU327" t="s">
        <v>35</v>
      </c>
      <c r="AV327">
        <v>0</v>
      </c>
      <c r="AW327">
        <v>2</v>
      </c>
      <c r="AX327">
        <v>85739756</v>
      </c>
      <c r="AY327">
        <v>1</v>
      </c>
      <c r="AZ327">
        <v>0</v>
      </c>
      <c r="BA327">
        <v>346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v>0</v>
      </c>
      <c r="CX327">
        <f>ROUND(Y327*Source!I109,9)</f>
        <v>0.22800000000000001</v>
      </c>
      <c r="CY327">
        <f t="shared" si="147"/>
        <v>104.16</v>
      </c>
      <c r="CZ327">
        <f t="shared" si="148"/>
        <v>5.82</v>
      </c>
      <c r="DA327">
        <f t="shared" si="149"/>
        <v>17.41</v>
      </c>
      <c r="DB327">
        <f t="shared" si="150"/>
        <v>4.42</v>
      </c>
      <c r="DC327">
        <f t="shared" si="151"/>
        <v>0</v>
      </c>
      <c r="DD327" t="s">
        <v>3</v>
      </c>
      <c r="DE327" t="s">
        <v>3</v>
      </c>
      <c r="DF327">
        <f t="shared" si="152"/>
        <v>23.1</v>
      </c>
      <c r="DG327">
        <f t="shared" si="153"/>
        <v>0</v>
      </c>
      <c r="DH327">
        <f t="shared" si="145"/>
        <v>0</v>
      </c>
      <c r="DI327">
        <f t="shared" si="154"/>
        <v>0</v>
      </c>
      <c r="DJ327">
        <f t="shared" si="155"/>
        <v>23.1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">
      <c r="A328">
        <f>ROW(Source!A109)</f>
        <v>109</v>
      </c>
      <c r="B328">
        <v>85739207</v>
      </c>
      <c r="C328">
        <v>85739727</v>
      </c>
      <c r="D328">
        <v>85211458</v>
      </c>
      <c r="E328">
        <v>1</v>
      </c>
      <c r="F328">
        <v>1</v>
      </c>
      <c r="G328">
        <v>1081</v>
      </c>
      <c r="H328">
        <v>3</v>
      </c>
      <c r="I328" t="s">
        <v>209</v>
      </c>
      <c r="J328" t="s">
        <v>211</v>
      </c>
      <c r="K328" t="s">
        <v>210</v>
      </c>
      <c r="L328">
        <v>1301</v>
      </c>
      <c r="N328">
        <v>1003</v>
      </c>
      <c r="O328" t="s">
        <v>179</v>
      </c>
      <c r="P328" t="s">
        <v>179</v>
      </c>
      <c r="Q328">
        <v>1</v>
      </c>
      <c r="W328">
        <v>0</v>
      </c>
      <c r="X328">
        <v>-2048145394</v>
      </c>
      <c r="Y328">
        <f t="shared" si="146"/>
        <v>50.25</v>
      </c>
      <c r="AA328">
        <v>687.98</v>
      </c>
      <c r="AB328">
        <v>0</v>
      </c>
      <c r="AC328">
        <v>0</v>
      </c>
      <c r="AD328">
        <v>0</v>
      </c>
      <c r="AE328">
        <v>41.57</v>
      </c>
      <c r="AF328">
        <v>0</v>
      </c>
      <c r="AG328">
        <v>0</v>
      </c>
      <c r="AH328">
        <v>0</v>
      </c>
      <c r="AI328">
        <v>16.55</v>
      </c>
      <c r="AJ328">
        <v>1</v>
      </c>
      <c r="AK328">
        <v>1</v>
      </c>
      <c r="AL328">
        <v>1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 t="s">
        <v>3</v>
      </c>
      <c r="AT328">
        <v>50.25</v>
      </c>
      <c r="AU328" t="s">
        <v>35</v>
      </c>
      <c r="AV328">
        <v>0</v>
      </c>
      <c r="AW328">
        <v>1</v>
      </c>
      <c r="AX328">
        <v>-1</v>
      </c>
      <c r="AY328">
        <v>0</v>
      </c>
      <c r="AZ328">
        <v>0</v>
      </c>
      <c r="BA328" t="s">
        <v>3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ROUND(Y328*Source!I109,9)</f>
        <v>15.074999999999999</v>
      </c>
      <c r="CY328">
        <f t="shared" si="147"/>
        <v>687.98</v>
      </c>
      <c r="CZ328">
        <f t="shared" si="148"/>
        <v>41.57</v>
      </c>
      <c r="DA328">
        <f t="shared" si="149"/>
        <v>16.55</v>
      </c>
      <c r="DB328">
        <f t="shared" si="150"/>
        <v>2088.89</v>
      </c>
      <c r="DC328">
        <f t="shared" si="151"/>
        <v>0</v>
      </c>
      <c r="DD328" t="s">
        <v>3</v>
      </c>
      <c r="DE328" t="s">
        <v>3</v>
      </c>
      <c r="DF328">
        <f t="shared" si="152"/>
        <v>10371.299999999999</v>
      </c>
      <c r="DG328">
        <f t="shared" si="153"/>
        <v>0</v>
      </c>
      <c r="DH328">
        <f t="shared" si="145"/>
        <v>0</v>
      </c>
      <c r="DI328">
        <f t="shared" si="154"/>
        <v>0</v>
      </c>
      <c r="DJ328">
        <f t="shared" si="155"/>
        <v>10371.299999999999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">
      <c r="A329">
        <f>ROW(Source!A109)</f>
        <v>109</v>
      </c>
      <c r="B329">
        <v>85739207</v>
      </c>
      <c r="C329">
        <v>85739727</v>
      </c>
      <c r="D329">
        <v>85211459</v>
      </c>
      <c r="E329">
        <v>1</v>
      </c>
      <c r="F329">
        <v>1</v>
      </c>
      <c r="G329">
        <v>1081</v>
      </c>
      <c r="H329">
        <v>3</v>
      </c>
      <c r="I329" t="s">
        <v>206</v>
      </c>
      <c r="J329" t="s">
        <v>208</v>
      </c>
      <c r="K329" t="s">
        <v>207</v>
      </c>
      <c r="L329">
        <v>1301</v>
      </c>
      <c r="N329">
        <v>1003</v>
      </c>
      <c r="O329" t="s">
        <v>179</v>
      </c>
      <c r="P329" t="s">
        <v>179</v>
      </c>
      <c r="Q329">
        <v>1</v>
      </c>
      <c r="W329">
        <v>0</v>
      </c>
      <c r="X329">
        <v>-173671470</v>
      </c>
      <c r="Y329">
        <f t="shared" si="146"/>
        <v>50.25</v>
      </c>
      <c r="AA329">
        <v>1062.52</v>
      </c>
      <c r="AB329">
        <v>0</v>
      </c>
      <c r="AC329">
        <v>0</v>
      </c>
      <c r="AD329">
        <v>0</v>
      </c>
      <c r="AE329">
        <v>51.28</v>
      </c>
      <c r="AF329">
        <v>0</v>
      </c>
      <c r="AG329">
        <v>0</v>
      </c>
      <c r="AH329">
        <v>0</v>
      </c>
      <c r="AI329">
        <v>20.72</v>
      </c>
      <c r="AJ329">
        <v>1</v>
      </c>
      <c r="AK329">
        <v>1</v>
      </c>
      <c r="AL329">
        <v>1</v>
      </c>
      <c r="AM329">
        <v>0</v>
      </c>
      <c r="AN329">
        <v>0</v>
      </c>
      <c r="AO329">
        <v>0</v>
      </c>
      <c r="AP329">
        <v>1</v>
      </c>
      <c r="AQ329">
        <v>0</v>
      </c>
      <c r="AR329">
        <v>0</v>
      </c>
      <c r="AS329" t="s">
        <v>3</v>
      </c>
      <c r="AT329">
        <v>50.25</v>
      </c>
      <c r="AU329" t="s">
        <v>35</v>
      </c>
      <c r="AV329">
        <v>0</v>
      </c>
      <c r="AW329">
        <v>1</v>
      </c>
      <c r="AX329">
        <v>-1</v>
      </c>
      <c r="AY329">
        <v>0</v>
      </c>
      <c r="AZ329">
        <v>0</v>
      </c>
      <c r="BA329" t="s">
        <v>3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v>0</v>
      </c>
      <c r="CX329">
        <f>ROUND(Y329*Source!I109,9)</f>
        <v>15.074999999999999</v>
      </c>
      <c r="CY329">
        <f t="shared" si="147"/>
        <v>1062.52</v>
      </c>
      <c r="CZ329">
        <f t="shared" si="148"/>
        <v>51.28</v>
      </c>
      <c r="DA329">
        <f t="shared" si="149"/>
        <v>20.72</v>
      </c>
      <c r="DB329">
        <f t="shared" si="150"/>
        <v>2576.8200000000002</v>
      </c>
      <c r="DC329">
        <f t="shared" si="151"/>
        <v>0</v>
      </c>
      <c r="DD329" t="s">
        <v>3</v>
      </c>
      <c r="DE329" t="s">
        <v>3</v>
      </c>
      <c r="DF329">
        <f t="shared" si="152"/>
        <v>16017.49</v>
      </c>
      <c r="DG329">
        <f t="shared" si="153"/>
        <v>0</v>
      </c>
      <c r="DH329">
        <f t="shared" si="145"/>
        <v>0</v>
      </c>
      <c r="DI329">
        <f t="shared" si="154"/>
        <v>0</v>
      </c>
      <c r="DJ329">
        <f t="shared" si="155"/>
        <v>16017.49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">
      <c r="A330">
        <f>ROW(Source!A109)</f>
        <v>109</v>
      </c>
      <c r="B330">
        <v>85739207</v>
      </c>
      <c r="C330">
        <v>85739727</v>
      </c>
      <c r="D330">
        <v>85221547</v>
      </c>
      <c r="E330">
        <v>1</v>
      </c>
      <c r="F330">
        <v>1</v>
      </c>
      <c r="G330">
        <v>1081</v>
      </c>
      <c r="H330">
        <v>3</v>
      </c>
      <c r="I330" t="s">
        <v>564</v>
      </c>
      <c r="J330" t="s">
        <v>565</v>
      </c>
      <c r="K330" t="s">
        <v>566</v>
      </c>
      <c r="L330">
        <v>1354</v>
      </c>
      <c r="N330">
        <v>1010</v>
      </c>
      <c r="O330" t="s">
        <v>99</v>
      </c>
      <c r="P330" t="s">
        <v>99</v>
      </c>
      <c r="Q330">
        <v>1</v>
      </c>
      <c r="W330">
        <v>0</v>
      </c>
      <c r="X330">
        <v>483106430</v>
      </c>
      <c r="Y330">
        <f t="shared" si="146"/>
        <v>36</v>
      </c>
      <c r="AA330">
        <v>17.47</v>
      </c>
      <c r="AB330">
        <v>0</v>
      </c>
      <c r="AC330">
        <v>0</v>
      </c>
      <c r="AD330">
        <v>0</v>
      </c>
      <c r="AE330">
        <v>14.28</v>
      </c>
      <c r="AF330">
        <v>0</v>
      </c>
      <c r="AG330">
        <v>0</v>
      </c>
      <c r="AH330">
        <v>0</v>
      </c>
      <c r="AI330">
        <v>1.19</v>
      </c>
      <c r="AJ330">
        <v>1</v>
      </c>
      <c r="AK330">
        <v>1</v>
      </c>
      <c r="AL330">
        <v>1</v>
      </c>
      <c r="AM330">
        <v>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36</v>
      </c>
      <c r="AU330" t="s">
        <v>35</v>
      </c>
      <c r="AV330">
        <v>0</v>
      </c>
      <c r="AW330">
        <v>2</v>
      </c>
      <c r="AX330">
        <v>85739757</v>
      </c>
      <c r="AY330">
        <v>1</v>
      </c>
      <c r="AZ330">
        <v>0</v>
      </c>
      <c r="BA330">
        <v>347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ROUND(Y330*Source!I109,9)</f>
        <v>10.8</v>
      </c>
      <c r="CY330">
        <f t="shared" si="147"/>
        <v>17.47</v>
      </c>
      <c r="CZ330">
        <f t="shared" si="148"/>
        <v>14.28</v>
      </c>
      <c r="DA330">
        <f t="shared" si="149"/>
        <v>1.19</v>
      </c>
      <c r="DB330">
        <f t="shared" si="150"/>
        <v>514.08000000000004</v>
      </c>
      <c r="DC330">
        <f t="shared" si="151"/>
        <v>0</v>
      </c>
      <c r="DD330" t="s">
        <v>3</v>
      </c>
      <c r="DE330" t="s">
        <v>3</v>
      </c>
      <c r="DF330">
        <f t="shared" si="152"/>
        <v>183.49</v>
      </c>
      <c r="DG330">
        <f t="shared" si="153"/>
        <v>0</v>
      </c>
      <c r="DH330">
        <f t="shared" si="145"/>
        <v>0</v>
      </c>
      <c r="DI330">
        <f t="shared" si="154"/>
        <v>0</v>
      </c>
      <c r="DJ330">
        <f t="shared" si="155"/>
        <v>183.49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">
      <c r="A331">
        <f>ROW(Source!A122)</f>
        <v>122</v>
      </c>
      <c r="B331">
        <v>85739205</v>
      </c>
      <c r="C331">
        <v>85739816</v>
      </c>
      <c r="D331">
        <v>85164021</v>
      </c>
      <c r="E331">
        <v>1081</v>
      </c>
      <c r="F331">
        <v>1</v>
      </c>
      <c r="G331">
        <v>1081</v>
      </c>
      <c r="H331">
        <v>1</v>
      </c>
      <c r="I331" t="s">
        <v>472</v>
      </c>
      <c r="J331" t="s">
        <v>3</v>
      </c>
      <c r="K331" t="s">
        <v>473</v>
      </c>
      <c r="L331">
        <v>1191</v>
      </c>
      <c r="N331">
        <v>1013</v>
      </c>
      <c r="O331" t="s">
        <v>474</v>
      </c>
      <c r="P331" t="s">
        <v>474</v>
      </c>
      <c r="Q331">
        <v>1</v>
      </c>
      <c r="W331">
        <v>0</v>
      </c>
      <c r="X331">
        <v>476480486</v>
      </c>
      <c r="Y331">
        <f>((AT331*1.15)*1.2)</f>
        <v>18.491999999999997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-2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13.4</v>
      </c>
      <c r="AU331" t="s">
        <v>79</v>
      </c>
      <c r="AV331">
        <v>1</v>
      </c>
      <c r="AW331">
        <v>2</v>
      </c>
      <c r="AX331">
        <v>85739818</v>
      </c>
      <c r="AY331">
        <v>1</v>
      </c>
      <c r="AZ331">
        <v>0</v>
      </c>
      <c r="BA331">
        <v>349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U331">
        <f>ROUND(AT331*Source!I122*AH331*AL331,2)</f>
        <v>0</v>
      </c>
      <c r="CV331">
        <f>ROUND(Y331*Source!I122,9)</f>
        <v>16.642800000000001</v>
      </c>
      <c r="CW331">
        <v>0</v>
      </c>
      <c r="CX331">
        <f>ROUND(Y331*Source!I122,9)</f>
        <v>16.642800000000001</v>
      </c>
      <c r="CY331">
        <f>AD331</f>
        <v>0</v>
      </c>
      <c r="CZ331">
        <f>AH331</f>
        <v>0</v>
      </c>
      <c r="DA331">
        <f>AL331</f>
        <v>1</v>
      </c>
      <c r="DB331">
        <f>ROUND(((ROUND(AT331*CZ331,2)*1.15)*1.2),6)</f>
        <v>0</v>
      </c>
      <c r="DC331">
        <f>ROUND(((ROUND(AT331*AG331,2)*1.15)*1.2),6)</f>
        <v>0</v>
      </c>
      <c r="DD331" t="s">
        <v>3</v>
      </c>
      <c r="DE331" t="s">
        <v>3</v>
      </c>
      <c r="DF331">
        <f t="shared" ref="DF331:DF336" si="156">ROUND(ROUND(AE331,2)*CX331,2)</f>
        <v>0</v>
      </c>
      <c r="DG331">
        <f t="shared" si="153"/>
        <v>0</v>
      </c>
      <c r="DH331">
        <f t="shared" si="145"/>
        <v>0</v>
      </c>
      <c r="DI331">
        <f t="shared" si="154"/>
        <v>0</v>
      </c>
      <c r="DJ331">
        <f>DI331</f>
        <v>0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">
      <c r="A332">
        <f>ROW(Source!A122)</f>
        <v>122</v>
      </c>
      <c r="B332">
        <v>85739205</v>
      </c>
      <c r="C332">
        <v>85739816</v>
      </c>
      <c r="D332">
        <v>85229932</v>
      </c>
      <c r="E332">
        <v>1</v>
      </c>
      <c r="F332">
        <v>1</v>
      </c>
      <c r="G332">
        <v>1081</v>
      </c>
      <c r="H332">
        <v>2</v>
      </c>
      <c r="I332" t="s">
        <v>482</v>
      </c>
      <c r="J332" t="s">
        <v>483</v>
      </c>
      <c r="K332" t="s">
        <v>484</v>
      </c>
      <c r="L332">
        <v>1368</v>
      </c>
      <c r="N332">
        <v>1011</v>
      </c>
      <c r="O332" t="s">
        <v>478</v>
      </c>
      <c r="P332" t="s">
        <v>478</v>
      </c>
      <c r="Q332">
        <v>1</v>
      </c>
      <c r="W332">
        <v>0</v>
      </c>
      <c r="X332">
        <v>874612079</v>
      </c>
      <c r="Y332">
        <f>((AT332*1.25)*1.2)</f>
        <v>4.4999999999999998E-2</v>
      </c>
      <c r="AA332">
        <v>0</v>
      </c>
      <c r="AB332">
        <v>90.33</v>
      </c>
      <c r="AC332">
        <v>13.72</v>
      </c>
      <c r="AD332">
        <v>0</v>
      </c>
      <c r="AE332">
        <v>0</v>
      </c>
      <c r="AF332">
        <v>83.1</v>
      </c>
      <c r="AG332">
        <v>12.62</v>
      </c>
      <c r="AH332">
        <v>0</v>
      </c>
      <c r="AI332">
        <v>1</v>
      </c>
      <c r="AJ332">
        <v>1</v>
      </c>
      <c r="AK332">
        <v>1</v>
      </c>
      <c r="AL332">
        <v>1</v>
      </c>
      <c r="AM332">
        <v>-2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0.03</v>
      </c>
      <c r="AU332" t="s">
        <v>78</v>
      </c>
      <c r="AV332">
        <v>0</v>
      </c>
      <c r="AW332">
        <v>2</v>
      </c>
      <c r="AX332">
        <v>85739819</v>
      </c>
      <c r="AY332">
        <v>1</v>
      </c>
      <c r="AZ332">
        <v>0</v>
      </c>
      <c r="BA332">
        <v>350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f>ROUND(Y332*Source!I122*DO332,9)</f>
        <v>0.51110999999999995</v>
      </c>
      <c r="CX332">
        <f>ROUND(Y332*Source!I122,9)</f>
        <v>4.0500000000000001E-2</v>
      </c>
      <c r="CY332">
        <f>AB332</f>
        <v>90.33</v>
      </c>
      <c r="CZ332">
        <f>AF332</f>
        <v>83.1</v>
      </c>
      <c r="DA332">
        <f>AJ332</f>
        <v>1</v>
      </c>
      <c r="DB332">
        <f>ROUND(((ROUND(AT332*CZ332,2)*1.25)*1.2),6)</f>
        <v>3.7349999999999999</v>
      </c>
      <c r="DC332">
        <f>ROUND(((ROUND(AT332*AG332,2)*1.25)*1.2),6)</f>
        <v>0.56999999999999995</v>
      </c>
      <c r="DD332" t="s">
        <v>3</v>
      </c>
      <c r="DE332" t="s">
        <v>3</v>
      </c>
      <c r="DF332">
        <f t="shared" si="156"/>
        <v>0</v>
      </c>
      <c r="DG332">
        <f t="shared" si="153"/>
        <v>3.37</v>
      </c>
      <c r="DH332">
        <f t="shared" si="145"/>
        <v>0.51</v>
      </c>
      <c r="DI332">
        <f t="shared" si="154"/>
        <v>0</v>
      </c>
      <c r="DJ332">
        <f>DG332</f>
        <v>3.37</v>
      </c>
      <c r="DK332">
        <v>0</v>
      </c>
      <c r="DL332" t="s">
        <v>485</v>
      </c>
      <c r="DM332">
        <v>0</v>
      </c>
      <c r="DN332" t="s">
        <v>474</v>
      </c>
      <c r="DO332">
        <v>12.62</v>
      </c>
    </row>
    <row r="333" spans="1:119" x14ac:dyDescent="0.2">
      <c r="A333">
        <f>ROW(Source!A122)</f>
        <v>122</v>
      </c>
      <c r="B333">
        <v>85739205</v>
      </c>
      <c r="C333">
        <v>85739816</v>
      </c>
      <c r="D333">
        <v>85206803</v>
      </c>
      <c r="E333">
        <v>1</v>
      </c>
      <c r="F333">
        <v>1</v>
      </c>
      <c r="G333">
        <v>1081</v>
      </c>
      <c r="H333">
        <v>3</v>
      </c>
      <c r="I333" t="s">
        <v>245</v>
      </c>
      <c r="J333" t="s">
        <v>247</v>
      </c>
      <c r="K333" t="s">
        <v>246</v>
      </c>
      <c r="L333">
        <v>1354</v>
      </c>
      <c r="N333">
        <v>1010</v>
      </c>
      <c r="O333" t="s">
        <v>99</v>
      </c>
      <c r="P333" t="s">
        <v>99</v>
      </c>
      <c r="Q333">
        <v>1</v>
      </c>
      <c r="W333">
        <v>0</v>
      </c>
      <c r="X333">
        <v>-335723436</v>
      </c>
      <c r="Y333">
        <f>((AT333*1)*1)</f>
        <v>50</v>
      </c>
      <c r="AA333">
        <v>13.23</v>
      </c>
      <c r="AB333">
        <v>0</v>
      </c>
      <c r="AC333">
        <v>0</v>
      </c>
      <c r="AD333">
        <v>0</v>
      </c>
      <c r="AE333">
        <v>13.23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1</v>
      </c>
      <c r="AQ333">
        <v>0</v>
      </c>
      <c r="AR333">
        <v>0</v>
      </c>
      <c r="AS333" t="s">
        <v>3</v>
      </c>
      <c r="AT333">
        <v>50</v>
      </c>
      <c r="AU333" t="s">
        <v>77</v>
      </c>
      <c r="AV333">
        <v>0</v>
      </c>
      <c r="AW333">
        <v>1</v>
      </c>
      <c r="AX333">
        <v>-1</v>
      </c>
      <c r="AY333">
        <v>0</v>
      </c>
      <c r="AZ333">
        <v>0</v>
      </c>
      <c r="BA333" t="s">
        <v>3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ROUND(Y333*Source!I122,9)</f>
        <v>45</v>
      </c>
      <c r="CY333">
        <f>AA333</f>
        <v>13.23</v>
      </c>
      <c r="CZ333">
        <f>AE333</f>
        <v>13.23</v>
      </c>
      <c r="DA333">
        <f>AI333</f>
        <v>1</v>
      </c>
      <c r="DB333">
        <f>ROUND(((ROUND(AT333*CZ333,2)*1)*1),6)</f>
        <v>661.5</v>
      </c>
      <c r="DC333">
        <f>ROUND(((ROUND(AT333*AG333,2)*1)*1),6)</f>
        <v>0</v>
      </c>
      <c r="DD333" t="s">
        <v>3</v>
      </c>
      <c r="DE333" t="s">
        <v>3</v>
      </c>
      <c r="DF333">
        <f t="shared" si="156"/>
        <v>595.35</v>
      </c>
      <c r="DG333">
        <f t="shared" si="153"/>
        <v>0</v>
      </c>
      <c r="DH333">
        <f t="shared" si="145"/>
        <v>0</v>
      </c>
      <c r="DI333">
        <f t="shared" si="154"/>
        <v>0</v>
      </c>
      <c r="DJ333">
        <f>DF333</f>
        <v>595.35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">
      <c r="A334">
        <f>ROW(Source!A122)</f>
        <v>122</v>
      </c>
      <c r="B334">
        <v>85739205</v>
      </c>
      <c r="C334">
        <v>85739816</v>
      </c>
      <c r="D334">
        <v>85209194</v>
      </c>
      <c r="E334">
        <v>1</v>
      </c>
      <c r="F334">
        <v>1</v>
      </c>
      <c r="G334">
        <v>1081</v>
      </c>
      <c r="H334">
        <v>3</v>
      </c>
      <c r="I334" t="s">
        <v>250</v>
      </c>
      <c r="J334" t="s">
        <v>252</v>
      </c>
      <c r="K334" t="s">
        <v>251</v>
      </c>
      <c r="L334">
        <v>1355</v>
      </c>
      <c r="N334">
        <v>1010</v>
      </c>
      <c r="O334" t="s">
        <v>240</v>
      </c>
      <c r="P334" t="s">
        <v>240</v>
      </c>
      <c r="Q334">
        <v>100</v>
      </c>
      <c r="W334">
        <v>0</v>
      </c>
      <c r="X334">
        <v>745037488</v>
      </c>
      <c r="Y334">
        <f>((AT334*1)*1)</f>
        <v>0.5</v>
      </c>
      <c r="AA334">
        <v>328.5</v>
      </c>
      <c r="AB334">
        <v>0</v>
      </c>
      <c r="AC334">
        <v>0</v>
      </c>
      <c r="AD334">
        <v>0</v>
      </c>
      <c r="AE334">
        <v>328.5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0</v>
      </c>
      <c r="AS334" t="s">
        <v>3</v>
      </c>
      <c r="AT334">
        <v>0.5</v>
      </c>
      <c r="AU334" t="s">
        <v>77</v>
      </c>
      <c r="AV334">
        <v>0</v>
      </c>
      <c r="AW334">
        <v>1</v>
      </c>
      <c r="AX334">
        <v>-1</v>
      </c>
      <c r="AY334">
        <v>0</v>
      </c>
      <c r="AZ334">
        <v>0</v>
      </c>
      <c r="BA334" t="s">
        <v>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ROUND(Y334*Source!I122,9)</f>
        <v>0.45</v>
      </c>
      <c r="CY334">
        <f>AA334</f>
        <v>328.5</v>
      </c>
      <c r="CZ334">
        <f>AE334</f>
        <v>328.5</v>
      </c>
      <c r="DA334">
        <f>AI334</f>
        <v>1</v>
      </c>
      <c r="DB334">
        <f>ROUND(((ROUND(AT334*CZ334,2)*1)*1),6)</f>
        <v>164.25</v>
      </c>
      <c r="DC334">
        <f>ROUND(((ROUND(AT334*AG334,2)*1)*1),6)</f>
        <v>0</v>
      </c>
      <c r="DD334" t="s">
        <v>3</v>
      </c>
      <c r="DE334" t="s">
        <v>3</v>
      </c>
      <c r="DF334">
        <f t="shared" si="156"/>
        <v>147.83000000000001</v>
      </c>
      <c r="DG334">
        <f t="shared" si="153"/>
        <v>0</v>
      </c>
      <c r="DH334">
        <f t="shared" si="145"/>
        <v>0</v>
      </c>
      <c r="DI334">
        <f t="shared" si="154"/>
        <v>0</v>
      </c>
      <c r="DJ334">
        <f>DF334</f>
        <v>147.83000000000001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">
      <c r="A335">
        <f>ROW(Source!A123)</f>
        <v>123</v>
      </c>
      <c r="B335">
        <v>85739207</v>
      </c>
      <c r="C335">
        <v>85739816</v>
      </c>
      <c r="D335">
        <v>85164021</v>
      </c>
      <c r="E335">
        <v>1081</v>
      </c>
      <c r="F335">
        <v>1</v>
      </c>
      <c r="G335">
        <v>1081</v>
      </c>
      <c r="H335">
        <v>1</v>
      </c>
      <c r="I335" t="s">
        <v>472</v>
      </c>
      <c r="J335" t="s">
        <v>3</v>
      </c>
      <c r="K335" t="s">
        <v>473</v>
      </c>
      <c r="L335">
        <v>1191</v>
      </c>
      <c r="N335">
        <v>1013</v>
      </c>
      <c r="O335" t="s">
        <v>474</v>
      </c>
      <c r="P335" t="s">
        <v>474</v>
      </c>
      <c r="Q335">
        <v>1</v>
      </c>
      <c r="W335">
        <v>0</v>
      </c>
      <c r="X335">
        <v>476480486</v>
      </c>
      <c r="Y335">
        <f>((AT335*1.15)*1.2)</f>
        <v>18.491999999999997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5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13.4</v>
      </c>
      <c r="AU335" t="s">
        <v>79</v>
      </c>
      <c r="AV335">
        <v>1</v>
      </c>
      <c r="AW335">
        <v>2</v>
      </c>
      <c r="AX335">
        <v>85739818</v>
      </c>
      <c r="AY335">
        <v>1</v>
      </c>
      <c r="AZ335">
        <v>0</v>
      </c>
      <c r="BA335">
        <v>352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U335">
        <f>ROUND(AT335*Source!I123*AH335*AL335,2)</f>
        <v>0</v>
      </c>
      <c r="CV335">
        <f>ROUND(Y335*Source!I123,9)</f>
        <v>16.642800000000001</v>
      </c>
      <c r="CW335">
        <v>0</v>
      </c>
      <c r="CX335">
        <f>ROUND(Y335*Source!I123,9)</f>
        <v>16.642800000000001</v>
      </c>
      <c r="CY335">
        <f>AD335</f>
        <v>0</v>
      </c>
      <c r="CZ335">
        <f>AH335</f>
        <v>0</v>
      </c>
      <c r="DA335">
        <f>AL335</f>
        <v>1</v>
      </c>
      <c r="DB335">
        <f>ROUND(((ROUND(AT335*CZ335,2)*1.15)*1.2),6)</f>
        <v>0</v>
      </c>
      <c r="DC335">
        <f>ROUND(((ROUND(AT335*AG335,2)*1.15)*1.2),6)</f>
        <v>0</v>
      </c>
      <c r="DD335" t="s">
        <v>3</v>
      </c>
      <c r="DE335" t="s">
        <v>3</v>
      </c>
      <c r="DF335">
        <f t="shared" si="156"/>
        <v>0</v>
      </c>
      <c r="DG335">
        <f t="shared" si="153"/>
        <v>0</v>
      </c>
      <c r="DH335">
        <f t="shared" si="145"/>
        <v>0</v>
      </c>
      <c r="DI335">
        <f t="shared" si="154"/>
        <v>0</v>
      </c>
      <c r="DJ335">
        <f>DI335</f>
        <v>0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">
      <c r="A336">
        <f>ROW(Source!A123)</f>
        <v>123</v>
      </c>
      <c r="B336">
        <v>85739207</v>
      </c>
      <c r="C336">
        <v>85739816</v>
      </c>
      <c r="D336">
        <v>85229932</v>
      </c>
      <c r="E336">
        <v>1</v>
      </c>
      <c r="F336">
        <v>1</v>
      </c>
      <c r="G336">
        <v>1081</v>
      </c>
      <c r="H336">
        <v>2</v>
      </c>
      <c r="I336" t="s">
        <v>482</v>
      </c>
      <c r="J336" t="s">
        <v>483</v>
      </c>
      <c r="K336" t="s">
        <v>484</v>
      </c>
      <c r="L336">
        <v>1368</v>
      </c>
      <c r="N336">
        <v>1011</v>
      </c>
      <c r="O336" t="s">
        <v>478</v>
      </c>
      <c r="P336" t="s">
        <v>478</v>
      </c>
      <c r="Q336">
        <v>1</v>
      </c>
      <c r="W336">
        <v>0</v>
      </c>
      <c r="X336">
        <v>874612079</v>
      </c>
      <c r="Y336">
        <f>((AT336*1.25)*1.2)</f>
        <v>4.4999999999999998E-2</v>
      </c>
      <c r="AA336">
        <v>0</v>
      </c>
      <c r="AB336">
        <v>1541.93</v>
      </c>
      <c r="AC336">
        <v>773.01</v>
      </c>
      <c r="AD336">
        <v>0</v>
      </c>
      <c r="AE336">
        <v>0</v>
      </c>
      <c r="AF336">
        <v>83.1</v>
      </c>
      <c r="AG336">
        <v>12.62</v>
      </c>
      <c r="AH336">
        <v>0</v>
      </c>
      <c r="AI336">
        <v>1</v>
      </c>
      <c r="AJ336">
        <v>17.07</v>
      </c>
      <c r="AK336">
        <v>56.35</v>
      </c>
      <c r="AL336">
        <v>1</v>
      </c>
      <c r="AM336">
        <v>2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0.03</v>
      </c>
      <c r="AU336" t="s">
        <v>78</v>
      </c>
      <c r="AV336">
        <v>0</v>
      </c>
      <c r="AW336">
        <v>2</v>
      </c>
      <c r="AX336">
        <v>85739819</v>
      </c>
      <c r="AY336">
        <v>1</v>
      </c>
      <c r="AZ336">
        <v>0</v>
      </c>
      <c r="BA336">
        <v>353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V336">
        <v>0</v>
      </c>
      <c r="CW336">
        <f>ROUND(Y336*Source!I123*DO336,9)</f>
        <v>0.51110999999999995</v>
      </c>
      <c r="CX336">
        <f>ROUND(Y336*Source!I123,9)</f>
        <v>4.0500000000000001E-2</v>
      </c>
      <c r="CY336">
        <f>AB336</f>
        <v>1541.93</v>
      </c>
      <c r="CZ336">
        <f>AF336</f>
        <v>83.1</v>
      </c>
      <c r="DA336">
        <f>AJ336</f>
        <v>17.07</v>
      </c>
      <c r="DB336">
        <f>ROUND(((ROUND(AT336*CZ336,2)*1.25)*1.2),6)</f>
        <v>3.7349999999999999</v>
      </c>
      <c r="DC336">
        <f>ROUND(((ROUND(AT336*AG336,2)*1.25)*1.2),6)</f>
        <v>0.56999999999999995</v>
      </c>
      <c r="DD336" t="s">
        <v>3</v>
      </c>
      <c r="DE336" t="s">
        <v>3</v>
      </c>
      <c r="DF336">
        <f t="shared" si="156"/>
        <v>0</v>
      </c>
      <c r="DG336">
        <f>ROUND(ROUND(AF336*AJ336,2)*CX336,2)</f>
        <v>57.45</v>
      </c>
      <c r="DH336">
        <f>ROUND(ROUND(AG336*AK336,2)*CX336,2)</f>
        <v>28.8</v>
      </c>
      <c r="DI336">
        <f t="shared" si="154"/>
        <v>0</v>
      </c>
      <c r="DJ336">
        <f>DG336</f>
        <v>57.45</v>
      </c>
      <c r="DK336">
        <v>0</v>
      </c>
      <c r="DL336" t="s">
        <v>485</v>
      </c>
      <c r="DM336">
        <v>0</v>
      </c>
      <c r="DN336" t="s">
        <v>474</v>
      </c>
      <c r="DO336">
        <v>12.62</v>
      </c>
    </row>
    <row r="337" spans="1:119" x14ac:dyDescent="0.2">
      <c r="A337">
        <f>ROW(Source!A123)</f>
        <v>123</v>
      </c>
      <c r="B337">
        <v>85739207</v>
      </c>
      <c r="C337">
        <v>85739816</v>
      </c>
      <c r="D337">
        <v>85206803</v>
      </c>
      <c r="E337">
        <v>1</v>
      </c>
      <c r="F337">
        <v>1</v>
      </c>
      <c r="G337">
        <v>1081</v>
      </c>
      <c r="H337">
        <v>3</v>
      </c>
      <c r="I337" t="s">
        <v>245</v>
      </c>
      <c r="J337" t="s">
        <v>247</v>
      </c>
      <c r="K337" t="s">
        <v>246</v>
      </c>
      <c r="L337">
        <v>1354</v>
      </c>
      <c r="N337">
        <v>1010</v>
      </c>
      <c r="O337" t="s">
        <v>99</v>
      </c>
      <c r="P337" t="s">
        <v>99</v>
      </c>
      <c r="Q337">
        <v>1</v>
      </c>
      <c r="W337">
        <v>0</v>
      </c>
      <c r="X337">
        <v>-335723436</v>
      </c>
      <c r="Y337">
        <f>((AT337*1)*1)</f>
        <v>50</v>
      </c>
      <c r="AA337">
        <v>191.31</v>
      </c>
      <c r="AB337">
        <v>0</v>
      </c>
      <c r="AC337">
        <v>0</v>
      </c>
      <c r="AD337">
        <v>0</v>
      </c>
      <c r="AE337">
        <v>13.23</v>
      </c>
      <c r="AF337">
        <v>0</v>
      </c>
      <c r="AG337">
        <v>0</v>
      </c>
      <c r="AH337">
        <v>0</v>
      </c>
      <c r="AI337">
        <v>14.46</v>
      </c>
      <c r="AJ337">
        <v>1</v>
      </c>
      <c r="AK337">
        <v>1</v>
      </c>
      <c r="AL337">
        <v>1</v>
      </c>
      <c r="AM337">
        <v>0</v>
      </c>
      <c r="AN337">
        <v>0</v>
      </c>
      <c r="AO337">
        <v>0</v>
      </c>
      <c r="AP337">
        <v>1</v>
      </c>
      <c r="AQ337">
        <v>0</v>
      </c>
      <c r="AR337">
        <v>0</v>
      </c>
      <c r="AS337" t="s">
        <v>3</v>
      </c>
      <c r="AT337">
        <v>50</v>
      </c>
      <c r="AU337" t="s">
        <v>77</v>
      </c>
      <c r="AV337">
        <v>0</v>
      </c>
      <c r="AW337">
        <v>1</v>
      </c>
      <c r="AX337">
        <v>-1</v>
      </c>
      <c r="AY337">
        <v>0</v>
      </c>
      <c r="AZ337">
        <v>0</v>
      </c>
      <c r="BA337" t="s">
        <v>3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ROUND(Y337*Source!I123,9)</f>
        <v>45</v>
      </c>
      <c r="CY337">
        <f>AA337</f>
        <v>191.31</v>
      </c>
      <c r="CZ337">
        <f>AE337</f>
        <v>13.23</v>
      </c>
      <c r="DA337">
        <f>AI337</f>
        <v>14.46</v>
      </c>
      <c r="DB337">
        <f>ROUND(((ROUND(AT337*CZ337,2)*1)*1),6)</f>
        <v>661.5</v>
      </c>
      <c r="DC337">
        <f>ROUND(((ROUND(AT337*AG337,2)*1)*1),6)</f>
        <v>0</v>
      </c>
      <c r="DD337" t="s">
        <v>3</v>
      </c>
      <c r="DE337" t="s">
        <v>3</v>
      </c>
      <c r="DF337">
        <f>ROUND(ROUND(AE337*AI337,2)*CX337,2)</f>
        <v>8608.9500000000007</v>
      </c>
      <c r="DG337">
        <f t="shared" ref="DG337:DG346" si="157">ROUND(ROUND(AF337,2)*CX337,2)</f>
        <v>0</v>
      </c>
      <c r="DH337">
        <f t="shared" ref="DH337:DH347" si="158">ROUND(ROUND(AG337,2)*CX337,2)</f>
        <v>0</v>
      </c>
      <c r="DI337">
        <f t="shared" si="154"/>
        <v>0</v>
      </c>
      <c r="DJ337">
        <f>DF337</f>
        <v>8608.9500000000007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">
      <c r="A338">
        <f>ROW(Source!A123)</f>
        <v>123</v>
      </c>
      <c r="B338">
        <v>85739207</v>
      </c>
      <c r="C338">
        <v>85739816</v>
      </c>
      <c r="D338">
        <v>85209194</v>
      </c>
      <c r="E338">
        <v>1</v>
      </c>
      <c r="F338">
        <v>1</v>
      </c>
      <c r="G338">
        <v>1081</v>
      </c>
      <c r="H338">
        <v>3</v>
      </c>
      <c r="I338" t="s">
        <v>250</v>
      </c>
      <c r="J338" t="s">
        <v>252</v>
      </c>
      <c r="K338" t="s">
        <v>251</v>
      </c>
      <c r="L338">
        <v>1355</v>
      </c>
      <c r="N338">
        <v>1010</v>
      </c>
      <c r="O338" t="s">
        <v>240</v>
      </c>
      <c r="P338" t="s">
        <v>240</v>
      </c>
      <c r="Q338">
        <v>100</v>
      </c>
      <c r="W338">
        <v>0</v>
      </c>
      <c r="X338">
        <v>745037488</v>
      </c>
      <c r="Y338">
        <f>((AT338*1)*1)</f>
        <v>0.5</v>
      </c>
      <c r="AA338">
        <v>5285.57</v>
      </c>
      <c r="AB338">
        <v>0</v>
      </c>
      <c r="AC338">
        <v>0</v>
      </c>
      <c r="AD338">
        <v>0</v>
      </c>
      <c r="AE338">
        <v>328.5</v>
      </c>
      <c r="AF338">
        <v>0</v>
      </c>
      <c r="AG338">
        <v>0</v>
      </c>
      <c r="AH338">
        <v>0</v>
      </c>
      <c r="AI338">
        <v>16.09</v>
      </c>
      <c r="AJ338">
        <v>1</v>
      </c>
      <c r="AK338">
        <v>1</v>
      </c>
      <c r="AL338">
        <v>1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 t="s">
        <v>3</v>
      </c>
      <c r="AT338">
        <v>0.5</v>
      </c>
      <c r="AU338" t="s">
        <v>77</v>
      </c>
      <c r="AV338">
        <v>0</v>
      </c>
      <c r="AW338">
        <v>1</v>
      </c>
      <c r="AX338">
        <v>-1</v>
      </c>
      <c r="AY338">
        <v>0</v>
      </c>
      <c r="AZ338">
        <v>0</v>
      </c>
      <c r="BA338" t="s">
        <v>3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ROUND(Y338*Source!I123,9)</f>
        <v>0.45</v>
      </c>
      <c r="CY338">
        <f>AA338</f>
        <v>5285.57</v>
      </c>
      <c r="CZ338">
        <f>AE338</f>
        <v>328.5</v>
      </c>
      <c r="DA338">
        <f>AI338</f>
        <v>16.09</v>
      </c>
      <c r="DB338">
        <f>ROUND(((ROUND(AT338*CZ338,2)*1)*1),6)</f>
        <v>164.25</v>
      </c>
      <c r="DC338">
        <f>ROUND(((ROUND(AT338*AG338,2)*1)*1),6)</f>
        <v>0</v>
      </c>
      <c r="DD338" t="s">
        <v>3</v>
      </c>
      <c r="DE338" t="s">
        <v>3</v>
      </c>
      <c r="DF338">
        <f>ROUND(ROUND(AE338*AI338,2)*CX338,2)</f>
        <v>2378.5100000000002</v>
      </c>
      <c r="DG338">
        <f t="shared" si="157"/>
        <v>0</v>
      </c>
      <c r="DH338">
        <f t="shared" si="158"/>
        <v>0</v>
      </c>
      <c r="DI338">
        <f t="shared" si="154"/>
        <v>0</v>
      </c>
      <c r="DJ338">
        <f>DF338</f>
        <v>2378.5100000000002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">
      <c r="A339">
        <f>ROW(Source!A128)</f>
        <v>128</v>
      </c>
      <c r="B339">
        <v>85739205</v>
      </c>
      <c r="C339">
        <v>85739824</v>
      </c>
      <c r="D339">
        <v>85164021</v>
      </c>
      <c r="E339">
        <v>1081</v>
      </c>
      <c r="F339">
        <v>1</v>
      </c>
      <c r="G339">
        <v>1081</v>
      </c>
      <c r="H339">
        <v>1</v>
      </c>
      <c r="I339" t="s">
        <v>472</v>
      </c>
      <c r="J339" t="s">
        <v>3</v>
      </c>
      <c r="K339" t="s">
        <v>473</v>
      </c>
      <c r="L339">
        <v>1191</v>
      </c>
      <c r="N339">
        <v>1013</v>
      </c>
      <c r="O339" t="s">
        <v>474</v>
      </c>
      <c r="P339" t="s">
        <v>474</v>
      </c>
      <c r="Q339">
        <v>1</v>
      </c>
      <c r="W339">
        <v>0</v>
      </c>
      <c r="X339">
        <v>476480486</v>
      </c>
      <c r="Y339">
        <f>(((AT339*2)*1.15)*1.2)</f>
        <v>14.655599999999996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1</v>
      </c>
      <c r="AK339">
        <v>1</v>
      </c>
      <c r="AL339">
        <v>1</v>
      </c>
      <c r="AM339">
        <v>-2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5.31</v>
      </c>
      <c r="AU339" t="s">
        <v>260</v>
      </c>
      <c r="AV339">
        <v>1</v>
      </c>
      <c r="AW339">
        <v>2</v>
      </c>
      <c r="AX339">
        <v>85739827</v>
      </c>
      <c r="AY339">
        <v>1</v>
      </c>
      <c r="AZ339">
        <v>0</v>
      </c>
      <c r="BA339">
        <v>355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U339">
        <f>ROUND(AT339*Source!I128*AH339*AL339,2)</f>
        <v>0</v>
      </c>
      <c r="CV339">
        <f>ROUND(Y339*Source!I128,9)</f>
        <v>9.4968287999999994</v>
      </c>
      <c r="CW339">
        <v>0</v>
      </c>
      <c r="CX339">
        <f>ROUND(Y339*Source!I128,9)</f>
        <v>9.4968287999999994</v>
      </c>
      <c r="CY339">
        <f>AD339</f>
        <v>0</v>
      </c>
      <c r="CZ339">
        <f>AH339</f>
        <v>0</v>
      </c>
      <c r="DA339">
        <f>AL339</f>
        <v>1</v>
      </c>
      <c r="DB339">
        <f>ROUND((((ROUND(AT339*CZ339,2)*2)*1.15)*1.2),6)</f>
        <v>0</v>
      </c>
      <c r="DC339">
        <f>ROUND((((ROUND(AT339*AG339,2)*2)*1.15)*1.2),6)</f>
        <v>0</v>
      </c>
      <c r="DD339" t="s">
        <v>3</v>
      </c>
      <c r="DE339" t="s">
        <v>3</v>
      </c>
      <c r="DF339">
        <f t="shared" ref="DF339:DF350" si="159">ROUND(ROUND(AE339,2)*CX339,2)</f>
        <v>0</v>
      </c>
      <c r="DG339">
        <f t="shared" si="157"/>
        <v>0</v>
      </c>
      <c r="DH339">
        <f t="shared" si="158"/>
        <v>0</v>
      </c>
      <c r="DI339">
        <f t="shared" si="154"/>
        <v>0</v>
      </c>
      <c r="DJ339">
        <f>DI339</f>
        <v>0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">
      <c r="A340">
        <f>ROW(Source!A128)</f>
        <v>128</v>
      </c>
      <c r="B340">
        <v>85739205</v>
      </c>
      <c r="C340">
        <v>85739824</v>
      </c>
      <c r="D340">
        <v>85229532</v>
      </c>
      <c r="E340">
        <v>1</v>
      </c>
      <c r="F340">
        <v>1</v>
      </c>
      <c r="G340">
        <v>1081</v>
      </c>
      <c r="H340">
        <v>2</v>
      </c>
      <c r="I340" t="s">
        <v>567</v>
      </c>
      <c r="J340" t="s">
        <v>568</v>
      </c>
      <c r="K340" t="s">
        <v>569</v>
      </c>
      <c r="L340">
        <v>1368</v>
      </c>
      <c r="N340">
        <v>1011</v>
      </c>
      <c r="O340" t="s">
        <v>478</v>
      </c>
      <c r="P340" t="s">
        <v>478</v>
      </c>
      <c r="Q340">
        <v>1</v>
      </c>
      <c r="W340">
        <v>0</v>
      </c>
      <c r="X340">
        <v>1878265227</v>
      </c>
      <c r="Y340">
        <f>(((AT340*2)*1.25)*1.2)</f>
        <v>3.3600000000000003</v>
      </c>
      <c r="AA340">
        <v>0</v>
      </c>
      <c r="AB340">
        <v>10.89</v>
      </c>
      <c r="AC340">
        <v>0</v>
      </c>
      <c r="AD340">
        <v>0</v>
      </c>
      <c r="AE340">
        <v>0</v>
      </c>
      <c r="AF340">
        <v>10.4</v>
      </c>
      <c r="AG340">
        <v>0</v>
      </c>
      <c r="AH340">
        <v>0</v>
      </c>
      <c r="AI340">
        <v>1</v>
      </c>
      <c r="AJ340">
        <v>1</v>
      </c>
      <c r="AK340">
        <v>1</v>
      </c>
      <c r="AL340">
        <v>1</v>
      </c>
      <c r="AM340">
        <v>-2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1.1200000000000001</v>
      </c>
      <c r="AU340" t="s">
        <v>259</v>
      </c>
      <c r="AV340">
        <v>0</v>
      </c>
      <c r="AW340">
        <v>2</v>
      </c>
      <c r="AX340">
        <v>85739828</v>
      </c>
      <c r="AY340">
        <v>1</v>
      </c>
      <c r="AZ340">
        <v>0</v>
      </c>
      <c r="BA340">
        <v>356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f>ROUND(Y340*Source!I128*DO340,9)</f>
        <v>0</v>
      </c>
      <c r="CX340">
        <f>ROUND(Y340*Source!I128,9)</f>
        <v>2.1772800000000001</v>
      </c>
      <c r="CY340">
        <f>AB340</f>
        <v>10.89</v>
      </c>
      <c r="CZ340">
        <f>AF340</f>
        <v>10.4</v>
      </c>
      <c r="DA340">
        <f>AJ340</f>
        <v>1</v>
      </c>
      <c r="DB340">
        <f>ROUND((((ROUND(AT340*CZ340,2)*2)*1.25)*1.2),6)</f>
        <v>34.950000000000003</v>
      </c>
      <c r="DC340">
        <f>ROUND((((ROUND(AT340*AG340,2)*2)*1.25)*1.2),6)</f>
        <v>0</v>
      </c>
      <c r="DD340" t="s">
        <v>3</v>
      </c>
      <c r="DE340" t="s">
        <v>3</v>
      </c>
      <c r="DF340">
        <f t="shared" si="159"/>
        <v>0</v>
      </c>
      <c r="DG340">
        <f t="shared" si="157"/>
        <v>22.64</v>
      </c>
      <c r="DH340">
        <f t="shared" si="158"/>
        <v>0</v>
      </c>
      <c r="DI340">
        <f t="shared" si="154"/>
        <v>0</v>
      </c>
      <c r="DJ340">
        <f>DG340</f>
        <v>22.64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">
      <c r="A341">
        <f>ROW(Source!A128)</f>
        <v>128</v>
      </c>
      <c r="B341">
        <v>85739205</v>
      </c>
      <c r="C341">
        <v>85739824</v>
      </c>
      <c r="D341">
        <v>85229932</v>
      </c>
      <c r="E341">
        <v>1</v>
      </c>
      <c r="F341">
        <v>1</v>
      </c>
      <c r="G341">
        <v>1081</v>
      </c>
      <c r="H341">
        <v>2</v>
      </c>
      <c r="I341" t="s">
        <v>482</v>
      </c>
      <c r="J341" t="s">
        <v>483</v>
      </c>
      <c r="K341" t="s">
        <v>484</v>
      </c>
      <c r="L341">
        <v>1368</v>
      </c>
      <c r="N341">
        <v>1011</v>
      </c>
      <c r="O341" t="s">
        <v>478</v>
      </c>
      <c r="P341" t="s">
        <v>478</v>
      </c>
      <c r="Q341">
        <v>1</v>
      </c>
      <c r="W341">
        <v>0</v>
      </c>
      <c r="X341">
        <v>874612079</v>
      </c>
      <c r="Y341">
        <f>(((AT341*2)*1.25)*1.2)</f>
        <v>0.03</v>
      </c>
      <c r="AA341">
        <v>0</v>
      </c>
      <c r="AB341">
        <v>87.01</v>
      </c>
      <c r="AC341">
        <v>13.21</v>
      </c>
      <c r="AD341">
        <v>0</v>
      </c>
      <c r="AE341">
        <v>0</v>
      </c>
      <c r="AF341">
        <v>83.1</v>
      </c>
      <c r="AG341">
        <v>12.62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-2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0.01</v>
      </c>
      <c r="AU341" t="s">
        <v>259</v>
      </c>
      <c r="AV341">
        <v>0</v>
      </c>
      <c r="AW341">
        <v>2</v>
      </c>
      <c r="AX341">
        <v>85739829</v>
      </c>
      <c r="AY341">
        <v>1</v>
      </c>
      <c r="AZ341">
        <v>0</v>
      </c>
      <c r="BA341">
        <v>357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V341">
        <v>0</v>
      </c>
      <c r="CW341">
        <f>ROUND(Y341*Source!I128*DO341,9)</f>
        <v>0.24533279999999999</v>
      </c>
      <c r="CX341">
        <f>ROUND(Y341*Source!I128,9)</f>
        <v>1.9439999999999999E-2</v>
      </c>
      <c r="CY341">
        <f>AB341</f>
        <v>87.01</v>
      </c>
      <c r="CZ341">
        <f>AF341</f>
        <v>83.1</v>
      </c>
      <c r="DA341">
        <f>AJ341</f>
        <v>1</v>
      </c>
      <c r="DB341">
        <f>ROUND((((ROUND(AT341*CZ341,2)*2)*1.25)*1.2),6)</f>
        <v>2.4900000000000002</v>
      </c>
      <c r="DC341">
        <f>ROUND((((ROUND(AT341*AG341,2)*2)*1.25)*1.2),6)</f>
        <v>0.39</v>
      </c>
      <c r="DD341" t="s">
        <v>3</v>
      </c>
      <c r="DE341" t="s">
        <v>3</v>
      </c>
      <c r="DF341">
        <f t="shared" si="159"/>
        <v>0</v>
      </c>
      <c r="DG341">
        <f t="shared" si="157"/>
        <v>1.62</v>
      </c>
      <c r="DH341">
        <f t="shared" si="158"/>
        <v>0.25</v>
      </c>
      <c r="DI341">
        <f t="shared" si="154"/>
        <v>0</v>
      </c>
      <c r="DJ341">
        <f>DG341</f>
        <v>1.62</v>
      </c>
      <c r="DK341">
        <v>0</v>
      </c>
      <c r="DL341" t="s">
        <v>485</v>
      </c>
      <c r="DM341">
        <v>0</v>
      </c>
      <c r="DN341" t="s">
        <v>474</v>
      </c>
      <c r="DO341">
        <v>12.62</v>
      </c>
    </row>
    <row r="342" spans="1:119" x14ac:dyDescent="0.2">
      <c r="A342">
        <f>ROW(Source!A128)</f>
        <v>128</v>
      </c>
      <c r="B342">
        <v>85739205</v>
      </c>
      <c r="C342">
        <v>85739824</v>
      </c>
      <c r="D342">
        <v>85229236</v>
      </c>
      <c r="E342">
        <v>1</v>
      </c>
      <c r="F342">
        <v>1</v>
      </c>
      <c r="G342">
        <v>1081</v>
      </c>
      <c r="H342">
        <v>2</v>
      </c>
      <c r="I342" t="s">
        <v>570</v>
      </c>
      <c r="J342" t="s">
        <v>571</v>
      </c>
      <c r="K342" t="s">
        <v>572</v>
      </c>
      <c r="L342">
        <v>1368</v>
      </c>
      <c r="N342">
        <v>1011</v>
      </c>
      <c r="O342" t="s">
        <v>478</v>
      </c>
      <c r="P342" t="s">
        <v>478</v>
      </c>
      <c r="Q342">
        <v>1</v>
      </c>
      <c r="W342">
        <v>0</v>
      </c>
      <c r="X342">
        <v>-1520980008</v>
      </c>
      <c r="Y342">
        <f>(((AT342*2)*1.25)*1.2)</f>
        <v>0.03</v>
      </c>
      <c r="AA342">
        <v>0</v>
      </c>
      <c r="AB342">
        <v>120.23</v>
      </c>
      <c r="AC342">
        <v>13.21</v>
      </c>
      <c r="AD342">
        <v>0</v>
      </c>
      <c r="AE342">
        <v>0</v>
      </c>
      <c r="AF342">
        <v>114.83</v>
      </c>
      <c r="AG342">
        <v>12.62</v>
      </c>
      <c r="AH342">
        <v>0</v>
      </c>
      <c r="AI342">
        <v>1</v>
      </c>
      <c r="AJ342">
        <v>1</v>
      </c>
      <c r="AK342">
        <v>1</v>
      </c>
      <c r="AL342">
        <v>1</v>
      </c>
      <c r="AM342">
        <v>-2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0.01</v>
      </c>
      <c r="AU342" t="s">
        <v>259</v>
      </c>
      <c r="AV342">
        <v>0</v>
      </c>
      <c r="AW342">
        <v>2</v>
      </c>
      <c r="AX342">
        <v>85739830</v>
      </c>
      <c r="AY342">
        <v>1</v>
      </c>
      <c r="AZ342">
        <v>0</v>
      </c>
      <c r="BA342">
        <v>358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f>ROUND(Y342*Source!I128*DO342,9)</f>
        <v>0.24533279999999999</v>
      </c>
      <c r="CX342">
        <f>ROUND(Y342*Source!I128,9)</f>
        <v>1.9439999999999999E-2</v>
      </c>
      <c r="CY342">
        <f>AB342</f>
        <v>120.23</v>
      </c>
      <c r="CZ342">
        <f>AF342</f>
        <v>114.83</v>
      </c>
      <c r="DA342">
        <f>AJ342</f>
        <v>1</v>
      </c>
      <c r="DB342">
        <f>ROUND((((ROUND(AT342*CZ342,2)*2)*1.25)*1.2),6)</f>
        <v>3.45</v>
      </c>
      <c r="DC342">
        <f>ROUND((((ROUND(AT342*AG342,2)*2)*1.25)*1.2),6)</f>
        <v>0.39</v>
      </c>
      <c r="DD342" t="s">
        <v>3</v>
      </c>
      <c r="DE342" t="s">
        <v>3</v>
      </c>
      <c r="DF342">
        <f t="shared" si="159"/>
        <v>0</v>
      </c>
      <c r="DG342">
        <f t="shared" si="157"/>
        <v>2.23</v>
      </c>
      <c r="DH342">
        <f t="shared" si="158"/>
        <v>0.25</v>
      </c>
      <c r="DI342">
        <f t="shared" si="154"/>
        <v>0</v>
      </c>
      <c r="DJ342">
        <f>DG342</f>
        <v>2.23</v>
      </c>
      <c r="DK342">
        <v>0</v>
      </c>
      <c r="DL342" t="s">
        <v>485</v>
      </c>
      <c r="DM342">
        <v>0</v>
      </c>
      <c r="DN342" t="s">
        <v>474</v>
      </c>
      <c r="DO342">
        <v>12.62</v>
      </c>
    </row>
    <row r="343" spans="1:119" x14ac:dyDescent="0.2">
      <c r="A343">
        <f>ROW(Source!A128)</f>
        <v>128</v>
      </c>
      <c r="B343">
        <v>85739205</v>
      </c>
      <c r="C343">
        <v>85739824</v>
      </c>
      <c r="D343">
        <v>85229248</v>
      </c>
      <c r="E343">
        <v>1</v>
      </c>
      <c r="F343">
        <v>1</v>
      </c>
      <c r="G343">
        <v>1081</v>
      </c>
      <c r="H343">
        <v>2</v>
      </c>
      <c r="I343" t="s">
        <v>573</v>
      </c>
      <c r="J343" t="s">
        <v>574</v>
      </c>
      <c r="K343" t="s">
        <v>575</v>
      </c>
      <c r="L343">
        <v>1368</v>
      </c>
      <c r="N343">
        <v>1011</v>
      </c>
      <c r="O343" t="s">
        <v>478</v>
      </c>
      <c r="P343" t="s">
        <v>478</v>
      </c>
      <c r="Q343">
        <v>1</v>
      </c>
      <c r="W343">
        <v>0</v>
      </c>
      <c r="X343">
        <v>444068027</v>
      </c>
      <c r="Y343">
        <f>(((AT343*2)*1.25)*1.2)</f>
        <v>0.03</v>
      </c>
      <c r="AA343">
        <v>0</v>
      </c>
      <c r="AB343">
        <v>0.81</v>
      </c>
      <c r="AC343">
        <v>0</v>
      </c>
      <c r="AD343">
        <v>0</v>
      </c>
      <c r="AE343">
        <v>0</v>
      </c>
      <c r="AF343">
        <v>0.77</v>
      </c>
      <c r="AG343">
        <v>0</v>
      </c>
      <c r="AH343">
        <v>0</v>
      </c>
      <c r="AI343">
        <v>1</v>
      </c>
      <c r="AJ343">
        <v>1</v>
      </c>
      <c r="AK343">
        <v>1</v>
      </c>
      <c r="AL343">
        <v>1</v>
      </c>
      <c r="AM343">
        <v>-2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0.01</v>
      </c>
      <c r="AU343" t="s">
        <v>259</v>
      </c>
      <c r="AV343">
        <v>0</v>
      </c>
      <c r="AW343">
        <v>2</v>
      </c>
      <c r="AX343">
        <v>85739831</v>
      </c>
      <c r="AY343">
        <v>1</v>
      </c>
      <c r="AZ343">
        <v>0</v>
      </c>
      <c r="BA343">
        <v>359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f>ROUND(Y343*Source!I128*DO343,9)</f>
        <v>0</v>
      </c>
      <c r="CX343">
        <f>ROUND(Y343*Source!I128,9)</f>
        <v>1.9439999999999999E-2</v>
      </c>
      <c r="CY343">
        <f>AB343</f>
        <v>0.81</v>
      </c>
      <c r="CZ343">
        <f>AF343</f>
        <v>0.77</v>
      </c>
      <c r="DA343">
        <f>AJ343</f>
        <v>1</v>
      </c>
      <c r="DB343">
        <f>ROUND((((ROUND(AT343*CZ343,2)*2)*1.25)*1.2),6)</f>
        <v>0.03</v>
      </c>
      <c r="DC343">
        <f>ROUND((((ROUND(AT343*AG343,2)*2)*1.25)*1.2),6)</f>
        <v>0</v>
      </c>
      <c r="DD343" t="s">
        <v>3</v>
      </c>
      <c r="DE343" t="s">
        <v>3</v>
      </c>
      <c r="DF343">
        <f t="shared" si="159"/>
        <v>0</v>
      </c>
      <c r="DG343">
        <f t="shared" si="157"/>
        <v>0.01</v>
      </c>
      <c r="DH343">
        <f t="shared" si="158"/>
        <v>0</v>
      </c>
      <c r="DI343">
        <f t="shared" si="154"/>
        <v>0</v>
      </c>
      <c r="DJ343">
        <f>DG343</f>
        <v>0.01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">
      <c r="A344">
        <f>ROW(Source!A128)</f>
        <v>128</v>
      </c>
      <c r="B344">
        <v>85739205</v>
      </c>
      <c r="C344">
        <v>85739824</v>
      </c>
      <c r="D344">
        <v>85199003</v>
      </c>
      <c r="E344">
        <v>1</v>
      </c>
      <c r="F344">
        <v>1</v>
      </c>
      <c r="G344">
        <v>1081</v>
      </c>
      <c r="H344">
        <v>3</v>
      </c>
      <c r="I344" t="s">
        <v>264</v>
      </c>
      <c r="J344" t="s">
        <v>267</v>
      </c>
      <c r="K344" t="s">
        <v>265</v>
      </c>
      <c r="L344">
        <v>1348</v>
      </c>
      <c r="N344">
        <v>1009</v>
      </c>
      <c r="O344" t="s">
        <v>266</v>
      </c>
      <c r="P344" t="s">
        <v>266</v>
      </c>
      <c r="Q344">
        <v>1000</v>
      </c>
      <c r="W344">
        <v>0</v>
      </c>
      <c r="X344">
        <v>650902129</v>
      </c>
      <c r="Y344">
        <f>(((AT344*2)*1)*1)</f>
        <v>1.7999999999999999E-2</v>
      </c>
      <c r="AA344">
        <v>18653.07</v>
      </c>
      <c r="AB344">
        <v>0</v>
      </c>
      <c r="AC344">
        <v>0</v>
      </c>
      <c r="AD344">
        <v>0</v>
      </c>
      <c r="AE344">
        <v>18653.07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1</v>
      </c>
      <c r="AL344">
        <v>1</v>
      </c>
      <c r="AM344">
        <v>0</v>
      </c>
      <c r="AN344">
        <v>0</v>
      </c>
      <c r="AO344">
        <v>0</v>
      </c>
      <c r="AP344">
        <v>1</v>
      </c>
      <c r="AQ344">
        <v>0</v>
      </c>
      <c r="AR344">
        <v>0</v>
      </c>
      <c r="AS344" t="s">
        <v>3</v>
      </c>
      <c r="AT344">
        <v>8.9999999999999993E-3</v>
      </c>
      <c r="AU344" t="s">
        <v>258</v>
      </c>
      <c r="AV344">
        <v>0</v>
      </c>
      <c r="AW344">
        <v>1</v>
      </c>
      <c r="AX344">
        <v>-1</v>
      </c>
      <c r="AY344">
        <v>0</v>
      </c>
      <c r="AZ344">
        <v>0</v>
      </c>
      <c r="BA344" t="s">
        <v>3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v>0</v>
      </c>
      <c r="CX344">
        <f>ROUND(Y344*Source!I128,9)</f>
        <v>1.1664000000000001E-2</v>
      </c>
      <c r="CY344">
        <f>AA344</f>
        <v>18653.07</v>
      </c>
      <c r="CZ344">
        <f>AE344</f>
        <v>18653.07</v>
      </c>
      <c r="DA344">
        <f>AI344</f>
        <v>1</v>
      </c>
      <c r="DB344">
        <f>ROUND((((ROUND(AT344*CZ344,2)*2)*1)*1),6)</f>
        <v>335.76</v>
      </c>
      <c r="DC344">
        <f>ROUND((((ROUND(AT344*AG344,2)*2)*1)*1),6)</f>
        <v>0</v>
      </c>
      <c r="DD344" t="s">
        <v>3</v>
      </c>
      <c r="DE344" t="s">
        <v>3</v>
      </c>
      <c r="DF344">
        <f t="shared" si="159"/>
        <v>217.57</v>
      </c>
      <c r="DG344">
        <f t="shared" si="157"/>
        <v>0</v>
      </c>
      <c r="DH344">
        <f t="shared" si="158"/>
        <v>0</v>
      </c>
      <c r="DI344">
        <f t="shared" si="154"/>
        <v>0</v>
      </c>
      <c r="DJ344">
        <f>DF344</f>
        <v>217.57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">
      <c r="A345">
        <f>ROW(Source!A128)</f>
        <v>128</v>
      </c>
      <c r="B345">
        <v>85739205</v>
      </c>
      <c r="C345">
        <v>85739824</v>
      </c>
      <c r="D345">
        <v>85199235</v>
      </c>
      <c r="E345">
        <v>1</v>
      </c>
      <c r="F345">
        <v>1</v>
      </c>
      <c r="G345">
        <v>1081</v>
      </c>
      <c r="H345">
        <v>3</v>
      </c>
      <c r="I345" t="s">
        <v>576</v>
      </c>
      <c r="J345" t="s">
        <v>577</v>
      </c>
      <c r="K345" t="s">
        <v>578</v>
      </c>
      <c r="L345">
        <v>1348</v>
      </c>
      <c r="N345">
        <v>1009</v>
      </c>
      <c r="O345" t="s">
        <v>266</v>
      </c>
      <c r="P345" t="s">
        <v>266</v>
      </c>
      <c r="Q345">
        <v>1000</v>
      </c>
      <c r="W345">
        <v>0</v>
      </c>
      <c r="X345">
        <v>1089536089</v>
      </c>
      <c r="Y345">
        <f>(((AT345*2)*1)*1)</f>
        <v>3.0000000000000001E-3</v>
      </c>
      <c r="AA345">
        <v>6290.61</v>
      </c>
      <c r="AB345">
        <v>0</v>
      </c>
      <c r="AC345">
        <v>0</v>
      </c>
      <c r="AD345">
        <v>0</v>
      </c>
      <c r="AE345">
        <v>6290.61</v>
      </c>
      <c r="AF345">
        <v>0</v>
      </c>
      <c r="AG345">
        <v>0</v>
      </c>
      <c r="AH345">
        <v>0</v>
      </c>
      <c r="AI345">
        <v>1</v>
      </c>
      <c r="AJ345">
        <v>1</v>
      </c>
      <c r="AK345">
        <v>1</v>
      </c>
      <c r="AL345">
        <v>1</v>
      </c>
      <c r="AM345">
        <v>-2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1.5E-3</v>
      </c>
      <c r="AU345" t="s">
        <v>258</v>
      </c>
      <c r="AV345">
        <v>0</v>
      </c>
      <c r="AW345">
        <v>2</v>
      </c>
      <c r="AX345">
        <v>85739832</v>
      </c>
      <c r="AY345">
        <v>1</v>
      </c>
      <c r="AZ345">
        <v>0</v>
      </c>
      <c r="BA345">
        <v>360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ROUND(Y345*Source!I128,9)</f>
        <v>1.944E-3</v>
      </c>
      <c r="CY345">
        <f>AA345</f>
        <v>6290.61</v>
      </c>
      <c r="CZ345">
        <f>AE345</f>
        <v>6290.61</v>
      </c>
      <c r="DA345">
        <f>AI345</f>
        <v>1</v>
      </c>
      <c r="DB345">
        <f>ROUND((((ROUND(AT345*CZ345,2)*2)*1)*1),6)</f>
        <v>18.88</v>
      </c>
      <c r="DC345">
        <f>ROUND((((ROUND(AT345*AG345,2)*2)*1)*1),6)</f>
        <v>0</v>
      </c>
      <c r="DD345" t="s">
        <v>3</v>
      </c>
      <c r="DE345" t="s">
        <v>3</v>
      </c>
      <c r="DF345">
        <f t="shared" si="159"/>
        <v>12.23</v>
      </c>
      <c r="DG345">
        <f t="shared" si="157"/>
        <v>0</v>
      </c>
      <c r="DH345">
        <f t="shared" si="158"/>
        <v>0</v>
      </c>
      <c r="DI345">
        <f t="shared" si="154"/>
        <v>0</v>
      </c>
      <c r="DJ345">
        <f>DF345</f>
        <v>12.23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">
      <c r="A346">
        <f>ROW(Source!A129)</f>
        <v>129</v>
      </c>
      <c r="B346">
        <v>85739207</v>
      </c>
      <c r="C346">
        <v>85739824</v>
      </c>
      <c r="D346">
        <v>85164021</v>
      </c>
      <c r="E346">
        <v>1081</v>
      </c>
      <c r="F346">
        <v>1</v>
      </c>
      <c r="G346">
        <v>1081</v>
      </c>
      <c r="H346">
        <v>1</v>
      </c>
      <c r="I346" t="s">
        <v>472</v>
      </c>
      <c r="J346" t="s">
        <v>3</v>
      </c>
      <c r="K346" t="s">
        <v>473</v>
      </c>
      <c r="L346">
        <v>1191</v>
      </c>
      <c r="N346">
        <v>1013</v>
      </c>
      <c r="O346" t="s">
        <v>474</v>
      </c>
      <c r="P346" t="s">
        <v>474</v>
      </c>
      <c r="Q346">
        <v>1</v>
      </c>
      <c r="W346">
        <v>0</v>
      </c>
      <c r="X346">
        <v>476480486</v>
      </c>
      <c r="Y346">
        <f>(((AT346*2)*1.15)*1.2)</f>
        <v>14.655599999999996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1</v>
      </c>
      <c r="AK346">
        <v>1</v>
      </c>
      <c r="AL346">
        <v>1</v>
      </c>
      <c r="AM346">
        <v>5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5.31</v>
      </c>
      <c r="AU346" t="s">
        <v>260</v>
      </c>
      <c r="AV346">
        <v>1</v>
      </c>
      <c r="AW346">
        <v>2</v>
      </c>
      <c r="AX346">
        <v>85739827</v>
      </c>
      <c r="AY346">
        <v>1</v>
      </c>
      <c r="AZ346">
        <v>0</v>
      </c>
      <c r="BA346">
        <v>362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U346">
        <f>ROUND(AT346*Source!I129*AH346*AL346,2)</f>
        <v>0</v>
      </c>
      <c r="CV346">
        <f>ROUND(Y346*Source!I129,9)</f>
        <v>9.4968287999999994</v>
      </c>
      <c r="CW346">
        <v>0</v>
      </c>
      <c r="CX346">
        <f>ROUND(Y346*Source!I129,9)</f>
        <v>9.4968287999999994</v>
      </c>
      <c r="CY346">
        <f>AD346</f>
        <v>0</v>
      </c>
      <c r="CZ346">
        <f>AH346</f>
        <v>0</v>
      </c>
      <c r="DA346">
        <f>AL346</f>
        <v>1</v>
      </c>
      <c r="DB346">
        <f>ROUND((((ROUND(AT346*CZ346,2)*2)*1.15)*1.2),6)</f>
        <v>0</v>
      </c>
      <c r="DC346">
        <f>ROUND((((ROUND(AT346*AG346,2)*2)*1.15)*1.2),6)</f>
        <v>0</v>
      </c>
      <c r="DD346" t="s">
        <v>3</v>
      </c>
      <c r="DE346" t="s">
        <v>3</v>
      </c>
      <c r="DF346">
        <f t="shared" si="159"/>
        <v>0</v>
      </c>
      <c r="DG346">
        <f t="shared" si="157"/>
        <v>0</v>
      </c>
      <c r="DH346">
        <f t="shared" si="158"/>
        <v>0</v>
      </c>
      <c r="DI346">
        <f t="shared" si="154"/>
        <v>0</v>
      </c>
      <c r="DJ346">
        <f>DI346</f>
        <v>0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">
      <c r="A347">
        <f>ROW(Source!A129)</f>
        <v>129</v>
      </c>
      <c r="B347">
        <v>85739207</v>
      </c>
      <c r="C347">
        <v>85739824</v>
      </c>
      <c r="D347">
        <v>85229532</v>
      </c>
      <c r="E347">
        <v>1</v>
      </c>
      <c r="F347">
        <v>1</v>
      </c>
      <c r="G347">
        <v>1081</v>
      </c>
      <c r="H347">
        <v>2</v>
      </c>
      <c r="I347" t="s">
        <v>567</v>
      </c>
      <c r="J347" t="s">
        <v>568</v>
      </c>
      <c r="K347" t="s">
        <v>569</v>
      </c>
      <c r="L347">
        <v>1368</v>
      </c>
      <c r="N347">
        <v>1011</v>
      </c>
      <c r="O347" t="s">
        <v>478</v>
      </c>
      <c r="P347" t="s">
        <v>478</v>
      </c>
      <c r="Q347">
        <v>1</v>
      </c>
      <c r="W347">
        <v>0</v>
      </c>
      <c r="X347">
        <v>1878265227</v>
      </c>
      <c r="Y347">
        <f>(((AT347*2)*1.25)*1.2)</f>
        <v>3.3600000000000003</v>
      </c>
      <c r="AA347">
        <v>0</v>
      </c>
      <c r="AB347">
        <v>120.54</v>
      </c>
      <c r="AC347">
        <v>0</v>
      </c>
      <c r="AD347">
        <v>0</v>
      </c>
      <c r="AE347">
        <v>0</v>
      </c>
      <c r="AF347">
        <v>10.4</v>
      </c>
      <c r="AG347">
        <v>0</v>
      </c>
      <c r="AH347">
        <v>0</v>
      </c>
      <c r="AI347">
        <v>1</v>
      </c>
      <c r="AJ347">
        <v>11.07</v>
      </c>
      <c r="AK347">
        <v>1</v>
      </c>
      <c r="AL347">
        <v>1</v>
      </c>
      <c r="AM347">
        <v>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1.1200000000000001</v>
      </c>
      <c r="AU347" t="s">
        <v>259</v>
      </c>
      <c r="AV347">
        <v>0</v>
      </c>
      <c r="AW347">
        <v>2</v>
      </c>
      <c r="AX347">
        <v>85739828</v>
      </c>
      <c r="AY347">
        <v>1</v>
      </c>
      <c r="AZ347">
        <v>0</v>
      </c>
      <c r="BA347">
        <v>363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f>ROUND(Y347*Source!I129*DO347,9)</f>
        <v>0</v>
      </c>
      <c r="CX347">
        <f>ROUND(Y347*Source!I129,9)</f>
        <v>2.1772800000000001</v>
      </c>
      <c r="CY347">
        <f>AB347</f>
        <v>120.54</v>
      </c>
      <c r="CZ347">
        <f>AF347</f>
        <v>10.4</v>
      </c>
      <c r="DA347">
        <f>AJ347</f>
        <v>11.07</v>
      </c>
      <c r="DB347">
        <f>ROUND((((ROUND(AT347*CZ347,2)*2)*1.25)*1.2),6)</f>
        <v>34.950000000000003</v>
      </c>
      <c r="DC347">
        <f>ROUND((((ROUND(AT347*AG347,2)*2)*1.25)*1.2),6)</f>
        <v>0</v>
      </c>
      <c r="DD347" t="s">
        <v>3</v>
      </c>
      <c r="DE347" t="s">
        <v>3</v>
      </c>
      <c r="DF347">
        <f t="shared" si="159"/>
        <v>0</v>
      </c>
      <c r="DG347">
        <f>ROUND(ROUND(AF347*AJ347,2)*CX347,2)</f>
        <v>250.67</v>
      </c>
      <c r="DH347">
        <f t="shared" si="158"/>
        <v>0</v>
      </c>
      <c r="DI347">
        <f t="shared" si="154"/>
        <v>0</v>
      </c>
      <c r="DJ347">
        <f>DG347</f>
        <v>250.67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">
      <c r="A348">
        <f>ROW(Source!A129)</f>
        <v>129</v>
      </c>
      <c r="B348">
        <v>85739207</v>
      </c>
      <c r="C348">
        <v>85739824</v>
      </c>
      <c r="D348">
        <v>85229932</v>
      </c>
      <c r="E348">
        <v>1</v>
      </c>
      <c r="F348">
        <v>1</v>
      </c>
      <c r="G348">
        <v>1081</v>
      </c>
      <c r="H348">
        <v>2</v>
      </c>
      <c r="I348" t="s">
        <v>482</v>
      </c>
      <c r="J348" t="s">
        <v>483</v>
      </c>
      <c r="K348" t="s">
        <v>484</v>
      </c>
      <c r="L348">
        <v>1368</v>
      </c>
      <c r="N348">
        <v>1011</v>
      </c>
      <c r="O348" t="s">
        <v>478</v>
      </c>
      <c r="P348" t="s">
        <v>478</v>
      </c>
      <c r="Q348">
        <v>1</v>
      </c>
      <c r="W348">
        <v>0</v>
      </c>
      <c r="X348">
        <v>874612079</v>
      </c>
      <c r="Y348">
        <f>(((AT348*2)*1.25)*1.2)</f>
        <v>0.03</v>
      </c>
      <c r="AA348">
        <v>0</v>
      </c>
      <c r="AB348">
        <v>1485.19</v>
      </c>
      <c r="AC348">
        <v>744.56</v>
      </c>
      <c r="AD348">
        <v>0</v>
      </c>
      <c r="AE348">
        <v>0</v>
      </c>
      <c r="AF348">
        <v>83.1</v>
      </c>
      <c r="AG348">
        <v>12.62</v>
      </c>
      <c r="AH348">
        <v>0</v>
      </c>
      <c r="AI348">
        <v>1</v>
      </c>
      <c r="AJ348">
        <v>17.07</v>
      </c>
      <c r="AK348">
        <v>56.35</v>
      </c>
      <c r="AL348">
        <v>1</v>
      </c>
      <c r="AM348">
        <v>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0.01</v>
      </c>
      <c r="AU348" t="s">
        <v>259</v>
      </c>
      <c r="AV348">
        <v>0</v>
      </c>
      <c r="AW348">
        <v>2</v>
      </c>
      <c r="AX348">
        <v>85739829</v>
      </c>
      <c r="AY348">
        <v>1</v>
      </c>
      <c r="AZ348">
        <v>0</v>
      </c>
      <c r="BA348">
        <v>364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f>ROUND(Y348*Source!I129*DO348,9)</f>
        <v>0.24533279999999999</v>
      </c>
      <c r="CX348">
        <f>ROUND(Y348*Source!I129,9)</f>
        <v>1.9439999999999999E-2</v>
      </c>
      <c r="CY348">
        <f>AB348</f>
        <v>1485.19</v>
      </c>
      <c r="CZ348">
        <f>AF348</f>
        <v>83.1</v>
      </c>
      <c r="DA348">
        <f>AJ348</f>
        <v>17.07</v>
      </c>
      <c r="DB348">
        <f>ROUND((((ROUND(AT348*CZ348,2)*2)*1.25)*1.2),6)</f>
        <v>2.4900000000000002</v>
      </c>
      <c r="DC348">
        <f>ROUND((((ROUND(AT348*AG348,2)*2)*1.25)*1.2),6)</f>
        <v>0.39</v>
      </c>
      <c r="DD348" t="s">
        <v>3</v>
      </c>
      <c r="DE348" t="s">
        <v>3</v>
      </c>
      <c r="DF348">
        <f t="shared" si="159"/>
        <v>0</v>
      </c>
      <c r="DG348">
        <f>ROUND(ROUND(AF348*AJ348,2)*CX348,2)</f>
        <v>27.58</v>
      </c>
      <c r="DH348">
        <f>ROUND(ROUND(AG348*AK348,2)*CX348,2)</f>
        <v>13.82</v>
      </c>
      <c r="DI348">
        <f t="shared" si="154"/>
        <v>0</v>
      </c>
      <c r="DJ348">
        <f>DG348</f>
        <v>27.58</v>
      </c>
      <c r="DK348">
        <v>0</v>
      </c>
      <c r="DL348" t="s">
        <v>485</v>
      </c>
      <c r="DM348">
        <v>0</v>
      </c>
      <c r="DN348" t="s">
        <v>474</v>
      </c>
      <c r="DO348">
        <v>12.62</v>
      </c>
    </row>
    <row r="349" spans="1:119" x14ac:dyDescent="0.2">
      <c r="A349">
        <f>ROW(Source!A129)</f>
        <v>129</v>
      </c>
      <c r="B349">
        <v>85739207</v>
      </c>
      <c r="C349">
        <v>85739824</v>
      </c>
      <c r="D349">
        <v>85229236</v>
      </c>
      <c r="E349">
        <v>1</v>
      </c>
      <c r="F349">
        <v>1</v>
      </c>
      <c r="G349">
        <v>1081</v>
      </c>
      <c r="H349">
        <v>2</v>
      </c>
      <c r="I349" t="s">
        <v>570</v>
      </c>
      <c r="J349" t="s">
        <v>571</v>
      </c>
      <c r="K349" t="s">
        <v>572</v>
      </c>
      <c r="L349">
        <v>1368</v>
      </c>
      <c r="N349">
        <v>1011</v>
      </c>
      <c r="O349" t="s">
        <v>478</v>
      </c>
      <c r="P349" t="s">
        <v>478</v>
      </c>
      <c r="Q349">
        <v>1</v>
      </c>
      <c r="W349">
        <v>0</v>
      </c>
      <c r="X349">
        <v>-1520980008</v>
      </c>
      <c r="Y349">
        <f>(((AT349*2)*1.25)*1.2)</f>
        <v>0.03</v>
      </c>
      <c r="AA349">
        <v>0</v>
      </c>
      <c r="AB349">
        <v>1942.87</v>
      </c>
      <c r="AC349">
        <v>744.56</v>
      </c>
      <c r="AD349">
        <v>0</v>
      </c>
      <c r="AE349">
        <v>0</v>
      </c>
      <c r="AF349">
        <v>114.83</v>
      </c>
      <c r="AG349">
        <v>12.62</v>
      </c>
      <c r="AH349">
        <v>0</v>
      </c>
      <c r="AI349">
        <v>1</v>
      </c>
      <c r="AJ349">
        <v>16.16</v>
      </c>
      <c r="AK349">
        <v>56.35</v>
      </c>
      <c r="AL349">
        <v>1</v>
      </c>
      <c r="AM349">
        <v>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0.01</v>
      </c>
      <c r="AU349" t="s">
        <v>259</v>
      </c>
      <c r="AV349">
        <v>0</v>
      </c>
      <c r="AW349">
        <v>2</v>
      </c>
      <c r="AX349">
        <v>85739830</v>
      </c>
      <c r="AY349">
        <v>1</v>
      </c>
      <c r="AZ349">
        <v>0</v>
      </c>
      <c r="BA349">
        <v>365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f>ROUND(Y349*Source!I129*DO349,9)</f>
        <v>0.24533279999999999</v>
      </c>
      <c r="CX349">
        <f>ROUND(Y349*Source!I129,9)</f>
        <v>1.9439999999999999E-2</v>
      </c>
      <c r="CY349">
        <f>AB349</f>
        <v>1942.87</v>
      </c>
      <c r="CZ349">
        <f>AF349</f>
        <v>114.83</v>
      </c>
      <c r="DA349">
        <f>AJ349</f>
        <v>16.16</v>
      </c>
      <c r="DB349">
        <f>ROUND((((ROUND(AT349*CZ349,2)*2)*1.25)*1.2),6)</f>
        <v>3.45</v>
      </c>
      <c r="DC349">
        <f>ROUND((((ROUND(AT349*AG349,2)*2)*1.25)*1.2),6)</f>
        <v>0.39</v>
      </c>
      <c r="DD349" t="s">
        <v>3</v>
      </c>
      <c r="DE349" t="s">
        <v>3</v>
      </c>
      <c r="DF349">
        <f t="shared" si="159"/>
        <v>0</v>
      </c>
      <c r="DG349">
        <f>ROUND(ROUND(AF349*AJ349,2)*CX349,2)</f>
        <v>36.07</v>
      </c>
      <c r="DH349">
        <f>ROUND(ROUND(AG349*AK349,2)*CX349,2)</f>
        <v>13.82</v>
      </c>
      <c r="DI349">
        <f t="shared" si="154"/>
        <v>0</v>
      </c>
      <c r="DJ349">
        <f>DG349</f>
        <v>36.07</v>
      </c>
      <c r="DK349">
        <v>0</v>
      </c>
      <c r="DL349" t="s">
        <v>485</v>
      </c>
      <c r="DM349">
        <v>0</v>
      </c>
      <c r="DN349" t="s">
        <v>474</v>
      </c>
      <c r="DO349">
        <v>12.62</v>
      </c>
    </row>
    <row r="350" spans="1:119" x14ac:dyDescent="0.2">
      <c r="A350">
        <f>ROW(Source!A129)</f>
        <v>129</v>
      </c>
      <c r="B350">
        <v>85739207</v>
      </c>
      <c r="C350">
        <v>85739824</v>
      </c>
      <c r="D350">
        <v>85229248</v>
      </c>
      <c r="E350">
        <v>1</v>
      </c>
      <c r="F350">
        <v>1</v>
      </c>
      <c r="G350">
        <v>1081</v>
      </c>
      <c r="H350">
        <v>2</v>
      </c>
      <c r="I350" t="s">
        <v>573</v>
      </c>
      <c r="J350" t="s">
        <v>574</v>
      </c>
      <c r="K350" t="s">
        <v>575</v>
      </c>
      <c r="L350">
        <v>1368</v>
      </c>
      <c r="N350">
        <v>1011</v>
      </c>
      <c r="O350" t="s">
        <v>478</v>
      </c>
      <c r="P350" t="s">
        <v>478</v>
      </c>
      <c r="Q350">
        <v>1</v>
      </c>
      <c r="W350">
        <v>0</v>
      </c>
      <c r="X350">
        <v>444068027</v>
      </c>
      <c r="Y350">
        <f>(((AT350*2)*1.25)*1.2)</f>
        <v>0.03</v>
      </c>
      <c r="AA350">
        <v>0</v>
      </c>
      <c r="AB350">
        <v>7.96</v>
      </c>
      <c r="AC350">
        <v>0</v>
      </c>
      <c r="AD350">
        <v>0</v>
      </c>
      <c r="AE350">
        <v>0</v>
      </c>
      <c r="AF350">
        <v>0.77</v>
      </c>
      <c r="AG350">
        <v>0</v>
      </c>
      <c r="AH350">
        <v>0</v>
      </c>
      <c r="AI350">
        <v>1</v>
      </c>
      <c r="AJ350">
        <v>9.8699999999999992</v>
      </c>
      <c r="AK350">
        <v>1</v>
      </c>
      <c r="AL350">
        <v>1</v>
      </c>
      <c r="AM350">
        <v>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0.01</v>
      </c>
      <c r="AU350" t="s">
        <v>259</v>
      </c>
      <c r="AV350">
        <v>0</v>
      </c>
      <c r="AW350">
        <v>2</v>
      </c>
      <c r="AX350">
        <v>85739831</v>
      </c>
      <c r="AY350">
        <v>1</v>
      </c>
      <c r="AZ350">
        <v>0</v>
      </c>
      <c r="BA350">
        <v>366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f>ROUND(Y350*Source!I129*DO350,9)</f>
        <v>0</v>
      </c>
      <c r="CX350">
        <f>ROUND(Y350*Source!I129,9)</f>
        <v>1.9439999999999999E-2</v>
      </c>
      <c r="CY350">
        <f>AB350</f>
        <v>7.96</v>
      </c>
      <c r="CZ350">
        <f>AF350</f>
        <v>0.77</v>
      </c>
      <c r="DA350">
        <f>AJ350</f>
        <v>9.8699999999999992</v>
      </c>
      <c r="DB350">
        <f>ROUND((((ROUND(AT350*CZ350,2)*2)*1.25)*1.2),6)</f>
        <v>0.03</v>
      </c>
      <c r="DC350">
        <f>ROUND((((ROUND(AT350*AG350,2)*2)*1.25)*1.2),6)</f>
        <v>0</v>
      </c>
      <c r="DD350" t="s">
        <v>3</v>
      </c>
      <c r="DE350" t="s">
        <v>3</v>
      </c>
      <c r="DF350">
        <f t="shared" si="159"/>
        <v>0</v>
      </c>
      <c r="DG350">
        <f>ROUND(ROUND(AF350*AJ350,2)*CX350,2)</f>
        <v>0.15</v>
      </c>
      <c r="DH350">
        <f t="shared" ref="DH350:DH358" si="160">ROUND(ROUND(AG350,2)*CX350,2)</f>
        <v>0</v>
      </c>
      <c r="DI350">
        <f t="shared" si="154"/>
        <v>0</v>
      </c>
      <c r="DJ350">
        <f>DG350</f>
        <v>0.15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">
      <c r="A351">
        <f>ROW(Source!A129)</f>
        <v>129</v>
      </c>
      <c r="B351">
        <v>85739207</v>
      </c>
      <c r="C351">
        <v>85739824</v>
      </c>
      <c r="D351">
        <v>85199003</v>
      </c>
      <c r="E351">
        <v>1</v>
      </c>
      <c r="F351">
        <v>1</v>
      </c>
      <c r="G351">
        <v>1081</v>
      </c>
      <c r="H351">
        <v>3</v>
      </c>
      <c r="I351" t="s">
        <v>264</v>
      </c>
      <c r="J351" t="s">
        <v>267</v>
      </c>
      <c r="K351" t="s">
        <v>265</v>
      </c>
      <c r="L351">
        <v>1348</v>
      </c>
      <c r="N351">
        <v>1009</v>
      </c>
      <c r="O351" t="s">
        <v>266</v>
      </c>
      <c r="P351" t="s">
        <v>266</v>
      </c>
      <c r="Q351">
        <v>1000</v>
      </c>
      <c r="W351">
        <v>0</v>
      </c>
      <c r="X351">
        <v>650902129</v>
      </c>
      <c r="Y351">
        <f>(((AT351*2)*1)*1)</f>
        <v>1.7999999999999999E-2</v>
      </c>
      <c r="AA351">
        <v>66964.52</v>
      </c>
      <c r="AB351">
        <v>0</v>
      </c>
      <c r="AC351">
        <v>0</v>
      </c>
      <c r="AD351">
        <v>0</v>
      </c>
      <c r="AE351">
        <v>18653.07</v>
      </c>
      <c r="AF351">
        <v>0</v>
      </c>
      <c r="AG351">
        <v>0</v>
      </c>
      <c r="AH351">
        <v>0</v>
      </c>
      <c r="AI351">
        <v>3.59</v>
      </c>
      <c r="AJ351">
        <v>1</v>
      </c>
      <c r="AK351">
        <v>1</v>
      </c>
      <c r="AL351">
        <v>1</v>
      </c>
      <c r="AM351">
        <v>0</v>
      </c>
      <c r="AN351">
        <v>0</v>
      </c>
      <c r="AO351">
        <v>0</v>
      </c>
      <c r="AP351">
        <v>1</v>
      </c>
      <c r="AQ351">
        <v>0</v>
      </c>
      <c r="AR351">
        <v>0</v>
      </c>
      <c r="AS351" t="s">
        <v>3</v>
      </c>
      <c r="AT351">
        <v>8.9999999999999993E-3</v>
      </c>
      <c r="AU351" t="s">
        <v>258</v>
      </c>
      <c r="AV351">
        <v>0</v>
      </c>
      <c r="AW351">
        <v>1</v>
      </c>
      <c r="AX351">
        <v>-1</v>
      </c>
      <c r="AY351">
        <v>0</v>
      </c>
      <c r="AZ351">
        <v>0</v>
      </c>
      <c r="BA351" t="s">
        <v>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V351">
        <v>0</v>
      </c>
      <c r="CW351">
        <v>0</v>
      </c>
      <c r="CX351">
        <f>ROUND(Y351*Source!I129,9)</f>
        <v>1.1664000000000001E-2</v>
      </c>
      <c r="CY351">
        <f>AA351</f>
        <v>66964.52</v>
      </c>
      <c r="CZ351">
        <f>AE351</f>
        <v>18653.07</v>
      </c>
      <c r="DA351">
        <f>AI351</f>
        <v>3.59</v>
      </c>
      <c r="DB351">
        <f>ROUND((((ROUND(AT351*CZ351,2)*2)*1)*1),6)</f>
        <v>335.76</v>
      </c>
      <c r="DC351">
        <f>ROUND((((ROUND(AT351*AG351,2)*2)*1)*1),6)</f>
        <v>0</v>
      </c>
      <c r="DD351" t="s">
        <v>3</v>
      </c>
      <c r="DE351" t="s">
        <v>3</v>
      </c>
      <c r="DF351">
        <f>ROUND(ROUND(AE351*AI351,2)*CX351,2)</f>
        <v>781.07</v>
      </c>
      <c r="DG351">
        <f t="shared" ref="DG351:DG358" si="161">ROUND(ROUND(AF351,2)*CX351,2)</f>
        <v>0</v>
      </c>
      <c r="DH351">
        <f t="shared" si="160"/>
        <v>0</v>
      </c>
      <c r="DI351">
        <f t="shared" si="154"/>
        <v>0</v>
      </c>
      <c r="DJ351">
        <f>DF351</f>
        <v>781.07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">
      <c r="A352">
        <f>ROW(Source!A129)</f>
        <v>129</v>
      </c>
      <c r="B352">
        <v>85739207</v>
      </c>
      <c r="C352">
        <v>85739824</v>
      </c>
      <c r="D352">
        <v>85199235</v>
      </c>
      <c r="E352">
        <v>1</v>
      </c>
      <c r="F352">
        <v>1</v>
      </c>
      <c r="G352">
        <v>1081</v>
      </c>
      <c r="H352">
        <v>3</v>
      </c>
      <c r="I352" t="s">
        <v>576</v>
      </c>
      <c r="J352" t="s">
        <v>577</v>
      </c>
      <c r="K352" t="s">
        <v>578</v>
      </c>
      <c r="L352">
        <v>1348</v>
      </c>
      <c r="N352">
        <v>1009</v>
      </c>
      <c r="O352" t="s">
        <v>266</v>
      </c>
      <c r="P352" t="s">
        <v>266</v>
      </c>
      <c r="Q352">
        <v>1000</v>
      </c>
      <c r="W352">
        <v>0</v>
      </c>
      <c r="X352">
        <v>1089536089</v>
      </c>
      <c r="Y352">
        <f>(((AT352*2)*1)*1)</f>
        <v>3.0000000000000001E-3</v>
      </c>
      <c r="AA352">
        <v>219101.95</v>
      </c>
      <c r="AB352">
        <v>0</v>
      </c>
      <c r="AC352">
        <v>0</v>
      </c>
      <c r="AD352">
        <v>0</v>
      </c>
      <c r="AE352">
        <v>6290.61</v>
      </c>
      <c r="AF352">
        <v>0</v>
      </c>
      <c r="AG352">
        <v>0</v>
      </c>
      <c r="AH352">
        <v>0</v>
      </c>
      <c r="AI352">
        <v>34.83</v>
      </c>
      <c r="AJ352">
        <v>1</v>
      </c>
      <c r="AK352">
        <v>1</v>
      </c>
      <c r="AL352">
        <v>1</v>
      </c>
      <c r="AM352">
        <v>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1.5E-3</v>
      </c>
      <c r="AU352" t="s">
        <v>258</v>
      </c>
      <c r="AV352">
        <v>0</v>
      </c>
      <c r="AW352">
        <v>2</v>
      </c>
      <c r="AX352">
        <v>85739832</v>
      </c>
      <c r="AY352">
        <v>1</v>
      </c>
      <c r="AZ352">
        <v>0</v>
      </c>
      <c r="BA352">
        <v>367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v>0</v>
      </c>
      <c r="CX352">
        <f>ROUND(Y352*Source!I129,9)</f>
        <v>1.944E-3</v>
      </c>
      <c r="CY352">
        <f>AA352</f>
        <v>219101.95</v>
      </c>
      <c r="CZ352">
        <f>AE352</f>
        <v>6290.61</v>
      </c>
      <c r="DA352">
        <f>AI352</f>
        <v>34.83</v>
      </c>
      <c r="DB352">
        <f>ROUND((((ROUND(AT352*CZ352,2)*2)*1)*1),6)</f>
        <v>18.88</v>
      </c>
      <c r="DC352">
        <f>ROUND((((ROUND(AT352*AG352,2)*2)*1)*1),6)</f>
        <v>0</v>
      </c>
      <c r="DD352" t="s">
        <v>3</v>
      </c>
      <c r="DE352" t="s">
        <v>3</v>
      </c>
      <c r="DF352">
        <f>ROUND(ROUND(AE352*AI352,2)*CX352,2)</f>
        <v>425.93</v>
      </c>
      <c r="DG352">
        <f t="shared" si="161"/>
        <v>0</v>
      </c>
      <c r="DH352">
        <f t="shared" si="160"/>
        <v>0</v>
      </c>
      <c r="DI352">
        <f t="shared" si="154"/>
        <v>0</v>
      </c>
      <c r="DJ352">
        <f>DF352</f>
        <v>425.93</v>
      </c>
      <c r="DK352">
        <v>0</v>
      </c>
      <c r="DL352" t="s">
        <v>3</v>
      </c>
      <c r="DM352">
        <v>0</v>
      </c>
      <c r="DN352" t="s">
        <v>3</v>
      </c>
      <c r="DO352">
        <v>0</v>
      </c>
    </row>
    <row r="353" spans="1:119" x14ac:dyDescent="0.2">
      <c r="A353">
        <f>ROW(Source!A132)</f>
        <v>132</v>
      </c>
      <c r="B353">
        <v>85739205</v>
      </c>
      <c r="C353">
        <v>85739837</v>
      </c>
      <c r="D353">
        <v>85164021</v>
      </c>
      <c r="E353">
        <v>1081</v>
      </c>
      <c r="F353">
        <v>1</v>
      </c>
      <c r="G353">
        <v>1081</v>
      </c>
      <c r="H353">
        <v>1</v>
      </c>
      <c r="I353" t="s">
        <v>472</v>
      </c>
      <c r="J353" t="s">
        <v>3</v>
      </c>
      <c r="K353" t="s">
        <v>473</v>
      </c>
      <c r="L353">
        <v>1191</v>
      </c>
      <c r="N353">
        <v>1013</v>
      </c>
      <c r="O353" t="s">
        <v>474</v>
      </c>
      <c r="P353" t="s">
        <v>474</v>
      </c>
      <c r="Q353">
        <v>1</v>
      </c>
      <c r="W353">
        <v>0</v>
      </c>
      <c r="X353">
        <v>476480486</v>
      </c>
      <c r="Y353">
        <f>((AT353*1.15)*1.2)</f>
        <v>2.9393999999999996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-2</v>
      </c>
      <c r="AN353">
        <v>0</v>
      </c>
      <c r="AO353">
        <v>1</v>
      </c>
      <c r="AP353">
        <v>1</v>
      </c>
      <c r="AQ353">
        <v>0</v>
      </c>
      <c r="AR353">
        <v>0</v>
      </c>
      <c r="AS353" t="s">
        <v>3</v>
      </c>
      <c r="AT353">
        <v>2.13</v>
      </c>
      <c r="AU353" t="s">
        <v>79</v>
      </c>
      <c r="AV353">
        <v>1</v>
      </c>
      <c r="AW353">
        <v>2</v>
      </c>
      <c r="AX353">
        <v>85739839</v>
      </c>
      <c r="AY353">
        <v>1</v>
      </c>
      <c r="AZ353">
        <v>0</v>
      </c>
      <c r="BA353">
        <v>369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U353">
        <f>ROUND(AT353*Source!I132*AH353*AL353,2)</f>
        <v>0</v>
      </c>
      <c r="CV353">
        <f>ROUND(Y353*Source!I132,9)</f>
        <v>1.9047312000000001</v>
      </c>
      <c r="CW353">
        <v>0</v>
      </c>
      <c r="CX353">
        <f>ROUND(Y353*Source!I132,9)</f>
        <v>1.9047312000000001</v>
      </c>
      <c r="CY353">
        <f>AD353</f>
        <v>0</v>
      </c>
      <c r="CZ353">
        <f>AH353</f>
        <v>0</v>
      </c>
      <c r="DA353">
        <f>AL353</f>
        <v>1</v>
      </c>
      <c r="DB353">
        <f>ROUND(((ROUND(AT353*CZ353,2)*1.15)*1.2),6)</f>
        <v>0</v>
      </c>
      <c r="DC353">
        <f>ROUND(((ROUND(AT353*AG353,2)*1.15)*1.2),6)</f>
        <v>0</v>
      </c>
      <c r="DD353" t="s">
        <v>3</v>
      </c>
      <c r="DE353" t="s">
        <v>3</v>
      </c>
      <c r="DF353">
        <f t="shared" ref="DF353:DF360" si="162">ROUND(ROUND(AE353,2)*CX353,2)</f>
        <v>0</v>
      </c>
      <c r="DG353">
        <f t="shared" si="161"/>
        <v>0</v>
      </c>
      <c r="DH353">
        <f t="shared" si="160"/>
        <v>0</v>
      </c>
      <c r="DI353">
        <f t="shared" si="154"/>
        <v>0</v>
      </c>
      <c r="DJ353">
        <f>DI353</f>
        <v>0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">
      <c r="A354">
        <f>ROW(Source!A132)</f>
        <v>132</v>
      </c>
      <c r="B354">
        <v>85739205</v>
      </c>
      <c r="C354">
        <v>85739837</v>
      </c>
      <c r="D354">
        <v>85229932</v>
      </c>
      <c r="E354">
        <v>1</v>
      </c>
      <c r="F354">
        <v>1</v>
      </c>
      <c r="G354">
        <v>1081</v>
      </c>
      <c r="H354">
        <v>2</v>
      </c>
      <c r="I354" t="s">
        <v>482</v>
      </c>
      <c r="J354" t="s">
        <v>483</v>
      </c>
      <c r="K354" t="s">
        <v>484</v>
      </c>
      <c r="L354">
        <v>1368</v>
      </c>
      <c r="N354">
        <v>1011</v>
      </c>
      <c r="O354" t="s">
        <v>478</v>
      </c>
      <c r="P354" t="s">
        <v>478</v>
      </c>
      <c r="Q354">
        <v>1</v>
      </c>
      <c r="W354">
        <v>0</v>
      </c>
      <c r="X354">
        <v>874612079</v>
      </c>
      <c r="Y354">
        <f>((AT354*1.25)*1.2)</f>
        <v>1.4999999999999999E-2</v>
      </c>
      <c r="AA354">
        <v>0</v>
      </c>
      <c r="AB354">
        <v>87.01</v>
      </c>
      <c r="AC354">
        <v>13.21</v>
      </c>
      <c r="AD354">
        <v>0</v>
      </c>
      <c r="AE354">
        <v>0</v>
      </c>
      <c r="AF354">
        <v>83.1</v>
      </c>
      <c r="AG354">
        <v>12.62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-2</v>
      </c>
      <c r="AN354">
        <v>0</v>
      </c>
      <c r="AO354">
        <v>1</v>
      </c>
      <c r="AP354">
        <v>1</v>
      </c>
      <c r="AQ354">
        <v>0</v>
      </c>
      <c r="AR354">
        <v>0</v>
      </c>
      <c r="AS354" t="s">
        <v>3</v>
      </c>
      <c r="AT354">
        <v>0.01</v>
      </c>
      <c r="AU354" t="s">
        <v>78</v>
      </c>
      <c r="AV354">
        <v>0</v>
      </c>
      <c r="AW354">
        <v>2</v>
      </c>
      <c r="AX354">
        <v>85739840</v>
      </c>
      <c r="AY354">
        <v>1</v>
      </c>
      <c r="AZ354">
        <v>0</v>
      </c>
      <c r="BA354">
        <v>370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f>ROUND(Y354*Source!I132*DO354,9)</f>
        <v>0.12266639999999999</v>
      </c>
      <c r="CX354">
        <f>ROUND(Y354*Source!I132,9)</f>
        <v>9.7199999999999995E-3</v>
      </c>
      <c r="CY354">
        <f>AB354</f>
        <v>87.01</v>
      </c>
      <c r="CZ354">
        <f>AF354</f>
        <v>83.1</v>
      </c>
      <c r="DA354">
        <f>AJ354</f>
        <v>1</v>
      </c>
      <c r="DB354">
        <f>ROUND(((ROUND(AT354*CZ354,2)*1.25)*1.2),6)</f>
        <v>1.2450000000000001</v>
      </c>
      <c r="DC354">
        <f>ROUND(((ROUND(AT354*AG354,2)*1.25)*1.2),6)</f>
        <v>0.19500000000000001</v>
      </c>
      <c r="DD354" t="s">
        <v>3</v>
      </c>
      <c r="DE354" t="s">
        <v>3</v>
      </c>
      <c r="DF354">
        <f t="shared" si="162"/>
        <v>0</v>
      </c>
      <c r="DG354">
        <f t="shared" si="161"/>
        <v>0.81</v>
      </c>
      <c r="DH354">
        <f t="shared" si="160"/>
        <v>0.12</v>
      </c>
      <c r="DI354">
        <f t="shared" si="154"/>
        <v>0</v>
      </c>
      <c r="DJ354">
        <f>DG354</f>
        <v>0.81</v>
      </c>
      <c r="DK354">
        <v>0</v>
      </c>
      <c r="DL354" t="s">
        <v>485</v>
      </c>
      <c r="DM354">
        <v>0</v>
      </c>
      <c r="DN354" t="s">
        <v>474</v>
      </c>
      <c r="DO354">
        <v>12.62</v>
      </c>
    </row>
    <row r="355" spans="1:119" x14ac:dyDescent="0.2">
      <c r="A355">
        <f>ROW(Source!A132)</f>
        <v>132</v>
      </c>
      <c r="B355">
        <v>85739205</v>
      </c>
      <c r="C355">
        <v>85739837</v>
      </c>
      <c r="D355">
        <v>85229236</v>
      </c>
      <c r="E355">
        <v>1</v>
      </c>
      <c r="F355">
        <v>1</v>
      </c>
      <c r="G355">
        <v>1081</v>
      </c>
      <c r="H355">
        <v>2</v>
      </c>
      <c r="I355" t="s">
        <v>570</v>
      </c>
      <c r="J355" t="s">
        <v>571</v>
      </c>
      <c r="K355" t="s">
        <v>572</v>
      </c>
      <c r="L355">
        <v>1368</v>
      </c>
      <c r="N355">
        <v>1011</v>
      </c>
      <c r="O355" t="s">
        <v>478</v>
      </c>
      <c r="P355" t="s">
        <v>478</v>
      </c>
      <c r="Q355">
        <v>1</v>
      </c>
      <c r="W355">
        <v>0</v>
      </c>
      <c r="X355">
        <v>-1520980008</v>
      </c>
      <c r="Y355">
        <f>((AT355*1.25)*1.2)</f>
        <v>1.4999999999999999E-2</v>
      </c>
      <c r="AA355">
        <v>0</v>
      </c>
      <c r="AB355">
        <v>120.23</v>
      </c>
      <c r="AC355">
        <v>13.21</v>
      </c>
      <c r="AD355">
        <v>0</v>
      </c>
      <c r="AE355">
        <v>0</v>
      </c>
      <c r="AF355">
        <v>114.83</v>
      </c>
      <c r="AG355">
        <v>12.62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-2</v>
      </c>
      <c r="AN355">
        <v>0</v>
      </c>
      <c r="AO355">
        <v>1</v>
      </c>
      <c r="AP355">
        <v>1</v>
      </c>
      <c r="AQ355">
        <v>0</v>
      </c>
      <c r="AR355">
        <v>0</v>
      </c>
      <c r="AS355" t="s">
        <v>3</v>
      </c>
      <c r="AT355">
        <v>0.01</v>
      </c>
      <c r="AU355" t="s">
        <v>78</v>
      </c>
      <c r="AV355">
        <v>0</v>
      </c>
      <c r="AW355">
        <v>2</v>
      </c>
      <c r="AX355">
        <v>85739841</v>
      </c>
      <c r="AY355">
        <v>1</v>
      </c>
      <c r="AZ355">
        <v>0</v>
      </c>
      <c r="BA355">
        <v>371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f>ROUND(Y355*Source!I132*DO355,9)</f>
        <v>0.12266639999999999</v>
      </c>
      <c r="CX355">
        <f>ROUND(Y355*Source!I132,9)</f>
        <v>9.7199999999999995E-3</v>
      </c>
      <c r="CY355">
        <f>AB355</f>
        <v>120.23</v>
      </c>
      <c r="CZ355">
        <f>AF355</f>
        <v>114.83</v>
      </c>
      <c r="DA355">
        <f>AJ355</f>
        <v>1</v>
      </c>
      <c r="DB355">
        <f>ROUND(((ROUND(AT355*CZ355,2)*1.25)*1.2),6)</f>
        <v>1.7250000000000001</v>
      </c>
      <c r="DC355">
        <f>ROUND(((ROUND(AT355*AG355,2)*1.25)*1.2),6)</f>
        <v>0.19500000000000001</v>
      </c>
      <c r="DD355" t="s">
        <v>3</v>
      </c>
      <c r="DE355" t="s">
        <v>3</v>
      </c>
      <c r="DF355">
        <f t="shared" si="162"/>
        <v>0</v>
      </c>
      <c r="DG355">
        <f t="shared" si="161"/>
        <v>1.1200000000000001</v>
      </c>
      <c r="DH355">
        <f t="shared" si="160"/>
        <v>0.12</v>
      </c>
      <c r="DI355">
        <f t="shared" si="154"/>
        <v>0</v>
      </c>
      <c r="DJ355">
        <f>DG355</f>
        <v>1.1200000000000001</v>
      </c>
      <c r="DK355">
        <v>0</v>
      </c>
      <c r="DL355" t="s">
        <v>485</v>
      </c>
      <c r="DM355">
        <v>0</v>
      </c>
      <c r="DN355" t="s">
        <v>474</v>
      </c>
      <c r="DO355">
        <v>12.62</v>
      </c>
    </row>
    <row r="356" spans="1:119" x14ac:dyDescent="0.2">
      <c r="A356">
        <f>ROW(Source!A132)</f>
        <v>132</v>
      </c>
      <c r="B356">
        <v>85739205</v>
      </c>
      <c r="C356">
        <v>85739837</v>
      </c>
      <c r="D356">
        <v>85200033</v>
      </c>
      <c r="E356">
        <v>1</v>
      </c>
      <c r="F356">
        <v>1</v>
      </c>
      <c r="G356">
        <v>1081</v>
      </c>
      <c r="H356">
        <v>3</v>
      </c>
      <c r="I356" t="s">
        <v>531</v>
      </c>
      <c r="J356" t="s">
        <v>532</v>
      </c>
      <c r="K356" t="s">
        <v>533</v>
      </c>
      <c r="L356">
        <v>1346</v>
      </c>
      <c r="N356">
        <v>1009</v>
      </c>
      <c r="O356" t="s">
        <v>502</v>
      </c>
      <c r="P356" t="s">
        <v>502</v>
      </c>
      <c r="Q356">
        <v>1</v>
      </c>
      <c r="W356">
        <v>0</v>
      </c>
      <c r="X356">
        <v>-1097873860</v>
      </c>
      <c r="Y356">
        <f>((AT356*1)*1)</f>
        <v>9</v>
      </c>
      <c r="AA356">
        <v>29.89</v>
      </c>
      <c r="AB356">
        <v>0</v>
      </c>
      <c r="AC356">
        <v>0</v>
      </c>
      <c r="AD356">
        <v>0</v>
      </c>
      <c r="AE356">
        <v>29.89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-2</v>
      </c>
      <c r="AN356">
        <v>0</v>
      </c>
      <c r="AO356">
        <v>1</v>
      </c>
      <c r="AP356">
        <v>1</v>
      </c>
      <c r="AQ356">
        <v>0</v>
      </c>
      <c r="AR356">
        <v>0</v>
      </c>
      <c r="AS356" t="s">
        <v>3</v>
      </c>
      <c r="AT356">
        <v>9</v>
      </c>
      <c r="AU356" t="s">
        <v>77</v>
      </c>
      <c r="AV356">
        <v>0</v>
      </c>
      <c r="AW356">
        <v>2</v>
      </c>
      <c r="AX356">
        <v>85739842</v>
      </c>
      <c r="AY356">
        <v>1</v>
      </c>
      <c r="AZ356">
        <v>0</v>
      </c>
      <c r="BA356">
        <v>372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v>0</v>
      </c>
      <c r="CX356">
        <f>ROUND(Y356*Source!I132,9)</f>
        <v>5.8319999999999999</v>
      </c>
      <c r="CY356">
        <f>AA356</f>
        <v>29.89</v>
      </c>
      <c r="CZ356">
        <f>AE356</f>
        <v>29.89</v>
      </c>
      <c r="DA356">
        <f>AI356</f>
        <v>1</v>
      </c>
      <c r="DB356">
        <f>ROUND(((ROUND(AT356*CZ356,2)*1)*1),6)</f>
        <v>269.01</v>
      </c>
      <c r="DC356">
        <f>ROUND(((ROUND(AT356*AG356,2)*1)*1),6)</f>
        <v>0</v>
      </c>
      <c r="DD356" t="s">
        <v>3</v>
      </c>
      <c r="DE356" t="s">
        <v>3</v>
      </c>
      <c r="DF356">
        <f t="shared" si="162"/>
        <v>174.32</v>
      </c>
      <c r="DG356">
        <f t="shared" si="161"/>
        <v>0</v>
      </c>
      <c r="DH356">
        <f t="shared" si="160"/>
        <v>0</v>
      </c>
      <c r="DI356">
        <f t="shared" si="154"/>
        <v>0</v>
      </c>
      <c r="DJ356">
        <f>DF356</f>
        <v>174.32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">
      <c r="A357">
        <f>ROW(Source!A132)</f>
        <v>132</v>
      </c>
      <c r="B357">
        <v>85739205</v>
      </c>
      <c r="C357">
        <v>85739837</v>
      </c>
      <c r="D357">
        <v>85199558</v>
      </c>
      <c r="E357">
        <v>1</v>
      </c>
      <c r="F357">
        <v>1</v>
      </c>
      <c r="G357">
        <v>1081</v>
      </c>
      <c r="H357">
        <v>3</v>
      </c>
      <c r="I357" t="s">
        <v>579</v>
      </c>
      <c r="J357" t="s">
        <v>580</v>
      </c>
      <c r="K357" t="s">
        <v>581</v>
      </c>
      <c r="L357">
        <v>1348</v>
      </c>
      <c r="N357">
        <v>1009</v>
      </c>
      <c r="O357" t="s">
        <v>266</v>
      </c>
      <c r="P357" t="s">
        <v>266</v>
      </c>
      <c r="Q357">
        <v>1000</v>
      </c>
      <c r="W357">
        <v>0</v>
      </c>
      <c r="X357">
        <v>-1860917919</v>
      </c>
      <c r="Y357">
        <f>((AT357*1)*1)</f>
        <v>1.48E-3</v>
      </c>
      <c r="AA357">
        <v>12521.99</v>
      </c>
      <c r="AB357">
        <v>0</v>
      </c>
      <c r="AC357">
        <v>0</v>
      </c>
      <c r="AD357">
        <v>0</v>
      </c>
      <c r="AE357">
        <v>12521.99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1</v>
      </c>
      <c r="AL357">
        <v>1</v>
      </c>
      <c r="AM357">
        <v>-2</v>
      </c>
      <c r="AN357">
        <v>0</v>
      </c>
      <c r="AO357">
        <v>1</v>
      </c>
      <c r="AP357">
        <v>1</v>
      </c>
      <c r="AQ357">
        <v>0</v>
      </c>
      <c r="AR357">
        <v>0</v>
      </c>
      <c r="AS357" t="s">
        <v>3</v>
      </c>
      <c r="AT357">
        <v>1.48E-3</v>
      </c>
      <c r="AU357" t="s">
        <v>77</v>
      </c>
      <c r="AV357">
        <v>0</v>
      </c>
      <c r="AW357">
        <v>2</v>
      </c>
      <c r="AX357">
        <v>85739843</v>
      </c>
      <c r="AY357">
        <v>1</v>
      </c>
      <c r="AZ357">
        <v>0</v>
      </c>
      <c r="BA357">
        <v>373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ROUND(Y357*Source!I132,9)</f>
        <v>9.5903999999999998E-4</v>
      </c>
      <c r="CY357">
        <f>AA357</f>
        <v>12521.99</v>
      </c>
      <c r="CZ357">
        <f>AE357</f>
        <v>12521.99</v>
      </c>
      <c r="DA357">
        <f>AI357</f>
        <v>1</v>
      </c>
      <c r="DB357">
        <f>ROUND(((ROUND(AT357*CZ357,2)*1)*1),6)</f>
        <v>18.53</v>
      </c>
      <c r="DC357">
        <f>ROUND(((ROUND(AT357*AG357,2)*1)*1),6)</f>
        <v>0</v>
      </c>
      <c r="DD357" t="s">
        <v>3</v>
      </c>
      <c r="DE357" t="s">
        <v>3</v>
      </c>
      <c r="DF357">
        <f t="shared" si="162"/>
        <v>12.01</v>
      </c>
      <c r="DG357">
        <f t="shared" si="161"/>
        <v>0</v>
      </c>
      <c r="DH357">
        <f t="shared" si="160"/>
        <v>0</v>
      </c>
      <c r="DI357">
        <f t="shared" si="154"/>
        <v>0</v>
      </c>
      <c r="DJ357">
        <f>DF357</f>
        <v>12.01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">
      <c r="A358">
        <f>ROW(Source!A133)</f>
        <v>133</v>
      </c>
      <c r="B358">
        <v>85739207</v>
      </c>
      <c r="C358">
        <v>85739837</v>
      </c>
      <c r="D358">
        <v>85164021</v>
      </c>
      <c r="E358">
        <v>1081</v>
      </c>
      <c r="F358">
        <v>1</v>
      </c>
      <c r="G358">
        <v>1081</v>
      </c>
      <c r="H358">
        <v>1</v>
      </c>
      <c r="I358" t="s">
        <v>472</v>
      </c>
      <c r="J358" t="s">
        <v>3</v>
      </c>
      <c r="K358" t="s">
        <v>473</v>
      </c>
      <c r="L358">
        <v>1191</v>
      </c>
      <c r="N358">
        <v>1013</v>
      </c>
      <c r="O358" t="s">
        <v>474</v>
      </c>
      <c r="P358" t="s">
        <v>474</v>
      </c>
      <c r="Q358">
        <v>1</v>
      </c>
      <c r="W358">
        <v>0</v>
      </c>
      <c r="X358">
        <v>476480486</v>
      </c>
      <c r="Y358">
        <f>((AT358*1.15)*1.2)</f>
        <v>2.9393999999999996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</v>
      </c>
      <c r="AJ358">
        <v>1</v>
      </c>
      <c r="AK358">
        <v>1</v>
      </c>
      <c r="AL358">
        <v>1</v>
      </c>
      <c r="AM358">
        <v>5</v>
      </c>
      <c r="AN358">
        <v>0</v>
      </c>
      <c r="AO358">
        <v>1</v>
      </c>
      <c r="AP358">
        <v>1</v>
      </c>
      <c r="AQ358">
        <v>0</v>
      </c>
      <c r="AR358">
        <v>0</v>
      </c>
      <c r="AS358" t="s">
        <v>3</v>
      </c>
      <c r="AT358">
        <v>2.13</v>
      </c>
      <c r="AU358" t="s">
        <v>79</v>
      </c>
      <c r="AV358">
        <v>1</v>
      </c>
      <c r="AW358">
        <v>2</v>
      </c>
      <c r="AX358">
        <v>85739839</v>
      </c>
      <c r="AY358">
        <v>1</v>
      </c>
      <c r="AZ358">
        <v>0</v>
      </c>
      <c r="BA358">
        <v>374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U358">
        <f>ROUND(AT358*Source!I133*AH358*AL358,2)</f>
        <v>0</v>
      </c>
      <c r="CV358">
        <f>ROUND(Y358*Source!I133,9)</f>
        <v>1.9047312000000001</v>
      </c>
      <c r="CW358">
        <v>0</v>
      </c>
      <c r="CX358">
        <f>ROUND(Y358*Source!I133,9)</f>
        <v>1.9047312000000001</v>
      </c>
      <c r="CY358">
        <f>AD358</f>
        <v>0</v>
      </c>
      <c r="CZ358">
        <f>AH358</f>
        <v>0</v>
      </c>
      <c r="DA358">
        <f>AL358</f>
        <v>1</v>
      </c>
      <c r="DB358">
        <f>ROUND(((ROUND(AT358*CZ358,2)*1.15)*1.2),6)</f>
        <v>0</v>
      </c>
      <c r="DC358">
        <f>ROUND(((ROUND(AT358*AG358,2)*1.15)*1.2),6)</f>
        <v>0</v>
      </c>
      <c r="DD358" t="s">
        <v>3</v>
      </c>
      <c r="DE358" t="s">
        <v>3</v>
      </c>
      <c r="DF358">
        <f t="shared" si="162"/>
        <v>0</v>
      </c>
      <c r="DG358">
        <f t="shared" si="161"/>
        <v>0</v>
      </c>
      <c r="DH358">
        <f t="shared" si="160"/>
        <v>0</v>
      </c>
      <c r="DI358">
        <f t="shared" si="154"/>
        <v>0</v>
      </c>
      <c r="DJ358">
        <f>DI358</f>
        <v>0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">
      <c r="A359">
        <f>ROW(Source!A133)</f>
        <v>133</v>
      </c>
      <c r="B359">
        <v>85739207</v>
      </c>
      <c r="C359">
        <v>85739837</v>
      </c>
      <c r="D359">
        <v>85229932</v>
      </c>
      <c r="E359">
        <v>1</v>
      </c>
      <c r="F359">
        <v>1</v>
      </c>
      <c r="G359">
        <v>1081</v>
      </c>
      <c r="H359">
        <v>2</v>
      </c>
      <c r="I359" t="s">
        <v>482</v>
      </c>
      <c r="J359" t="s">
        <v>483</v>
      </c>
      <c r="K359" t="s">
        <v>484</v>
      </c>
      <c r="L359">
        <v>1368</v>
      </c>
      <c r="N359">
        <v>1011</v>
      </c>
      <c r="O359" t="s">
        <v>478</v>
      </c>
      <c r="P359" t="s">
        <v>478</v>
      </c>
      <c r="Q359">
        <v>1</v>
      </c>
      <c r="W359">
        <v>0</v>
      </c>
      <c r="X359">
        <v>874612079</v>
      </c>
      <c r="Y359">
        <f>((AT359*1.25)*1.2)</f>
        <v>1.4999999999999999E-2</v>
      </c>
      <c r="AA359">
        <v>0</v>
      </c>
      <c r="AB359">
        <v>1485.19</v>
      </c>
      <c r="AC359">
        <v>744.56</v>
      </c>
      <c r="AD359">
        <v>0</v>
      </c>
      <c r="AE359">
        <v>0</v>
      </c>
      <c r="AF359">
        <v>83.1</v>
      </c>
      <c r="AG359">
        <v>12.62</v>
      </c>
      <c r="AH359">
        <v>0</v>
      </c>
      <c r="AI359">
        <v>1</v>
      </c>
      <c r="AJ359">
        <v>17.07</v>
      </c>
      <c r="AK359">
        <v>56.35</v>
      </c>
      <c r="AL359">
        <v>1</v>
      </c>
      <c r="AM359">
        <v>2</v>
      </c>
      <c r="AN359">
        <v>0</v>
      </c>
      <c r="AO359">
        <v>1</v>
      </c>
      <c r="AP359">
        <v>1</v>
      </c>
      <c r="AQ359">
        <v>0</v>
      </c>
      <c r="AR359">
        <v>0</v>
      </c>
      <c r="AS359" t="s">
        <v>3</v>
      </c>
      <c r="AT359">
        <v>0.01</v>
      </c>
      <c r="AU359" t="s">
        <v>78</v>
      </c>
      <c r="AV359">
        <v>0</v>
      </c>
      <c r="AW359">
        <v>2</v>
      </c>
      <c r="AX359">
        <v>85739840</v>
      </c>
      <c r="AY359">
        <v>1</v>
      </c>
      <c r="AZ359">
        <v>0</v>
      </c>
      <c r="BA359">
        <v>375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V359">
        <v>0</v>
      </c>
      <c r="CW359">
        <f>ROUND(Y359*Source!I133*DO359,9)</f>
        <v>0.12266639999999999</v>
      </c>
      <c r="CX359">
        <f>ROUND(Y359*Source!I133,9)</f>
        <v>9.7199999999999995E-3</v>
      </c>
      <c r="CY359">
        <f>AB359</f>
        <v>1485.19</v>
      </c>
      <c r="CZ359">
        <f>AF359</f>
        <v>83.1</v>
      </c>
      <c r="DA359">
        <f>AJ359</f>
        <v>17.07</v>
      </c>
      <c r="DB359">
        <f>ROUND(((ROUND(AT359*CZ359,2)*1.25)*1.2),6)</f>
        <v>1.2450000000000001</v>
      </c>
      <c r="DC359">
        <f>ROUND(((ROUND(AT359*AG359,2)*1.25)*1.2),6)</f>
        <v>0.19500000000000001</v>
      </c>
      <c r="DD359" t="s">
        <v>3</v>
      </c>
      <c r="DE359" t="s">
        <v>3</v>
      </c>
      <c r="DF359">
        <f t="shared" si="162"/>
        <v>0</v>
      </c>
      <c r="DG359">
        <f>ROUND(ROUND(AF359*AJ359,2)*CX359,2)</f>
        <v>13.79</v>
      </c>
      <c r="DH359">
        <f>ROUND(ROUND(AG359*AK359,2)*CX359,2)</f>
        <v>6.91</v>
      </c>
      <c r="DI359">
        <f t="shared" si="154"/>
        <v>0</v>
      </c>
      <c r="DJ359">
        <f>DG359</f>
        <v>13.79</v>
      </c>
      <c r="DK359">
        <v>0</v>
      </c>
      <c r="DL359" t="s">
        <v>485</v>
      </c>
      <c r="DM359">
        <v>0</v>
      </c>
      <c r="DN359" t="s">
        <v>474</v>
      </c>
      <c r="DO359">
        <v>12.62</v>
      </c>
    </row>
    <row r="360" spans="1:119" x14ac:dyDescent="0.2">
      <c r="A360">
        <f>ROW(Source!A133)</f>
        <v>133</v>
      </c>
      <c r="B360">
        <v>85739207</v>
      </c>
      <c r="C360">
        <v>85739837</v>
      </c>
      <c r="D360">
        <v>85229236</v>
      </c>
      <c r="E360">
        <v>1</v>
      </c>
      <c r="F360">
        <v>1</v>
      </c>
      <c r="G360">
        <v>1081</v>
      </c>
      <c r="H360">
        <v>2</v>
      </c>
      <c r="I360" t="s">
        <v>570</v>
      </c>
      <c r="J360" t="s">
        <v>571</v>
      </c>
      <c r="K360" t="s">
        <v>572</v>
      </c>
      <c r="L360">
        <v>1368</v>
      </c>
      <c r="N360">
        <v>1011</v>
      </c>
      <c r="O360" t="s">
        <v>478</v>
      </c>
      <c r="P360" t="s">
        <v>478</v>
      </c>
      <c r="Q360">
        <v>1</v>
      </c>
      <c r="W360">
        <v>0</v>
      </c>
      <c r="X360">
        <v>-1520980008</v>
      </c>
      <c r="Y360">
        <f>((AT360*1.25)*1.2)</f>
        <v>1.4999999999999999E-2</v>
      </c>
      <c r="AA360">
        <v>0</v>
      </c>
      <c r="AB360">
        <v>1942.87</v>
      </c>
      <c r="AC360">
        <v>744.56</v>
      </c>
      <c r="AD360">
        <v>0</v>
      </c>
      <c r="AE360">
        <v>0</v>
      </c>
      <c r="AF360">
        <v>114.83</v>
      </c>
      <c r="AG360">
        <v>12.62</v>
      </c>
      <c r="AH360">
        <v>0</v>
      </c>
      <c r="AI360">
        <v>1</v>
      </c>
      <c r="AJ360">
        <v>16.16</v>
      </c>
      <c r="AK360">
        <v>56.35</v>
      </c>
      <c r="AL360">
        <v>1</v>
      </c>
      <c r="AM360">
        <v>2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0.01</v>
      </c>
      <c r="AU360" t="s">
        <v>78</v>
      </c>
      <c r="AV360">
        <v>0</v>
      </c>
      <c r="AW360">
        <v>2</v>
      </c>
      <c r="AX360">
        <v>85739841</v>
      </c>
      <c r="AY360">
        <v>1</v>
      </c>
      <c r="AZ360">
        <v>0</v>
      </c>
      <c r="BA360">
        <v>376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f>ROUND(Y360*Source!I133*DO360,9)</f>
        <v>0.12266639999999999</v>
      </c>
      <c r="CX360">
        <f>ROUND(Y360*Source!I133,9)</f>
        <v>9.7199999999999995E-3</v>
      </c>
      <c r="CY360">
        <f>AB360</f>
        <v>1942.87</v>
      </c>
      <c r="CZ360">
        <f>AF360</f>
        <v>114.83</v>
      </c>
      <c r="DA360">
        <f>AJ360</f>
        <v>16.16</v>
      </c>
      <c r="DB360">
        <f>ROUND(((ROUND(AT360*CZ360,2)*1.25)*1.2),6)</f>
        <v>1.7250000000000001</v>
      </c>
      <c r="DC360">
        <f>ROUND(((ROUND(AT360*AG360,2)*1.25)*1.2),6)</f>
        <v>0.19500000000000001</v>
      </c>
      <c r="DD360" t="s">
        <v>3</v>
      </c>
      <c r="DE360" t="s">
        <v>3</v>
      </c>
      <c r="DF360">
        <f t="shared" si="162"/>
        <v>0</v>
      </c>
      <c r="DG360">
        <f>ROUND(ROUND(AF360*AJ360,2)*CX360,2)</f>
        <v>18.04</v>
      </c>
      <c r="DH360">
        <f>ROUND(ROUND(AG360*AK360,2)*CX360,2)</f>
        <v>6.91</v>
      </c>
      <c r="DI360">
        <f t="shared" si="154"/>
        <v>0</v>
      </c>
      <c r="DJ360">
        <f>DG360</f>
        <v>18.04</v>
      </c>
      <c r="DK360">
        <v>0</v>
      </c>
      <c r="DL360" t="s">
        <v>485</v>
      </c>
      <c r="DM360">
        <v>0</v>
      </c>
      <c r="DN360" t="s">
        <v>474</v>
      </c>
      <c r="DO360">
        <v>12.62</v>
      </c>
    </row>
    <row r="361" spans="1:119" x14ac:dyDescent="0.2">
      <c r="A361">
        <f>ROW(Source!A133)</f>
        <v>133</v>
      </c>
      <c r="B361">
        <v>85739207</v>
      </c>
      <c r="C361">
        <v>85739837</v>
      </c>
      <c r="D361">
        <v>85200033</v>
      </c>
      <c r="E361">
        <v>1</v>
      </c>
      <c r="F361">
        <v>1</v>
      </c>
      <c r="G361">
        <v>1081</v>
      </c>
      <c r="H361">
        <v>3</v>
      </c>
      <c r="I361" t="s">
        <v>531</v>
      </c>
      <c r="J361" t="s">
        <v>532</v>
      </c>
      <c r="K361" t="s">
        <v>533</v>
      </c>
      <c r="L361">
        <v>1346</v>
      </c>
      <c r="N361">
        <v>1009</v>
      </c>
      <c r="O361" t="s">
        <v>502</v>
      </c>
      <c r="P361" t="s">
        <v>502</v>
      </c>
      <c r="Q361">
        <v>1</v>
      </c>
      <c r="W361">
        <v>0</v>
      </c>
      <c r="X361">
        <v>-1097873860</v>
      </c>
      <c r="Y361">
        <f>((AT361*1)*1)</f>
        <v>9</v>
      </c>
      <c r="AA361">
        <v>101.03</v>
      </c>
      <c r="AB361">
        <v>0</v>
      </c>
      <c r="AC361">
        <v>0</v>
      </c>
      <c r="AD361">
        <v>0</v>
      </c>
      <c r="AE361">
        <v>29.89</v>
      </c>
      <c r="AF361">
        <v>0</v>
      </c>
      <c r="AG361">
        <v>0</v>
      </c>
      <c r="AH361">
        <v>0</v>
      </c>
      <c r="AI361">
        <v>3.38</v>
      </c>
      <c r="AJ361">
        <v>1</v>
      </c>
      <c r="AK361">
        <v>1</v>
      </c>
      <c r="AL361">
        <v>1</v>
      </c>
      <c r="AM361">
        <v>2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9</v>
      </c>
      <c r="AU361" t="s">
        <v>77</v>
      </c>
      <c r="AV361">
        <v>0</v>
      </c>
      <c r="AW361">
        <v>2</v>
      </c>
      <c r="AX361">
        <v>85739842</v>
      </c>
      <c r="AY361">
        <v>1</v>
      </c>
      <c r="AZ361">
        <v>0</v>
      </c>
      <c r="BA361">
        <v>377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v>0</v>
      </c>
      <c r="CX361">
        <f>ROUND(Y361*Source!I133,9)</f>
        <v>5.8319999999999999</v>
      </c>
      <c r="CY361">
        <f>AA361</f>
        <v>101.03</v>
      </c>
      <c r="CZ361">
        <f>AE361</f>
        <v>29.89</v>
      </c>
      <c r="DA361">
        <f>AI361</f>
        <v>3.38</v>
      </c>
      <c r="DB361">
        <f>ROUND(((ROUND(AT361*CZ361,2)*1)*1),6)</f>
        <v>269.01</v>
      </c>
      <c r="DC361">
        <f>ROUND(((ROUND(AT361*AG361,2)*1)*1),6)</f>
        <v>0</v>
      </c>
      <c r="DD361" t="s">
        <v>3</v>
      </c>
      <c r="DE361" t="s">
        <v>3</v>
      </c>
      <c r="DF361">
        <f>ROUND(ROUND(AE361*AI361,2)*CX361,2)</f>
        <v>589.21</v>
      </c>
      <c r="DG361">
        <f t="shared" ref="DG361:DG370" si="163">ROUND(ROUND(AF361,2)*CX361,2)</f>
        <v>0</v>
      </c>
      <c r="DH361">
        <f t="shared" ref="DH361:DH371" si="164">ROUND(ROUND(AG361,2)*CX361,2)</f>
        <v>0</v>
      </c>
      <c r="DI361">
        <f t="shared" si="154"/>
        <v>0</v>
      </c>
      <c r="DJ361">
        <f>DF361</f>
        <v>589.21</v>
      </c>
      <c r="DK361">
        <v>0</v>
      </c>
      <c r="DL361" t="s">
        <v>3</v>
      </c>
      <c r="DM361">
        <v>0</v>
      </c>
      <c r="DN361" t="s">
        <v>3</v>
      </c>
      <c r="DO361">
        <v>0</v>
      </c>
    </row>
    <row r="362" spans="1:119" x14ac:dyDescent="0.2">
      <c r="A362">
        <f>ROW(Source!A133)</f>
        <v>133</v>
      </c>
      <c r="B362">
        <v>85739207</v>
      </c>
      <c r="C362">
        <v>85739837</v>
      </c>
      <c r="D362">
        <v>85199558</v>
      </c>
      <c r="E362">
        <v>1</v>
      </c>
      <c r="F362">
        <v>1</v>
      </c>
      <c r="G362">
        <v>1081</v>
      </c>
      <c r="H362">
        <v>3</v>
      </c>
      <c r="I362" t="s">
        <v>579</v>
      </c>
      <c r="J362" t="s">
        <v>580</v>
      </c>
      <c r="K362" t="s">
        <v>581</v>
      </c>
      <c r="L362">
        <v>1348</v>
      </c>
      <c r="N362">
        <v>1009</v>
      </c>
      <c r="O362" t="s">
        <v>266</v>
      </c>
      <c r="P362" t="s">
        <v>266</v>
      </c>
      <c r="Q362">
        <v>1000</v>
      </c>
      <c r="W362">
        <v>0</v>
      </c>
      <c r="X362">
        <v>-1860917919</v>
      </c>
      <c r="Y362">
        <f>((AT362*1)*1)</f>
        <v>1.48E-3</v>
      </c>
      <c r="AA362">
        <v>56975.05</v>
      </c>
      <c r="AB362">
        <v>0</v>
      </c>
      <c r="AC362">
        <v>0</v>
      </c>
      <c r="AD362">
        <v>0</v>
      </c>
      <c r="AE362">
        <v>12521.99</v>
      </c>
      <c r="AF362">
        <v>0</v>
      </c>
      <c r="AG362">
        <v>0</v>
      </c>
      <c r="AH362">
        <v>0</v>
      </c>
      <c r="AI362">
        <v>4.55</v>
      </c>
      <c r="AJ362">
        <v>1</v>
      </c>
      <c r="AK362">
        <v>1</v>
      </c>
      <c r="AL362">
        <v>1</v>
      </c>
      <c r="AM362">
        <v>2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1.48E-3</v>
      </c>
      <c r="AU362" t="s">
        <v>77</v>
      </c>
      <c r="AV362">
        <v>0</v>
      </c>
      <c r="AW362">
        <v>2</v>
      </c>
      <c r="AX362">
        <v>85739843</v>
      </c>
      <c r="AY362">
        <v>1</v>
      </c>
      <c r="AZ362">
        <v>0</v>
      </c>
      <c r="BA362">
        <v>378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v>0</v>
      </c>
      <c r="CX362">
        <f>ROUND(Y362*Source!I133,9)</f>
        <v>9.5903999999999998E-4</v>
      </c>
      <c r="CY362">
        <f>AA362</f>
        <v>56975.05</v>
      </c>
      <c r="CZ362">
        <f>AE362</f>
        <v>12521.99</v>
      </c>
      <c r="DA362">
        <f>AI362</f>
        <v>4.55</v>
      </c>
      <c r="DB362">
        <f>ROUND(((ROUND(AT362*CZ362,2)*1)*1),6)</f>
        <v>18.53</v>
      </c>
      <c r="DC362">
        <f>ROUND(((ROUND(AT362*AG362,2)*1)*1),6)</f>
        <v>0</v>
      </c>
      <c r="DD362" t="s">
        <v>3</v>
      </c>
      <c r="DE362" t="s">
        <v>3</v>
      </c>
      <c r="DF362">
        <f>ROUND(ROUND(AE362*AI362,2)*CX362,2)</f>
        <v>54.64</v>
      </c>
      <c r="DG362">
        <f t="shared" si="163"/>
        <v>0</v>
      </c>
      <c r="DH362">
        <f t="shared" si="164"/>
        <v>0</v>
      </c>
      <c r="DI362">
        <f t="shared" si="154"/>
        <v>0</v>
      </c>
      <c r="DJ362">
        <f>DF362</f>
        <v>54.64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">
      <c r="A363">
        <f>ROW(Source!A134)</f>
        <v>134</v>
      </c>
      <c r="B363">
        <v>85739205</v>
      </c>
      <c r="C363">
        <v>85739844</v>
      </c>
      <c r="D363">
        <v>85164021</v>
      </c>
      <c r="E363">
        <v>1081</v>
      </c>
      <c r="F363">
        <v>1</v>
      </c>
      <c r="G363">
        <v>1081</v>
      </c>
      <c r="H363">
        <v>1</v>
      </c>
      <c r="I363" t="s">
        <v>472</v>
      </c>
      <c r="J363" t="s">
        <v>3</v>
      </c>
      <c r="K363" t="s">
        <v>473</v>
      </c>
      <c r="L363">
        <v>1191</v>
      </c>
      <c r="N363">
        <v>1013</v>
      </c>
      <c r="O363" t="s">
        <v>474</v>
      </c>
      <c r="P363" t="s">
        <v>474</v>
      </c>
      <c r="Q363">
        <v>1</v>
      </c>
      <c r="W363">
        <v>0</v>
      </c>
      <c r="X363">
        <v>476480486</v>
      </c>
      <c r="Y363">
        <f>(AT363*1.2)</f>
        <v>10.199999999999999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-2</v>
      </c>
      <c r="AN363">
        <v>0</v>
      </c>
      <c r="AO363">
        <v>1</v>
      </c>
      <c r="AP363">
        <v>1</v>
      </c>
      <c r="AQ363">
        <v>0</v>
      </c>
      <c r="AR363">
        <v>0</v>
      </c>
      <c r="AS363" t="s">
        <v>3</v>
      </c>
      <c r="AT363">
        <v>8.5</v>
      </c>
      <c r="AU363" t="s">
        <v>36</v>
      </c>
      <c r="AV363">
        <v>1</v>
      </c>
      <c r="AW363">
        <v>2</v>
      </c>
      <c r="AX363">
        <v>85739846</v>
      </c>
      <c r="AY363">
        <v>1</v>
      </c>
      <c r="AZ363">
        <v>0</v>
      </c>
      <c r="BA363">
        <v>379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U363">
        <f>ROUND(AT363*Source!I134*AH363*AL363,2)</f>
        <v>0</v>
      </c>
      <c r="CV363">
        <f>ROUND(Y363*Source!I134,9)</f>
        <v>10.199999999999999</v>
      </c>
      <c r="CW363">
        <v>0</v>
      </c>
      <c r="CX363">
        <f>ROUND(Y363*Source!I134,9)</f>
        <v>10.199999999999999</v>
      </c>
      <c r="CY363">
        <f>AD363</f>
        <v>0</v>
      </c>
      <c r="CZ363">
        <f>AH363</f>
        <v>0</v>
      </c>
      <c r="DA363">
        <f>AL363</f>
        <v>1</v>
      </c>
      <c r="DB363">
        <f>ROUND((ROUND(AT363*CZ363,2)*1.2),6)</f>
        <v>0</v>
      </c>
      <c r="DC363">
        <f>ROUND((ROUND(AT363*AG363,2)*1.2),6)</f>
        <v>0</v>
      </c>
      <c r="DD363" t="s">
        <v>3</v>
      </c>
      <c r="DE363" t="s">
        <v>3</v>
      </c>
      <c r="DF363">
        <f t="shared" ref="DF363:DF372" si="165">ROUND(ROUND(AE363,2)*CX363,2)</f>
        <v>0</v>
      </c>
      <c r="DG363">
        <f t="shared" si="163"/>
        <v>0</v>
      </c>
      <c r="DH363">
        <f t="shared" si="164"/>
        <v>0</v>
      </c>
      <c r="DI363">
        <f t="shared" si="154"/>
        <v>0</v>
      </c>
      <c r="DJ363">
        <f>DI363</f>
        <v>0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">
      <c r="A364">
        <f>ROW(Source!A134)</f>
        <v>134</v>
      </c>
      <c r="B364">
        <v>85739205</v>
      </c>
      <c r="C364">
        <v>85739844</v>
      </c>
      <c r="D364">
        <v>85229633</v>
      </c>
      <c r="E364">
        <v>1</v>
      </c>
      <c r="F364">
        <v>1</v>
      </c>
      <c r="G364">
        <v>1081</v>
      </c>
      <c r="H364">
        <v>2</v>
      </c>
      <c r="I364" t="s">
        <v>475</v>
      </c>
      <c r="J364" t="s">
        <v>476</v>
      </c>
      <c r="K364" t="s">
        <v>477</v>
      </c>
      <c r="L364">
        <v>1368</v>
      </c>
      <c r="N364">
        <v>1011</v>
      </c>
      <c r="O364" t="s">
        <v>478</v>
      </c>
      <c r="P364" t="s">
        <v>478</v>
      </c>
      <c r="Q364">
        <v>1</v>
      </c>
      <c r="W364">
        <v>0</v>
      </c>
      <c r="X364">
        <v>1498588441</v>
      </c>
      <c r="Y364">
        <f>(AT364*1.2)</f>
        <v>1.56</v>
      </c>
      <c r="AA364">
        <v>0</v>
      </c>
      <c r="AB364">
        <v>7.59</v>
      </c>
      <c r="AC364">
        <v>0</v>
      </c>
      <c r="AD364">
        <v>0</v>
      </c>
      <c r="AE364">
        <v>0</v>
      </c>
      <c r="AF364">
        <v>7.11</v>
      </c>
      <c r="AG364">
        <v>0</v>
      </c>
      <c r="AH364">
        <v>0</v>
      </c>
      <c r="AI364">
        <v>1</v>
      </c>
      <c r="AJ364">
        <v>1</v>
      </c>
      <c r="AK364">
        <v>1</v>
      </c>
      <c r="AL364">
        <v>1</v>
      </c>
      <c r="AM364">
        <v>-2</v>
      </c>
      <c r="AN364">
        <v>0</v>
      </c>
      <c r="AO364">
        <v>1</v>
      </c>
      <c r="AP364">
        <v>1</v>
      </c>
      <c r="AQ364">
        <v>0</v>
      </c>
      <c r="AR364">
        <v>0</v>
      </c>
      <c r="AS364" t="s">
        <v>3</v>
      </c>
      <c r="AT364">
        <v>1.3</v>
      </c>
      <c r="AU364" t="s">
        <v>36</v>
      </c>
      <c r="AV364">
        <v>0</v>
      </c>
      <c r="AW364">
        <v>2</v>
      </c>
      <c r="AX364">
        <v>85739847</v>
      </c>
      <c r="AY364">
        <v>1</v>
      </c>
      <c r="AZ364">
        <v>0</v>
      </c>
      <c r="BA364">
        <v>380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V364">
        <v>0</v>
      </c>
      <c r="CW364">
        <f>ROUND(Y364*Source!I134*DO364,9)</f>
        <v>0</v>
      </c>
      <c r="CX364">
        <f>ROUND(Y364*Source!I134,9)</f>
        <v>1.56</v>
      </c>
      <c r="CY364">
        <f>AB364</f>
        <v>7.59</v>
      </c>
      <c r="CZ364">
        <f>AF364</f>
        <v>7.11</v>
      </c>
      <c r="DA364">
        <f>AJ364</f>
        <v>1</v>
      </c>
      <c r="DB364">
        <f>ROUND((ROUND(AT364*CZ364,2)*1.2),6)</f>
        <v>11.087999999999999</v>
      </c>
      <c r="DC364">
        <f>ROUND((ROUND(AT364*AG364,2)*1.2),6)</f>
        <v>0</v>
      </c>
      <c r="DD364" t="s">
        <v>3</v>
      </c>
      <c r="DE364" t="s">
        <v>3</v>
      </c>
      <c r="DF364">
        <f t="shared" si="165"/>
        <v>0</v>
      </c>
      <c r="DG364">
        <f t="shared" si="163"/>
        <v>11.09</v>
      </c>
      <c r="DH364">
        <f t="shared" si="164"/>
        <v>0</v>
      </c>
      <c r="DI364">
        <f t="shared" si="154"/>
        <v>0</v>
      </c>
      <c r="DJ364">
        <f>DG364</f>
        <v>11.09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">
      <c r="A365">
        <f>ROW(Source!A134)</f>
        <v>134</v>
      </c>
      <c r="B365">
        <v>85739205</v>
      </c>
      <c r="C365">
        <v>85739844</v>
      </c>
      <c r="D365">
        <v>85229932</v>
      </c>
      <c r="E365">
        <v>1</v>
      </c>
      <c r="F365">
        <v>1</v>
      </c>
      <c r="G365">
        <v>1081</v>
      </c>
      <c r="H365">
        <v>2</v>
      </c>
      <c r="I365" t="s">
        <v>482</v>
      </c>
      <c r="J365" t="s">
        <v>483</v>
      </c>
      <c r="K365" t="s">
        <v>484</v>
      </c>
      <c r="L365">
        <v>1368</v>
      </c>
      <c r="N365">
        <v>1011</v>
      </c>
      <c r="O365" t="s">
        <v>478</v>
      </c>
      <c r="P365" t="s">
        <v>478</v>
      </c>
      <c r="Q365">
        <v>1</v>
      </c>
      <c r="W365">
        <v>0</v>
      </c>
      <c r="X365">
        <v>874612079</v>
      </c>
      <c r="Y365">
        <f>(AT365*1.2)</f>
        <v>3.5999999999999997E-2</v>
      </c>
      <c r="AA365">
        <v>0</v>
      </c>
      <c r="AB365">
        <v>88.67</v>
      </c>
      <c r="AC365">
        <v>13.47</v>
      </c>
      <c r="AD365">
        <v>0</v>
      </c>
      <c r="AE365">
        <v>0</v>
      </c>
      <c r="AF365">
        <v>83.1</v>
      </c>
      <c r="AG365">
        <v>12.62</v>
      </c>
      <c r="AH365">
        <v>0</v>
      </c>
      <c r="AI365">
        <v>1</v>
      </c>
      <c r="AJ365">
        <v>1</v>
      </c>
      <c r="AK365">
        <v>1</v>
      </c>
      <c r="AL365">
        <v>1</v>
      </c>
      <c r="AM365">
        <v>-2</v>
      </c>
      <c r="AN365">
        <v>0</v>
      </c>
      <c r="AO365">
        <v>1</v>
      </c>
      <c r="AP365">
        <v>1</v>
      </c>
      <c r="AQ365">
        <v>0</v>
      </c>
      <c r="AR365">
        <v>0</v>
      </c>
      <c r="AS365" t="s">
        <v>3</v>
      </c>
      <c r="AT365">
        <v>0.03</v>
      </c>
      <c r="AU365" t="s">
        <v>36</v>
      </c>
      <c r="AV365">
        <v>0</v>
      </c>
      <c r="AW365">
        <v>2</v>
      </c>
      <c r="AX365">
        <v>85739848</v>
      </c>
      <c r="AY365">
        <v>1</v>
      </c>
      <c r="AZ365">
        <v>0</v>
      </c>
      <c r="BA365">
        <v>381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f>ROUND(Y365*Source!I134*DO365,9)</f>
        <v>0.45432</v>
      </c>
      <c r="CX365">
        <f>ROUND(Y365*Source!I134,9)</f>
        <v>3.5999999999999997E-2</v>
      </c>
      <c r="CY365">
        <f>AB365</f>
        <v>88.67</v>
      </c>
      <c r="CZ365">
        <f>AF365</f>
        <v>83.1</v>
      </c>
      <c r="DA365">
        <f>AJ365</f>
        <v>1</v>
      </c>
      <c r="DB365">
        <f>ROUND((ROUND(AT365*CZ365,2)*1.2),6)</f>
        <v>2.988</v>
      </c>
      <c r="DC365">
        <f>ROUND((ROUND(AT365*AG365,2)*1.2),6)</f>
        <v>0.45600000000000002</v>
      </c>
      <c r="DD365" t="s">
        <v>3</v>
      </c>
      <c r="DE365" t="s">
        <v>3</v>
      </c>
      <c r="DF365">
        <f t="shared" si="165"/>
        <v>0</v>
      </c>
      <c r="DG365">
        <f t="shared" si="163"/>
        <v>2.99</v>
      </c>
      <c r="DH365">
        <f t="shared" si="164"/>
        <v>0.45</v>
      </c>
      <c r="DI365">
        <f t="shared" si="154"/>
        <v>0</v>
      </c>
      <c r="DJ365">
        <f>DG365</f>
        <v>2.99</v>
      </c>
      <c r="DK365">
        <v>0</v>
      </c>
      <c r="DL365" t="s">
        <v>485</v>
      </c>
      <c r="DM365">
        <v>0</v>
      </c>
      <c r="DN365" t="s">
        <v>474</v>
      </c>
      <c r="DO365">
        <v>12.62</v>
      </c>
    </row>
    <row r="366" spans="1:119" x14ac:dyDescent="0.2">
      <c r="A366">
        <f>ROW(Source!A134)</f>
        <v>134</v>
      </c>
      <c r="B366">
        <v>85739205</v>
      </c>
      <c r="C366">
        <v>85739844</v>
      </c>
      <c r="D366">
        <v>85200111</v>
      </c>
      <c r="E366">
        <v>1</v>
      </c>
      <c r="F366">
        <v>1</v>
      </c>
      <c r="G366">
        <v>1081</v>
      </c>
      <c r="H366">
        <v>3</v>
      </c>
      <c r="I366" t="s">
        <v>492</v>
      </c>
      <c r="J366" t="s">
        <v>493</v>
      </c>
      <c r="K366" t="s">
        <v>494</v>
      </c>
      <c r="L366">
        <v>1348</v>
      </c>
      <c r="N366">
        <v>1009</v>
      </c>
      <c r="O366" t="s">
        <v>266</v>
      </c>
      <c r="P366" t="s">
        <v>266</v>
      </c>
      <c r="Q366">
        <v>1000</v>
      </c>
      <c r="W366">
        <v>0</v>
      </c>
      <c r="X366">
        <v>205566664</v>
      </c>
      <c r="Y366">
        <f>(AT366*1)</f>
        <v>4.4000000000000002E-4</v>
      </c>
      <c r="AA366">
        <v>9367.64</v>
      </c>
      <c r="AB366">
        <v>0</v>
      </c>
      <c r="AC366">
        <v>0</v>
      </c>
      <c r="AD366">
        <v>0</v>
      </c>
      <c r="AE366">
        <v>9112.49</v>
      </c>
      <c r="AF366">
        <v>0</v>
      </c>
      <c r="AG366">
        <v>0</v>
      </c>
      <c r="AH366">
        <v>0</v>
      </c>
      <c r="AI366">
        <v>1</v>
      </c>
      <c r="AJ366">
        <v>1</v>
      </c>
      <c r="AK366">
        <v>1</v>
      </c>
      <c r="AL366">
        <v>1</v>
      </c>
      <c r="AM366">
        <v>-2</v>
      </c>
      <c r="AN366">
        <v>0</v>
      </c>
      <c r="AO366">
        <v>1</v>
      </c>
      <c r="AP366">
        <v>1</v>
      </c>
      <c r="AQ366">
        <v>0</v>
      </c>
      <c r="AR366">
        <v>0</v>
      </c>
      <c r="AS366" t="s">
        <v>3</v>
      </c>
      <c r="AT366">
        <v>4.4000000000000002E-4</v>
      </c>
      <c r="AU366" t="s">
        <v>35</v>
      </c>
      <c r="AV366">
        <v>0</v>
      </c>
      <c r="AW366">
        <v>2</v>
      </c>
      <c r="AX366">
        <v>85739849</v>
      </c>
      <c r="AY366">
        <v>1</v>
      </c>
      <c r="AZ366">
        <v>0</v>
      </c>
      <c r="BA366">
        <v>382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v>0</v>
      </c>
      <c r="CX366">
        <f>ROUND(Y366*Source!I134,9)</f>
        <v>4.4000000000000002E-4</v>
      </c>
      <c r="CY366">
        <f>AA366</f>
        <v>9367.64</v>
      </c>
      <c r="CZ366">
        <f>AE366</f>
        <v>9112.49</v>
      </c>
      <c r="DA366">
        <f>AI366</f>
        <v>1</v>
      </c>
      <c r="DB366">
        <f>ROUND((ROUND(AT366*CZ366,2)*1),6)</f>
        <v>4.01</v>
      </c>
      <c r="DC366">
        <f>ROUND((ROUND(AT366*AG366,2)*1),6)</f>
        <v>0</v>
      </c>
      <c r="DD366" t="s">
        <v>3</v>
      </c>
      <c r="DE366" t="s">
        <v>3</v>
      </c>
      <c r="DF366">
        <f t="shared" si="165"/>
        <v>4.01</v>
      </c>
      <c r="DG366">
        <f t="shared" si="163"/>
        <v>0</v>
      </c>
      <c r="DH366">
        <f t="shared" si="164"/>
        <v>0</v>
      </c>
      <c r="DI366">
        <f t="shared" si="154"/>
        <v>0</v>
      </c>
      <c r="DJ366">
        <f>DF366</f>
        <v>4.01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">
      <c r="A367">
        <f>ROW(Source!A134)</f>
        <v>134</v>
      </c>
      <c r="B367">
        <v>85739205</v>
      </c>
      <c r="C367">
        <v>85739844</v>
      </c>
      <c r="D367">
        <v>85200784</v>
      </c>
      <c r="E367">
        <v>1</v>
      </c>
      <c r="F367">
        <v>1</v>
      </c>
      <c r="G367">
        <v>1081</v>
      </c>
      <c r="H367">
        <v>3</v>
      </c>
      <c r="I367" t="s">
        <v>499</v>
      </c>
      <c r="J367" t="s">
        <v>500</v>
      </c>
      <c r="K367" t="s">
        <v>501</v>
      </c>
      <c r="L367">
        <v>1346</v>
      </c>
      <c r="N367">
        <v>1009</v>
      </c>
      <c r="O367" t="s">
        <v>502</v>
      </c>
      <c r="P367" t="s">
        <v>502</v>
      </c>
      <c r="Q367">
        <v>1</v>
      </c>
      <c r="W367">
        <v>0</v>
      </c>
      <c r="X367">
        <v>-2132327540</v>
      </c>
      <c r="Y367">
        <f>(AT367*1)</f>
        <v>1.0999999999999999E-2</v>
      </c>
      <c r="AA367">
        <v>6.43</v>
      </c>
      <c r="AB367">
        <v>0</v>
      </c>
      <c r="AC367">
        <v>0</v>
      </c>
      <c r="AD367">
        <v>0</v>
      </c>
      <c r="AE367">
        <v>6.25</v>
      </c>
      <c r="AF367">
        <v>0</v>
      </c>
      <c r="AG367">
        <v>0</v>
      </c>
      <c r="AH367">
        <v>0</v>
      </c>
      <c r="AI367">
        <v>1</v>
      </c>
      <c r="AJ367">
        <v>1</v>
      </c>
      <c r="AK367">
        <v>1</v>
      </c>
      <c r="AL367">
        <v>1</v>
      </c>
      <c r="AM367">
        <v>-2</v>
      </c>
      <c r="AN367">
        <v>0</v>
      </c>
      <c r="AO367">
        <v>1</v>
      </c>
      <c r="AP367">
        <v>1</v>
      </c>
      <c r="AQ367">
        <v>0</v>
      </c>
      <c r="AR367">
        <v>0</v>
      </c>
      <c r="AS367" t="s">
        <v>3</v>
      </c>
      <c r="AT367">
        <v>1.0999999999999999E-2</v>
      </c>
      <c r="AU367" t="s">
        <v>35</v>
      </c>
      <c r="AV367">
        <v>0</v>
      </c>
      <c r="AW367">
        <v>2</v>
      </c>
      <c r="AX367">
        <v>85739850</v>
      </c>
      <c r="AY367">
        <v>1</v>
      </c>
      <c r="AZ367">
        <v>0</v>
      </c>
      <c r="BA367">
        <v>383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v>0</v>
      </c>
      <c r="CX367">
        <f>ROUND(Y367*Source!I134,9)</f>
        <v>1.0999999999999999E-2</v>
      </c>
      <c r="CY367">
        <f>AA367</f>
        <v>6.43</v>
      </c>
      <c r="CZ367">
        <f>AE367</f>
        <v>6.25</v>
      </c>
      <c r="DA367">
        <f>AI367</f>
        <v>1</v>
      </c>
      <c r="DB367">
        <f>ROUND((ROUND(AT367*CZ367,2)*1),6)</f>
        <v>7.0000000000000007E-2</v>
      </c>
      <c r="DC367">
        <f>ROUND((ROUND(AT367*AG367,2)*1),6)</f>
        <v>0</v>
      </c>
      <c r="DD367" t="s">
        <v>3</v>
      </c>
      <c r="DE367" t="s">
        <v>3</v>
      </c>
      <c r="DF367">
        <f t="shared" si="165"/>
        <v>7.0000000000000007E-2</v>
      </c>
      <c r="DG367">
        <f t="shared" si="163"/>
        <v>0</v>
      </c>
      <c r="DH367">
        <f t="shared" si="164"/>
        <v>0</v>
      </c>
      <c r="DI367">
        <f t="shared" si="154"/>
        <v>0</v>
      </c>
      <c r="DJ367">
        <f>DF367</f>
        <v>7.0000000000000007E-2</v>
      </c>
      <c r="DK367">
        <v>0</v>
      </c>
      <c r="DL367" t="s">
        <v>3</v>
      </c>
      <c r="DM367">
        <v>0</v>
      </c>
      <c r="DN367" t="s">
        <v>3</v>
      </c>
      <c r="DO367">
        <v>0</v>
      </c>
    </row>
    <row r="368" spans="1:119" x14ac:dyDescent="0.2">
      <c r="A368">
        <f>ROW(Source!A134)</f>
        <v>134</v>
      </c>
      <c r="B368">
        <v>85739205</v>
      </c>
      <c r="C368">
        <v>85739844</v>
      </c>
      <c r="D368">
        <v>85199158</v>
      </c>
      <c r="E368">
        <v>1</v>
      </c>
      <c r="F368">
        <v>1</v>
      </c>
      <c r="G368">
        <v>1081</v>
      </c>
      <c r="H368">
        <v>3</v>
      </c>
      <c r="I368" t="s">
        <v>503</v>
      </c>
      <c r="J368" t="s">
        <v>504</v>
      </c>
      <c r="K368" t="s">
        <v>505</v>
      </c>
      <c r="L368">
        <v>1339</v>
      </c>
      <c r="N368">
        <v>1007</v>
      </c>
      <c r="O368" t="s">
        <v>506</v>
      </c>
      <c r="P368" t="s">
        <v>506</v>
      </c>
      <c r="Q368">
        <v>1</v>
      </c>
      <c r="W368">
        <v>0</v>
      </c>
      <c r="X368">
        <v>-1235260082</v>
      </c>
      <c r="Y368">
        <f>(AT368*1)</f>
        <v>4.3999999999999997E-2</v>
      </c>
      <c r="AA368">
        <v>5.98</v>
      </c>
      <c r="AB368">
        <v>0</v>
      </c>
      <c r="AC368">
        <v>0</v>
      </c>
      <c r="AD368">
        <v>0</v>
      </c>
      <c r="AE368">
        <v>5.82</v>
      </c>
      <c r="AF368">
        <v>0</v>
      </c>
      <c r="AG368">
        <v>0</v>
      </c>
      <c r="AH368">
        <v>0</v>
      </c>
      <c r="AI368">
        <v>1</v>
      </c>
      <c r="AJ368">
        <v>1</v>
      </c>
      <c r="AK368">
        <v>1</v>
      </c>
      <c r="AL368">
        <v>1</v>
      </c>
      <c r="AM368">
        <v>-2</v>
      </c>
      <c r="AN368">
        <v>0</v>
      </c>
      <c r="AO368">
        <v>1</v>
      </c>
      <c r="AP368">
        <v>1</v>
      </c>
      <c r="AQ368">
        <v>0</v>
      </c>
      <c r="AR368">
        <v>0</v>
      </c>
      <c r="AS368" t="s">
        <v>3</v>
      </c>
      <c r="AT368">
        <v>4.3999999999999997E-2</v>
      </c>
      <c r="AU368" t="s">
        <v>35</v>
      </c>
      <c r="AV368">
        <v>0</v>
      </c>
      <c r="AW368">
        <v>2</v>
      </c>
      <c r="AX368">
        <v>85739851</v>
      </c>
      <c r="AY368">
        <v>1</v>
      </c>
      <c r="AZ368">
        <v>0</v>
      </c>
      <c r="BA368">
        <v>384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v>0</v>
      </c>
      <c r="CX368">
        <f>ROUND(Y368*Source!I134,9)</f>
        <v>4.3999999999999997E-2</v>
      </c>
      <c r="CY368">
        <f>AA368</f>
        <v>5.98</v>
      </c>
      <c r="CZ368">
        <f>AE368</f>
        <v>5.82</v>
      </c>
      <c r="DA368">
        <f>AI368</f>
        <v>1</v>
      </c>
      <c r="DB368">
        <f>ROUND((ROUND(AT368*CZ368,2)*1),6)</f>
        <v>0.26</v>
      </c>
      <c r="DC368">
        <f>ROUND((ROUND(AT368*AG368,2)*1),6)</f>
        <v>0</v>
      </c>
      <c r="DD368" t="s">
        <v>3</v>
      </c>
      <c r="DE368" t="s">
        <v>3</v>
      </c>
      <c r="DF368">
        <f t="shared" si="165"/>
        <v>0.26</v>
      </c>
      <c r="DG368">
        <f t="shared" si="163"/>
        <v>0</v>
      </c>
      <c r="DH368">
        <f t="shared" si="164"/>
        <v>0</v>
      </c>
      <c r="DI368">
        <f t="shared" si="154"/>
        <v>0</v>
      </c>
      <c r="DJ368">
        <f>DF368</f>
        <v>0.26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">
      <c r="A369">
        <f>ROW(Source!A134)</f>
        <v>134</v>
      </c>
      <c r="B369">
        <v>85739205</v>
      </c>
      <c r="C369">
        <v>85739844</v>
      </c>
      <c r="D369">
        <v>0</v>
      </c>
      <c r="E369">
        <v>0</v>
      </c>
      <c r="F369">
        <v>1</v>
      </c>
      <c r="G369">
        <v>1081</v>
      </c>
      <c r="H369">
        <v>3</v>
      </c>
      <c r="I369" t="s">
        <v>277</v>
      </c>
      <c r="J369" t="s">
        <v>3</v>
      </c>
      <c r="K369" t="s">
        <v>278</v>
      </c>
      <c r="L369">
        <v>1354</v>
      </c>
      <c r="N369">
        <v>1010</v>
      </c>
      <c r="O369" t="s">
        <v>99</v>
      </c>
      <c r="P369" t="s">
        <v>99</v>
      </c>
      <c r="Q369">
        <v>1</v>
      </c>
      <c r="W369">
        <v>0</v>
      </c>
      <c r="X369">
        <v>988859924</v>
      </c>
      <c r="Y369">
        <f>(AT369*1)</f>
        <v>1</v>
      </c>
      <c r="AA369">
        <v>2638.17</v>
      </c>
      <c r="AB369">
        <v>0</v>
      </c>
      <c r="AC369">
        <v>0</v>
      </c>
      <c r="AD369">
        <v>0</v>
      </c>
      <c r="AE369">
        <v>2638.17</v>
      </c>
      <c r="AF369">
        <v>0</v>
      </c>
      <c r="AG369">
        <v>0</v>
      </c>
      <c r="AH369">
        <v>0</v>
      </c>
      <c r="AI369">
        <v>1</v>
      </c>
      <c r="AJ369">
        <v>1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  <c r="AS369" t="s">
        <v>3</v>
      </c>
      <c r="AT369">
        <v>1</v>
      </c>
      <c r="AU369" t="s">
        <v>35</v>
      </c>
      <c r="AV369">
        <v>0</v>
      </c>
      <c r="AW369">
        <v>1</v>
      </c>
      <c r="AX369">
        <v>-1</v>
      </c>
      <c r="AY369">
        <v>0</v>
      </c>
      <c r="AZ369">
        <v>0</v>
      </c>
      <c r="BA369" t="s">
        <v>3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ROUND(Y369*Source!I134,9)</f>
        <v>1</v>
      </c>
      <c r="CY369">
        <f>AA369</f>
        <v>2638.17</v>
      </c>
      <c r="CZ369">
        <f>AE369</f>
        <v>2638.17</v>
      </c>
      <c r="DA369">
        <f>AI369</f>
        <v>1</v>
      </c>
      <c r="DB369">
        <f>ROUND((ROUND(AT369*CZ369,2)*1),6)</f>
        <v>2638.17</v>
      </c>
      <c r="DC369">
        <f>ROUND((ROUND(AT369*AG369,2)*1),6)</f>
        <v>0</v>
      </c>
      <c r="DD369" t="s">
        <v>3</v>
      </c>
      <c r="DE369" t="s">
        <v>3</v>
      </c>
      <c r="DF369">
        <f t="shared" si="165"/>
        <v>2638.17</v>
      </c>
      <c r="DG369">
        <f t="shared" si="163"/>
        <v>0</v>
      </c>
      <c r="DH369">
        <f t="shared" si="164"/>
        <v>0</v>
      </c>
      <c r="DI369">
        <f t="shared" si="154"/>
        <v>0</v>
      </c>
      <c r="DJ369">
        <f>DF369</f>
        <v>2638.17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">
      <c r="A370">
        <f>ROW(Source!A135)</f>
        <v>135</v>
      </c>
      <c r="B370">
        <v>85739207</v>
      </c>
      <c r="C370">
        <v>85739844</v>
      </c>
      <c r="D370">
        <v>85164021</v>
      </c>
      <c r="E370">
        <v>1081</v>
      </c>
      <c r="F370">
        <v>1</v>
      </c>
      <c r="G370">
        <v>1081</v>
      </c>
      <c r="H370">
        <v>1</v>
      </c>
      <c r="I370" t="s">
        <v>472</v>
      </c>
      <c r="J370" t="s">
        <v>3</v>
      </c>
      <c r="K370" t="s">
        <v>473</v>
      </c>
      <c r="L370">
        <v>1191</v>
      </c>
      <c r="N370">
        <v>1013</v>
      </c>
      <c r="O370" t="s">
        <v>474</v>
      </c>
      <c r="P370" t="s">
        <v>474</v>
      </c>
      <c r="Q370">
        <v>1</v>
      </c>
      <c r="W370">
        <v>0</v>
      </c>
      <c r="X370">
        <v>476480486</v>
      </c>
      <c r="Y370">
        <f>(AT370*1.2)</f>
        <v>10.199999999999999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1</v>
      </c>
      <c r="AK370">
        <v>1</v>
      </c>
      <c r="AL370">
        <v>1</v>
      </c>
      <c r="AM370">
        <v>5</v>
      </c>
      <c r="AN370">
        <v>0</v>
      </c>
      <c r="AO370">
        <v>1</v>
      </c>
      <c r="AP370">
        <v>1</v>
      </c>
      <c r="AQ370">
        <v>0</v>
      </c>
      <c r="AR370">
        <v>0</v>
      </c>
      <c r="AS370" t="s">
        <v>3</v>
      </c>
      <c r="AT370">
        <v>8.5</v>
      </c>
      <c r="AU370" t="s">
        <v>36</v>
      </c>
      <c r="AV370">
        <v>1</v>
      </c>
      <c r="AW370">
        <v>2</v>
      </c>
      <c r="AX370">
        <v>85739846</v>
      </c>
      <c r="AY370">
        <v>1</v>
      </c>
      <c r="AZ370">
        <v>0</v>
      </c>
      <c r="BA370">
        <v>386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U370">
        <f>ROUND(AT370*Source!I135*AH370*AL370,2)</f>
        <v>0</v>
      </c>
      <c r="CV370">
        <f>ROUND(Y370*Source!I135,9)</f>
        <v>10.199999999999999</v>
      </c>
      <c r="CW370">
        <v>0</v>
      </c>
      <c r="CX370">
        <f>ROUND(Y370*Source!I135,9)</f>
        <v>10.199999999999999</v>
      </c>
      <c r="CY370">
        <f>AD370</f>
        <v>0</v>
      </c>
      <c r="CZ370">
        <f>AH370</f>
        <v>0</v>
      </c>
      <c r="DA370">
        <f>AL370</f>
        <v>1</v>
      </c>
      <c r="DB370">
        <f>ROUND((ROUND(AT370*CZ370,2)*1.2),6)</f>
        <v>0</v>
      </c>
      <c r="DC370">
        <f>ROUND((ROUND(AT370*AG370,2)*1.2),6)</f>
        <v>0</v>
      </c>
      <c r="DD370" t="s">
        <v>3</v>
      </c>
      <c r="DE370" t="s">
        <v>3</v>
      </c>
      <c r="DF370">
        <f t="shared" si="165"/>
        <v>0</v>
      </c>
      <c r="DG370">
        <f t="shared" si="163"/>
        <v>0</v>
      </c>
      <c r="DH370">
        <f t="shared" si="164"/>
        <v>0</v>
      </c>
      <c r="DI370">
        <f t="shared" si="154"/>
        <v>0</v>
      </c>
      <c r="DJ370">
        <f>DI370</f>
        <v>0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">
      <c r="A371">
        <f>ROW(Source!A135)</f>
        <v>135</v>
      </c>
      <c r="B371">
        <v>85739207</v>
      </c>
      <c r="C371">
        <v>85739844</v>
      </c>
      <c r="D371">
        <v>85229633</v>
      </c>
      <c r="E371">
        <v>1</v>
      </c>
      <c r="F371">
        <v>1</v>
      </c>
      <c r="G371">
        <v>1081</v>
      </c>
      <c r="H371">
        <v>2</v>
      </c>
      <c r="I371" t="s">
        <v>475</v>
      </c>
      <c r="J371" t="s">
        <v>476</v>
      </c>
      <c r="K371" t="s">
        <v>477</v>
      </c>
      <c r="L371">
        <v>1368</v>
      </c>
      <c r="N371">
        <v>1011</v>
      </c>
      <c r="O371" t="s">
        <v>478</v>
      </c>
      <c r="P371" t="s">
        <v>478</v>
      </c>
      <c r="Q371">
        <v>1</v>
      </c>
      <c r="W371">
        <v>0</v>
      </c>
      <c r="X371">
        <v>1498588441</v>
      </c>
      <c r="Y371">
        <f>(AT371*1.2)</f>
        <v>1.56</v>
      </c>
      <c r="AA371">
        <v>0</v>
      </c>
      <c r="AB371">
        <v>102.11</v>
      </c>
      <c r="AC371">
        <v>0</v>
      </c>
      <c r="AD371">
        <v>0</v>
      </c>
      <c r="AE371">
        <v>0</v>
      </c>
      <c r="AF371">
        <v>7.11</v>
      </c>
      <c r="AG371">
        <v>0</v>
      </c>
      <c r="AH371">
        <v>0</v>
      </c>
      <c r="AI371">
        <v>1</v>
      </c>
      <c r="AJ371">
        <v>13.46</v>
      </c>
      <c r="AK371">
        <v>1</v>
      </c>
      <c r="AL371">
        <v>1</v>
      </c>
      <c r="AM371">
        <v>2</v>
      </c>
      <c r="AN371">
        <v>0</v>
      </c>
      <c r="AO371">
        <v>1</v>
      </c>
      <c r="AP371">
        <v>1</v>
      </c>
      <c r="AQ371">
        <v>0</v>
      </c>
      <c r="AR371">
        <v>0</v>
      </c>
      <c r="AS371" t="s">
        <v>3</v>
      </c>
      <c r="AT371">
        <v>1.3</v>
      </c>
      <c r="AU371" t="s">
        <v>36</v>
      </c>
      <c r="AV371">
        <v>0</v>
      </c>
      <c r="AW371">
        <v>2</v>
      </c>
      <c r="AX371">
        <v>85739847</v>
      </c>
      <c r="AY371">
        <v>1</v>
      </c>
      <c r="AZ371">
        <v>0</v>
      </c>
      <c r="BA371">
        <v>387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f>ROUND(Y371*Source!I135*DO371,9)</f>
        <v>0</v>
      </c>
      <c r="CX371">
        <f>ROUND(Y371*Source!I135,9)</f>
        <v>1.56</v>
      </c>
      <c r="CY371">
        <f>AB371</f>
        <v>102.11</v>
      </c>
      <c r="CZ371">
        <f>AF371</f>
        <v>7.11</v>
      </c>
      <c r="DA371">
        <f>AJ371</f>
        <v>13.46</v>
      </c>
      <c r="DB371">
        <f>ROUND((ROUND(AT371*CZ371,2)*1.2),6)</f>
        <v>11.087999999999999</v>
      </c>
      <c r="DC371">
        <f>ROUND((ROUND(AT371*AG371,2)*1.2),6)</f>
        <v>0</v>
      </c>
      <c r="DD371" t="s">
        <v>3</v>
      </c>
      <c r="DE371" t="s">
        <v>3</v>
      </c>
      <c r="DF371">
        <f t="shared" si="165"/>
        <v>0</v>
      </c>
      <c r="DG371">
        <f>ROUND(ROUND(AF371*AJ371,2)*CX371,2)</f>
        <v>149.29</v>
      </c>
      <c r="DH371">
        <f t="shared" si="164"/>
        <v>0</v>
      </c>
      <c r="DI371">
        <f t="shared" si="154"/>
        <v>0</v>
      </c>
      <c r="DJ371">
        <f>DG371</f>
        <v>149.29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">
      <c r="A372">
        <f>ROW(Source!A135)</f>
        <v>135</v>
      </c>
      <c r="B372">
        <v>85739207</v>
      </c>
      <c r="C372">
        <v>85739844</v>
      </c>
      <c r="D372">
        <v>85229932</v>
      </c>
      <c r="E372">
        <v>1</v>
      </c>
      <c r="F372">
        <v>1</v>
      </c>
      <c r="G372">
        <v>1081</v>
      </c>
      <c r="H372">
        <v>2</v>
      </c>
      <c r="I372" t="s">
        <v>482</v>
      </c>
      <c r="J372" t="s">
        <v>483</v>
      </c>
      <c r="K372" t="s">
        <v>484</v>
      </c>
      <c r="L372">
        <v>1368</v>
      </c>
      <c r="N372">
        <v>1011</v>
      </c>
      <c r="O372" t="s">
        <v>478</v>
      </c>
      <c r="P372" t="s">
        <v>478</v>
      </c>
      <c r="Q372">
        <v>1</v>
      </c>
      <c r="W372">
        <v>0</v>
      </c>
      <c r="X372">
        <v>874612079</v>
      </c>
      <c r="Y372">
        <f>(AT372*1.2)</f>
        <v>3.5999999999999997E-2</v>
      </c>
      <c r="AA372">
        <v>0</v>
      </c>
      <c r="AB372">
        <v>1513.56</v>
      </c>
      <c r="AC372">
        <v>758.78</v>
      </c>
      <c r="AD372">
        <v>0</v>
      </c>
      <c r="AE372">
        <v>0</v>
      </c>
      <c r="AF372">
        <v>83.1</v>
      </c>
      <c r="AG372">
        <v>12.62</v>
      </c>
      <c r="AH372">
        <v>0</v>
      </c>
      <c r="AI372">
        <v>1</v>
      </c>
      <c r="AJ372">
        <v>17.07</v>
      </c>
      <c r="AK372">
        <v>56.35</v>
      </c>
      <c r="AL372">
        <v>1</v>
      </c>
      <c r="AM372">
        <v>2</v>
      </c>
      <c r="AN372">
        <v>0</v>
      </c>
      <c r="AO372">
        <v>1</v>
      </c>
      <c r="AP372">
        <v>1</v>
      </c>
      <c r="AQ372">
        <v>0</v>
      </c>
      <c r="AR372">
        <v>0</v>
      </c>
      <c r="AS372" t="s">
        <v>3</v>
      </c>
      <c r="AT372">
        <v>0.03</v>
      </c>
      <c r="AU372" t="s">
        <v>36</v>
      </c>
      <c r="AV372">
        <v>0</v>
      </c>
      <c r="AW372">
        <v>2</v>
      </c>
      <c r="AX372">
        <v>85739848</v>
      </c>
      <c r="AY372">
        <v>1</v>
      </c>
      <c r="AZ372">
        <v>0</v>
      </c>
      <c r="BA372">
        <v>388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f>ROUND(Y372*Source!I135*DO372,9)</f>
        <v>0.45432</v>
      </c>
      <c r="CX372">
        <f>ROUND(Y372*Source!I135,9)</f>
        <v>3.5999999999999997E-2</v>
      </c>
      <c r="CY372">
        <f>AB372</f>
        <v>1513.56</v>
      </c>
      <c r="CZ372">
        <f>AF372</f>
        <v>83.1</v>
      </c>
      <c r="DA372">
        <f>AJ372</f>
        <v>17.07</v>
      </c>
      <c r="DB372">
        <f>ROUND((ROUND(AT372*CZ372,2)*1.2),6)</f>
        <v>2.988</v>
      </c>
      <c r="DC372">
        <f>ROUND((ROUND(AT372*AG372,2)*1.2),6)</f>
        <v>0.45600000000000002</v>
      </c>
      <c r="DD372" t="s">
        <v>3</v>
      </c>
      <c r="DE372" t="s">
        <v>3</v>
      </c>
      <c r="DF372">
        <f t="shared" si="165"/>
        <v>0</v>
      </c>
      <c r="DG372">
        <f>ROUND(ROUND(AF372*AJ372,2)*CX372,2)</f>
        <v>51.07</v>
      </c>
      <c r="DH372">
        <f>ROUND(ROUND(AG372*AK372,2)*CX372,2)</f>
        <v>25.6</v>
      </c>
      <c r="DI372">
        <f t="shared" si="154"/>
        <v>0</v>
      </c>
      <c r="DJ372">
        <f>DG372</f>
        <v>51.07</v>
      </c>
      <c r="DK372">
        <v>0</v>
      </c>
      <c r="DL372" t="s">
        <v>485</v>
      </c>
      <c r="DM372">
        <v>0</v>
      </c>
      <c r="DN372" t="s">
        <v>474</v>
      </c>
      <c r="DO372">
        <v>12.62</v>
      </c>
    </row>
    <row r="373" spans="1:119" x14ac:dyDescent="0.2">
      <c r="A373">
        <f>ROW(Source!A135)</f>
        <v>135</v>
      </c>
      <c r="B373">
        <v>85739207</v>
      </c>
      <c r="C373">
        <v>85739844</v>
      </c>
      <c r="D373">
        <v>85200111</v>
      </c>
      <c r="E373">
        <v>1</v>
      </c>
      <c r="F373">
        <v>1</v>
      </c>
      <c r="G373">
        <v>1081</v>
      </c>
      <c r="H373">
        <v>3</v>
      </c>
      <c r="I373" t="s">
        <v>492</v>
      </c>
      <c r="J373" t="s">
        <v>493</v>
      </c>
      <c r="K373" t="s">
        <v>494</v>
      </c>
      <c r="L373">
        <v>1348</v>
      </c>
      <c r="N373">
        <v>1009</v>
      </c>
      <c r="O373" t="s">
        <v>266</v>
      </c>
      <c r="P373" t="s">
        <v>266</v>
      </c>
      <c r="Q373">
        <v>1000</v>
      </c>
      <c r="W373">
        <v>0</v>
      </c>
      <c r="X373">
        <v>205566664</v>
      </c>
      <c r="Y373">
        <f>(AT373*1)</f>
        <v>4.4000000000000002E-4</v>
      </c>
      <c r="AA373">
        <v>95081.54</v>
      </c>
      <c r="AB373">
        <v>0</v>
      </c>
      <c r="AC373">
        <v>0</v>
      </c>
      <c r="AD373">
        <v>0</v>
      </c>
      <c r="AE373">
        <v>9112.49</v>
      </c>
      <c r="AF373">
        <v>0</v>
      </c>
      <c r="AG373">
        <v>0</v>
      </c>
      <c r="AH373">
        <v>0</v>
      </c>
      <c r="AI373">
        <v>10.15</v>
      </c>
      <c r="AJ373">
        <v>1</v>
      </c>
      <c r="AK373">
        <v>1</v>
      </c>
      <c r="AL373">
        <v>1</v>
      </c>
      <c r="AM373">
        <v>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4.4000000000000002E-4</v>
      </c>
      <c r="AU373" t="s">
        <v>35</v>
      </c>
      <c r="AV373">
        <v>0</v>
      </c>
      <c r="AW373">
        <v>2</v>
      </c>
      <c r="AX373">
        <v>85739849</v>
      </c>
      <c r="AY373">
        <v>1</v>
      </c>
      <c r="AZ373">
        <v>0</v>
      </c>
      <c r="BA373">
        <v>389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v>0</v>
      </c>
      <c r="CX373">
        <f>ROUND(Y373*Source!I135,9)</f>
        <v>4.4000000000000002E-4</v>
      </c>
      <c r="CY373">
        <f>AA373</f>
        <v>95081.54</v>
      </c>
      <c r="CZ373">
        <f>AE373</f>
        <v>9112.49</v>
      </c>
      <c r="DA373">
        <f>AI373</f>
        <v>10.15</v>
      </c>
      <c r="DB373">
        <f>ROUND((ROUND(AT373*CZ373,2)*1),6)</f>
        <v>4.01</v>
      </c>
      <c r="DC373">
        <f>ROUND((ROUND(AT373*AG373,2)*1),6)</f>
        <v>0</v>
      </c>
      <c r="DD373" t="s">
        <v>3</v>
      </c>
      <c r="DE373" t="s">
        <v>3</v>
      </c>
      <c r="DF373">
        <f>ROUND(ROUND(AE373*AI373,2)*CX373,2)</f>
        <v>40.700000000000003</v>
      </c>
      <c r="DG373">
        <f t="shared" ref="DG373:DG391" si="166">ROUND(ROUND(AF373,2)*CX373,2)</f>
        <v>0</v>
      </c>
      <c r="DH373">
        <f t="shared" ref="DH373:DH391" si="167">ROUND(ROUND(AG373,2)*CX373,2)</f>
        <v>0</v>
      </c>
      <c r="DI373">
        <f t="shared" si="154"/>
        <v>0</v>
      </c>
      <c r="DJ373">
        <f>DF373</f>
        <v>40.700000000000003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">
      <c r="A374">
        <f>ROW(Source!A135)</f>
        <v>135</v>
      </c>
      <c r="B374">
        <v>85739207</v>
      </c>
      <c r="C374">
        <v>85739844</v>
      </c>
      <c r="D374">
        <v>85200784</v>
      </c>
      <c r="E374">
        <v>1</v>
      </c>
      <c r="F374">
        <v>1</v>
      </c>
      <c r="G374">
        <v>1081</v>
      </c>
      <c r="H374">
        <v>3</v>
      </c>
      <c r="I374" t="s">
        <v>499</v>
      </c>
      <c r="J374" t="s">
        <v>500</v>
      </c>
      <c r="K374" t="s">
        <v>501</v>
      </c>
      <c r="L374">
        <v>1346</v>
      </c>
      <c r="N374">
        <v>1009</v>
      </c>
      <c r="O374" t="s">
        <v>502</v>
      </c>
      <c r="P374" t="s">
        <v>502</v>
      </c>
      <c r="Q374">
        <v>1</v>
      </c>
      <c r="W374">
        <v>0</v>
      </c>
      <c r="X374">
        <v>-2132327540</v>
      </c>
      <c r="Y374">
        <f>(AT374*1)</f>
        <v>1.0999999999999999E-2</v>
      </c>
      <c r="AA374">
        <v>64.760000000000005</v>
      </c>
      <c r="AB374">
        <v>0</v>
      </c>
      <c r="AC374">
        <v>0</v>
      </c>
      <c r="AD374">
        <v>0</v>
      </c>
      <c r="AE374">
        <v>6.25</v>
      </c>
      <c r="AF374">
        <v>0</v>
      </c>
      <c r="AG374">
        <v>0</v>
      </c>
      <c r="AH374">
        <v>0</v>
      </c>
      <c r="AI374">
        <v>10.08</v>
      </c>
      <c r="AJ374">
        <v>1</v>
      </c>
      <c r="AK374">
        <v>1</v>
      </c>
      <c r="AL374">
        <v>1</v>
      </c>
      <c r="AM374">
        <v>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1.0999999999999999E-2</v>
      </c>
      <c r="AU374" t="s">
        <v>35</v>
      </c>
      <c r="AV374">
        <v>0</v>
      </c>
      <c r="AW374">
        <v>2</v>
      </c>
      <c r="AX374">
        <v>85739850</v>
      </c>
      <c r="AY374">
        <v>1</v>
      </c>
      <c r="AZ374">
        <v>0</v>
      </c>
      <c r="BA374">
        <v>390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v>0</v>
      </c>
      <c r="CX374">
        <f>ROUND(Y374*Source!I135,9)</f>
        <v>1.0999999999999999E-2</v>
      </c>
      <c r="CY374">
        <f>AA374</f>
        <v>64.760000000000005</v>
      </c>
      <c r="CZ374">
        <f>AE374</f>
        <v>6.25</v>
      </c>
      <c r="DA374">
        <f>AI374</f>
        <v>10.08</v>
      </c>
      <c r="DB374">
        <f>ROUND((ROUND(AT374*CZ374,2)*1),6)</f>
        <v>7.0000000000000007E-2</v>
      </c>
      <c r="DC374">
        <f>ROUND((ROUND(AT374*AG374,2)*1),6)</f>
        <v>0</v>
      </c>
      <c r="DD374" t="s">
        <v>3</v>
      </c>
      <c r="DE374" t="s">
        <v>3</v>
      </c>
      <c r="DF374">
        <f>ROUND(ROUND(AE374*AI374,2)*CX374,2)</f>
        <v>0.69</v>
      </c>
      <c r="DG374">
        <f t="shared" si="166"/>
        <v>0</v>
      </c>
      <c r="DH374">
        <f t="shared" si="167"/>
        <v>0</v>
      </c>
      <c r="DI374">
        <f t="shared" si="154"/>
        <v>0</v>
      </c>
      <c r="DJ374">
        <f>DF374</f>
        <v>0.69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">
      <c r="A375">
        <f>ROW(Source!A135)</f>
        <v>135</v>
      </c>
      <c r="B375">
        <v>85739207</v>
      </c>
      <c r="C375">
        <v>85739844</v>
      </c>
      <c r="D375">
        <v>85199158</v>
      </c>
      <c r="E375">
        <v>1</v>
      </c>
      <c r="F375">
        <v>1</v>
      </c>
      <c r="G375">
        <v>1081</v>
      </c>
      <c r="H375">
        <v>3</v>
      </c>
      <c r="I375" t="s">
        <v>503</v>
      </c>
      <c r="J375" t="s">
        <v>504</v>
      </c>
      <c r="K375" t="s">
        <v>505</v>
      </c>
      <c r="L375">
        <v>1339</v>
      </c>
      <c r="N375">
        <v>1007</v>
      </c>
      <c r="O375" t="s">
        <v>506</v>
      </c>
      <c r="P375" t="s">
        <v>506</v>
      </c>
      <c r="Q375">
        <v>1</v>
      </c>
      <c r="W375">
        <v>0</v>
      </c>
      <c r="X375">
        <v>-1235260082</v>
      </c>
      <c r="Y375">
        <f>(AT375*1)</f>
        <v>4.3999999999999997E-2</v>
      </c>
      <c r="AA375">
        <v>104.16</v>
      </c>
      <c r="AB375">
        <v>0</v>
      </c>
      <c r="AC375">
        <v>0</v>
      </c>
      <c r="AD375">
        <v>0</v>
      </c>
      <c r="AE375">
        <v>5.82</v>
      </c>
      <c r="AF375">
        <v>0</v>
      </c>
      <c r="AG375">
        <v>0</v>
      </c>
      <c r="AH375">
        <v>0</v>
      </c>
      <c r="AI375">
        <v>17.41</v>
      </c>
      <c r="AJ375">
        <v>1</v>
      </c>
      <c r="AK375">
        <v>1</v>
      </c>
      <c r="AL375">
        <v>1</v>
      </c>
      <c r="AM375">
        <v>2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4.3999999999999997E-2</v>
      </c>
      <c r="AU375" t="s">
        <v>35</v>
      </c>
      <c r="AV375">
        <v>0</v>
      </c>
      <c r="AW375">
        <v>2</v>
      </c>
      <c r="AX375">
        <v>85739851</v>
      </c>
      <c r="AY375">
        <v>1</v>
      </c>
      <c r="AZ375">
        <v>0</v>
      </c>
      <c r="BA375">
        <v>391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v>0</v>
      </c>
      <c r="CX375">
        <f>ROUND(Y375*Source!I135,9)</f>
        <v>4.3999999999999997E-2</v>
      </c>
      <c r="CY375">
        <f>AA375</f>
        <v>104.16</v>
      </c>
      <c r="CZ375">
        <f>AE375</f>
        <v>5.82</v>
      </c>
      <c r="DA375">
        <f>AI375</f>
        <v>17.41</v>
      </c>
      <c r="DB375">
        <f>ROUND((ROUND(AT375*CZ375,2)*1),6)</f>
        <v>0.26</v>
      </c>
      <c r="DC375">
        <f>ROUND((ROUND(AT375*AG375,2)*1),6)</f>
        <v>0</v>
      </c>
      <c r="DD375" t="s">
        <v>3</v>
      </c>
      <c r="DE375" t="s">
        <v>3</v>
      </c>
      <c r="DF375">
        <f>ROUND(ROUND(AE375*AI375,2)*CX375,2)</f>
        <v>4.46</v>
      </c>
      <c r="DG375">
        <f t="shared" si="166"/>
        <v>0</v>
      </c>
      <c r="DH375">
        <f t="shared" si="167"/>
        <v>0</v>
      </c>
      <c r="DI375">
        <f t="shared" si="154"/>
        <v>0</v>
      </c>
      <c r="DJ375">
        <f>DF375</f>
        <v>4.46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">
      <c r="A376">
        <f>ROW(Source!A135)</f>
        <v>135</v>
      </c>
      <c r="B376">
        <v>85739207</v>
      </c>
      <c r="C376">
        <v>85739844</v>
      </c>
      <c r="D376">
        <v>0</v>
      </c>
      <c r="E376">
        <v>0</v>
      </c>
      <c r="F376">
        <v>1</v>
      </c>
      <c r="G376">
        <v>1081</v>
      </c>
      <c r="H376">
        <v>3</v>
      </c>
      <c r="I376" t="s">
        <v>277</v>
      </c>
      <c r="J376" t="s">
        <v>3</v>
      </c>
      <c r="K376" t="s">
        <v>278</v>
      </c>
      <c r="L376">
        <v>1354</v>
      </c>
      <c r="N376">
        <v>1010</v>
      </c>
      <c r="O376" t="s">
        <v>99</v>
      </c>
      <c r="P376" t="s">
        <v>99</v>
      </c>
      <c r="Q376">
        <v>1</v>
      </c>
      <c r="W376">
        <v>0</v>
      </c>
      <c r="X376">
        <v>988859924</v>
      </c>
      <c r="Y376">
        <f>(AT376*1)</f>
        <v>1</v>
      </c>
      <c r="AA376">
        <v>25959.59</v>
      </c>
      <c r="AB376">
        <v>0</v>
      </c>
      <c r="AC376">
        <v>0</v>
      </c>
      <c r="AD376">
        <v>0</v>
      </c>
      <c r="AE376">
        <v>2638.17</v>
      </c>
      <c r="AF376">
        <v>0</v>
      </c>
      <c r="AG376">
        <v>0</v>
      </c>
      <c r="AH376">
        <v>0</v>
      </c>
      <c r="AI376">
        <v>9.84</v>
      </c>
      <c r="AJ376">
        <v>1</v>
      </c>
      <c r="AK376">
        <v>1</v>
      </c>
      <c r="AL376">
        <v>1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0</v>
      </c>
      <c r="AS376" t="s">
        <v>3</v>
      </c>
      <c r="AT376">
        <v>1</v>
      </c>
      <c r="AU376" t="s">
        <v>35</v>
      </c>
      <c r="AV376">
        <v>0</v>
      </c>
      <c r="AW376">
        <v>1</v>
      </c>
      <c r="AX376">
        <v>-1</v>
      </c>
      <c r="AY376">
        <v>0</v>
      </c>
      <c r="AZ376">
        <v>0</v>
      </c>
      <c r="BA376" t="s">
        <v>3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ROUND(Y376*Source!I135,9)</f>
        <v>1</v>
      </c>
      <c r="CY376">
        <f>AA376</f>
        <v>25959.59</v>
      </c>
      <c r="CZ376">
        <f>AE376</f>
        <v>2638.17</v>
      </c>
      <c r="DA376">
        <f>AI376</f>
        <v>9.84</v>
      </c>
      <c r="DB376">
        <f>ROUND((ROUND(AT376*CZ376,2)*1),6)</f>
        <v>2638.17</v>
      </c>
      <c r="DC376">
        <f>ROUND((ROUND(AT376*AG376,2)*1),6)</f>
        <v>0</v>
      </c>
      <c r="DD376" t="s">
        <v>3</v>
      </c>
      <c r="DE376" t="s">
        <v>3</v>
      </c>
      <c r="DF376">
        <f>ROUND(ROUND(AE376*AI376,2)*CX376,2)</f>
        <v>25959.59</v>
      </c>
      <c r="DG376">
        <f t="shared" si="166"/>
        <v>0</v>
      </c>
      <c r="DH376">
        <f t="shared" si="167"/>
        <v>0</v>
      </c>
      <c r="DI376">
        <f t="shared" si="154"/>
        <v>0</v>
      </c>
      <c r="DJ376">
        <f>DF376</f>
        <v>25959.59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  <row r="377" spans="1:119" x14ac:dyDescent="0.2">
      <c r="A377">
        <f>ROW(Source!A173)</f>
        <v>173</v>
      </c>
      <c r="B377">
        <v>85739205</v>
      </c>
      <c r="C377">
        <v>85739915</v>
      </c>
      <c r="D377">
        <v>85164021</v>
      </c>
      <c r="E377">
        <v>1081</v>
      </c>
      <c r="F377">
        <v>1</v>
      </c>
      <c r="G377">
        <v>1081</v>
      </c>
      <c r="H377">
        <v>1</v>
      </c>
      <c r="I377" t="s">
        <v>472</v>
      </c>
      <c r="J377" t="s">
        <v>3</v>
      </c>
      <c r="K377" t="s">
        <v>473</v>
      </c>
      <c r="L377">
        <v>1191</v>
      </c>
      <c r="N377">
        <v>1013</v>
      </c>
      <c r="O377" t="s">
        <v>474</v>
      </c>
      <c r="P377" t="s">
        <v>474</v>
      </c>
      <c r="Q377">
        <v>1</v>
      </c>
      <c r="W377">
        <v>0</v>
      </c>
      <c r="X377">
        <v>476480486</v>
      </c>
      <c r="Y377">
        <f>(AT377*1.2)</f>
        <v>66.131999999999991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1</v>
      </c>
      <c r="AK377">
        <v>1</v>
      </c>
      <c r="AL377">
        <v>1</v>
      </c>
      <c r="AM377">
        <v>-2</v>
      </c>
      <c r="AN377">
        <v>0</v>
      </c>
      <c r="AO377">
        <v>1</v>
      </c>
      <c r="AP377">
        <v>1</v>
      </c>
      <c r="AQ377">
        <v>0</v>
      </c>
      <c r="AR377">
        <v>0</v>
      </c>
      <c r="AS377" t="s">
        <v>3</v>
      </c>
      <c r="AT377">
        <v>55.11</v>
      </c>
      <c r="AU377" t="s">
        <v>36</v>
      </c>
      <c r="AV377">
        <v>1</v>
      </c>
      <c r="AW377">
        <v>2</v>
      </c>
      <c r="AX377">
        <v>85739963</v>
      </c>
      <c r="AY377">
        <v>1</v>
      </c>
      <c r="AZ377">
        <v>0</v>
      </c>
      <c r="BA377">
        <v>393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U377">
        <f>ROUND(AT377*Source!I173*AH377*AL377,2)</f>
        <v>0</v>
      </c>
      <c r="CV377">
        <f>ROUND(Y377*Source!I173,9)</f>
        <v>514.50696000000005</v>
      </c>
      <c r="CW377">
        <v>0</v>
      </c>
      <c r="CX377">
        <f>ROUND(Y377*Source!I173,9)</f>
        <v>514.50696000000005</v>
      </c>
      <c r="CY377">
        <f>AD377</f>
        <v>0</v>
      </c>
      <c r="CZ377">
        <f>AH377</f>
        <v>0</v>
      </c>
      <c r="DA377">
        <f>AL377</f>
        <v>1</v>
      </c>
      <c r="DB377">
        <f>ROUND((ROUND(AT377*CZ377,2)*1.2),6)</f>
        <v>0</v>
      </c>
      <c r="DC377">
        <f>ROUND((ROUND(AT377*AG377,2)*1.2),6)</f>
        <v>0</v>
      </c>
      <c r="DD377" t="s">
        <v>3</v>
      </c>
      <c r="DE377" t="s">
        <v>3</v>
      </c>
      <c r="DF377">
        <f t="shared" ref="DF377:DF393" si="168">ROUND(ROUND(AE377,2)*CX377,2)</f>
        <v>0</v>
      </c>
      <c r="DG377">
        <f t="shared" si="166"/>
        <v>0</v>
      </c>
      <c r="DH377">
        <f t="shared" si="167"/>
        <v>0</v>
      </c>
      <c r="DI377">
        <f t="shared" si="154"/>
        <v>0</v>
      </c>
      <c r="DJ377">
        <f>DI377</f>
        <v>0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">
      <c r="A378">
        <f>ROW(Source!A173)</f>
        <v>173</v>
      </c>
      <c r="B378">
        <v>85739205</v>
      </c>
      <c r="C378">
        <v>85739915</v>
      </c>
      <c r="D378">
        <v>85229932</v>
      </c>
      <c r="E378">
        <v>1</v>
      </c>
      <c r="F378">
        <v>1</v>
      </c>
      <c r="G378">
        <v>1081</v>
      </c>
      <c r="H378">
        <v>2</v>
      </c>
      <c r="I378" t="s">
        <v>482</v>
      </c>
      <c r="J378" t="s">
        <v>483</v>
      </c>
      <c r="K378" t="s">
        <v>484</v>
      </c>
      <c r="L378">
        <v>1368</v>
      </c>
      <c r="N378">
        <v>1011</v>
      </c>
      <c r="O378" t="s">
        <v>478</v>
      </c>
      <c r="P378" t="s">
        <v>478</v>
      </c>
      <c r="Q378">
        <v>1</v>
      </c>
      <c r="W378">
        <v>0</v>
      </c>
      <c r="X378">
        <v>874612079</v>
      </c>
      <c r="Y378">
        <f>(AT378*1.2)</f>
        <v>0.14399999999999999</v>
      </c>
      <c r="AA378">
        <v>0</v>
      </c>
      <c r="AB378">
        <v>88.67</v>
      </c>
      <c r="AC378">
        <v>13.47</v>
      </c>
      <c r="AD378">
        <v>0</v>
      </c>
      <c r="AE378">
        <v>0</v>
      </c>
      <c r="AF378">
        <v>83.1</v>
      </c>
      <c r="AG378">
        <v>12.62</v>
      </c>
      <c r="AH378">
        <v>0</v>
      </c>
      <c r="AI378">
        <v>1</v>
      </c>
      <c r="AJ378">
        <v>1</v>
      </c>
      <c r="AK378">
        <v>1</v>
      </c>
      <c r="AL378">
        <v>1</v>
      </c>
      <c r="AM378">
        <v>-2</v>
      </c>
      <c r="AN378">
        <v>0</v>
      </c>
      <c r="AO378">
        <v>1</v>
      </c>
      <c r="AP378">
        <v>1</v>
      </c>
      <c r="AQ378">
        <v>0</v>
      </c>
      <c r="AR378">
        <v>0</v>
      </c>
      <c r="AS378" t="s">
        <v>3</v>
      </c>
      <c r="AT378">
        <v>0.12</v>
      </c>
      <c r="AU378" t="s">
        <v>36</v>
      </c>
      <c r="AV378">
        <v>0</v>
      </c>
      <c r="AW378">
        <v>2</v>
      </c>
      <c r="AX378">
        <v>85739964</v>
      </c>
      <c r="AY378">
        <v>1</v>
      </c>
      <c r="AZ378">
        <v>0</v>
      </c>
      <c r="BA378">
        <v>394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f>ROUND(Y378*Source!I173*DO378,9)</f>
        <v>14.1384384</v>
      </c>
      <c r="CX378">
        <f>ROUND(Y378*Source!I173,9)</f>
        <v>1.12032</v>
      </c>
      <c r="CY378">
        <f>AB378</f>
        <v>88.67</v>
      </c>
      <c r="CZ378">
        <f>AF378</f>
        <v>83.1</v>
      </c>
      <c r="DA378">
        <f>AJ378</f>
        <v>1</v>
      </c>
      <c r="DB378">
        <f>ROUND((ROUND(AT378*CZ378,2)*1.2),6)</f>
        <v>11.964</v>
      </c>
      <c r="DC378">
        <f>ROUND((ROUND(AT378*AG378,2)*1.2),6)</f>
        <v>1.8120000000000001</v>
      </c>
      <c r="DD378" t="s">
        <v>3</v>
      </c>
      <c r="DE378" t="s">
        <v>3</v>
      </c>
      <c r="DF378">
        <f t="shared" si="168"/>
        <v>0</v>
      </c>
      <c r="DG378">
        <f t="shared" si="166"/>
        <v>93.1</v>
      </c>
      <c r="DH378">
        <f t="shared" si="167"/>
        <v>14.14</v>
      </c>
      <c r="DI378">
        <f t="shared" si="154"/>
        <v>0</v>
      </c>
      <c r="DJ378">
        <f>DG378</f>
        <v>93.1</v>
      </c>
      <c r="DK378">
        <v>0</v>
      </c>
      <c r="DL378" t="s">
        <v>485</v>
      </c>
      <c r="DM378">
        <v>0</v>
      </c>
      <c r="DN378" t="s">
        <v>474</v>
      </c>
      <c r="DO378">
        <v>12.62</v>
      </c>
    </row>
    <row r="379" spans="1:119" x14ac:dyDescent="0.2">
      <c r="A379">
        <f>ROW(Source!A173)</f>
        <v>173</v>
      </c>
      <c r="B379">
        <v>85739205</v>
      </c>
      <c r="C379">
        <v>85739915</v>
      </c>
      <c r="D379">
        <v>85230019</v>
      </c>
      <c r="E379">
        <v>1</v>
      </c>
      <c r="F379">
        <v>1</v>
      </c>
      <c r="G379">
        <v>1081</v>
      </c>
      <c r="H379">
        <v>2</v>
      </c>
      <c r="I379" t="s">
        <v>582</v>
      </c>
      <c r="J379" t="s">
        <v>583</v>
      </c>
      <c r="K379" t="s">
        <v>584</v>
      </c>
      <c r="L379">
        <v>1368</v>
      </c>
      <c r="N379">
        <v>1011</v>
      </c>
      <c r="O379" t="s">
        <v>478</v>
      </c>
      <c r="P379" t="s">
        <v>478</v>
      </c>
      <c r="Q379">
        <v>1</v>
      </c>
      <c r="W379">
        <v>0</v>
      </c>
      <c r="X379">
        <v>-643591644</v>
      </c>
      <c r="Y379">
        <f>(AT379*1.2)</f>
        <v>0.39600000000000002</v>
      </c>
      <c r="AA379">
        <v>0</v>
      </c>
      <c r="AB379">
        <v>0.5</v>
      </c>
      <c r="AC379">
        <v>0</v>
      </c>
      <c r="AD379">
        <v>0</v>
      </c>
      <c r="AE379">
        <v>0</v>
      </c>
      <c r="AF379">
        <v>0.47</v>
      </c>
      <c r="AG379">
        <v>0</v>
      </c>
      <c r="AH379">
        <v>0</v>
      </c>
      <c r="AI379">
        <v>1</v>
      </c>
      <c r="AJ379">
        <v>1</v>
      </c>
      <c r="AK379">
        <v>1</v>
      </c>
      <c r="AL379">
        <v>1</v>
      </c>
      <c r="AM379">
        <v>-2</v>
      </c>
      <c r="AN379">
        <v>0</v>
      </c>
      <c r="AO379">
        <v>1</v>
      </c>
      <c r="AP379">
        <v>1</v>
      </c>
      <c r="AQ379">
        <v>0</v>
      </c>
      <c r="AR379">
        <v>0</v>
      </c>
      <c r="AS379" t="s">
        <v>3</v>
      </c>
      <c r="AT379">
        <v>0.33</v>
      </c>
      <c r="AU379" t="s">
        <v>36</v>
      </c>
      <c r="AV379">
        <v>0</v>
      </c>
      <c r="AW379">
        <v>2</v>
      </c>
      <c r="AX379">
        <v>85739965</v>
      </c>
      <c r="AY379">
        <v>1</v>
      </c>
      <c r="AZ379">
        <v>0</v>
      </c>
      <c r="BA379">
        <v>395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f>ROUND(Y379*Source!I173*DO379,9)</f>
        <v>0</v>
      </c>
      <c r="CX379">
        <f>ROUND(Y379*Source!I173,9)</f>
        <v>3.0808800000000001</v>
      </c>
      <c r="CY379">
        <f>AB379</f>
        <v>0.5</v>
      </c>
      <c r="CZ379">
        <f>AF379</f>
        <v>0.47</v>
      </c>
      <c r="DA379">
        <f>AJ379</f>
        <v>1</v>
      </c>
      <c r="DB379">
        <f>ROUND((ROUND(AT379*CZ379,2)*1.2),6)</f>
        <v>0.192</v>
      </c>
      <c r="DC379">
        <f>ROUND((ROUND(AT379*AG379,2)*1.2),6)</f>
        <v>0</v>
      </c>
      <c r="DD379" t="s">
        <v>3</v>
      </c>
      <c r="DE379" t="s">
        <v>3</v>
      </c>
      <c r="DF379">
        <f t="shared" si="168"/>
        <v>0</v>
      </c>
      <c r="DG379">
        <f t="shared" si="166"/>
        <v>1.45</v>
      </c>
      <c r="DH379">
        <f t="shared" si="167"/>
        <v>0</v>
      </c>
      <c r="DI379">
        <f t="shared" si="154"/>
        <v>0</v>
      </c>
      <c r="DJ379">
        <f>DG379</f>
        <v>1.45</v>
      </c>
      <c r="DK379">
        <v>0</v>
      </c>
      <c r="DL379" t="s">
        <v>3</v>
      </c>
      <c r="DM379">
        <v>0</v>
      </c>
      <c r="DN379" t="s">
        <v>3</v>
      </c>
      <c r="DO379">
        <v>0</v>
      </c>
    </row>
    <row r="380" spans="1:119" x14ac:dyDescent="0.2">
      <c r="A380">
        <f>ROW(Source!A173)</f>
        <v>173</v>
      </c>
      <c r="B380">
        <v>85739205</v>
      </c>
      <c r="C380">
        <v>85739915</v>
      </c>
      <c r="D380">
        <v>85200671</v>
      </c>
      <c r="E380">
        <v>1</v>
      </c>
      <c r="F380">
        <v>1</v>
      </c>
      <c r="G380">
        <v>1081</v>
      </c>
      <c r="H380">
        <v>3</v>
      </c>
      <c r="I380" t="s">
        <v>516</v>
      </c>
      <c r="J380" t="s">
        <v>517</v>
      </c>
      <c r="K380" t="s">
        <v>518</v>
      </c>
      <c r="L380">
        <v>1346</v>
      </c>
      <c r="N380">
        <v>1009</v>
      </c>
      <c r="O380" t="s">
        <v>502</v>
      </c>
      <c r="P380" t="s">
        <v>502</v>
      </c>
      <c r="Q380">
        <v>1</v>
      </c>
      <c r="W380">
        <v>0</v>
      </c>
      <c r="X380">
        <v>1021383118</v>
      </c>
      <c r="Y380">
        <f t="shared" ref="Y380:Y390" si="169">(AT380*1)</f>
        <v>0.50900000000000001</v>
      </c>
      <c r="AA380">
        <v>39.04</v>
      </c>
      <c r="AB380">
        <v>0</v>
      </c>
      <c r="AC380">
        <v>0</v>
      </c>
      <c r="AD380">
        <v>0</v>
      </c>
      <c r="AE380">
        <v>37.979999999999997</v>
      </c>
      <c r="AF380">
        <v>0</v>
      </c>
      <c r="AG380">
        <v>0</v>
      </c>
      <c r="AH380">
        <v>0</v>
      </c>
      <c r="AI380">
        <v>1</v>
      </c>
      <c r="AJ380">
        <v>1</v>
      </c>
      <c r="AK380">
        <v>1</v>
      </c>
      <c r="AL380">
        <v>1</v>
      </c>
      <c r="AM380">
        <v>-2</v>
      </c>
      <c r="AN380">
        <v>0</v>
      </c>
      <c r="AO380">
        <v>1</v>
      </c>
      <c r="AP380">
        <v>1</v>
      </c>
      <c r="AQ380">
        <v>0</v>
      </c>
      <c r="AR380">
        <v>0</v>
      </c>
      <c r="AS380" t="s">
        <v>3</v>
      </c>
      <c r="AT380">
        <v>0.50900000000000001</v>
      </c>
      <c r="AU380" t="s">
        <v>35</v>
      </c>
      <c r="AV380">
        <v>0</v>
      </c>
      <c r="AW380">
        <v>2</v>
      </c>
      <c r="AX380">
        <v>85739966</v>
      </c>
      <c r="AY380">
        <v>1</v>
      </c>
      <c r="AZ380">
        <v>0</v>
      </c>
      <c r="BA380">
        <v>396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ROUND(Y380*Source!I173,9)</f>
        <v>3.9600200000000001</v>
      </c>
      <c r="CY380">
        <f t="shared" ref="CY380:CY390" si="170">AA380</f>
        <v>39.04</v>
      </c>
      <c r="CZ380">
        <f t="shared" ref="CZ380:CZ390" si="171">AE380</f>
        <v>37.979999999999997</v>
      </c>
      <c r="DA380">
        <f t="shared" ref="DA380:DA390" si="172">AI380</f>
        <v>1</v>
      </c>
      <c r="DB380">
        <f t="shared" ref="DB380:DB390" si="173">ROUND((ROUND(AT380*CZ380,2)*1),6)</f>
        <v>19.329999999999998</v>
      </c>
      <c r="DC380">
        <f t="shared" ref="DC380:DC390" si="174">ROUND((ROUND(AT380*AG380,2)*1),6)</f>
        <v>0</v>
      </c>
      <c r="DD380" t="s">
        <v>3</v>
      </c>
      <c r="DE380" t="s">
        <v>3</v>
      </c>
      <c r="DF380">
        <f t="shared" si="168"/>
        <v>150.4</v>
      </c>
      <c r="DG380">
        <f t="shared" si="166"/>
        <v>0</v>
      </c>
      <c r="DH380">
        <f t="shared" si="167"/>
        <v>0</v>
      </c>
      <c r="DI380">
        <f t="shared" si="154"/>
        <v>0</v>
      </c>
      <c r="DJ380">
        <f t="shared" ref="DJ380:DJ390" si="175">DF380</f>
        <v>150.4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">
      <c r="A381">
        <f>ROW(Source!A173)</f>
        <v>173</v>
      </c>
      <c r="B381">
        <v>85739205</v>
      </c>
      <c r="C381">
        <v>85739915</v>
      </c>
      <c r="D381">
        <v>85205750</v>
      </c>
      <c r="E381">
        <v>1</v>
      </c>
      <c r="F381">
        <v>1</v>
      </c>
      <c r="G381">
        <v>1081</v>
      </c>
      <c r="H381">
        <v>3</v>
      </c>
      <c r="I381" t="s">
        <v>585</v>
      </c>
      <c r="J381" t="s">
        <v>586</v>
      </c>
      <c r="K381" t="s">
        <v>587</v>
      </c>
      <c r="L381">
        <v>1346</v>
      </c>
      <c r="N381">
        <v>1009</v>
      </c>
      <c r="O381" t="s">
        <v>502</v>
      </c>
      <c r="P381" t="s">
        <v>502</v>
      </c>
      <c r="Q381">
        <v>1</v>
      </c>
      <c r="W381">
        <v>0</v>
      </c>
      <c r="X381">
        <v>-1002316563</v>
      </c>
      <c r="Y381">
        <f t="shared" si="169"/>
        <v>1.575</v>
      </c>
      <c r="AA381">
        <v>80.77</v>
      </c>
      <c r="AB381">
        <v>0</v>
      </c>
      <c r="AC381">
        <v>0</v>
      </c>
      <c r="AD381">
        <v>0</v>
      </c>
      <c r="AE381">
        <v>78.569999999999993</v>
      </c>
      <c r="AF381">
        <v>0</v>
      </c>
      <c r="AG381">
        <v>0</v>
      </c>
      <c r="AH381">
        <v>0</v>
      </c>
      <c r="AI381">
        <v>1</v>
      </c>
      <c r="AJ381">
        <v>1</v>
      </c>
      <c r="AK381">
        <v>1</v>
      </c>
      <c r="AL381">
        <v>1</v>
      </c>
      <c r="AM381">
        <v>-2</v>
      </c>
      <c r="AN381">
        <v>0</v>
      </c>
      <c r="AO381">
        <v>1</v>
      </c>
      <c r="AP381">
        <v>1</v>
      </c>
      <c r="AQ381">
        <v>0</v>
      </c>
      <c r="AR381">
        <v>0</v>
      </c>
      <c r="AS381" t="s">
        <v>3</v>
      </c>
      <c r="AT381">
        <v>1.575</v>
      </c>
      <c r="AU381" t="s">
        <v>35</v>
      </c>
      <c r="AV381">
        <v>0</v>
      </c>
      <c r="AW381">
        <v>2</v>
      </c>
      <c r="AX381">
        <v>85739967</v>
      </c>
      <c r="AY381">
        <v>1</v>
      </c>
      <c r="AZ381">
        <v>0</v>
      </c>
      <c r="BA381">
        <v>397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v>0</v>
      </c>
      <c r="CX381">
        <f>ROUND(Y381*Source!I173,9)</f>
        <v>12.253500000000001</v>
      </c>
      <c r="CY381">
        <f t="shared" si="170"/>
        <v>80.77</v>
      </c>
      <c r="CZ381">
        <f t="shared" si="171"/>
        <v>78.569999999999993</v>
      </c>
      <c r="DA381">
        <f t="shared" si="172"/>
        <v>1</v>
      </c>
      <c r="DB381">
        <f t="shared" si="173"/>
        <v>123.75</v>
      </c>
      <c r="DC381">
        <f t="shared" si="174"/>
        <v>0</v>
      </c>
      <c r="DD381" t="s">
        <v>3</v>
      </c>
      <c r="DE381" t="s">
        <v>3</v>
      </c>
      <c r="DF381">
        <f t="shared" si="168"/>
        <v>962.76</v>
      </c>
      <c r="DG381">
        <f t="shared" si="166"/>
        <v>0</v>
      </c>
      <c r="DH381">
        <f t="shared" si="167"/>
        <v>0</v>
      </c>
      <c r="DI381">
        <f t="shared" si="154"/>
        <v>0</v>
      </c>
      <c r="DJ381">
        <f t="shared" si="175"/>
        <v>962.76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">
      <c r="A382">
        <f>ROW(Source!A173)</f>
        <v>173</v>
      </c>
      <c r="B382">
        <v>85739205</v>
      </c>
      <c r="C382">
        <v>85739915</v>
      </c>
      <c r="D382">
        <v>85215555</v>
      </c>
      <c r="E382">
        <v>1</v>
      </c>
      <c r="F382">
        <v>1</v>
      </c>
      <c r="G382">
        <v>1081</v>
      </c>
      <c r="H382">
        <v>3</v>
      </c>
      <c r="I382" t="s">
        <v>588</v>
      </c>
      <c r="J382" t="s">
        <v>589</v>
      </c>
      <c r="K382" t="s">
        <v>590</v>
      </c>
      <c r="L382">
        <v>1354</v>
      </c>
      <c r="N382">
        <v>1010</v>
      </c>
      <c r="O382" t="s">
        <v>99</v>
      </c>
      <c r="P382" t="s">
        <v>99</v>
      </c>
      <c r="Q382">
        <v>1</v>
      </c>
      <c r="W382">
        <v>0</v>
      </c>
      <c r="X382">
        <v>-1531181373</v>
      </c>
      <c r="Y382">
        <f t="shared" si="169"/>
        <v>100</v>
      </c>
      <c r="AA382">
        <v>4.72</v>
      </c>
      <c r="AB382">
        <v>0</v>
      </c>
      <c r="AC382">
        <v>0</v>
      </c>
      <c r="AD382">
        <v>0</v>
      </c>
      <c r="AE382">
        <v>4.59</v>
      </c>
      <c r="AF382">
        <v>0</v>
      </c>
      <c r="AG382">
        <v>0</v>
      </c>
      <c r="AH382">
        <v>0</v>
      </c>
      <c r="AI382">
        <v>1</v>
      </c>
      <c r="AJ382">
        <v>1</v>
      </c>
      <c r="AK382">
        <v>1</v>
      </c>
      <c r="AL382">
        <v>1</v>
      </c>
      <c r="AM382">
        <v>-2</v>
      </c>
      <c r="AN382">
        <v>0</v>
      </c>
      <c r="AO382">
        <v>1</v>
      </c>
      <c r="AP382">
        <v>1</v>
      </c>
      <c r="AQ382">
        <v>0</v>
      </c>
      <c r="AR382">
        <v>0</v>
      </c>
      <c r="AS382" t="s">
        <v>3</v>
      </c>
      <c r="AT382">
        <v>100</v>
      </c>
      <c r="AU382" t="s">
        <v>35</v>
      </c>
      <c r="AV382">
        <v>0</v>
      </c>
      <c r="AW382">
        <v>2</v>
      </c>
      <c r="AX382">
        <v>85739968</v>
      </c>
      <c r="AY382">
        <v>1</v>
      </c>
      <c r="AZ382">
        <v>0</v>
      </c>
      <c r="BA382">
        <v>398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ROUND(Y382*Source!I173,9)</f>
        <v>778</v>
      </c>
      <c r="CY382">
        <f t="shared" si="170"/>
        <v>4.72</v>
      </c>
      <c r="CZ382">
        <f t="shared" si="171"/>
        <v>4.59</v>
      </c>
      <c r="DA382">
        <f t="shared" si="172"/>
        <v>1</v>
      </c>
      <c r="DB382">
        <f t="shared" si="173"/>
        <v>459</v>
      </c>
      <c r="DC382">
        <f t="shared" si="174"/>
        <v>0</v>
      </c>
      <c r="DD382" t="s">
        <v>3</v>
      </c>
      <c r="DE382" t="s">
        <v>3</v>
      </c>
      <c r="DF382">
        <f t="shared" si="168"/>
        <v>3571.02</v>
      </c>
      <c r="DG382">
        <f t="shared" si="166"/>
        <v>0</v>
      </c>
      <c r="DH382">
        <f t="shared" si="167"/>
        <v>0</v>
      </c>
      <c r="DI382">
        <f t="shared" si="154"/>
        <v>0</v>
      </c>
      <c r="DJ382">
        <f t="shared" si="175"/>
        <v>3571.02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">
      <c r="A383">
        <f>ROW(Source!A173)</f>
        <v>173</v>
      </c>
      <c r="B383">
        <v>85739205</v>
      </c>
      <c r="C383">
        <v>85739915</v>
      </c>
      <c r="D383">
        <v>85215556</v>
      </c>
      <c r="E383">
        <v>1</v>
      </c>
      <c r="F383">
        <v>1</v>
      </c>
      <c r="G383">
        <v>1081</v>
      </c>
      <c r="H383">
        <v>3</v>
      </c>
      <c r="I383" t="s">
        <v>591</v>
      </c>
      <c r="J383" t="s">
        <v>592</v>
      </c>
      <c r="K383" t="s">
        <v>593</v>
      </c>
      <c r="L383">
        <v>1354</v>
      </c>
      <c r="N383">
        <v>1010</v>
      </c>
      <c r="O383" t="s">
        <v>99</v>
      </c>
      <c r="P383" t="s">
        <v>99</v>
      </c>
      <c r="Q383">
        <v>1</v>
      </c>
      <c r="W383">
        <v>0</v>
      </c>
      <c r="X383">
        <v>-1806552005</v>
      </c>
      <c r="Y383">
        <f t="shared" si="169"/>
        <v>102</v>
      </c>
      <c r="AA383">
        <v>4.72</v>
      </c>
      <c r="AB383">
        <v>0</v>
      </c>
      <c r="AC383">
        <v>0</v>
      </c>
      <c r="AD383">
        <v>0</v>
      </c>
      <c r="AE383">
        <v>4.59</v>
      </c>
      <c r="AF383">
        <v>0</v>
      </c>
      <c r="AG383">
        <v>0</v>
      </c>
      <c r="AH383">
        <v>0</v>
      </c>
      <c r="AI383">
        <v>1</v>
      </c>
      <c r="AJ383">
        <v>1</v>
      </c>
      <c r="AK383">
        <v>1</v>
      </c>
      <c r="AL383">
        <v>1</v>
      </c>
      <c r="AM383">
        <v>-2</v>
      </c>
      <c r="AN383">
        <v>0</v>
      </c>
      <c r="AO383">
        <v>1</v>
      </c>
      <c r="AP383">
        <v>1</v>
      </c>
      <c r="AQ383">
        <v>0</v>
      </c>
      <c r="AR383">
        <v>0</v>
      </c>
      <c r="AS383" t="s">
        <v>3</v>
      </c>
      <c r="AT383">
        <v>102</v>
      </c>
      <c r="AU383" t="s">
        <v>35</v>
      </c>
      <c r="AV383">
        <v>0</v>
      </c>
      <c r="AW383">
        <v>2</v>
      </c>
      <c r="AX383">
        <v>85739969</v>
      </c>
      <c r="AY383">
        <v>1</v>
      </c>
      <c r="AZ383">
        <v>0</v>
      </c>
      <c r="BA383">
        <v>399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ROUND(Y383*Source!I173,9)</f>
        <v>793.56</v>
      </c>
      <c r="CY383">
        <f t="shared" si="170"/>
        <v>4.72</v>
      </c>
      <c r="CZ383">
        <f t="shared" si="171"/>
        <v>4.59</v>
      </c>
      <c r="DA383">
        <f t="shared" si="172"/>
        <v>1</v>
      </c>
      <c r="DB383">
        <f t="shared" si="173"/>
        <v>468.18</v>
      </c>
      <c r="DC383">
        <f t="shared" si="174"/>
        <v>0</v>
      </c>
      <c r="DD383" t="s">
        <v>3</v>
      </c>
      <c r="DE383" t="s">
        <v>3</v>
      </c>
      <c r="DF383">
        <f t="shared" si="168"/>
        <v>3642.44</v>
      </c>
      <c r="DG383">
        <f t="shared" si="166"/>
        <v>0</v>
      </c>
      <c r="DH383">
        <f t="shared" si="167"/>
        <v>0</v>
      </c>
      <c r="DI383">
        <f t="shared" si="154"/>
        <v>0</v>
      </c>
      <c r="DJ383">
        <f t="shared" si="175"/>
        <v>3642.44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">
      <c r="A384">
        <f>ROW(Source!A173)</f>
        <v>173</v>
      </c>
      <c r="B384">
        <v>85739205</v>
      </c>
      <c r="C384">
        <v>85739915</v>
      </c>
      <c r="D384">
        <v>85215557</v>
      </c>
      <c r="E384">
        <v>1</v>
      </c>
      <c r="F384">
        <v>1</v>
      </c>
      <c r="G384">
        <v>1081</v>
      </c>
      <c r="H384">
        <v>3</v>
      </c>
      <c r="I384" t="s">
        <v>594</v>
      </c>
      <c r="J384" t="s">
        <v>595</v>
      </c>
      <c r="K384" t="s">
        <v>596</v>
      </c>
      <c r="L384">
        <v>1354</v>
      </c>
      <c r="N384">
        <v>1010</v>
      </c>
      <c r="O384" t="s">
        <v>99</v>
      </c>
      <c r="P384" t="s">
        <v>99</v>
      </c>
      <c r="Q384">
        <v>1</v>
      </c>
      <c r="W384">
        <v>0</v>
      </c>
      <c r="X384">
        <v>-709156778</v>
      </c>
      <c r="Y384">
        <f t="shared" si="169"/>
        <v>204</v>
      </c>
      <c r="AA384">
        <v>4.72</v>
      </c>
      <c r="AB384">
        <v>0</v>
      </c>
      <c r="AC384">
        <v>0</v>
      </c>
      <c r="AD384">
        <v>0</v>
      </c>
      <c r="AE384">
        <v>4.59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1</v>
      </c>
      <c r="AL384">
        <v>1</v>
      </c>
      <c r="AM384">
        <v>-2</v>
      </c>
      <c r="AN384">
        <v>0</v>
      </c>
      <c r="AO384">
        <v>1</v>
      </c>
      <c r="AP384">
        <v>1</v>
      </c>
      <c r="AQ384">
        <v>0</v>
      </c>
      <c r="AR384">
        <v>0</v>
      </c>
      <c r="AS384" t="s">
        <v>3</v>
      </c>
      <c r="AT384">
        <v>204</v>
      </c>
      <c r="AU384" t="s">
        <v>35</v>
      </c>
      <c r="AV384">
        <v>0</v>
      </c>
      <c r="AW384">
        <v>2</v>
      </c>
      <c r="AX384">
        <v>85739970</v>
      </c>
      <c r="AY384">
        <v>1</v>
      </c>
      <c r="AZ384">
        <v>0</v>
      </c>
      <c r="BA384">
        <v>400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ROUND(Y384*Source!I173,9)</f>
        <v>1587.12</v>
      </c>
      <c r="CY384">
        <f t="shared" si="170"/>
        <v>4.72</v>
      </c>
      <c r="CZ384">
        <f t="shared" si="171"/>
        <v>4.59</v>
      </c>
      <c r="DA384">
        <f t="shared" si="172"/>
        <v>1</v>
      </c>
      <c r="DB384">
        <f t="shared" si="173"/>
        <v>936.36</v>
      </c>
      <c r="DC384">
        <f t="shared" si="174"/>
        <v>0</v>
      </c>
      <c r="DD384" t="s">
        <v>3</v>
      </c>
      <c r="DE384" t="s">
        <v>3</v>
      </c>
      <c r="DF384">
        <f t="shared" si="168"/>
        <v>7284.88</v>
      </c>
      <c r="DG384">
        <f t="shared" si="166"/>
        <v>0</v>
      </c>
      <c r="DH384">
        <f t="shared" si="167"/>
        <v>0</v>
      </c>
      <c r="DI384">
        <f t="shared" si="154"/>
        <v>0</v>
      </c>
      <c r="DJ384">
        <f t="shared" si="175"/>
        <v>7284.88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">
      <c r="A385">
        <f>ROW(Source!A173)</f>
        <v>173</v>
      </c>
      <c r="B385">
        <v>85739205</v>
      </c>
      <c r="C385">
        <v>85739915</v>
      </c>
      <c r="D385">
        <v>85215558</v>
      </c>
      <c r="E385">
        <v>1</v>
      </c>
      <c r="F385">
        <v>1</v>
      </c>
      <c r="G385">
        <v>1081</v>
      </c>
      <c r="H385">
        <v>3</v>
      </c>
      <c r="I385" t="s">
        <v>597</v>
      </c>
      <c r="J385" t="s">
        <v>598</v>
      </c>
      <c r="K385" t="s">
        <v>599</v>
      </c>
      <c r="L385">
        <v>1354</v>
      </c>
      <c r="N385">
        <v>1010</v>
      </c>
      <c r="O385" t="s">
        <v>99</v>
      </c>
      <c r="P385" t="s">
        <v>99</v>
      </c>
      <c r="Q385">
        <v>1</v>
      </c>
      <c r="W385">
        <v>0</v>
      </c>
      <c r="X385">
        <v>-1115551314</v>
      </c>
      <c r="Y385">
        <f t="shared" si="169"/>
        <v>102</v>
      </c>
      <c r="AA385">
        <v>2.89</v>
      </c>
      <c r="AB385">
        <v>0</v>
      </c>
      <c r="AC385">
        <v>0</v>
      </c>
      <c r="AD385">
        <v>0</v>
      </c>
      <c r="AE385">
        <v>2.81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-2</v>
      </c>
      <c r="AN385">
        <v>0</v>
      </c>
      <c r="AO385">
        <v>1</v>
      </c>
      <c r="AP385">
        <v>1</v>
      </c>
      <c r="AQ385">
        <v>0</v>
      </c>
      <c r="AR385">
        <v>0</v>
      </c>
      <c r="AS385" t="s">
        <v>3</v>
      </c>
      <c r="AT385">
        <v>102</v>
      </c>
      <c r="AU385" t="s">
        <v>35</v>
      </c>
      <c r="AV385">
        <v>0</v>
      </c>
      <c r="AW385">
        <v>2</v>
      </c>
      <c r="AX385">
        <v>85739971</v>
      </c>
      <c r="AY385">
        <v>1</v>
      </c>
      <c r="AZ385">
        <v>0</v>
      </c>
      <c r="BA385">
        <v>401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V385">
        <v>0</v>
      </c>
      <c r="CW385">
        <v>0</v>
      </c>
      <c r="CX385">
        <f>ROUND(Y385*Source!I173,9)</f>
        <v>793.56</v>
      </c>
      <c r="CY385">
        <f t="shared" si="170"/>
        <v>2.89</v>
      </c>
      <c r="CZ385">
        <f t="shared" si="171"/>
        <v>2.81</v>
      </c>
      <c r="DA385">
        <f t="shared" si="172"/>
        <v>1</v>
      </c>
      <c r="DB385">
        <f t="shared" si="173"/>
        <v>286.62</v>
      </c>
      <c r="DC385">
        <f t="shared" si="174"/>
        <v>0</v>
      </c>
      <c r="DD385" t="s">
        <v>3</v>
      </c>
      <c r="DE385" t="s">
        <v>3</v>
      </c>
      <c r="DF385">
        <f t="shared" si="168"/>
        <v>2229.9</v>
      </c>
      <c r="DG385">
        <f t="shared" si="166"/>
        <v>0</v>
      </c>
      <c r="DH385">
        <f t="shared" si="167"/>
        <v>0</v>
      </c>
      <c r="DI385">
        <f t="shared" ref="DI385:DI448" si="176">ROUND(ROUND(AH385,2)*CX385,2)</f>
        <v>0</v>
      </c>
      <c r="DJ385">
        <f t="shared" si="175"/>
        <v>2229.9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">
      <c r="A386">
        <f>ROW(Source!A173)</f>
        <v>173</v>
      </c>
      <c r="B386">
        <v>85739205</v>
      </c>
      <c r="C386">
        <v>85739915</v>
      </c>
      <c r="D386">
        <v>85215559</v>
      </c>
      <c r="E386">
        <v>1</v>
      </c>
      <c r="F386">
        <v>1</v>
      </c>
      <c r="G386">
        <v>1081</v>
      </c>
      <c r="H386">
        <v>3</v>
      </c>
      <c r="I386" t="s">
        <v>345</v>
      </c>
      <c r="J386" t="s">
        <v>347</v>
      </c>
      <c r="K386" t="s">
        <v>346</v>
      </c>
      <c r="L386">
        <v>1354</v>
      </c>
      <c r="N386">
        <v>1010</v>
      </c>
      <c r="O386" t="s">
        <v>99</v>
      </c>
      <c r="P386" t="s">
        <v>99</v>
      </c>
      <c r="Q386">
        <v>1</v>
      </c>
      <c r="W386">
        <v>0</v>
      </c>
      <c r="X386">
        <v>580796849</v>
      </c>
      <c r="Y386">
        <f t="shared" si="169"/>
        <v>100</v>
      </c>
      <c r="AA386">
        <v>20.51</v>
      </c>
      <c r="AB386">
        <v>0</v>
      </c>
      <c r="AC386">
        <v>0</v>
      </c>
      <c r="AD386">
        <v>0</v>
      </c>
      <c r="AE386">
        <v>20.51</v>
      </c>
      <c r="AF386">
        <v>0</v>
      </c>
      <c r="AG386">
        <v>0</v>
      </c>
      <c r="AH386">
        <v>0</v>
      </c>
      <c r="AI386">
        <v>1</v>
      </c>
      <c r="AJ386">
        <v>1</v>
      </c>
      <c r="AK386">
        <v>1</v>
      </c>
      <c r="AL386">
        <v>1</v>
      </c>
      <c r="AM386">
        <v>0</v>
      </c>
      <c r="AN386">
        <v>0</v>
      </c>
      <c r="AO386">
        <v>0</v>
      </c>
      <c r="AP386">
        <v>1</v>
      </c>
      <c r="AQ386">
        <v>0</v>
      </c>
      <c r="AR386">
        <v>0</v>
      </c>
      <c r="AS386" t="s">
        <v>3</v>
      </c>
      <c r="AT386">
        <v>100</v>
      </c>
      <c r="AU386" t="s">
        <v>35</v>
      </c>
      <c r="AV386">
        <v>0</v>
      </c>
      <c r="AW386">
        <v>1</v>
      </c>
      <c r="AX386">
        <v>-1</v>
      </c>
      <c r="AY386">
        <v>0</v>
      </c>
      <c r="AZ386">
        <v>0</v>
      </c>
      <c r="BA386" t="s">
        <v>3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v>0</v>
      </c>
      <c r="CX386">
        <f>ROUND(Y386*Source!I173,9)</f>
        <v>778</v>
      </c>
      <c r="CY386">
        <f t="shared" si="170"/>
        <v>20.51</v>
      </c>
      <c r="CZ386">
        <f t="shared" si="171"/>
        <v>20.51</v>
      </c>
      <c r="DA386">
        <f t="shared" si="172"/>
        <v>1</v>
      </c>
      <c r="DB386">
        <f t="shared" si="173"/>
        <v>2051</v>
      </c>
      <c r="DC386">
        <f t="shared" si="174"/>
        <v>0</v>
      </c>
      <c r="DD386" t="s">
        <v>3</v>
      </c>
      <c r="DE386" t="s">
        <v>3</v>
      </c>
      <c r="DF386">
        <f t="shared" si="168"/>
        <v>15956.78</v>
      </c>
      <c r="DG386">
        <f t="shared" si="166"/>
        <v>0</v>
      </c>
      <c r="DH386">
        <f t="shared" si="167"/>
        <v>0</v>
      </c>
      <c r="DI386">
        <f t="shared" si="176"/>
        <v>0</v>
      </c>
      <c r="DJ386">
        <f t="shared" si="175"/>
        <v>15956.78</v>
      </c>
      <c r="DK386">
        <v>0</v>
      </c>
      <c r="DL386" t="s">
        <v>3</v>
      </c>
      <c r="DM386">
        <v>0</v>
      </c>
      <c r="DN386" t="s">
        <v>3</v>
      </c>
      <c r="DO386">
        <v>0</v>
      </c>
    </row>
    <row r="387" spans="1:119" x14ac:dyDescent="0.2">
      <c r="A387">
        <f>ROW(Source!A173)</f>
        <v>173</v>
      </c>
      <c r="B387">
        <v>85739205</v>
      </c>
      <c r="C387">
        <v>85739915</v>
      </c>
      <c r="D387">
        <v>85215560</v>
      </c>
      <c r="E387">
        <v>1</v>
      </c>
      <c r="F387">
        <v>1</v>
      </c>
      <c r="G387">
        <v>1081</v>
      </c>
      <c r="H387">
        <v>3</v>
      </c>
      <c r="I387" t="s">
        <v>349</v>
      </c>
      <c r="J387" t="s">
        <v>351</v>
      </c>
      <c r="K387" t="s">
        <v>350</v>
      </c>
      <c r="L387">
        <v>1354</v>
      </c>
      <c r="N387">
        <v>1010</v>
      </c>
      <c r="O387" t="s">
        <v>99</v>
      </c>
      <c r="P387" t="s">
        <v>99</v>
      </c>
      <c r="Q387">
        <v>1</v>
      </c>
      <c r="W387">
        <v>0</v>
      </c>
      <c r="X387">
        <v>-787797693</v>
      </c>
      <c r="Y387">
        <f t="shared" si="169"/>
        <v>100</v>
      </c>
      <c r="AA387">
        <v>18.940000000000001</v>
      </c>
      <c r="AB387">
        <v>0</v>
      </c>
      <c r="AC387">
        <v>0</v>
      </c>
      <c r="AD387">
        <v>0</v>
      </c>
      <c r="AE387">
        <v>18.940000000000001</v>
      </c>
      <c r="AF387">
        <v>0</v>
      </c>
      <c r="AG387">
        <v>0</v>
      </c>
      <c r="AH387">
        <v>0</v>
      </c>
      <c r="AI387">
        <v>1</v>
      </c>
      <c r="AJ387">
        <v>1</v>
      </c>
      <c r="AK387">
        <v>1</v>
      </c>
      <c r="AL387">
        <v>1</v>
      </c>
      <c r="AM387">
        <v>0</v>
      </c>
      <c r="AN387">
        <v>0</v>
      </c>
      <c r="AO387">
        <v>0</v>
      </c>
      <c r="AP387">
        <v>1</v>
      </c>
      <c r="AQ387">
        <v>0</v>
      </c>
      <c r="AR387">
        <v>0</v>
      </c>
      <c r="AS387" t="s">
        <v>3</v>
      </c>
      <c r="AT387">
        <v>100</v>
      </c>
      <c r="AU387" t="s">
        <v>35</v>
      </c>
      <c r="AV387">
        <v>0</v>
      </c>
      <c r="AW387">
        <v>1</v>
      </c>
      <c r="AX387">
        <v>-1</v>
      </c>
      <c r="AY387">
        <v>0</v>
      </c>
      <c r="AZ387">
        <v>0</v>
      </c>
      <c r="BA387" t="s">
        <v>3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v>0</v>
      </c>
      <c r="CX387">
        <f>ROUND(Y387*Source!I173,9)</f>
        <v>778</v>
      </c>
      <c r="CY387">
        <f t="shared" si="170"/>
        <v>18.940000000000001</v>
      </c>
      <c r="CZ387">
        <f t="shared" si="171"/>
        <v>18.940000000000001</v>
      </c>
      <c r="DA387">
        <f t="shared" si="172"/>
        <v>1</v>
      </c>
      <c r="DB387">
        <f t="shared" si="173"/>
        <v>1894</v>
      </c>
      <c r="DC387">
        <f t="shared" si="174"/>
        <v>0</v>
      </c>
      <c r="DD387" t="s">
        <v>3</v>
      </c>
      <c r="DE387" t="s">
        <v>3</v>
      </c>
      <c r="DF387">
        <f t="shared" si="168"/>
        <v>14735.32</v>
      </c>
      <c r="DG387">
        <f t="shared" si="166"/>
        <v>0</v>
      </c>
      <c r="DH387">
        <f t="shared" si="167"/>
        <v>0</v>
      </c>
      <c r="DI387">
        <f t="shared" si="176"/>
        <v>0</v>
      </c>
      <c r="DJ387">
        <f t="shared" si="175"/>
        <v>14735.32</v>
      </c>
      <c r="DK387">
        <v>0</v>
      </c>
      <c r="DL387" t="s">
        <v>3</v>
      </c>
      <c r="DM387">
        <v>0</v>
      </c>
      <c r="DN387" t="s">
        <v>3</v>
      </c>
      <c r="DO387">
        <v>0</v>
      </c>
    </row>
    <row r="388" spans="1:119" x14ac:dyDescent="0.2">
      <c r="A388">
        <f>ROW(Source!A173)</f>
        <v>173</v>
      </c>
      <c r="B388">
        <v>85739205</v>
      </c>
      <c r="C388">
        <v>85739915</v>
      </c>
      <c r="D388">
        <v>85214690</v>
      </c>
      <c r="E388">
        <v>1</v>
      </c>
      <c r="F388">
        <v>1</v>
      </c>
      <c r="G388">
        <v>1081</v>
      </c>
      <c r="H388">
        <v>3</v>
      </c>
      <c r="I388" t="s">
        <v>341</v>
      </c>
      <c r="J388" t="s">
        <v>343</v>
      </c>
      <c r="K388" t="s">
        <v>342</v>
      </c>
      <c r="L388">
        <v>1301</v>
      </c>
      <c r="N388">
        <v>1003</v>
      </c>
      <c r="O388" t="s">
        <v>179</v>
      </c>
      <c r="P388" t="s">
        <v>179</v>
      </c>
      <c r="Q388">
        <v>1</v>
      </c>
      <c r="W388">
        <v>0</v>
      </c>
      <c r="X388">
        <v>-1565334788</v>
      </c>
      <c r="Y388">
        <f t="shared" si="169"/>
        <v>77.52</v>
      </c>
      <c r="AA388">
        <v>10.8</v>
      </c>
      <c r="AB388">
        <v>0</v>
      </c>
      <c r="AC388">
        <v>0</v>
      </c>
      <c r="AD388">
        <v>0</v>
      </c>
      <c r="AE388">
        <v>10.8</v>
      </c>
      <c r="AF388">
        <v>0</v>
      </c>
      <c r="AG388">
        <v>0</v>
      </c>
      <c r="AH388">
        <v>0</v>
      </c>
      <c r="AI388">
        <v>1</v>
      </c>
      <c r="AJ388">
        <v>1</v>
      </c>
      <c r="AK388">
        <v>1</v>
      </c>
      <c r="AL388">
        <v>1</v>
      </c>
      <c r="AM388">
        <v>0</v>
      </c>
      <c r="AN388">
        <v>0</v>
      </c>
      <c r="AO388">
        <v>0</v>
      </c>
      <c r="AP388">
        <v>1</v>
      </c>
      <c r="AQ388">
        <v>0</v>
      </c>
      <c r="AR388">
        <v>0</v>
      </c>
      <c r="AS388" t="s">
        <v>3</v>
      </c>
      <c r="AT388">
        <v>77.52</v>
      </c>
      <c r="AU388" t="s">
        <v>35</v>
      </c>
      <c r="AV388">
        <v>0</v>
      </c>
      <c r="AW388">
        <v>1</v>
      </c>
      <c r="AX388">
        <v>-1</v>
      </c>
      <c r="AY388">
        <v>0</v>
      </c>
      <c r="AZ388">
        <v>0</v>
      </c>
      <c r="BA388" t="s">
        <v>3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v>0</v>
      </c>
      <c r="CX388">
        <f>ROUND(Y388*Source!I173,9)</f>
        <v>603.10559999999998</v>
      </c>
      <c r="CY388">
        <f t="shared" si="170"/>
        <v>10.8</v>
      </c>
      <c r="CZ388">
        <f t="shared" si="171"/>
        <v>10.8</v>
      </c>
      <c r="DA388">
        <f t="shared" si="172"/>
        <v>1</v>
      </c>
      <c r="DB388">
        <f t="shared" si="173"/>
        <v>837.22</v>
      </c>
      <c r="DC388">
        <f t="shared" si="174"/>
        <v>0</v>
      </c>
      <c r="DD388" t="s">
        <v>3</v>
      </c>
      <c r="DE388" t="s">
        <v>3</v>
      </c>
      <c r="DF388">
        <f t="shared" si="168"/>
        <v>6513.54</v>
      </c>
      <c r="DG388">
        <f t="shared" si="166"/>
        <v>0</v>
      </c>
      <c r="DH388">
        <f t="shared" si="167"/>
        <v>0</v>
      </c>
      <c r="DI388">
        <f t="shared" si="176"/>
        <v>0</v>
      </c>
      <c r="DJ388">
        <f t="shared" si="175"/>
        <v>6513.54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">
      <c r="A389">
        <f>ROW(Source!A173)</f>
        <v>173</v>
      </c>
      <c r="B389">
        <v>85739205</v>
      </c>
      <c r="C389">
        <v>85739915</v>
      </c>
      <c r="D389">
        <v>85218077</v>
      </c>
      <c r="E389">
        <v>1</v>
      </c>
      <c r="F389">
        <v>1</v>
      </c>
      <c r="G389">
        <v>1081</v>
      </c>
      <c r="H389">
        <v>3</v>
      </c>
      <c r="I389" t="s">
        <v>353</v>
      </c>
      <c r="J389" t="s">
        <v>355</v>
      </c>
      <c r="K389" t="s">
        <v>354</v>
      </c>
      <c r="L389">
        <v>1354</v>
      </c>
      <c r="N389">
        <v>1010</v>
      </c>
      <c r="O389" t="s">
        <v>99</v>
      </c>
      <c r="P389" t="s">
        <v>99</v>
      </c>
      <c r="Q389">
        <v>1</v>
      </c>
      <c r="W389">
        <v>0</v>
      </c>
      <c r="X389">
        <v>-1169831446</v>
      </c>
      <c r="Y389">
        <f t="shared" si="169"/>
        <v>100</v>
      </c>
      <c r="AA389">
        <v>38.21</v>
      </c>
      <c r="AB389">
        <v>0</v>
      </c>
      <c r="AC389">
        <v>0</v>
      </c>
      <c r="AD389">
        <v>0</v>
      </c>
      <c r="AE389">
        <v>38.21</v>
      </c>
      <c r="AF389">
        <v>0</v>
      </c>
      <c r="AG389">
        <v>0</v>
      </c>
      <c r="AH389">
        <v>0</v>
      </c>
      <c r="AI389">
        <v>1</v>
      </c>
      <c r="AJ389">
        <v>1</v>
      </c>
      <c r="AK389">
        <v>1</v>
      </c>
      <c r="AL389">
        <v>1</v>
      </c>
      <c r="AM389">
        <v>0</v>
      </c>
      <c r="AN389">
        <v>0</v>
      </c>
      <c r="AO389">
        <v>0</v>
      </c>
      <c r="AP389">
        <v>1</v>
      </c>
      <c r="AQ389">
        <v>0</v>
      </c>
      <c r="AR389">
        <v>0</v>
      </c>
      <c r="AS389" t="s">
        <v>3</v>
      </c>
      <c r="AT389">
        <v>100</v>
      </c>
      <c r="AU389" t="s">
        <v>35</v>
      </c>
      <c r="AV389">
        <v>0</v>
      </c>
      <c r="AW389">
        <v>1</v>
      </c>
      <c r="AX389">
        <v>-1</v>
      </c>
      <c r="AY389">
        <v>0</v>
      </c>
      <c r="AZ389">
        <v>0</v>
      </c>
      <c r="BA389" t="s">
        <v>3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V389">
        <v>0</v>
      </c>
      <c r="CW389">
        <v>0</v>
      </c>
      <c r="CX389">
        <f>ROUND(Y389*Source!I173,9)</f>
        <v>778</v>
      </c>
      <c r="CY389">
        <f t="shared" si="170"/>
        <v>38.21</v>
      </c>
      <c r="CZ389">
        <f t="shared" si="171"/>
        <v>38.21</v>
      </c>
      <c r="DA389">
        <f t="shared" si="172"/>
        <v>1</v>
      </c>
      <c r="DB389">
        <f t="shared" si="173"/>
        <v>3821</v>
      </c>
      <c r="DC389">
        <f t="shared" si="174"/>
        <v>0</v>
      </c>
      <c r="DD389" t="s">
        <v>3</v>
      </c>
      <c r="DE389" t="s">
        <v>3</v>
      </c>
      <c r="DF389">
        <f t="shared" si="168"/>
        <v>29727.38</v>
      </c>
      <c r="DG389">
        <f t="shared" si="166"/>
        <v>0</v>
      </c>
      <c r="DH389">
        <f t="shared" si="167"/>
        <v>0</v>
      </c>
      <c r="DI389">
        <f t="shared" si="176"/>
        <v>0</v>
      </c>
      <c r="DJ389">
        <f t="shared" si="175"/>
        <v>29727.38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">
      <c r="A390">
        <f>ROW(Source!A173)</f>
        <v>173</v>
      </c>
      <c r="B390">
        <v>85739205</v>
      </c>
      <c r="C390">
        <v>85739915</v>
      </c>
      <c r="D390">
        <v>85218093</v>
      </c>
      <c r="E390">
        <v>1</v>
      </c>
      <c r="F390">
        <v>1</v>
      </c>
      <c r="G390">
        <v>1081</v>
      </c>
      <c r="H390">
        <v>3</v>
      </c>
      <c r="I390" t="s">
        <v>600</v>
      </c>
      <c r="J390" t="s">
        <v>601</v>
      </c>
      <c r="K390" t="s">
        <v>602</v>
      </c>
      <c r="L390">
        <v>1354</v>
      </c>
      <c r="N390">
        <v>1010</v>
      </c>
      <c r="O390" t="s">
        <v>99</v>
      </c>
      <c r="P390" t="s">
        <v>99</v>
      </c>
      <c r="Q390">
        <v>1</v>
      </c>
      <c r="W390">
        <v>0</v>
      </c>
      <c r="X390">
        <v>532027092</v>
      </c>
      <c r="Y390">
        <f t="shared" si="169"/>
        <v>100</v>
      </c>
      <c r="AA390">
        <v>5.15</v>
      </c>
      <c r="AB390">
        <v>0</v>
      </c>
      <c r="AC390">
        <v>0</v>
      </c>
      <c r="AD390">
        <v>0</v>
      </c>
      <c r="AE390">
        <v>5.01</v>
      </c>
      <c r="AF390">
        <v>0</v>
      </c>
      <c r="AG390">
        <v>0</v>
      </c>
      <c r="AH390">
        <v>0</v>
      </c>
      <c r="AI390">
        <v>1</v>
      </c>
      <c r="AJ390">
        <v>1</v>
      </c>
      <c r="AK390">
        <v>1</v>
      </c>
      <c r="AL390">
        <v>1</v>
      </c>
      <c r="AM390">
        <v>-2</v>
      </c>
      <c r="AN390">
        <v>0</v>
      </c>
      <c r="AO390">
        <v>1</v>
      </c>
      <c r="AP390">
        <v>1</v>
      </c>
      <c r="AQ390">
        <v>0</v>
      </c>
      <c r="AR390">
        <v>0</v>
      </c>
      <c r="AS390" t="s">
        <v>3</v>
      </c>
      <c r="AT390">
        <v>100</v>
      </c>
      <c r="AU390" t="s">
        <v>35</v>
      </c>
      <c r="AV390">
        <v>0</v>
      </c>
      <c r="AW390">
        <v>2</v>
      </c>
      <c r="AX390">
        <v>85739972</v>
      </c>
      <c r="AY390">
        <v>1</v>
      </c>
      <c r="AZ390">
        <v>0</v>
      </c>
      <c r="BA390">
        <v>402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v>0</v>
      </c>
      <c r="CX390">
        <f>ROUND(Y390*Source!I173,9)</f>
        <v>778</v>
      </c>
      <c r="CY390">
        <f t="shared" si="170"/>
        <v>5.15</v>
      </c>
      <c r="CZ390">
        <f t="shared" si="171"/>
        <v>5.01</v>
      </c>
      <c r="DA390">
        <f t="shared" si="172"/>
        <v>1</v>
      </c>
      <c r="DB390">
        <f t="shared" si="173"/>
        <v>501</v>
      </c>
      <c r="DC390">
        <f t="shared" si="174"/>
        <v>0</v>
      </c>
      <c r="DD390" t="s">
        <v>3</v>
      </c>
      <c r="DE390" t="s">
        <v>3</v>
      </c>
      <c r="DF390">
        <f t="shared" si="168"/>
        <v>3897.78</v>
      </c>
      <c r="DG390">
        <f t="shared" si="166"/>
        <v>0</v>
      </c>
      <c r="DH390">
        <f t="shared" si="167"/>
        <v>0</v>
      </c>
      <c r="DI390">
        <f t="shared" si="176"/>
        <v>0</v>
      </c>
      <c r="DJ390">
        <f t="shared" si="175"/>
        <v>3897.78</v>
      </c>
      <c r="DK390">
        <v>0</v>
      </c>
      <c r="DL390" t="s">
        <v>3</v>
      </c>
      <c r="DM390">
        <v>0</v>
      </c>
      <c r="DN390" t="s">
        <v>3</v>
      </c>
      <c r="DO390">
        <v>0</v>
      </c>
    </row>
    <row r="391" spans="1:119" x14ac:dyDescent="0.2">
      <c r="A391">
        <f>ROW(Source!A174)</f>
        <v>174</v>
      </c>
      <c r="B391">
        <v>85739207</v>
      </c>
      <c r="C391">
        <v>85739915</v>
      </c>
      <c r="D391">
        <v>85164021</v>
      </c>
      <c r="E391">
        <v>1081</v>
      </c>
      <c r="F391">
        <v>1</v>
      </c>
      <c r="G391">
        <v>1081</v>
      </c>
      <c r="H391">
        <v>1</v>
      </c>
      <c r="I391" t="s">
        <v>472</v>
      </c>
      <c r="J391" t="s">
        <v>3</v>
      </c>
      <c r="K391" t="s">
        <v>473</v>
      </c>
      <c r="L391">
        <v>1191</v>
      </c>
      <c r="N391">
        <v>1013</v>
      </c>
      <c r="O391" t="s">
        <v>474</v>
      </c>
      <c r="P391" t="s">
        <v>474</v>
      </c>
      <c r="Q391">
        <v>1</v>
      </c>
      <c r="W391">
        <v>0</v>
      </c>
      <c r="X391">
        <v>476480486</v>
      </c>
      <c r="Y391">
        <f>(AT391*1.2)</f>
        <v>66.131999999999991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1</v>
      </c>
      <c r="AK391">
        <v>1</v>
      </c>
      <c r="AL391">
        <v>1</v>
      </c>
      <c r="AM391">
        <v>5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55.11</v>
      </c>
      <c r="AU391" t="s">
        <v>36</v>
      </c>
      <c r="AV391">
        <v>1</v>
      </c>
      <c r="AW391">
        <v>2</v>
      </c>
      <c r="AX391">
        <v>85739963</v>
      </c>
      <c r="AY391">
        <v>1</v>
      </c>
      <c r="AZ391">
        <v>0</v>
      </c>
      <c r="BA391">
        <v>407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U391">
        <f>ROUND(AT391*Source!I174*AH391*AL391,2)</f>
        <v>0</v>
      </c>
      <c r="CV391">
        <f>ROUND(Y391*Source!I174,9)</f>
        <v>514.50696000000005</v>
      </c>
      <c r="CW391">
        <v>0</v>
      </c>
      <c r="CX391">
        <f>ROUND(Y391*Source!I174,9)</f>
        <v>514.50696000000005</v>
      </c>
      <c r="CY391">
        <f>AD391</f>
        <v>0</v>
      </c>
      <c r="CZ391">
        <f>AH391</f>
        <v>0</v>
      </c>
      <c r="DA391">
        <f>AL391</f>
        <v>1</v>
      </c>
      <c r="DB391">
        <f>ROUND((ROUND(AT391*CZ391,2)*1.2),6)</f>
        <v>0</v>
      </c>
      <c r="DC391">
        <f>ROUND((ROUND(AT391*AG391,2)*1.2),6)</f>
        <v>0</v>
      </c>
      <c r="DD391" t="s">
        <v>3</v>
      </c>
      <c r="DE391" t="s">
        <v>3</v>
      </c>
      <c r="DF391">
        <f t="shared" si="168"/>
        <v>0</v>
      </c>
      <c r="DG391">
        <f t="shared" si="166"/>
        <v>0</v>
      </c>
      <c r="DH391">
        <f t="shared" si="167"/>
        <v>0</v>
      </c>
      <c r="DI391">
        <f t="shared" si="176"/>
        <v>0</v>
      </c>
      <c r="DJ391">
        <f>DI391</f>
        <v>0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">
      <c r="A392">
        <f>ROW(Source!A174)</f>
        <v>174</v>
      </c>
      <c r="B392">
        <v>85739207</v>
      </c>
      <c r="C392">
        <v>85739915</v>
      </c>
      <c r="D392">
        <v>85229932</v>
      </c>
      <c r="E392">
        <v>1</v>
      </c>
      <c r="F392">
        <v>1</v>
      </c>
      <c r="G392">
        <v>1081</v>
      </c>
      <c r="H392">
        <v>2</v>
      </c>
      <c r="I392" t="s">
        <v>482</v>
      </c>
      <c r="J392" t="s">
        <v>483</v>
      </c>
      <c r="K392" t="s">
        <v>484</v>
      </c>
      <c r="L392">
        <v>1368</v>
      </c>
      <c r="N392">
        <v>1011</v>
      </c>
      <c r="O392" t="s">
        <v>478</v>
      </c>
      <c r="P392" t="s">
        <v>478</v>
      </c>
      <c r="Q392">
        <v>1</v>
      </c>
      <c r="W392">
        <v>0</v>
      </c>
      <c r="X392">
        <v>874612079</v>
      </c>
      <c r="Y392">
        <f>(AT392*1.2)</f>
        <v>0.14399999999999999</v>
      </c>
      <c r="AA392">
        <v>0</v>
      </c>
      <c r="AB392">
        <v>1513.56</v>
      </c>
      <c r="AC392">
        <v>758.78</v>
      </c>
      <c r="AD392">
        <v>0</v>
      </c>
      <c r="AE392">
        <v>0</v>
      </c>
      <c r="AF392">
        <v>83.1</v>
      </c>
      <c r="AG392">
        <v>12.62</v>
      </c>
      <c r="AH392">
        <v>0</v>
      </c>
      <c r="AI392">
        <v>1</v>
      </c>
      <c r="AJ392">
        <v>17.07</v>
      </c>
      <c r="AK392">
        <v>56.35</v>
      </c>
      <c r="AL392">
        <v>1</v>
      </c>
      <c r="AM392">
        <v>2</v>
      </c>
      <c r="AN392">
        <v>0</v>
      </c>
      <c r="AO392">
        <v>1</v>
      </c>
      <c r="AP392">
        <v>1</v>
      </c>
      <c r="AQ392">
        <v>0</v>
      </c>
      <c r="AR392">
        <v>0</v>
      </c>
      <c r="AS392" t="s">
        <v>3</v>
      </c>
      <c r="AT392">
        <v>0.12</v>
      </c>
      <c r="AU392" t="s">
        <v>36</v>
      </c>
      <c r="AV392">
        <v>0</v>
      </c>
      <c r="AW392">
        <v>2</v>
      </c>
      <c r="AX392">
        <v>85739964</v>
      </c>
      <c r="AY392">
        <v>1</v>
      </c>
      <c r="AZ392">
        <v>0</v>
      </c>
      <c r="BA392">
        <v>408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f>ROUND(Y392*Source!I174*DO392,9)</f>
        <v>14.1384384</v>
      </c>
      <c r="CX392">
        <f>ROUND(Y392*Source!I174,9)</f>
        <v>1.12032</v>
      </c>
      <c r="CY392">
        <f>AB392</f>
        <v>1513.56</v>
      </c>
      <c r="CZ392">
        <f>AF392</f>
        <v>83.1</v>
      </c>
      <c r="DA392">
        <f>AJ392</f>
        <v>17.07</v>
      </c>
      <c r="DB392">
        <f>ROUND((ROUND(AT392*CZ392,2)*1.2),6)</f>
        <v>11.964</v>
      </c>
      <c r="DC392">
        <f>ROUND((ROUND(AT392*AG392,2)*1.2),6)</f>
        <v>1.8120000000000001</v>
      </c>
      <c r="DD392" t="s">
        <v>3</v>
      </c>
      <c r="DE392" t="s">
        <v>3</v>
      </c>
      <c r="DF392">
        <f t="shared" si="168"/>
        <v>0</v>
      </c>
      <c r="DG392">
        <f>ROUND(ROUND(AF392*AJ392,2)*CX392,2)</f>
        <v>1589.2</v>
      </c>
      <c r="DH392">
        <f>ROUND(ROUND(AG392*AK392,2)*CX392,2)</f>
        <v>796.7</v>
      </c>
      <c r="DI392">
        <f t="shared" si="176"/>
        <v>0</v>
      </c>
      <c r="DJ392">
        <f>DG392</f>
        <v>1589.2</v>
      </c>
      <c r="DK392">
        <v>0</v>
      </c>
      <c r="DL392" t="s">
        <v>485</v>
      </c>
      <c r="DM392">
        <v>0</v>
      </c>
      <c r="DN392" t="s">
        <v>474</v>
      </c>
      <c r="DO392">
        <v>12.62</v>
      </c>
    </row>
    <row r="393" spans="1:119" x14ac:dyDescent="0.2">
      <c r="A393">
        <f>ROW(Source!A174)</f>
        <v>174</v>
      </c>
      <c r="B393">
        <v>85739207</v>
      </c>
      <c r="C393">
        <v>85739915</v>
      </c>
      <c r="D393">
        <v>85230019</v>
      </c>
      <c r="E393">
        <v>1</v>
      </c>
      <c r="F393">
        <v>1</v>
      </c>
      <c r="G393">
        <v>1081</v>
      </c>
      <c r="H393">
        <v>2</v>
      </c>
      <c r="I393" t="s">
        <v>582</v>
      </c>
      <c r="J393" t="s">
        <v>583</v>
      </c>
      <c r="K393" t="s">
        <v>584</v>
      </c>
      <c r="L393">
        <v>1368</v>
      </c>
      <c r="N393">
        <v>1011</v>
      </c>
      <c r="O393" t="s">
        <v>478</v>
      </c>
      <c r="P393" t="s">
        <v>478</v>
      </c>
      <c r="Q393">
        <v>1</v>
      </c>
      <c r="W393">
        <v>0</v>
      </c>
      <c r="X393">
        <v>-643591644</v>
      </c>
      <c r="Y393">
        <f>(AT393*1.2)</f>
        <v>0.39600000000000002</v>
      </c>
      <c r="AA393">
        <v>0</v>
      </c>
      <c r="AB393">
        <v>4.84</v>
      </c>
      <c r="AC393">
        <v>0</v>
      </c>
      <c r="AD393">
        <v>0</v>
      </c>
      <c r="AE393">
        <v>0</v>
      </c>
      <c r="AF393">
        <v>0.47</v>
      </c>
      <c r="AG393">
        <v>0</v>
      </c>
      <c r="AH393">
        <v>0</v>
      </c>
      <c r="AI393">
        <v>1</v>
      </c>
      <c r="AJ393">
        <v>9.66</v>
      </c>
      <c r="AK393">
        <v>1</v>
      </c>
      <c r="AL393">
        <v>1</v>
      </c>
      <c r="AM393">
        <v>2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0.33</v>
      </c>
      <c r="AU393" t="s">
        <v>36</v>
      </c>
      <c r="AV393">
        <v>0</v>
      </c>
      <c r="AW393">
        <v>2</v>
      </c>
      <c r="AX393">
        <v>85739965</v>
      </c>
      <c r="AY393">
        <v>1</v>
      </c>
      <c r="AZ393">
        <v>0</v>
      </c>
      <c r="BA393">
        <v>409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V393">
        <v>0</v>
      </c>
      <c r="CW393">
        <f>ROUND(Y393*Source!I174*DO393,9)</f>
        <v>0</v>
      </c>
      <c r="CX393">
        <f>ROUND(Y393*Source!I174,9)</f>
        <v>3.0808800000000001</v>
      </c>
      <c r="CY393">
        <f>AB393</f>
        <v>4.84</v>
      </c>
      <c r="CZ393">
        <f>AF393</f>
        <v>0.47</v>
      </c>
      <c r="DA393">
        <f>AJ393</f>
        <v>9.66</v>
      </c>
      <c r="DB393">
        <f>ROUND((ROUND(AT393*CZ393,2)*1.2),6)</f>
        <v>0.192</v>
      </c>
      <c r="DC393">
        <f>ROUND((ROUND(AT393*AG393,2)*1.2),6)</f>
        <v>0</v>
      </c>
      <c r="DD393" t="s">
        <v>3</v>
      </c>
      <c r="DE393" t="s">
        <v>3</v>
      </c>
      <c r="DF393">
        <f t="shared" si="168"/>
        <v>0</v>
      </c>
      <c r="DG393">
        <f>ROUND(ROUND(AF393*AJ393,2)*CX393,2)</f>
        <v>13.99</v>
      </c>
      <c r="DH393">
        <f t="shared" ref="DH393:DH428" si="177">ROUND(ROUND(AG393,2)*CX393,2)</f>
        <v>0</v>
      </c>
      <c r="DI393">
        <f t="shared" si="176"/>
        <v>0</v>
      </c>
      <c r="DJ393">
        <f>DG393</f>
        <v>13.99</v>
      </c>
      <c r="DK393">
        <v>0</v>
      </c>
      <c r="DL393" t="s">
        <v>3</v>
      </c>
      <c r="DM393">
        <v>0</v>
      </c>
      <c r="DN393" t="s">
        <v>3</v>
      </c>
      <c r="DO393">
        <v>0</v>
      </c>
    </row>
    <row r="394" spans="1:119" x14ac:dyDescent="0.2">
      <c r="A394">
        <f>ROW(Source!A174)</f>
        <v>174</v>
      </c>
      <c r="B394">
        <v>85739207</v>
      </c>
      <c r="C394">
        <v>85739915</v>
      </c>
      <c r="D394">
        <v>85200671</v>
      </c>
      <c r="E394">
        <v>1</v>
      </c>
      <c r="F394">
        <v>1</v>
      </c>
      <c r="G394">
        <v>1081</v>
      </c>
      <c r="H394">
        <v>3</v>
      </c>
      <c r="I394" t="s">
        <v>516</v>
      </c>
      <c r="J394" t="s">
        <v>517</v>
      </c>
      <c r="K394" t="s">
        <v>518</v>
      </c>
      <c r="L394">
        <v>1346</v>
      </c>
      <c r="N394">
        <v>1009</v>
      </c>
      <c r="O394" t="s">
        <v>502</v>
      </c>
      <c r="P394" t="s">
        <v>502</v>
      </c>
      <c r="Q394">
        <v>1</v>
      </c>
      <c r="W394">
        <v>0</v>
      </c>
      <c r="X394">
        <v>1021383118</v>
      </c>
      <c r="Y394">
        <f t="shared" ref="Y394:Y404" si="178">(AT394*1)</f>
        <v>0.50900000000000001</v>
      </c>
      <c r="AA394">
        <v>324.06</v>
      </c>
      <c r="AB394">
        <v>0</v>
      </c>
      <c r="AC394">
        <v>0</v>
      </c>
      <c r="AD394">
        <v>0</v>
      </c>
      <c r="AE394">
        <v>37.979999999999997</v>
      </c>
      <c r="AF394">
        <v>0</v>
      </c>
      <c r="AG394">
        <v>0</v>
      </c>
      <c r="AH394">
        <v>0</v>
      </c>
      <c r="AI394">
        <v>8.3000000000000007</v>
      </c>
      <c r="AJ394">
        <v>1</v>
      </c>
      <c r="AK394">
        <v>1</v>
      </c>
      <c r="AL394">
        <v>1</v>
      </c>
      <c r="AM394">
        <v>2</v>
      </c>
      <c r="AN394">
        <v>0</v>
      </c>
      <c r="AO394">
        <v>1</v>
      </c>
      <c r="AP394">
        <v>1</v>
      </c>
      <c r="AQ394">
        <v>0</v>
      </c>
      <c r="AR394">
        <v>0</v>
      </c>
      <c r="AS394" t="s">
        <v>3</v>
      </c>
      <c r="AT394">
        <v>0.50900000000000001</v>
      </c>
      <c r="AU394" t="s">
        <v>35</v>
      </c>
      <c r="AV394">
        <v>0</v>
      </c>
      <c r="AW394">
        <v>2</v>
      </c>
      <c r="AX394">
        <v>85739966</v>
      </c>
      <c r="AY394">
        <v>1</v>
      </c>
      <c r="AZ394">
        <v>0</v>
      </c>
      <c r="BA394">
        <v>410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v>0</v>
      </c>
      <c r="CX394">
        <f>ROUND(Y394*Source!I174,9)</f>
        <v>3.9600200000000001</v>
      </c>
      <c r="CY394">
        <f t="shared" ref="CY394:CY404" si="179">AA394</f>
        <v>324.06</v>
      </c>
      <c r="CZ394">
        <f t="shared" ref="CZ394:CZ404" si="180">AE394</f>
        <v>37.979999999999997</v>
      </c>
      <c r="DA394">
        <f t="shared" ref="DA394:DA404" si="181">AI394</f>
        <v>8.3000000000000007</v>
      </c>
      <c r="DB394">
        <f t="shared" ref="DB394:DB404" si="182">ROUND((ROUND(AT394*CZ394,2)*1),6)</f>
        <v>19.329999999999998</v>
      </c>
      <c r="DC394">
        <f t="shared" ref="DC394:DC404" si="183">ROUND((ROUND(AT394*AG394,2)*1),6)</f>
        <v>0</v>
      </c>
      <c r="DD394" t="s">
        <v>3</v>
      </c>
      <c r="DE394" t="s">
        <v>3</v>
      </c>
      <c r="DF394">
        <f t="shared" ref="DF394:DF404" si="184">ROUND(ROUND(AE394*AI394,2)*CX394,2)</f>
        <v>1248.32</v>
      </c>
      <c r="DG394">
        <f t="shared" ref="DG394:DG412" si="185">ROUND(ROUND(AF394,2)*CX394,2)</f>
        <v>0</v>
      </c>
      <c r="DH394">
        <f t="shared" si="177"/>
        <v>0</v>
      </c>
      <c r="DI394">
        <f t="shared" si="176"/>
        <v>0</v>
      </c>
      <c r="DJ394">
        <f t="shared" ref="DJ394:DJ404" si="186">DF394</f>
        <v>1248.32</v>
      </c>
      <c r="DK394">
        <v>0</v>
      </c>
      <c r="DL394" t="s">
        <v>3</v>
      </c>
      <c r="DM394">
        <v>0</v>
      </c>
      <c r="DN394" t="s">
        <v>3</v>
      </c>
      <c r="DO394">
        <v>0</v>
      </c>
    </row>
    <row r="395" spans="1:119" x14ac:dyDescent="0.2">
      <c r="A395">
        <f>ROW(Source!A174)</f>
        <v>174</v>
      </c>
      <c r="B395">
        <v>85739207</v>
      </c>
      <c r="C395">
        <v>85739915</v>
      </c>
      <c r="D395">
        <v>85205750</v>
      </c>
      <c r="E395">
        <v>1</v>
      </c>
      <c r="F395">
        <v>1</v>
      </c>
      <c r="G395">
        <v>1081</v>
      </c>
      <c r="H395">
        <v>3</v>
      </c>
      <c r="I395" t="s">
        <v>585</v>
      </c>
      <c r="J395" t="s">
        <v>586</v>
      </c>
      <c r="K395" t="s">
        <v>587</v>
      </c>
      <c r="L395">
        <v>1346</v>
      </c>
      <c r="N395">
        <v>1009</v>
      </c>
      <c r="O395" t="s">
        <v>502</v>
      </c>
      <c r="P395" t="s">
        <v>502</v>
      </c>
      <c r="Q395">
        <v>1</v>
      </c>
      <c r="W395">
        <v>0</v>
      </c>
      <c r="X395">
        <v>-1002316563</v>
      </c>
      <c r="Y395">
        <f t="shared" si="178"/>
        <v>1.575</v>
      </c>
      <c r="AA395">
        <v>686.54</v>
      </c>
      <c r="AB395">
        <v>0</v>
      </c>
      <c r="AC395">
        <v>0</v>
      </c>
      <c r="AD395">
        <v>0</v>
      </c>
      <c r="AE395">
        <v>78.569999999999993</v>
      </c>
      <c r="AF395">
        <v>0</v>
      </c>
      <c r="AG395">
        <v>0</v>
      </c>
      <c r="AH395">
        <v>0</v>
      </c>
      <c r="AI395">
        <v>8.5</v>
      </c>
      <c r="AJ395">
        <v>1</v>
      </c>
      <c r="AK395">
        <v>1</v>
      </c>
      <c r="AL395">
        <v>1</v>
      </c>
      <c r="AM395">
        <v>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1.575</v>
      </c>
      <c r="AU395" t="s">
        <v>35</v>
      </c>
      <c r="AV395">
        <v>0</v>
      </c>
      <c r="AW395">
        <v>2</v>
      </c>
      <c r="AX395">
        <v>85739967</v>
      </c>
      <c r="AY395">
        <v>1</v>
      </c>
      <c r="AZ395">
        <v>0</v>
      </c>
      <c r="BA395">
        <v>411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v>0</v>
      </c>
      <c r="CX395">
        <f>ROUND(Y395*Source!I174,9)</f>
        <v>12.253500000000001</v>
      </c>
      <c r="CY395">
        <f t="shared" si="179"/>
        <v>686.54</v>
      </c>
      <c r="CZ395">
        <f t="shared" si="180"/>
        <v>78.569999999999993</v>
      </c>
      <c r="DA395">
        <f t="shared" si="181"/>
        <v>8.5</v>
      </c>
      <c r="DB395">
        <f t="shared" si="182"/>
        <v>123.75</v>
      </c>
      <c r="DC395">
        <f t="shared" si="183"/>
        <v>0</v>
      </c>
      <c r="DD395" t="s">
        <v>3</v>
      </c>
      <c r="DE395" t="s">
        <v>3</v>
      </c>
      <c r="DF395">
        <f t="shared" si="184"/>
        <v>8183.5</v>
      </c>
      <c r="DG395">
        <f t="shared" si="185"/>
        <v>0</v>
      </c>
      <c r="DH395">
        <f t="shared" si="177"/>
        <v>0</v>
      </c>
      <c r="DI395">
        <f t="shared" si="176"/>
        <v>0</v>
      </c>
      <c r="DJ395">
        <f t="shared" si="186"/>
        <v>8183.5</v>
      </c>
      <c r="DK395">
        <v>0</v>
      </c>
      <c r="DL395" t="s">
        <v>3</v>
      </c>
      <c r="DM395">
        <v>0</v>
      </c>
      <c r="DN395" t="s">
        <v>3</v>
      </c>
      <c r="DO395">
        <v>0</v>
      </c>
    </row>
    <row r="396" spans="1:119" x14ac:dyDescent="0.2">
      <c r="A396">
        <f>ROW(Source!A174)</f>
        <v>174</v>
      </c>
      <c r="B396">
        <v>85739207</v>
      </c>
      <c r="C396">
        <v>85739915</v>
      </c>
      <c r="D396">
        <v>85215555</v>
      </c>
      <c r="E396">
        <v>1</v>
      </c>
      <c r="F396">
        <v>1</v>
      </c>
      <c r="G396">
        <v>1081</v>
      </c>
      <c r="H396">
        <v>3</v>
      </c>
      <c r="I396" t="s">
        <v>588</v>
      </c>
      <c r="J396" t="s">
        <v>589</v>
      </c>
      <c r="K396" t="s">
        <v>590</v>
      </c>
      <c r="L396">
        <v>1354</v>
      </c>
      <c r="N396">
        <v>1010</v>
      </c>
      <c r="O396" t="s">
        <v>99</v>
      </c>
      <c r="P396" t="s">
        <v>99</v>
      </c>
      <c r="Q396">
        <v>1</v>
      </c>
      <c r="W396">
        <v>0</v>
      </c>
      <c r="X396">
        <v>-1531181373</v>
      </c>
      <c r="Y396">
        <f t="shared" si="178"/>
        <v>100</v>
      </c>
      <c r="AA396">
        <v>46.01</v>
      </c>
      <c r="AB396">
        <v>0</v>
      </c>
      <c r="AC396">
        <v>0</v>
      </c>
      <c r="AD396">
        <v>0</v>
      </c>
      <c r="AE396">
        <v>4.59</v>
      </c>
      <c r="AF396">
        <v>0</v>
      </c>
      <c r="AG396">
        <v>0</v>
      </c>
      <c r="AH396">
        <v>0</v>
      </c>
      <c r="AI396">
        <v>9.75</v>
      </c>
      <c r="AJ396">
        <v>1</v>
      </c>
      <c r="AK396">
        <v>1</v>
      </c>
      <c r="AL396">
        <v>1</v>
      </c>
      <c r="AM396">
        <v>2</v>
      </c>
      <c r="AN396">
        <v>0</v>
      </c>
      <c r="AO396">
        <v>1</v>
      </c>
      <c r="AP396">
        <v>1</v>
      </c>
      <c r="AQ396">
        <v>0</v>
      </c>
      <c r="AR396">
        <v>0</v>
      </c>
      <c r="AS396" t="s">
        <v>3</v>
      </c>
      <c r="AT396">
        <v>100</v>
      </c>
      <c r="AU396" t="s">
        <v>35</v>
      </c>
      <c r="AV396">
        <v>0</v>
      </c>
      <c r="AW396">
        <v>2</v>
      </c>
      <c r="AX396">
        <v>85739968</v>
      </c>
      <c r="AY396">
        <v>1</v>
      </c>
      <c r="AZ396">
        <v>0</v>
      </c>
      <c r="BA396">
        <v>412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v>0</v>
      </c>
      <c r="CX396">
        <f>ROUND(Y396*Source!I174,9)</f>
        <v>778</v>
      </c>
      <c r="CY396">
        <f t="shared" si="179"/>
        <v>46.01</v>
      </c>
      <c r="CZ396">
        <f t="shared" si="180"/>
        <v>4.59</v>
      </c>
      <c r="DA396">
        <f t="shared" si="181"/>
        <v>9.75</v>
      </c>
      <c r="DB396">
        <f t="shared" si="182"/>
        <v>459</v>
      </c>
      <c r="DC396">
        <f t="shared" si="183"/>
        <v>0</v>
      </c>
      <c r="DD396" t="s">
        <v>3</v>
      </c>
      <c r="DE396" t="s">
        <v>3</v>
      </c>
      <c r="DF396">
        <f t="shared" si="184"/>
        <v>34815.5</v>
      </c>
      <c r="DG396">
        <f t="shared" si="185"/>
        <v>0</v>
      </c>
      <c r="DH396">
        <f t="shared" si="177"/>
        <v>0</v>
      </c>
      <c r="DI396">
        <f t="shared" si="176"/>
        <v>0</v>
      </c>
      <c r="DJ396">
        <f t="shared" si="186"/>
        <v>34815.5</v>
      </c>
      <c r="DK396">
        <v>0</v>
      </c>
      <c r="DL396" t="s">
        <v>3</v>
      </c>
      <c r="DM396">
        <v>0</v>
      </c>
      <c r="DN396" t="s">
        <v>3</v>
      </c>
      <c r="DO396">
        <v>0</v>
      </c>
    </row>
    <row r="397" spans="1:119" x14ac:dyDescent="0.2">
      <c r="A397">
        <f>ROW(Source!A174)</f>
        <v>174</v>
      </c>
      <c r="B397">
        <v>85739207</v>
      </c>
      <c r="C397">
        <v>85739915</v>
      </c>
      <c r="D397">
        <v>85215556</v>
      </c>
      <c r="E397">
        <v>1</v>
      </c>
      <c r="F397">
        <v>1</v>
      </c>
      <c r="G397">
        <v>1081</v>
      </c>
      <c r="H397">
        <v>3</v>
      </c>
      <c r="I397" t="s">
        <v>591</v>
      </c>
      <c r="J397" t="s">
        <v>592</v>
      </c>
      <c r="K397" t="s">
        <v>593</v>
      </c>
      <c r="L397">
        <v>1354</v>
      </c>
      <c r="N397">
        <v>1010</v>
      </c>
      <c r="O397" t="s">
        <v>99</v>
      </c>
      <c r="P397" t="s">
        <v>99</v>
      </c>
      <c r="Q397">
        <v>1</v>
      </c>
      <c r="W397">
        <v>0</v>
      </c>
      <c r="X397">
        <v>-1806552005</v>
      </c>
      <c r="Y397">
        <f t="shared" si="178"/>
        <v>102</v>
      </c>
      <c r="AA397">
        <v>46.01</v>
      </c>
      <c r="AB397">
        <v>0</v>
      </c>
      <c r="AC397">
        <v>0</v>
      </c>
      <c r="AD397">
        <v>0</v>
      </c>
      <c r="AE397">
        <v>4.59</v>
      </c>
      <c r="AF397">
        <v>0</v>
      </c>
      <c r="AG397">
        <v>0</v>
      </c>
      <c r="AH397">
        <v>0</v>
      </c>
      <c r="AI397">
        <v>9.75</v>
      </c>
      <c r="AJ397">
        <v>1</v>
      </c>
      <c r="AK397">
        <v>1</v>
      </c>
      <c r="AL397">
        <v>1</v>
      </c>
      <c r="AM397">
        <v>2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102</v>
      </c>
      <c r="AU397" t="s">
        <v>35</v>
      </c>
      <c r="AV397">
        <v>0</v>
      </c>
      <c r="AW397">
        <v>2</v>
      </c>
      <c r="AX397">
        <v>85739969</v>
      </c>
      <c r="AY397">
        <v>1</v>
      </c>
      <c r="AZ397">
        <v>0</v>
      </c>
      <c r="BA397">
        <v>413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v>0</v>
      </c>
      <c r="CX397">
        <f>ROUND(Y397*Source!I174,9)</f>
        <v>793.56</v>
      </c>
      <c r="CY397">
        <f t="shared" si="179"/>
        <v>46.01</v>
      </c>
      <c r="CZ397">
        <f t="shared" si="180"/>
        <v>4.59</v>
      </c>
      <c r="DA397">
        <f t="shared" si="181"/>
        <v>9.75</v>
      </c>
      <c r="DB397">
        <f t="shared" si="182"/>
        <v>468.18</v>
      </c>
      <c r="DC397">
        <f t="shared" si="183"/>
        <v>0</v>
      </c>
      <c r="DD397" t="s">
        <v>3</v>
      </c>
      <c r="DE397" t="s">
        <v>3</v>
      </c>
      <c r="DF397">
        <f t="shared" si="184"/>
        <v>35511.81</v>
      </c>
      <c r="DG397">
        <f t="shared" si="185"/>
        <v>0</v>
      </c>
      <c r="DH397">
        <f t="shared" si="177"/>
        <v>0</v>
      </c>
      <c r="DI397">
        <f t="shared" si="176"/>
        <v>0</v>
      </c>
      <c r="DJ397">
        <f t="shared" si="186"/>
        <v>35511.81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">
      <c r="A398">
        <f>ROW(Source!A174)</f>
        <v>174</v>
      </c>
      <c r="B398">
        <v>85739207</v>
      </c>
      <c r="C398">
        <v>85739915</v>
      </c>
      <c r="D398">
        <v>85215557</v>
      </c>
      <c r="E398">
        <v>1</v>
      </c>
      <c r="F398">
        <v>1</v>
      </c>
      <c r="G398">
        <v>1081</v>
      </c>
      <c r="H398">
        <v>3</v>
      </c>
      <c r="I398" t="s">
        <v>594</v>
      </c>
      <c r="J398" t="s">
        <v>595</v>
      </c>
      <c r="K398" t="s">
        <v>596</v>
      </c>
      <c r="L398">
        <v>1354</v>
      </c>
      <c r="N398">
        <v>1010</v>
      </c>
      <c r="O398" t="s">
        <v>99</v>
      </c>
      <c r="P398" t="s">
        <v>99</v>
      </c>
      <c r="Q398">
        <v>1</v>
      </c>
      <c r="W398">
        <v>0</v>
      </c>
      <c r="X398">
        <v>-709156778</v>
      </c>
      <c r="Y398">
        <f t="shared" si="178"/>
        <v>204</v>
      </c>
      <c r="AA398">
        <v>46.01</v>
      </c>
      <c r="AB398">
        <v>0</v>
      </c>
      <c r="AC398">
        <v>0</v>
      </c>
      <c r="AD398">
        <v>0</v>
      </c>
      <c r="AE398">
        <v>4.59</v>
      </c>
      <c r="AF398">
        <v>0</v>
      </c>
      <c r="AG398">
        <v>0</v>
      </c>
      <c r="AH398">
        <v>0</v>
      </c>
      <c r="AI398">
        <v>9.75</v>
      </c>
      <c r="AJ398">
        <v>1</v>
      </c>
      <c r="AK398">
        <v>1</v>
      </c>
      <c r="AL398">
        <v>1</v>
      </c>
      <c r="AM398">
        <v>2</v>
      </c>
      <c r="AN398">
        <v>0</v>
      </c>
      <c r="AO398">
        <v>1</v>
      </c>
      <c r="AP398">
        <v>1</v>
      </c>
      <c r="AQ398">
        <v>0</v>
      </c>
      <c r="AR398">
        <v>0</v>
      </c>
      <c r="AS398" t="s">
        <v>3</v>
      </c>
      <c r="AT398">
        <v>204</v>
      </c>
      <c r="AU398" t="s">
        <v>35</v>
      </c>
      <c r="AV398">
        <v>0</v>
      </c>
      <c r="AW398">
        <v>2</v>
      </c>
      <c r="AX398">
        <v>85739970</v>
      </c>
      <c r="AY398">
        <v>1</v>
      </c>
      <c r="AZ398">
        <v>0</v>
      </c>
      <c r="BA398">
        <v>414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v>0</v>
      </c>
      <c r="CX398">
        <f>ROUND(Y398*Source!I174,9)</f>
        <v>1587.12</v>
      </c>
      <c r="CY398">
        <f t="shared" si="179"/>
        <v>46.01</v>
      </c>
      <c r="CZ398">
        <f t="shared" si="180"/>
        <v>4.59</v>
      </c>
      <c r="DA398">
        <f t="shared" si="181"/>
        <v>9.75</v>
      </c>
      <c r="DB398">
        <f t="shared" si="182"/>
        <v>936.36</v>
      </c>
      <c r="DC398">
        <f t="shared" si="183"/>
        <v>0</v>
      </c>
      <c r="DD398" t="s">
        <v>3</v>
      </c>
      <c r="DE398" t="s">
        <v>3</v>
      </c>
      <c r="DF398">
        <f t="shared" si="184"/>
        <v>71023.62</v>
      </c>
      <c r="DG398">
        <f t="shared" si="185"/>
        <v>0</v>
      </c>
      <c r="DH398">
        <f t="shared" si="177"/>
        <v>0</v>
      </c>
      <c r="DI398">
        <f t="shared" si="176"/>
        <v>0</v>
      </c>
      <c r="DJ398">
        <f t="shared" si="186"/>
        <v>71023.62</v>
      </c>
      <c r="DK398">
        <v>0</v>
      </c>
      <c r="DL398" t="s">
        <v>3</v>
      </c>
      <c r="DM398">
        <v>0</v>
      </c>
      <c r="DN398" t="s">
        <v>3</v>
      </c>
      <c r="DO398">
        <v>0</v>
      </c>
    </row>
    <row r="399" spans="1:119" x14ac:dyDescent="0.2">
      <c r="A399">
        <f>ROW(Source!A174)</f>
        <v>174</v>
      </c>
      <c r="B399">
        <v>85739207</v>
      </c>
      <c r="C399">
        <v>85739915</v>
      </c>
      <c r="D399">
        <v>85215558</v>
      </c>
      <c r="E399">
        <v>1</v>
      </c>
      <c r="F399">
        <v>1</v>
      </c>
      <c r="G399">
        <v>1081</v>
      </c>
      <c r="H399">
        <v>3</v>
      </c>
      <c r="I399" t="s">
        <v>597</v>
      </c>
      <c r="J399" t="s">
        <v>598</v>
      </c>
      <c r="K399" t="s">
        <v>599</v>
      </c>
      <c r="L399">
        <v>1354</v>
      </c>
      <c r="N399">
        <v>1010</v>
      </c>
      <c r="O399" t="s">
        <v>99</v>
      </c>
      <c r="P399" t="s">
        <v>99</v>
      </c>
      <c r="Q399">
        <v>1</v>
      </c>
      <c r="W399">
        <v>0</v>
      </c>
      <c r="X399">
        <v>-1115551314</v>
      </c>
      <c r="Y399">
        <f t="shared" si="178"/>
        <v>102</v>
      </c>
      <c r="AA399">
        <v>28.16</v>
      </c>
      <c r="AB399">
        <v>0</v>
      </c>
      <c r="AC399">
        <v>0</v>
      </c>
      <c r="AD399">
        <v>0</v>
      </c>
      <c r="AE399">
        <v>2.81</v>
      </c>
      <c r="AF399">
        <v>0</v>
      </c>
      <c r="AG399">
        <v>0</v>
      </c>
      <c r="AH399">
        <v>0</v>
      </c>
      <c r="AI399">
        <v>9.75</v>
      </c>
      <c r="AJ399">
        <v>1</v>
      </c>
      <c r="AK399">
        <v>1</v>
      </c>
      <c r="AL399">
        <v>1</v>
      </c>
      <c r="AM399">
        <v>2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102</v>
      </c>
      <c r="AU399" t="s">
        <v>35</v>
      </c>
      <c r="AV399">
        <v>0</v>
      </c>
      <c r="AW399">
        <v>2</v>
      </c>
      <c r="AX399">
        <v>85739971</v>
      </c>
      <c r="AY399">
        <v>1</v>
      </c>
      <c r="AZ399">
        <v>0</v>
      </c>
      <c r="BA399">
        <v>415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V399">
        <v>0</v>
      </c>
      <c r="CW399">
        <v>0</v>
      </c>
      <c r="CX399">
        <f>ROUND(Y399*Source!I174,9)</f>
        <v>793.56</v>
      </c>
      <c r="CY399">
        <f t="shared" si="179"/>
        <v>28.16</v>
      </c>
      <c r="CZ399">
        <f t="shared" si="180"/>
        <v>2.81</v>
      </c>
      <c r="DA399">
        <f t="shared" si="181"/>
        <v>9.75</v>
      </c>
      <c r="DB399">
        <f t="shared" si="182"/>
        <v>286.62</v>
      </c>
      <c r="DC399">
        <f t="shared" si="183"/>
        <v>0</v>
      </c>
      <c r="DD399" t="s">
        <v>3</v>
      </c>
      <c r="DE399" t="s">
        <v>3</v>
      </c>
      <c r="DF399">
        <f t="shared" si="184"/>
        <v>21743.54</v>
      </c>
      <c r="DG399">
        <f t="shared" si="185"/>
        <v>0</v>
      </c>
      <c r="DH399">
        <f t="shared" si="177"/>
        <v>0</v>
      </c>
      <c r="DI399">
        <f t="shared" si="176"/>
        <v>0</v>
      </c>
      <c r="DJ399">
        <f t="shared" si="186"/>
        <v>21743.54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">
      <c r="A400">
        <f>ROW(Source!A174)</f>
        <v>174</v>
      </c>
      <c r="B400">
        <v>85739207</v>
      </c>
      <c r="C400">
        <v>85739915</v>
      </c>
      <c r="D400">
        <v>85215559</v>
      </c>
      <c r="E400">
        <v>1</v>
      </c>
      <c r="F400">
        <v>1</v>
      </c>
      <c r="G400">
        <v>1081</v>
      </c>
      <c r="H400">
        <v>3</v>
      </c>
      <c r="I400" t="s">
        <v>345</v>
      </c>
      <c r="J400" t="s">
        <v>347</v>
      </c>
      <c r="K400" t="s">
        <v>346</v>
      </c>
      <c r="L400">
        <v>1354</v>
      </c>
      <c r="N400">
        <v>1010</v>
      </c>
      <c r="O400" t="s">
        <v>99</v>
      </c>
      <c r="P400" t="s">
        <v>99</v>
      </c>
      <c r="Q400">
        <v>1</v>
      </c>
      <c r="W400">
        <v>0</v>
      </c>
      <c r="X400">
        <v>580796849</v>
      </c>
      <c r="Y400">
        <f t="shared" si="178"/>
        <v>100</v>
      </c>
      <c r="AA400">
        <v>143.78</v>
      </c>
      <c r="AB400">
        <v>0</v>
      </c>
      <c r="AC400">
        <v>0</v>
      </c>
      <c r="AD400">
        <v>0</v>
      </c>
      <c r="AE400">
        <v>20.51</v>
      </c>
      <c r="AF400">
        <v>0</v>
      </c>
      <c r="AG400">
        <v>0</v>
      </c>
      <c r="AH400">
        <v>0</v>
      </c>
      <c r="AI400">
        <v>7.01</v>
      </c>
      <c r="AJ400">
        <v>1</v>
      </c>
      <c r="AK400">
        <v>1</v>
      </c>
      <c r="AL400">
        <v>1</v>
      </c>
      <c r="AM400">
        <v>0</v>
      </c>
      <c r="AN400">
        <v>0</v>
      </c>
      <c r="AO400">
        <v>0</v>
      </c>
      <c r="AP400">
        <v>1</v>
      </c>
      <c r="AQ400">
        <v>0</v>
      </c>
      <c r="AR400">
        <v>0</v>
      </c>
      <c r="AS400" t="s">
        <v>3</v>
      </c>
      <c r="AT400">
        <v>100</v>
      </c>
      <c r="AU400" t="s">
        <v>35</v>
      </c>
      <c r="AV400">
        <v>0</v>
      </c>
      <c r="AW400">
        <v>1</v>
      </c>
      <c r="AX400">
        <v>-1</v>
      </c>
      <c r="AY400">
        <v>0</v>
      </c>
      <c r="AZ400">
        <v>0</v>
      </c>
      <c r="BA400" t="s">
        <v>3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v>0</v>
      </c>
      <c r="CX400">
        <f>ROUND(Y400*Source!I174,9)</f>
        <v>778</v>
      </c>
      <c r="CY400">
        <f t="shared" si="179"/>
        <v>143.78</v>
      </c>
      <c r="CZ400">
        <f t="shared" si="180"/>
        <v>20.51</v>
      </c>
      <c r="DA400">
        <f t="shared" si="181"/>
        <v>7.01</v>
      </c>
      <c r="DB400">
        <f t="shared" si="182"/>
        <v>2051</v>
      </c>
      <c r="DC400">
        <f t="shared" si="183"/>
        <v>0</v>
      </c>
      <c r="DD400" t="s">
        <v>3</v>
      </c>
      <c r="DE400" t="s">
        <v>3</v>
      </c>
      <c r="DF400">
        <f t="shared" si="184"/>
        <v>111860.84</v>
      </c>
      <c r="DG400">
        <f t="shared" si="185"/>
        <v>0</v>
      </c>
      <c r="DH400">
        <f t="shared" si="177"/>
        <v>0</v>
      </c>
      <c r="DI400">
        <f t="shared" si="176"/>
        <v>0</v>
      </c>
      <c r="DJ400">
        <f t="shared" si="186"/>
        <v>111860.84</v>
      </c>
      <c r="DK400">
        <v>0</v>
      </c>
      <c r="DL400" t="s">
        <v>3</v>
      </c>
      <c r="DM400">
        <v>0</v>
      </c>
      <c r="DN400" t="s">
        <v>3</v>
      </c>
      <c r="DO400">
        <v>0</v>
      </c>
    </row>
    <row r="401" spans="1:119" x14ac:dyDescent="0.2">
      <c r="A401">
        <f>ROW(Source!A174)</f>
        <v>174</v>
      </c>
      <c r="B401">
        <v>85739207</v>
      </c>
      <c r="C401">
        <v>85739915</v>
      </c>
      <c r="D401">
        <v>85215560</v>
      </c>
      <c r="E401">
        <v>1</v>
      </c>
      <c r="F401">
        <v>1</v>
      </c>
      <c r="G401">
        <v>1081</v>
      </c>
      <c r="H401">
        <v>3</v>
      </c>
      <c r="I401" t="s">
        <v>349</v>
      </c>
      <c r="J401" t="s">
        <v>351</v>
      </c>
      <c r="K401" t="s">
        <v>350</v>
      </c>
      <c r="L401">
        <v>1354</v>
      </c>
      <c r="N401">
        <v>1010</v>
      </c>
      <c r="O401" t="s">
        <v>99</v>
      </c>
      <c r="P401" t="s">
        <v>99</v>
      </c>
      <c r="Q401">
        <v>1</v>
      </c>
      <c r="W401">
        <v>0</v>
      </c>
      <c r="X401">
        <v>-787797693</v>
      </c>
      <c r="Y401">
        <f t="shared" si="178"/>
        <v>100</v>
      </c>
      <c r="AA401">
        <v>132.77000000000001</v>
      </c>
      <c r="AB401">
        <v>0</v>
      </c>
      <c r="AC401">
        <v>0</v>
      </c>
      <c r="AD401">
        <v>0</v>
      </c>
      <c r="AE401">
        <v>18.940000000000001</v>
      </c>
      <c r="AF401">
        <v>0</v>
      </c>
      <c r="AG401">
        <v>0</v>
      </c>
      <c r="AH401">
        <v>0</v>
      </c>
      <c r="AI401">
        <v>7.01</v>
      </c>
      <c r="AJ401">
        <v>1</v>
      </c>
      <c r="AK401">
        <v>1</v>
      </c>
      <c r="AL401">
        <v>1</v>
      </c>
      <c r="AM401">
        <v>0</v>
      </c>
      <c r="AN401">
        <v>0</v>
      </c>
      <c r="AO401">
        <v>0</v>
      </c>
      <c r="AP401">
        <v>1</v>
      </c>
      <c r="AQ401">
        <v>0</v>
      </c>
      <c r="AR401">
        <v>0</v>
      </c>
      <c r="AS401" t="s">
        <v>3</v>
      </c>
      <c r="AT401">
        <v>100</v>
      </c>
      <c r="AU401" t="s">
        <v>35</v>
      </c>
      <c r="AV401">
        <v>0</v>
      </c>
      <c r="AW401">
        <v>1</v>
      </c>
      <c r="AX401">
        <v>-1</v>
      </c>
      <c r="AY401">
        <v>0</v>
      </c>
      <c r="AZ401">
        <v>0</v>
      </c>
      <c r="BA401" t="s">
        <v>3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v>0</v>
      </c>
      <c r="CX401">
        <f>ROUND(Y401*Source!I174,9)</f>
        <v>778</v>
      </c>
      <c r="CY401">
        <f t="shared" si="179"/>
        <v>132.77000000000001</v>
      </c>
      <c r="CZ401">
        <f t="shared" si="180"/>
        <v>18.940000000000001</v>
      </c>
      <c r="DA401">
        <f t="shared" si="181"/>
        <v>7.01</v>
      </c>
      <c r="DB401">
        <f t="shared" si="182"/>
        <v>1894</v>
      </c>
      <c r="DC401">
        <f t="shared" si="183"/>
        <v>0</v>
      </c>
      <c r="DD401" t="s">
        <v>3</v>
      </c>
      <c r="DE401" t="s">
        <v>3</v>
      </c>
      <c r="DF401">
        <f t="shared" si="184"/>
        <v>103295.06</v>
      </c>
      <c r="DG401">
        <f t="shared" si="185"/>
        <v>0</v>
      </c>
      <c r="DH401">
        <f t="shared" si="177"/>
        <v>0</v>
      </c>
      <c r="DI401">
        <f t="shared" si="176"/>
        <v>0</v>
      </c>
      <c r="DJ401">
        <f t="shared" si="186"/>
        <v>103295.06</v>
      </c>
      <c r="DK401">
        <v>0</v>
      </c>
      <c r="DL401" t="s">
        <v>3</v>
      </c>
      <c r="DM401">
        <v>0</v>
      </c>
      <c r="DN401" t="s">
        <v>3</v>
      </c>
      <c r="DO401">
        <v>0</v>
      </c>
    </row>
    <row r="402" spans="1:119" x14ac:dyDescent="0.2">
      <c r="A402">
        <f>ROW(Source!A174)</f>
        <v>174</v>
      </c>
      <c r="B402">
        <v>85739207</v>
      </c>
      <c r="C402">
        <v>85739915</v>
      </c>
      <c r="D402">
        <v>85214690</v>
      </c>
      <c r="E402">
        <v>1</v>
      </c>
      <c r="F402">
        <v>1</v>
      </c>
      <c r="G402">
        <v>1081</v>
      </c>
      <c r="H402">
        <v>3</v>
      </c>
      <c r="I402" t="s">
        <v>341</v>
      </c>
      <c r="J402" t="s">
        <v>343</v>
      </c>
      <c r="K402" t="s">
        <v>342</v>
      </c>
      <c r="L402">
        <v>1301</v>
      </c>
      <c r="N402">
        <v>1003</v>
      </c>
      <c r="O402" t="s">
        <v>179</v>
      </c>
      <c r="P402" t="s">
        <v>179</v>
      </c>
      <c r="Q402">
        <v>1</v>
      </c>
      <c r="W402">
        <v>0</v>
      </c>
      <c r="X402">
        <v>-1565334788</v>
      </c>
      <c r="Y402">
        <f t="shared" si="178"/>
        <v>77.52</v>
      </c>
      <c r="AA402">
        <v>105.3</v>
      </c>
      <c r="AB402">
        <v>0</v>
      </c>
      <c r="AC402">
        <v>0</v>
      </c>
      <c r="AD402">
        <v>0</v>
      </c>
      <c r="AE402">
        <v>10.8</v>
      </c>
      <c r="AF402">
        <v>0</v>
      </c>
      <c r="AG402">
        <v>0</v>
      </c>
      <c r="AH402">
        <v>0</v>
      </c>
      <c r="AI402">
        <v>9.75</v>
      </c>
      <c r="AJ402">
        <v>1</v>
      </c>
      <c r="AK402">
        <v>1</v>
      </c>
      <c r="AL402">
        <v>1</v>
      </c>
      <c r="AM402">
        <v>0</v>
      </c>
      <c r="AN402">
        <v>0</v>
      </c>
      <c r="AO402">
        <v>0</v>
      </c>
      <c r="AP402">
        <v>1</v>
      </c>
      <c r="AQ402">
        <v>0</v>
      </c>
      <c r="AR402">
        <v>0</v>
      </c>
      <c r="AS402" t="s">
        <v>3</v>
      </c>
      <c r="AT402">
        <v>77.52</v>
      </c>
      <c r="AU402" t="s">
        <v>35</v>
      </c>
      <c r="AV402">
        <v>0</v>
      </c>
      <c r="AW402">
        <v>1</v>
      </c>
      <c r="AX402">
        <v>-1</v>
      </c>
      <c r="AY402">
        <v>0</v>
      </c>
      <c r="AZ402">
        <v>0</v>
      </c>
      <c r="BA402" t="s">
        <v>3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v>0</v>
      </c>
      <c r="CX402">
        <f>ROUND(Y402*Source!I174,9)</f>
        <v>603.10559999999998</v>
      </c>
      <c r="CY402">
        <f t="shared" si="179"/>
        <v>105.3</v>
      </c>
      <c r="CZ402">
        <f t="shared" si="180"/>
        <v>10.8</v>
      </c>
      <c r="DA402">
        <f t="shared" si="181"/>
        <v>9.75</v>
      </c>
      <c r="DB402">
        <f t="shared" si="182"/>
        <v>837.22</v>
      </c>
      <c r="DC402">
        <f t="shared" si="183"/>
        <v>0</v>
      </c>
      <c r="DD402" t="s">
        <v>3</v>
      </c>
      <c r="DE402" t="s">
        <v>3</v>
      </c>
      <c r="DF402">
        <f t="shared" si="184"/>
        <v>63507.02</v>
      </c>
      <c r="DG402">
        <f t="shared" si="185"/>
        <v>0</v>
      </c>
      <c r="DH402">
        <f t="shared" si="177"/>
        <v>0</v>
      </c>
      <c r="DI402">
        <f t="shared" si="176"/>
        <v>0</v>
      </c>
      <c r="DJ402">
        <f t="shared" si="186"/>
        <v>63507.02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  <row r="403" spans="1:119" x14ac:dyDescent="0.2">
      <c r="A403">
        <f>ROW(Source!A174)</f>
        <v>174</v>
      </c>
      <c r="B403">
        <v>85739207</v>
      </c>
      <c r="C403">
        <v>85739915</v>
      </c>
      <c r="D403">
        <v>85218077</v>
      </c>
      <c r="E403">
        <v>1</v>
      </c>
      <c r="F403">
        <v>1</v>
      </c>
      <c r="G403">
        <v>1081</v>
      </c>
      <c r="H403">
        <v>3</v>
      </c>
      <c r="I403" t="s">
        <v>353</v>
      </c>
      <c r="J403" t="s">
        <v>355</v>
      </c>
      <c r="K403" t="s">
        <v>354</v>
      </c>
      <c r="L403">
        <v>1354</v>
      </c>
      <c r="N403">
        <v>1010</v>
      </c>
      <c r="O403" t="s">
        <v>99</v>
      </c>
      <c r="P403" t="s">
        <v>99</v>
      </c>
      <c r="Q403">
        <v>1</v>
      </c>
      <c r="W403">
        <v>0</v>
      </c>
      <c r="X403">
        <v>-1169831446</v>
      </c>
      <c r="Y403">
        <f t="shared" si="178"/>
        <v>100</v>
      </c>
      <c r="AA403">
        <v>939.97</v>
      </c>
      <c r="AB403">
        <v>0</v>
      </c>
      <c r="AC403">
        <v>0</v>
      </c>
      <c r="AD403">
        <v>0</v>
      </c>
      <c r="AE403">
        <v>38.21</v>
      </c>
      <c r="AF403">
        <v>0</v>
      </c>
      <c r="AG403">
        <v>0</v>
      </c>
      <c r="AH403">
        <v>0</v>
      </c>
      <c r="AI403">
        <v>24.6</v>
      </c>
      <c r="AJ403">
        <v>1</v>
      </c>
      <c r="AK403">
        <v>1</v>
      </c>
      <c r="AL403">
        <v>1</v>
      </c>
      <c r="AM403">
        <v>0</v>
      </c>
      <c r="AN403">
        <v>0</v>
      </c>
      <c r="AO403">
        <v>0</v>
      </c>
      <c r="AP403">
        <v>1</v>
      </c>
      <c r="AQ403">
        <v>0</v>
      </c>
      <c r="AR403">
        <v>0</v>
      </c>
      <c r="AS403" t="s">
        <v>3</v>
      </c>
      <c r="AT403">
        <v>100</v>
      </c>
      <c r="AU403" t="s">
        <v>35</v>
      </c>
      <c r="AV403">
        <v>0</v>
      </c>
      <c r="AW403">
        <v>1</v>
      </c>
      <c r="AX403">
        <v>-1</v>
      </c>
      <c r="AY403">
        <v>0</v>
      </c>
      <c r="AZ403">
        <v>0</v>
      </c>
      <c r="BA403" t="s">
        <v>3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ROUND(Y403*Source!I174,9)</f>
        <v>778</v>
      </c>
      <c r="CY403">
        <f t="shared" si="179"/>
        <v>939.97</v>
      </c>
      <c r="CZ403">
        <f t="shared" si="180"/>
        <v>38.21</v>
      </c>
      <c r="DA403">
        <f t="shared" si="181"/>
        <v>24.6</v>
      </c>
      <c r="DB403">
        <f t="shared" si="182"/>
        <v>3821</v>
      </c>
      <c r="DC403">
        <f t="shared" si="183"/>
        <v>0</v>
      </c>
      <c r="DD403" t="s">
        <v>3</v>
      </c>
      <c r="DE403" t="s">
        <v>3</v>
      </c>
      <c r="DF403">
        <f t="shared" si="184"/>
        <v>731296.66</v>
      </c>
      <c r="DG403">
        <f t="shared" si="185"/>
        <v>0</v>
      </c>
      <c r="DH403">
        <f t="shared" si="177"/>
        <v>0</v>
      </c>
      <c r="DI403">
        <f t="shared" si="176"/>
        <v>0</v>
      </c>
      <c r="DJ403">
        <f t="shared" si="186"/>
        <v>731296.66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">
      <c r="A404">
        <f>ROW(Source!A174)</f>
        <v>174</v>
      </c>
      <c r="B404">
        <v>85739207</v>
      </c>
      <c r="C404">
        <v>85739915</v>
      </c>
      <c r="D404">
        <v>85218093</v>
      </c>
      <c r="E404">
        <v>1</v>
      </c>
      <c r="F404">
        <v>1</v>
      </c>
      <c r="G404">
        <v>1081</v>
      </c>
      <c r="H404">
        <v>3</v>
      </c>
      <c r="I404" t="s">
        <v>600</v>
      </c>
      <c r="J404" t="s">
        <v>601</v>
      </c>
      <c r="K404" t="s">
        <v>602</v>
      </c>
      <c r="L404">
        <v>1354</v>
      </c>
      <c r="N404">
        <v>1010</v>
      </c>
      <c r="O404" t="s">
        <v>99</v>
      </c>
      <c r="P404" t="s">
        <v>99</v>
      </c>
      <c r="Q404">
        <v>1</v>
      </c>
      <c r="W404">
        <v>0</v>
      </c>
      <c r="X404">
        <v>532027092</v>
      </c>
      <c r="Y404">
        <f t="shared" si="178"/>
        <v>100</v>
      </c>
      <c r="AA404">
        <v>50.27</v>
      </c>
      <c r="AB404">
        <v>0</v>
      </c>
      <c r="AC404">
        <v>0</v>
      </c>
      <c r="AD404">
        <v>0</v>
      </c>
      <c r="AE404">
        <v>5.01</v>
      </c>
      <c r="AF404">
        <v>0</v>
      </c>
      <c r="AG404">
        <v>0</v>
      </c>
      <c r="AH404">
        <v>0</v>
      </c>
      <c r="AI404">
        <v>9.76</v>
      </c>
      <c r="AJ404">
        <v>1</v>
      </c>
      <c r="AK404">
        <v>1</v>
      </c>
      <c r="AL404">
        <v>1</v>
      </c>
      <c r="AM404">
        <v>2</v>
      </c>
      <c r="AN404">
        <v>0</v>
      </c>
      <c r="AO404">
        <v>1</v>
      </c>
      <c r="AP404">
        <v>1</v>
      </c>
      <c r="AQ404">
        <v>0</v>
      </c>
      <c r="AR404">
        <v>0</v>
      </c>
      <c r="AS404" t="s">
        <v>3</v>
      </c>
      <c r="AT404">
        <v>100</v>
      </c>
      <c r="AU404" t="s">
        <v>35</v>
      </c>
      <c r="AV404">
        <v>0</v>
      </c>
      <c r="AW404">
        <v>2</v>
      </c>
      <c r="AX404">
        <v>85739972</v>
      </c>
      <c r="AY404">
        <v>1</v>
      </c>
      <c r="AZ404">
        <v>0</v>
      </c>
      <c r="BA404">
        <v>416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v>0</v>
      </c>
      <c r="CX404">
        <f>ROUND(Y404*Source!I174,9)</f>
        <v>778</v>
      </c>
      <c r="CY404">
        <f t="shared" si="179"/>
        <v>50.27</v>
      </c>
      <c r="CZ404">
        <f t="shared" si="180"/>
        <v>5.01</v>
      </c>
      <c r="DA404">
        <f t="shared" si="181"/>
        <v>9.76</v>
      </c>
      <c r="DB404">
        <f t="shared" si="182"/>
        <v>501</v>
      </c>
      <c r="DC404">
        <f t="shared" si="183"/>
        <v>0</v>
      </c>
      <c r="DD404" t="s">
        <v>3</v>
      </c>
      <c r="DE404" t="s">
        <v>3</v>
      </c>
      <c r="DF404">
        <f t="shared" si="184"/>
        <v>38044.199999999997</v>
      </c>
      <c r="DG404">
        <f t="shared" si="185"/>
        <v>0</v>
      </c>
      <c r="DH404">
        <f t="shared" si="177"/>
        <v>0</v>
      </c>
      <c r="DI404">
        <f t="shared" si="176"/>
        <v>0</v>
      </c>
      <c r="DJ404">
        <f t="shared" si="186"/>
        <v>38044.199999999997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">
      <c r="A405">
        <f>ROW(Source!A183)</f>
        <v>183</v>
      </c>
      <c r="B405">
        <v>85739205</v>
      </c>
      <c r="C405">
        <v>85739916</v>
      </c>
      <c r="D405">
        <v>85164021</v>
      </c>
      <c r="E405">
        <v>1081</v>
      </c>
      <c r="F405">
        <v>1</v>
      </c>
      <c r="G405">
        <v>1081</v>
      </c>
      <c r="H405">
        <v>1</v>
      </c>
      <c r="I405" t="s">
        <v>472</v>
      </c>
      <c r="J405" t="s">
        <v>3</v>
      </c>
      <c r="K405" t="s">
        <v>473</v>
      </c>
      <c r="L405">
        <v>1191</v>
      </c>
      <c r="N405">
        <v>1013</v>
      </c>
      <c r="O405" t="s">
        <v>474</v>
      </c>
      <c r="P405" t="s">
        <v>474</v>
      </c>
      <c r="Q405">
        <v>1</v>
      </c>
      <c r="W405">
        <v>0</v>
      </c>
      <c r="X405">
        <v>476480486</v>
      </c>
      <c r="Y405">
        <f>(AT405*1.2)</f>
        <v>8.2799999999999994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1</v>
      </c>
      <c r="AM405">
        <v>-2</v>
      </c>
      <c r="AN405">
        <v>0</v>
      </c>
      <c r="AO405">
        <v>1</v>
      </c>
      <c r="AP405">
        <v>1</v>
      </c>
      <c r="AQ405">
        <v>0</v>
      </c>
      <c r="AR405">
        <v>0</v>
      </c>
      <c r="AS405" t="s">
        <v>3</v>
      </c>
      <c r="AT405">
        <v>6.9</v>
      </c>
      <c r="AU405" t="s">
        <v>36</v>
      </c>
      <c r="AV405">
        <v>1</v>
      </c>
      <c r="AW405">
        <v>2</v>
      </c>
      <c r="AX405">
        <v>85739987</v>
      </c>
      <c r="AY405">
        <v>1</v>
      </c>
      <c r="AZ405">
        <v>0</v>
      </c>
      <c r="BA405">
        <v>421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U405">
        <f>ROUND(AT405*Source!I183*AH405*AL405,2)</f>
        <v>0</v>
      </c>
      <c r="CV405">
        <f>ROUND(Y405*Source!I183,9)</f>
        <v>99.36</v>
      </c>
      <c r="CW405">
        <v>0</v>
      </c>
      <c r="CX405">
        <f>ROUND(Y405*Source!I183,9)</f>
        <v>99.36</v>
      </c>
      <c r="CY405">
        <f>AD405</f>
        <v>0</v>
      </c>
      <c r="CZ405">
        <f>AH405</f>
        <v>0</v>
      </c>
      <c r="DA405">
        <f>AL405</f>
        <v>1</v>
      </c>
      <c r="DB405">
        <f>ROUND((ROUND(AT405*CZ405,2)*1.2),6)</f>
        <v>0</v>
      </c>
      <c r="DC405">
        <f>ROUND((ROUND(AT405*AG405,2)*1.2),6)</f>
        <v>0</v>
      </c>
      <c r="DD405" t="s">
        <v>3</v>
      </c>
      <c r="DE405" t="s">
        <v>3</v>
      </c>
      <c r="DF405">
        <f t="shared" ref="DF405:DF413" si="187">ROUND(ROUND(AE405,2)*CX405,2)</f>
        <v>0</v>
      </c>
      <c r="DG405">
        <f t="shared" si="185"/>
        <v>0</v>
      </c>
      <c r="DH405">
        <f t="shared" si="177"/>
        <v>0</v>
      </c>
      <c r="DI405">
        <f t="shared" si="176"/>
        <v>0</v>
      </c>
      <c r="DJ405">
        <f>DI405</f>
        <v>0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">
      <c r="A406">
        <f>ROW(Source!A183)</f>
        <v>183</v>
      </c>
      <c r="B406">
        <v>85739205</v>
      </c>
      <c r="C406">
        <v>85739916</v>
      </c>
      <c r="D406">
        <v>85229633</v>
      </c>
      <c r="E406">
        <v>1</v>
      </c>
      <c r="F406">
        <v>1</v>
      </c>
      <c r="G406">
        <v>1081</v>
      </c>
      <c r="H406">
        <v>2</v>
      </c>
      <c r="I406" t="s">
        <v>475</v>
      </c>
      <c r="J406" t="s">
        <v>476</v>
      </c>
      <c r="K406" t="s">
        <v>477</v>
      </c>
      <c r="L406">
        <v>1368</v>
      </c>
      <c r="N406">
        <v>1011</v>
      </c>
      <c r="O406" t="s">
        <v>478</v>
      </c>
      <c r="P406" t="s">
        <v>478</v>
      </c>
      <c r="Q406">
        <v>1</v>
      </c>
      <c r="W406">
        <v>0</v>
      </c>
      <c r="X406">
        <v>1498588441</v>
      </c>
      <c r="Y406">
        <f>(AT406*1.2)</f>
        <v>0.72</v>
      </c>
      <c r="AA406">
        <v>0</v>
      </c>
      <c r="AB406">
        <v>7.59</v>
      </c>
      <c r="AC406">
        <v>0</v>
      </c>
      <c r="AD406">
        <v>0</v>
      </c>
      <c r="AE406">
        <v>0</v>
      </c>
      <c r="AF406">
        <v>7.11</v>
      </c>
      <c r="AG406">
        <v>0</v>
      </c>
      <c r="AH406">
        <v>0</v>
      </c>
      <c r="AI406">
        <v>1</v>
      </c>
      <c r="AJ406">
        <v>1</v>
      </c>
      <c r="AK406">
        <v>1</v>
      </c>
      <c r="AL406">
        <v>1</v>
      </c>
      <c r="AM406">
        <v>-2</v>
      </c>
      <c r="AN406">
        <v>0</v>
      </c>
      <c r="AO406">
        <v>1</v>
      </c>
      <c r="AP406">
        <v>1</v>
      </c>
      <c r="AQ406">
        <v>0</v>
      </c>
      <c r="AR406">
        <v>0</v>
      </c>
      <c r="AS406" t="s">
        <v>3</v>
      </c>
      <c r="AT406">
        <v>0.6</v>
      </c>
      <c r="AU406" t="s">
        <v>36</v>
      </c>
      <c r="AV406">
        <v>0</v>
      </c>
      <c r="AW406">
        <v>2</v>
      </c>
      <c r="AX406">
        <v>85739988</v>
      </c>
      <c r="AY406">
        <v>1</v>
      </c>
      <c r="AZ406">
        <v>0</v>
      </c>
      <c r="BA406">
        <v>422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f>ROUND(Y406*Source!I183*DO406,9)</f>
        <v>0</v>
      </c>
      <c r="CX406">
        <f>ROUND(Y406*Source!I183,9)</f>
        <v>8.64</v>
      </c>
      <c r="CY406">
        <f>AB406</f>
        <v>7.59</v>
      </c>
      <c r="CZ406">
        <f>AF406</f>
        <v>7.11</v>
      </c>
      <c r="DA406">
        <f>AJ406</f>
        <v>1</v>
      </c>
      <c r="DB406">
        <f>ROUND((ROUND(AT406*CZ406,2)*1.2),6)</f>
        <v>5.1239999999999997</v>
      </c>
      <c r="DC406">
        <f>ROUND((ROUND(AT406*AG406,2)*1.2),6)</f>
        <v>0</v>
      </c>
      <c r="DD406" t="s">
        <v>3</v>
      </c>
      <c r="DE406" t="s">
        <v>3</v>
      </c>
      <c r="DF406">
        <f t="shared" si="187"/>
        <v>0</v>
      </c>
      <c r="DG406">
        <f t="shared" si="185"/>
        <v>61.43</v>
      </c>
      <c r="DH406">
        <f t="shared" si="177"/>
        <v>0</v>
      </c>
      <c r="DI406">
        <f t="shared" si="176"/>
        <v>0</v>
      </c>
      <c r="DJ406">
        <f>DG406</f>
        <v>61.43</v>
      </c>
      <c r="DK406">
        <v>0</v>
      </c>
      <c r="DL406" t="s">
        <v>3</v>
      </c>
      <c r="DM406">
        <v>0</v>
      </c>
      <c r="DN406" t="s">
        <v>3</v>
      </c>
      <c r="DO406">
        <v>0</v>
      </c>
    </row>
    <row r="407" spans="1:119" x14ac:dyDescent="0.2">
      <c r="A407">
        <f>ROW(Source!A183)</f>
        <v>183</v>
      </c>
      <c r="B407">
        <v>85739205</v>
      </c>
      <c r="C407">
        <v>85739916</v>
      </c>
      <c r="D407">
        <v>85200111</v>
      </c>
      <c r="E407">
        <v>1</v>
      </c>
      <c r="F407">
        <v>1</v>
      </c>
      <c r="G407">
        <v>1081</v>
      </c>
      <c r="H407">
        <v>3</v>
      </c>
      <c r="I407" t="s">
        <v>492</v>
      </c>
      <c r="J407" t="s">
        <v>493</v>
      </c>
      <c r="K407" t="s">
        <v>494</v>
      </c>
      <c r="L407">
        <v>1348</v>
      </c>
      <c r="N407">
        <v>1009</v>
      </c>
      <c r="O407" t="s">
        <v>266</v>
      </c>
      <c r="P407" t="s">
        <v>266</v>
      </c>
      <c r="Q407">
        <v>1000</v>
      </c>
      <c r="W407">
        <v>0</v>
      </c>
      <c r="X407">
        <v>205566664</v>
      </c>
      <c r="Y407">
        <f>(AT407*1)</f>
        <v>3.8000000000000002E-4</v>
      </c>
      <c r="AA407">
        <v>9367.64</v>
      </c>
      <c r="AB407">
        <v>0</v>
      </c>
      <c r="AC407">
        <v>0</v>
      </c>
      <c r="AD407">
        <v>0</v>
      </c>
      <c r="AE407">
        <v>9112.49</v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1</v>
      </c>
      <c r="AL407">
        <v>1</v>
      </c>
      <c r="AM407">
        <v>-2</v>
      </c>
      <c r="AN407">
        <v>0</v>
      </c>
      <c r="AO407">
        <v>1</v>
      </c>
      <c r="AP407">
        <v>1</v>
      </c>
      <c r="AQ407">
        <v>0</v>
      </c>
      <c r="AR407">
        <v>0</v>
      </c>
      <c r="AS407" t="s">
        <v>3</v>
      </c>
      <c r="AT407">
        <v>3.8000000000000002E-4</v>
      </c>
      <c r="AU407" t="s">
        <v>35</v>
      </c>
      <c r="AV407">
        <v>0</v>
      </c>
      <c r="AW407">
        <v>2</v>
      </c>
      <c r="AX407">
        <v>85739989</v>
      </c>
      <c r="AY407">
        <v>1</v>
      </c>
      <c r="AZ407">
        <v>0</v>
      </c>
      <c r="BA407">
        <v>423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V407">
        <v>0</v>
      </c>
      <c r="CW407">
        <v>0</v>
      </c>
      <c r="CX407">
        <f>ROUND(Y407*Source!I183,9)</f>
        <v>4.5599999999999998E-3</v>
      </c>
      <c r="CY407">
        <f>AA407</f>
        <v>9367.64</v>
      </c>
      <c r="CZ407">
        <f>AE407</f>
        <v>9112.49</v>
      </c>
      <c r="DA407">
        <f>AI407</f>
        <v>1</v>
      </c>
      <c r="DB407">
        <f>ROUND((ROUND(AT407*CZ407,2)*1),6)</f>
        <v>3.46</v>
      </c>
      <c r="DC407">
        <f>ROUND((ROUND(AT407*AG407,2)*1),6)</f>
        <v>0</v>
      </c>
      <c r="DD407" t="s">
        <v>3</v>
      </c>
      <c r="DE407" t="s">
        <v>3</v>
      </c>
      <c r="DF407">
        <f t="shared" si="187"/>
        <v>41.55</v>
      </c>
      <c r="DG407">
        <f t="shared" si="185"/>
        <v>0</v>
      </c>
      <c r="DH407">
        <f t="shared" si="177"/>
        <v>0</v>
      </c>
      <c r="DI407">
        <f t="shared" si="176"/>
        <v>0</v>
      </c>
      <c r="DJ407">
        <f>DF407</f>
        <v>41.55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">
      <c r="A408">
        <f>ROW(Source!A183)</f>
        <v>183</v>
      </c>
      <c r="B408">
        <v>85739205</v>
      </c>
      <c r="C408">
        <v>85739916</v>
      </c>
      <c r="D408">
        <v>85200784</v>
      </c>
      <c r="E408">
        <v>1</v>
      </c>
      <c r="F408">
        <v>1</v>
      </c>
      <c r="G408">
        <v>1081</v>
      </c>
      <c r="H408">
        <v>3</v>
      </c>
      <c r="I408" t="s">
        <v>499</v>
      </c>
      <c r="J408" t="s">
        <v>500</v>
      </c>
      <c r="K408" t="s">
        <v>501</v>
      </c>
      <c r="L408">
        <v>1346</v>
      </c>
      <c r="N408">
        <v>1009</v>
      </c>
      <c r="O408" t="s">
        <v>502</v>
      </c>
      <c r="P408" t="s">
        <v>502</v>
      </c>
      <c r="Q408">
        <v>1</v>
      </c>
      <c r="W408">
        <v>0</v>
      </c>
      <c r="X408">
        <v>-2132327540</v>
      </c>
      <c r="Y408">
        <f>(AT408*1)</f>
        <v>6.0000000000000001E-3</v>
      </c>
      <c r="AA408">
        <v>6.43</v>
      </c>
      <c r="AB408">
        <v>0</v>
      </c>
      <c r="AC408">
        <v>0</v>
      </c>
      <c r="AD408">
        <v>0</v>
      </c>
      <c r="AE408">
        <v>6.25</v>
      </c>
      <c r="AF408">
        <v>0</v>
      </c>
      <c r="AG408">
        <v>0</v>
      </c>
      <c r="AH408">
        <v>0</v>
      </c>
      <c r="AI408">
        <v>1</v>
      </c>
      <c r="AJ408">
        <v>1</v>
      </c>
      <c r="AK408">
        <v>1</v>
      </c>
      <c r="AL408">
        <v>1</v>
      </c>
      <c r="AM408">
        <v>-2</v>
      </c>
      <c r="AN408">
        <v>0</v>
      </c>
      <c r="AO408">
        <v>1</v>
      </c>
      <c r="AP408">
        <v>1</v>
      </c>
      <c r="AQ408">
        <v>0</v>
      </c>
      <c r="AR408">
        <v>0</v>
      </c>
      <c r="AS408" t="s">
        <v>3</v>
      </c>
      <c r="AT408">
        <v>6.0000000000000001E-3</v>
      </c>
      <c r="AU408" t="s">
        <v>35</v>
      </c>
      <c r="AV408">
        <v>0</v>
      </c>
      <c r="AW408">
        <v>2</v>
      </c>
      <c r="AX408">
        <v>85739990</v>
      </c>
      <c r="AY408">
        <v>1</v>
      </c>
      <c r="AZ408">
        <v>0</v>
      </c>
      <c r="BA408">
        <v>424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v>0</v>
      </c>
      <c r="CX408">
        <f>ROUND(Y408*Source!I183,9)</f>
        <v>7.1999999999999995E-2</v>
      </c>
      <c r="CY408">
        <f>AA408</f>
        <v>6.43</v>
      </c>
      <c r="CZ408">
        <f>AE408</f>
        <v>6.25</v>
      </c>
      <c r="DA408">
        <f>AI408</f>
        <v>1</v>
      </c>
      <c r="DB408">
        <f>ROUND((ROUND(AT408*CZ408,2)*1),6)</f>
        <v>0.04</v>
      </c>
      <c r="DC408">
        <f>ROUND((ROUND(AT408*AG408,2)*1),6)</f>
        <v>0</v>
      </c>
      <c r="DD408" t="s">
        <v>3</v>
      </c>
      <c r="DE408" t="s">
        <v>3</v>
      </c>
      <c r="DF408">
        <f t="shared" si="187"/>
        <v>0.45</v>
      </c>
      <c r="DG408">
        <f t="shared" si="185"/>
        <v>0</v>
      </c>
      <c r="DH408">
        <f t="shared" si="177"/>
        <v>0</v>
      </c>
      <c r="DI408">
        <f t="shared" si="176"/>
        <v>0</v>
      </c>
      <c r="DJ408">
        <f>DF408</f>
        <v>0.45</v>
      </c>
      <c r="DK408">
        <v>0</v>
      </c>
      <c r="DL408" t="s">
        <v>3</v>
      </c>
      <c r="DM408">
        <v>0</v>
      </c>
      <c r="DN408" t="s">
        <v>3</v>
      </c>
      <c r="DO408">
        <v>0</v>
      </c>
    </row>
    <row r="409" spans="1:119" x14ac:dyDescent="0.2">
      <c r="A409">
        <f>ROW(Source!A183)</f>
        <v>183</v>
      </c>
      <c r="B409">
        <v>85739205</v>
      </c>
      <c r="C409">
        <v>85739916</v>
      </c>
      <c r="D409">
        <v>85199158</v>
      </c>
      <c r="E409">
        <v>1</v>
      </c>
      <c r="F409">
        <v>1</v>
      </c>
      <c r="G409">
        <v>1081</v>
      </c>
      <c r="H409">
        <v>3</v>
      </c>
      <c r="I409" t="s">
        <v>503</v>
      </c>
      <c r="J409" t="s">
        <v>504</v>
      </c>
      <c r="K409" t="s">
        <v>505</v>
      </c>
      <c r="L409">
        <v>1339</v>
      </c>
      <c r="N409">
        <v>1007</v>
      </c>
      <c r="O409" t="s">
        <v>506</v>
      </c>
      <c r="P409" t="s">
        <v>506</v>
      </c>
      <c r="Q409">
        <v>1</v>
      </c>
      <c r="W409">
        <v>0</v>
      </c>
      <c r="X409">
        <v>-1235260082</v>
      </c>
      <c r="Y409">
        <f>(AT409*1)</f>
        <v>1.4999999999999999E-2</v>
      </c>
      <c r="AA409">
        <v>5.98</v>
      </c>
      <c r="AB409">
        <v>0</v>
      </c>
      <c r="AC409">
        <v>0</v>
      </c>
      <c r="AD409">
        <v>0</v>
      </c>
      <c r="AE409">
        <v>5.82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1</v>
      </c>
      <c r="AL409">
        <v>1</v>
      </c>
      <c r="AM409">
        <v>-2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1.4999999999999999E-2</v>
      </c>
      <c r="AU409" t="s">
        <v>35</v>
      </c>
      <c r="AV409">
        <v>0</v>
      </c>
      <c r="AW409">
        <v>2</v>
      </c>
      <c r="AX409">
        <v>85739991</v>
      </c>
      <c r="AY409">
        <v>1</v>
      </c>
      <c r="AZ409">
        <v>0</v>
      </c>
      <c r="BA409">
        <v>425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V409">
        <v>0</v>
      </c>
      <c r="CW409">
        <v>0</v>
      </c>
      <c r="CX409">
        <f>ROUND(Y409*Source!I183,9)</f>
        <v>0.18</v>
      </c>
      <c r="CY409">
        <f>AA409</f>
        <v>5.98</v>
      </c>
      <c r="CZ409">
        <f>AE409</f>
        <v>5.82</v>
      </c>
      <c r="DA409">
        <f>AI409</f>
        <v>1</v>
      </c>
      <c r="DB409">
        <f>ROUND((ROUND(AT409*CZ409,2)*1),6)</f>
        <v>0.09</v>
      </c>
      <c r="DC409">
        <f>ROUND((ROUND(AT409*AG409,2)*1),6)</f>
        <v>0</v>
      </c>
      <c r="DD409" t="s">
        <v>3</v>
      </c>
      <c r="DE409" t="s">
        <v>3</v>
      </c>
      <c r="DF409">
        <f t="shared" si="187"/>
        <v>1.05</v>
      </c>
      <c r="DG409">
        <f t="shared" si="185"/>
        <v>0</v>
      </c>
      <c r="DH409">
        <f t="shared" si="177"/>
        <v>0</v>
      </c>
      <c r="DI409">
        <f t="shared" si="176"/>
        <v>0</v>
      </c>
      <c r="DJ409">
        <f>DF409</f>
        <v>1.05</v>
      </c>
      <c r="DK409">
        <v>0</v>
      </c>
      <c r="DL409" t="s">
        <v>3</v>
      </c>
      <c r="DM409">
        <v>0</v>
      </c>
      <c r="DN409" t="s">
        <v>3</v>
      </c>
      <c r="DO409">
        <v>0</v>
      </c>
    </row>
    <row r="410" spans="1:119" x14ac:dyDescent="0.2">
      <c r="A410">
        <f>ROW(Source!A183)</f>
        <v>183</v>
      </c>
      <c r="B410">
        <v>85739205</v>
      </c>
      <c r="C410">
        <v>85739916</v>
      </c>
      <c r="D410">
        <v>85216795</v>
      </c>
      <c r="E410">
        <v>1</v>
      </c>
      <c r="F410">
        <v>1</v>
      </c>
      <c r="G410">
        <v>1081</v>
      </c>
      <c r="H410">
        <v>3</v>
      </c>
      <c r="I410" t="s">
        <v>361</v>
      </c>
      <c r="J410" t="s">
        <v>363</v>
      </c>
      <c r="K410" t="s">
        <v>362</v>
      </c>
      <c r="L410">
        <v>1354</v>
      </c>
      <c r="N410">
        <v>1010</v>
      </c>
      <c r="O410" t="s">
        <v>99</v>
      </c>
      <c r="P410" t="s">
        <v>99</v>
      </c>
      <c r="Q410">
        <v>1</v>
      </c>
      <c r="W410">
        <v>0</v>
      </c>
      <c r="X410">
        <v>-230661020</v>
      </c>
      <c r="Y410">
        <f>(AT410*1)</f>
        <v>1</v>
      </c>
      <c r="AA410">
        <v>254.98</v>
      </c>
      <c r="AB410">
        <v>0</v>
      </c>
      <c r="AC410">
        <v>0</v>
      </c>
      <c r="AD410">
        <v>0</v>
      </c>
      <c r="AE410">
        <v>254.98</v>
      </c>
      <c r="AF410">
        <v>0</v>
      </c>
      <c r="AG410">
        <v>0</v>
      </c>
      <c r="AH410">
        <v>0</v>
      </c>
      <c r="AI410">
        <v>1</v>
      </c>
      <c r="AJ410">
        <v>1</v>
      </c>
      <c r="AK410">
        <v>1</v>
      </c>
      <c r="AL410">
        <v>1</v>
      </c>
      <c r="AM410">
        <v>0</v>
      </c>
      <c r="AN410">
        <v>0</v>
      </c>
      <c r="AO410">
        <v>0</v>
      </c>
      <c r="AP410">
        <v>1</v>
      </c>
      <c r="AQ410">
        <v>0</v>
      </c>
      <c r="AR410">
        <v>0</v>
      </c>
      <c r="AS410" t="s">
        <v>3</v>
      </c>
      <c r="AT410">
        <v>1</v>
      </c>
      <c r="AU410" t="s">
        <v>35</v>
      </c>
      <c r="AV410">
        <v>0</v>
      </c>
      <c r="AW410">
        <v>1</v>
      </c>
      <c r="AX410">
        <v>-1</v>
      </c>
      <c r="AY410">
        <v>0</v>
      </c>
      <c r="AZ410">
        <v>0</v>
      </c>
      <c r="BA410" t="s">
        <v>3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v>0</v>
      </c>
      <c r="CX410">
        <f>ROUND(Y410*Source!I183,9)</f>
        <v>12</v>
      </c>
      <c r="CY410">
        <f>AA410</f>
        <v>254.98</v>
      </c>
      <c r="CZ410">
        <f>AE410</f>
        <v>254.98</v>
      </c>
      <c r="DA410">
        <f>AI410</f>
        <v>1</v>
      </c>
      <c r="DB410">
        <f>ROUND((ROUND(AT410*CZ410,2)*1),6)</f>
        <v>254.98</v>
      </c>
      <c r="DC410">
        <f>ROUND((ROUND(AT410*AG410,2)*1),6)</f>
        <v>0</v>
      </c>
      <c r="DD410" t="s">
        <v>3</v>
      </c>
      <c r="DE410" t="s">
        <v>3</v>
      </c>
      <c r="DF410">
        <f t="shared" si="187"/>
        <v>3059.76</v>
      </c>
      <c r="DG410">
        <f t="shared" si="185"/>
        <v>0</v>
      </c>
      <c r="DH410">
        <f t="shared" si="177"/>
        <v>0</v>
      </c>
      <c r="DI410">
        <f t="shared" si="176"/>
        <v>0</v>
      </c>
      <c r="DJ410">
        <f>DF410</f>
        <v>3059.76</v>
      </c>
      <c r="DK410">
        <v>0</v>
      </c>
      <c r="DL410" t="s">
        <v>3</v>
      </c>
      <c r="DM410">
        <v>0</v>
      </c>
      <c r="DN410" t="s">
        <v>3</v>
      </c>
      <c r="DO410">
        <v>0</v>
      </c>
    </row>
    <row r="411" spans="1:119" x14ac:dyDescent="0.2">
      <c r="A411">
        <f>ROW(Source!A183)</f>
        <v>183</v>
      </c>
      <c r="B411">
        <v>85739205</v>
      </c>
      <c r="C411">
        <v>85739916</v>
      </c>
      <c r="D411">
        <v>85218070</v>
      </c>
      <c r="E411">
        <v>1</v>
      </c>
      <c r="F411">
        <v>1</v>
      </c>
      <c r="G411">
        <v>1081</v>
      </c>
      <c r="H411">
        <v>3</v>
      </c>
      <c r="I411" t="s">
        <v>365</v>
      </c>
      <c r="J411" t="s">
        <v>367</v>
      </c>
      <c r="K411" t="s">
        <v>366</v>
      </c>
      <c r="L411">
        <v>1354</v>
      </c>
      <c r="N411">
        <v>1010</v>
      </c>
      <c r="O411" t="s">
        <v>99</v>
      </c>
      <c r="P411" t="s">
        <v>99</v>
      </c>
      <c r="Q411">
        <v>1</v>
      </c>
      <c r="W411">
        <v>0</v>
      </c>
      <c r="X411">
        <v>769202615</v>
      </c>
      <c r="Y411">
        <f>(AT411*1)</f>
        <v>1</v>
      </c>
      <c r="AA411">
        <v>24.84</v>
      </c>
      <c r="AB411">
        <v>0</v>
      </c>
      <c r="AC411">
        <v>0</v>
      </c>
      <c r="AD411">
        <v>0</v>
      </c>
      <c r="AE411">
        <v>24.84</v>
      </c>
      <c r="AF411">
        <v>0</v>
      </c>
      <c r="AG411">
        <v>0</v>
      </c>
      <c r="AH411">
        <v>0</v>
      </c>
      <c r="AI411">
        <v>1</v>
      </c>
      <c r="AJ411">
        <v>1</v>
      </c>
      <c r="AK411">
        <v>1</v>
      </c>
      <c r="AL411">
        <v>1</v>
      </c>
      <c r="AM411">
        <v>0</v>
      </c>
      <c r="AN411">
        <v>0</v>
      </c>
      <c r="AO411">
        <v>0</v>
      </c>
      <c r="AP411">
        <v>1</v>
      </c>
      <c r="AQ411">
        <v>0</v>
      </c>
      <c r="AR411">
        <v>0</v>
      </c>
      <c r="AS411" t="s">
        <v>3</v>
      </c>
      <c r="AT411">
        <v>1</v>
      </c>
      <c r="AU411" t="s">
        <v>35</v>
      </c>
      <c r="AV411">
        <v>0</v>
      </c>
      <c r="AW411">
        <v>1</v>
      </c>
      <c r="AX411">
        <v>-1</v>
      </c>
      <c r="AY411">
        <v>0</v>
      </c>
      <c r="AZ411">
        <v>0</v>
      </c>
      <c r="BA411" t="s">
        <v>3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V411">
        <v>0</v>
      </c>
      <c r="CW411">
        <v>0</v>
      </c>
      <c r="CX411">
        <f>ROUND(Y411*Source!I183,9)</f>
        <v>12</v>
      </c>
      <c r="CY411">
        <f>AA411</f>
        <v>24.84</v>
      </c>
      <c r="CZ411">
        <f>AE411</f>
        <v>24.84</v>
      </c>
      <c r="DA411">
        <f>AI411</f>
        <v>1</v>
      </c>
      <c r="DB411">
        <f>ROUND((ROUND(AT411*CZ411,2)*1),6)</f>
        <v>24.84</v>
      </c>
      <c r="DC411">
        <f>ROUND((ROUND(AT411*AG411,2)*1),6)</f>
        <v>0</v>
      </c>
      <c r="DD411" t="s">
        <v>3</v>
      </c>
      <c r="DE411" t="s">
        <v>3</v>
      </c>
      <c r="DF411">
        <f t="shared" si="187"/>
        <v>298.08</v>
      </c>
      <c r="DG411">
        <f t="shared" si="185"/>
        <v>0</v>
      </c>
      <c r="DH411">
        <f t="shared" si="177"/>
        <v>0</v>
      </c>
      <c r="DI411">
        <f t="shared" si="176"/>
        <v>0</v>
      </c>
      <c r="DJ411">
        <f>DF411</f>
        <v>298.08</v>
      </c>
      <c r="DK411">
        <v>0</v>
      </c>
      <c r="DL411" t="s">
        <v>3</v>
      </c>
      <c r="DM411">
        <v>0</v>
      </c>
      <c r="DN411" t="s">
        <v>3</v>
      </c>
      <c r="DO411">
        <v>0</v>
      </c>
    </row>
    <row r="412" spans="1:119" x14ac:dyDescent="0.2">
      <c r="A412">
        <f>ROW(Source!A184)</f>
        <v>184</v>
      </c>
      <c r="B412">
        <v>85739207</v>
      </c>
      <c r="C412">
        <v>85739916</v>
      </c>
      <c r="D412">
        <v>85164021</v>
      </c>
      <c r="E412">
        <v>1081</v>
      </c>
      <c r="F412">
        <v>1</v>
      </c>
      <c r="G412">
        <v>1081</v>
      </c>
      <c r="H412">
        <v>1</v>
      </c>
      <c r="I412" t="s">
        <v>472</v>
      </c>
      <c r="J412" t="s">
        <v>3</v>
      </c>
      <c r="K412" t="s">
        <v>473</v>
      </c>
      <c r="L412">
        <v>1191</v>
      </c>
      <c r="N412">
        <v>1013</v>
      </c>
      <c r="O412" t="s">
        <v>474</v>
      </c>
      <c r="P412" t="s">
        <v>474</v>
      </c>
      <c r="Q412">
        <v>1</v>
      </c>
      <c r="W412">
        <v>0</v>
      </c>
      <c r="X412">
        <v>476480486</v>
      </c>
      <c r="Y412">
        <f>(AT412*1.2)</f>
        <v>8.2799999999999994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</v>
      </c>
      <c r="AJ412">
        <v>1</v>
      </c>
      <c r="AK412">
        <v>1</v>
      </c>
      <c r="AL412">
        <v>1</v>
      </c>
      <c r="AM412">
        <v>5</v>
      </c>
      <c r="AN412">
        <v>0</v>
      </c>
      <c r="AO412">
        <v>1</v>
      </c>
      <c r="AP412">
        <v>1</v>
      </c>
      <c r="AQ412">
        <v>0</v>
      </c>
      <c r="AR412">
        <v>0</v>
      </c>
      <c r="AS412" t="s">
        <v>3</v>
      </c>
      <c r="AT412">
        <v>6.9</v>
      </c>
      <c r="AU412" t="s">
        <v>36</v>
      </c>
      <c r="AV412">
        <v>1</v>
      </c>
      <c r="AW412">
        <v>2</v>
      </c>
      <c r="AX412">
        <v>85739987</v>
      </c>
      <c r="AY412">
        <v>1</v>
      </c>
      <c r="AZ412">
        <v>0</v>
      </c>
      <c r="BA412">
        <v>427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U412">
        <f>ROUND(AT412*Source!I184*AH412*AL412,2)</f>
        <v>0</v>
      </c>
      <c r="CV412">
        <f>ROUND(Y412*Source!I184,9)</f>
        <v>99.36</v>
      </c>
      <c r="CW412">
        <v>0</v>
      </c>
      <c r="CX412">
        <f>ROUND(Y412*Source!I184,9)</f>
        <v>99.36</v>
      </c>
      <c r="CY412">
        <f>AD412</f>
        <v>0</v>
      </c>
      <c r="CZ412">
        <f>AH412</f>
        <v>0</v>
      </c>
      <c r="DA412">
        <f>AL412</f>
        <v>1</v>
      </c>
      <c r="DB412">
        <f>ROUND((ROUND(AT412*CZ412,2)*1.2),6)</f>
        <v>0</v>
      </c>
      <c r="DC412">
        <f>ROUND((ROUND(AT412*AG412,2)*1.2),6)</f>
        <v>0</v>
      </c>
      <c r="DD412" t="s">
        <v>3</v>
      </c>
      <c r="DE412" t="s">
        <v>3</v>
      </c>
      <c r="DF412">
        <f t="shared" si="187"/>
        <v>0</v>
      </c>
      <c r="DG412">
        <f t="shared" si="185"/>
        <v>0</v>
      </c>
      <c r="DH412">
        <f t="shared" si="177"/>
        <v>0</v>
      </c>
      <c r="DI412">
        <f t="shared" si="176"/>
        <v>0</v>
      </c>
      <c r="DJ412">
        <f>DI412</f>
        <v>0</v>
      </c>
      <c r="DK412">
        <v>0</v>
      </c>
      <c r="DL412" t="s">
        <v>3</v>
      </c>
      <c r="DM412">
        <v>0</v>
      </c>
      <c r="DN412" t="s">
        <v>3</v>
      </c>
      <c r="DO412">
        <v>0</v>
      </c>
    </row>
    <row r="413" spans="1:119" x14ac:dyDescent="0.2">
      <c r="A413">
        <f>ROW(Source!A184)</f>
        <v>184</v>
      </c>
      <c r="B413">
        <v>85739207</v>
      </c>
      <c r="C413">
        <v>85739916</v>
      </c>
      <c r="D413">
        <v>85229633</v>
      </c>
      <c r="E413">
        <v>1</v>
      </c>
      <c r="F413">
        <v>1</v>
      </c>
      <c r="G413">
        <v>1081</v>
      </c>
      <c r="H413">
        <v>2</v>
      </c>
      <c r="I413" t="s">
        <v>475</v>
      </c>
      <c r="J413" t="s">
        <v>476</v>
      </c>
      <c r="K413" t="s">
        <v>477</v>
      </c>
      <c r="L413">
        <v>1368</v>
      </c>
      <c r="N413">
        <v>1011</v>
      </c>
      <c r="O413" t="s">
        <v>478</v>
      </c>
      <c r="P413" t="s">
        <v>478</v>
      </c>
      <c r="Q413">
        <v>1</v>
      </c>
      <c r="W413">
        <v>0</v>
      </c>
      <c r="X413">
        <v>1498588441</v>
      </c>
      <c r="Y413">
        <f>(AT413*1.2)</f>
        <v>0.72</v>
      </c>
      <c r="AA413">
        <v>0</v>
      </c>
      <c r="AB413">
        <v>102.11</v>
      </c>
      <c r="AC413">
        <v>0</v>
      </c>
      <c r="AD413">
        <v>0</v>
      </c>
      <c r="AE413">
        <v>0</v>
      </c>
      <c r="AF413">
        <v>7.11</v>
      </c>
      <c r="AG413">
        <v>0</v>
      </c>
      <c r="AH413">
        <v>0</v>
      </c>
      <c r="AI413">
        <v>1</v>
      </c>
      <c r="AJ413">
        <v>13.46</v>
      </c>
      <c r="AK413">
        <v>1</v>
      </c>
      <c r="AL413">
        <v>1</v>
      </c>
      <c r="AM413">
        <v>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0.6</v>
      </c>
      <c r="AU413" t="s">
        <v>36</v>
      </c>
      <c r="AV413">
        <v>0</v>
      </c>
      <c r="AW413">
        <v>2</v>
      </c>
      <c r="AX413">
        <v>85739988</v>
      </c>
      <c r="AY413">
        <v>1</v>
      </c>
      <c r="AZ413">
        <v>0</v>
      </c>
      <c r="BA413">
        <v>428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V413">
        <v>0</v>
      </c>
      <c r="CW413">
        <f>ROUND(Y413*Source!I184*DO413,9)</f>
        <v>0</v>
      </c>
      <c r="CX413">
        <f>ROUND(Y413*Source!I184,9)</f>
        <v>8.64</v>
      </c>
      <c r="CY413">
        <f>AB413</f>
        <v>102.11</v>
      </c>
      <c r="CZ413">
        <f>AF413</f>
        <v>7.11</v>
      </c>
      <c r="DA413">
        <f>AJ413</f>
        <v>13.46</v>
      </c>
      <c r="DB413">
        <f>ROUND((ROUND(AT413*CZ413,2)*1.2),6)</f>
        <v>5.1239999999999997</v>
      </c>
      <c r="DC413">
        <f>ROUND((ROUND(AT413*AG413,2)*1.2),6)</f>
        <v>0</v>
      </c>
      <c r="DD413" t="s">
        <v>3</v>
      </c>
      <c r="DE413" t="s">
        <v>3</v>
      </c>
      <c r="DF413">
        <f t="shared" si="187"/>
        <v>0</v>
      </c>
      <c r="DG413">
        <f>ROUND(ROUND(AF413*AJ413,2)*CX413,2)</f>
        <v>826.85</v>
      </c>
      <c r="DH413">
        <f t="shared" si="177"/>
        <v>0</v>
      </c>
      <c r="DI413">
        <f t="shared" si="176"/>
        <v>0</v>
      </c>
      <c r="DJ413">
        <f>DG413</f>
        <v>826.85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">
      <c r="A414">
        <f>ROW(Source!A184)</f>
        <v>184</v>
      </c>
      <c r="B414">
        <v>85739207</v>
      </c>
      <c r="C414">
        <v>85739916</v>
      </c>
      <c r="D414">
        <v>85200111</v>
      </c>
      <c r="E414">
        <v>1</v>
      </c>
      <c r="F414">
        <v>1</v>
      </c>
      <c r="G414">
        <v>1081</v>
      </c>
      <c r="H414">
        <v>3</v>
      </c>
      <c r="I414" t="s">
        <v>492</v>
      </c>
      <c r="J414" t="s">
        <v>493</v>
      </c>
      <c r="K414" t="s">
        <v>494</v>
      </c>
      <c r="L414">
        <v>1348</v>
      </c>
      <c r="N414">
        <v>1009</v>
      </c>
      <c r="O414" t="s">
        <v>266</v>
      </c>
      <c r="P414" t="s">
        <v>266</v>
      </c>
      <c r="Q414">
        <v>1000</v>
      </c>
      <c r="W414">
        <v>0</v>
      </c>
      <c r="X414">
        <v>205566664</v>
      </c>
      <c r="Y414">
        <f>(AT414*1)</f>
        <v>3.8000000000000002E-4</v>
      </c>
      <c r="AA414">
        <v>95081.54</v>
      </c>
      <c r="AB414">
        <v>0</v>
      </c>
      <c r="AC414">
        <v>0</v>
      </c>
      <c r="AD414">
        <v>0</v>
      </c>
      <c r="AE414">
        <v>9112.49</v>
      </c>
      <c r="AF414">
        <v>0</v>
      </c>
      <c r="AG414">
        <v>0</v>
      </c>
      <c r="AH414">
        <v>0</v>
      </c>
      <c r="AI414">
        <v>10.15</v>
      </c>
      <c r="AJ414">
        <v>1</v>
      </c>
      <c r="AK414">
        <v>1</v>
      </c>
      <c r="AL414">
        <v>1</v>
      </c>
      <c r="AM414">
        <v>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3.8000000000000002E-4</v>
      </c>
      <c r="AU414" t="s">
        <v>35</v>
      </c>
      <c r="AV414">
        <v>0</v>
      </c>
      <c r="AW414">
        <v>2</v>
      </c>
      <c r="AX414">
        <v>85739989</v>
      </c>
      <c r="AY414">
        <v>1</v>
      </c>
      <c r="AZ414">
        <v>0</v>
      </c>
      <c r="BA414">
        <v>429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v>0</v>
      </c>
      <c r="CX414">
        <f>ROUND(Y414*Source!I184,9)</f>
        <v>4.5599999999999998E-3</v>
      </c>
      <c r="CY414">
        <f>AA414</f>
        <v>95081.54</v>
      </c>
      <c r="CZ414">
        <f>AE414</f>
        <v>9112.49</v>
      </c>
      <c r="DA414">
        <f>AI414</f>
        <v>10.15</v>
      </c>
      <c r="DB414">
        <f>ROUND((ROUND(AT414*CZ414,2)*1),6)</f>
        <v>3.46</v>
      </c>
      <c r="DC414">
        <f>ROUND((ROUND(AT414*AG414,2)*1),6)</f>
        <v>0</v>
      </c>
      <c r="DD414" t="s">
        <v>3</v>
      </c>
      <c r="DE414" t="s">
        <v>3</v>
      </c>
      <c r="DF414">
        <f>ROUND(ROUND(AE414*AI414,2)*CX414,2)</f>
        <v>421.76</v>
      </c>
      <c r="DG414">
        <f t="shared" ref="DG414:DG427" si="188">ROUND(ROUND(AF414,2)*CX414,2)</f>
        <v>0</v>
      </c>
      <c r="DH414">
        <f t="shared" si="177"/>
        <v>0</v>
      </c>
      <c r="DI414">
        <f t="shared" si="176"/>
        <v>0</v>
      </c>
      <c r="DJ414">
        <f>DF414</f>
        <v>421.76</v>
      </c>
      <c r="DK414">
        <v>0</v>
      </c>
      <c r="DL414" t="s">
        <v>3</v>
      </c>
      <c r="DM414">
        <v>0</v>
      </c>
      <c r="DN414" t="s">
        <v>3</v>
      </c>
      <c r="DO414">
        <v>0</v>
      </c>
    </row>
    <row r="415" spans="1:119" x14ac:dyDescent="0.2">
      <c r="A415">
        <f>ROW(Source!A184)</f>
        <v>184</v>
      </c>
      <c r="B415">
        <v>85739207</v>
      </c>
      <c r="C415">
        <v>85739916</v>
      </c>
      <c r="D415">
        <v>85200784</v>
      </c>
      <c r="E415">
        <v>1</v>
      </c>
      <c r="F415">
        <v>1</v>
      </c>
      <c r="G415">
        <v>1081</v>
      </c>
      <c r="H415">
        <v>3</v>
      </c>
      <c r="I415" t="s">
        <v>499</v>
      </c>
      <c r="J415" t="s">
        <v>500</v>
      </c>
      <c r="K415" t="s">
        <v>501</v>
      </c>
      <c r="L415">
        <v>1346</v>
      </c>
      <c r="N415">
        <v>1009</v>
      </c>
      <c r="O415" t="s">
        <v>502</v>
      </c>
      <c r="P415" t="s">
        <v>502</v>
      </c>
      <c r="Q415">
        <v>1</v>
      </c>
      <c r="W415">
        <v>0</v>
      </c>
      <c r="X415">
        <v>-2132327540</v>
      </c>
      <c r="Y415">
        <f>(AT415*1)</f>
        <v>6.0000000000000001E-3</v>
      </c>
      <c r="AA415">
        <v>64.760000000000005</v>
      </c>
      <c r="AB415">
        <v>0</v>
      </c>
      <c r="AC415">
        <v>0</v>
      </c>
      <c r="AD415">
        <v>0</v>
      </c>
      <c r="AE415">
        <v>6.25</v>
      </c>
      <c r="AF415">
        <v>0</v>
      </c>
      <c r="AG415">
        <v>0</v>
      </c>
      <c r="AH415">
        <v>0</v>
      </c>
      <c r="AI415">
        <v>10.08</v>
      </c>
      <c r="AJ415">
        <v>1</v>
      </c>
      <c r="AK415">
        <v>1</v>
      </c>
      <c r="AL415">
        <v>1</v>
      </c>
      <c r="AM415">
        <v>2</v>
      </c>
      <c r="AN415">
        <v>0</v>
      </c>
      <c r="AO415">
        <v>1</v>
      </c>
      <c r="AP415">
        <v>1</v>
      </c>
      <c r="AQ415">
        <v>0</v>
      </c>
      <c r="AR415">
        <v>0</v>
      </c>
      <c r="AS415" t="s">
        <v>3</v>
      </c>
      <c r="AT415">
        <v>6.0000000000000001E-3</v>
      </c>
      <c r="AU415" t="s">
        <v>35</v>
      </c>
      <c r="AV415">
        <v>0</v>
      </c>
      <c r="AW415">
        <v>2</v>
      </c>
      <c r="AX415">
        <v>85739990</v>
      </c>
      <c r="AY415">
        <v>1</v>
      </c>
      <c r="AZ415">
        <v>0</v>
      </c>
      <c r="BA415">
        <v>430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v>0</v>
      </c>
      <c r="CX415">
        <f>ROUND(Y415*Source!I184,9)</f>
        <v>7.1999999999999995E-2</v>
      </c>
      <c r="CY415">
        <f>AA415</f>
        <v>64.760000000000005</v>
      </c>
      <c r="CZ415">
        <f>AE415</f>
        <v>6.25</v>
      </c>
      <c r="DA415">
        <f>AI415</f>
        <v>10.08</v>
      </c>
      <c r="DB415">
        <f>ROUND((ROUND(AT415*CZ415,2)*1),6)</f>
        <v>0.04</v>
      </c>
      <c r="DC415">
        <f>ROUND((ROUND(AT415*AG415,2)*1),6)</f>
        <v>0</v>
      </c>
      <c r="DD415" t="s">
        <v>3</v>
      </c>
      <c r="DE415" t="s">
        <v>3</v>
      </c>
      <c r="DF415">
        <f>ROUND(ROUND(AE415*AI415,2)*CX415,2)</f>
        <v>4.54</v>
      </c>
      <c r="DG415">
        <f t="shared" si="188"/>
        <v>0</v>
      </c>
      <c r="DH415">
        <f t="shared" si="177"/>
        <v>0</v>
      </c>
      <c r="DI415">
        <f t="shared" si="176"/>
        <v>0</v>
      </c>
      <c r="DJ415">
        <f>DF415</f>
        <v>4.54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">
      <c r="A416">
        <f>ROW(Source!A184)</f>
        <v>184</v>
      </c>
      <c r="B416">
        <v>85739207</v>
      </c>
      <c r="C416">
        <v>85739916</v>
      </c>
      <c r="D416">
        <v>85199158</v>
      </c>
      <c r="E416">
        <v>1</v>
      </c>
      <c r="F416">
        <v>1</v>
      </c>
      <c r="G416">
        <v>1081</v>
      </c>
      <c r="H416">
        <v>3</v>
      </c>
      <c r="I416" t="s">
        <v>503</v>
      </c>
      <c r="J416" t="s">
        <v>504</v>
      </c>
      <c r="K416" t="s">
        <v>505</v>
      </c>
      <c r="L416">
        <v>1339</v>
      </c>
      <c r="N416">
        <v>1007</v>
      </c>
      <c r="O416" t="s">
        <v>506</v>
      </c>
      <c r="P416" t="s">
        <v>506</v>
      </c>
      <c r="Q416">
        <v>1</v>
      </c>
      <c r="W416">
        <v>0</v>
      </c>
      <c r="X416">
        <v>-1235260082</v>
      </c>
      <c r="Y416">
        <f>(AT416*1)</f>
        <v>1.4999999999999999E-2</v>
      </c>
      <c r="AA416">
        <v>104.16</v>
      </c>
      <c r="AB416">
        <v>0</v>
      </c>
      <c r="AC416">
        <v>0</v>
      </c>
      <c r="AD416">
        <v>0</v>
      </c>
      <c r="AE416">
        <v>5.82</v>
      </c>
      <c r="AF416">
        <v>0</v>
      </c>
      <c r="AG416">
        <v>0</v>
      </c>
      <c r="AH416">
        <v>0</v>
      </c>
      <c r="AI416">
        <v>17.41</v>
      </c>
      <c r="AJ416">
        <v>1</v>
      </c>
      <c r="AK416">
        <v>1</v>
      </c>
      <c r="AL416">
        <v>1</v>
      </c>
      <c r="AM416">
        <v>2</v>
      </c>
      <c r="AN416">
        <v>0</v>
      </c>
      <c r="AO416">
        <v>1</v>
      </c>
      <c r="AP416">
        <v>1</v>
      </c>
      <c r="AQ416">
        <v>0</v>
      </c>
      <c r="AR416">
        <v>0</v>
      </c>
      <c r="AS416" t="s">
        <v>3</v>
      </c>
      <c r="AT416">
        <v>1.4999999999999999E-2</v>
      </c>
      <c r="AU416" t="s">
        <v>35</v>
      </c>
      <c r="AV416">
        <v>0</v>
      </c>
      <c r="AW416">
        <v>2</v>
      </c>
      <c r="AX416">
        <v>85739991</v>
      </c>
      <c r="AY416">
        <v>1</v>
      </c>
      <c r="AZ416">
        <v>0</v>
      </c>
      <c r="BA416">
        <v>431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ROUND(Y416*Source!I184,9)</f>
        <v>0.18</v>
      </c>
      <c r="CY416">
        <f>AA416</f>
        <v>104.16</v>
      </c>
      <c r="CZ416">
        <f>AE416</f>
        <v>5.82</v>
      </c>
      <c r="DA416">
        <f>AI416</f>
        <v>17.41</v>
      </c>
      <c r="DB416">
        <f>ROUND((ROUND(AT416*CZ416,2)*1),6)</f>
        <v>0.09</v>
      </c>
      <c r="DC416">
        <f>ROUND((ROUND(AT416*AG416,2)*1),6)</f>
        <v>0</v>
      </c>
      <c r="DD416" t="s">
        <v>3</v>
      </c>
      <c r="DE416" t="s">
        <v>3</v>
      </c>
      <c r="DF416">
        <f>ROUND(ROUND(AE416*AI416,2)*CX416,2)</f>
        <v>18.239999999999998</v>
      </c>
      <c r="DG416">
        <f t="shared" si="188"/>
        <v>0</v>
      </c>
      <c r="DH416">
        <f t="shared" si="177"/>
        <v>0</v>
      </c>
      <c r="DI416">
        <f t="shared" si="176"/>
        <v>0</v>
      </c>
      <c r="DJ416">
        <f>DF416</f>
        <v>18.239999999999998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">
      <c r="A417">
        <f>ROW(Source!A184)</f>
        <v>184</v>
      </c>
      <c r="B417">
        <v>85739207</v>
      </c>
      <c r="C417">
        <v>85739916</v>
      </c>
      <c r="D417">
        <v>85216795</v>
      </c>
      <c r="E417">
        <v>1</v>
      </c>
      <c r="F417">
        <v>1</v>
      </c>
      <c r="G417">
        <v>1081</v>
      </c>
      <c r="H417">
        <v>3</v>
      </c>
      <c r="I417" t="s">
        <v>361</v>
      </c>
      <c r="J417" t="s">
        <v>363</v>
      </c>
      <c r="K417" t="s">
        <v>362</v>
      </c>
      <c r="L417">
        <v>1354</v>
      </c>
      <c r="N417">
        <v>1010</v>
      </c>
      <c r="O417" t="s">
        <v>99</v>
      </c>
      <c r="P417" t="s">
        <v>99</v>
      </c>
      <c r="Q417">
        <v>1</v>
      </c>
      <c r="W417">
        <v>0</v>
      </c>
      <c r="X417">
        <v>-230661020</v>
      </c>
      <c r="Y417">
        <f>(AT417*1)</f>
        <v>1</v>
      </c>
      <c r="AA417">
        <v>5145.5</v>
      </c>
      <c r="AB417">
        <v>0</v>
      </c>
      <c r="AC417">
        <v>0</v>
      </c>
      <c r="AD417">
        <v>0</v>
      </c>
      <c r="AE417">
        <v>254.98</v>
      </c>
      <c r="AF417">
        <v>0</v>
      </c>
      <c r="AG417">
        <v>0</v>
      </c>
      <c r="AH417">
        <v>0</v>
      </c>
      <c r="AI417">
        <v>20.18</v>
      </c>
      <c r="AJ417">
        <v>1</v>
      </c>
      <c r="AK417">
        <v>1</v>
      </c>
      <c r="AL417">
        <v>1</v>
      </c>
      <c r="AM417">
        <v>0</v>
      </c>
      <c r="AN417">
        <v>0</v>
      </c>
      <c r="AO417">
        <v>0</v>
      </c>
      <c r="AP417">
        <v>1</v>
      </c>
      <c r="AQ417">
        <v>0</v>
      </c>
      <c r="AR417">
        <v>0</v>
      </c>
      <c r="AS417" t="s">
        <v>3</v>
      </c>
      <c r="AT417">
        <v>1</v>
      </c>
      <c r="AU417" t="s">
        <v>35</v>
      </c>
      <c r="AV417">
        <v>0</v>
      </c>
      <c r="AW417">
        <v>1</v>
      </c>
      <c r="AX417">
        <v>-1</v>
      </c>
      <c r="AY417">
        <v>0</v>
      </c>
      <c r="AZ417">
        <v>0</v>
      </c>
      <c r="BA417" t="s">
        <v>3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V417">
        <v>0</v>
      </c>
      <c r="CW417">
        <v>0</v>
      </c>
      <c r="CX417">
        <f>ROUND(Y417*Source!I184,9)</f>
        <v>12</v>
      </c>
      <c r="CY417">
        <f>AA417</f>
        <v>5145.5</v>
      </c>
      <c r="CZ417">
        <f>AE417</f>
        <v>254.98</v>
      </c>
      <c r="DA417">
        <f>AI417</f>
        <v>20.18</v>
      </c>
      <c r="DB417">
        <f>ROUND((ROUND(AT417*CZ417,2)*1),6)</f>
        <v>254.98</v>
      </c>
      <c r="DC417">
        <f>ROUND((ROUND(AT417*AG417,2)*1),6)</f>
        <v>0</v>
      </c>
      <c r="DD417" t="s">
        <v>3</v>
      </c>
      <c r="DE417" t="s">
        <v>3</v>
      </c>
      <c r="DF417">
        <f>ROUND(ROUND(AE417*AI417,2)*CX417,2)</f>
        <v>61746</v>
      </c>
      <c r="DG417">
        <f t="shared" si="188"/>
        <v>0</v>
      </c>
      <c r="DH417">
        <f t="shared" si="177"/>
        <v>0</v>
      </c>
      <c r="DI417">
        <f t="shared" si="176"/>
        <v>0</v>
      </c>
      <c r="DJ417">
        <f>DF417</f>
        <v>61746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">
      <c r="A418">
        <f>ROW(Source!A184)</f>
        <v>184</v>
      </c>
      <c r="B418">
        <v>85739207</v>
      </c>
      <c r="C418">
        <v>85739916</v>
      </c>
      <c r="D418">
        <v>85218070</v>
      </c>
      <c r="E418">
        <v>1</v>
      </c>
      <c r="F418">
        <v>1</v>
      </c>
      <c r="G418">
        <v>1081</v>
      </c>
      <c r="H418">
        <v>3</v>
      </c>
      <c r="I418" t="s">
        <v>365</v>
      </c>
      <c r="J418" t="s">
        <v>367</v>
      </c>
      <c r="K418" t="s">
        <v>366</v>
      </c>
      <c r="L418">
        <v>1354</v>
      </c>
      <c r="N418">
        <v>1010</v>
      </c>
      <c r="O418" t="s">
        <v>99</v>
      </c>
      <c r="P418" t="s">
        <v>99</v>
      </c>
      <c r="Q418">
        <v>1</v>
      </c>
      <c r="W418">
        <v>0</v>
      </c>
      <c r="X418">
        <v>769202615</v>
      </c>
      <c r="Y418">
        <f>(AT418*1)</f>
        <v>1</v>
      </c>
      <c r="AA418">
        <v>78</v>
      </c>
      <c r="AB418">
        <v>0</v>
      </c>
      <c r="AC418">
        <v>0</v>
      </c>
      <c r="AD418">
        <v>0</v>
      </c>
      <c r="AE418">
        <v>24.84</v>
      </c>
      <c r="AF418">
        <v>0</v>
      </c>
      <c r="AG418">
        <v>0</v>
      </c>
      <c r="AH418">
        <v>0</v>
      </c>
      <c r="AI418">
        <v>3.14</v>
      </c>
      <c r="AJ418">
        <v>1</v>
      </c>
      <c r="AK418">
        <v>1</v>
      </c>
      <c r="AL418">
        <v>1</v>
      </c>
      <c r="AM418">
        <v>0</v>
      </c>
      <c r="AN418">
        <v>0</v>
      </c>
      <c r="AO418">
        <v>0</v>
      </c>
      <c r="AP418">
        <v>1</v>
      </c>
      <c r="AQ418">
        <v>0</v>
      </c>
      <c r="AR418">
        <v>0</v>
      </c>
      <c r="AS418" t="s">
        <v>3</v>
      </c>
      <c r="AT418">
        <v>1</v>
      </c>
      <c r="AU418" t="s">
        <v>35</v>
      </c>
      <c r="AV418">
        <v>0</v>
      </c>
      <c r="AW418">
        <v>1</v>
      </c>
      <c r="AX418">
        <v>-1</v>
      </c>
      <c r="AY418">
        <v>0</v>
      </c>
      <c r="AZ418">
        <v>0</v>
      </c>
      <c r="BA418" t="s">
        <v>3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v>0</v>
      </c>
      <c r="CX418">
        <f>ROUND(Y418*Source!I184,9)</f>
        <v>12</v>
      </c>
      <c r="CY418">
        <f>AA418</f>
        <v>78</v>
      </c>
      <c r="CZ418">
        <f>AE418</f>
        <v>24.84</v>
      </c>
      <c r="DA418">
        <f>AI418</f>
        <v>3.14</v>
      </c>
      <c r="DB418">
        <f>ROUND((ROUND(AT418*CZ418,2)*1),6)</f>
        <v>24.84</v>
      </c>
      <c r="DC418">
        <f>ROUND((ROUND(AT418*AG418,2)*1),6)</f>
        <v>0</v>
      </c>
      <c r="DD418" t="s">
        <v>3</v>
      </c>
      <c r="DE418" t="s">
        <v>3</v>
      </c>
      <c r="DF418">
        <f>ROUND(ROUND(AE418*AI418,2)*CX418,2)</f>
        <v>936</v>
      </c>
      <c r="DG418">
        <f t="shared" si="188"/>
        <v>0</v>
      </c>
      <c r="DH418">
        <f t="shared" si="177"/>
        <v>0</v>
      </c>
      <c r="DI418">
        <f t="shared" si="176"/>
        <v>0</v>
      </c>
      <c r="DJ418">
        <f>DF418</f>
        <v>936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">
      <c r="A419">
        <f>ROW(Source!A189)</f>
        <v>189</v>
      </c>
      <c r="B419">
        <v>85739205</v>
      </c>
      <c r="C419">
        <v>85739917</v>
      </c>
      <c r="D419">
        <v>85164021</v>
      </c>
      <c r="E419">
        <v>1081</v>
      </c>
      <c r="F419">
        <v>1</v>
      </c>
      <c r="G419">
        <v>1081</v>
      </c>
      <c r="H419">
        <v>1</v>
      </c>
      <c r="I419" t="s">
        <v>472</v>
      </c>
      <c r="J419" t="s">
        <v>3</v>
      </c>
      <c r="K419" t="s">
        <v>473</v>
      </c>
      <c r="L419">
        <v>1191</v>
      </c>
      <c r="N419">
        <v>1013</v>
      </c>
      <c r="O419" t="s">
        <v>474</v>
      </c>
      <c r="P419" t="s">
        <v>474</v>
      </c>
      <c r="Q419">
        <v>1</v>
      </c>
      <c r="W419">
        <v>0</v>
      </c>
      <c r="X419">
        <v>476480486</v>
      </c>
      <c r="Y419">
        <f>(AT419*1.2)</f>
        <v>72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</v>
      </c>
      <c r="AJ419">
        <v>1</v>
      </c>
      <c r="AK419">
        <v>1</v>
      </c>
      <c r="AL419">
        <v>1</v>
      </c>
      <c r="AM419">
        <v>-2</v>
      </c>
      <c r="AN419">
        <v>0</v>
      </c>
      <c r="AO419">
        <v>1</v>
      </c>
      <c r="AP419">
        <v>1</v>
      </c>
      <c r="AQ419">
        <v>0</v>
      </c>
      <c r="AR419">
        <v>0</v>
      </c>
      <c r="AS419" t="s">
        <v>3</v>
      </c>
      <c r="AT419">
        <v>60</v>
      </c>
      <c r="AU419" t="s">
        <v>36</v>
      </c>
      <c r="AV419">
        <v>1</v>
      </c>
      <c r="AW419">
        <v>2</v>
      </c>
      <c r="AX419">
        <v>85739996</v>
      </c>
      <c r="AY419">
        <v>1</v>
      </c>
      <c r="AZ419">
        <v>0</v>
      </c>
      <c r="BA419">
        <v>433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U419">
        <f>ROUND(AT419*Source!I189*AH419*AL419,2)</f>
        <v>0</v>
      </c>
      <c r="CV419">
        <f>ROUND(Y419*Source!I189,9)</f>
        <v>8.64</v>
      </c>
      <c r="CW419">
        <v>0</v>
      </c>
      <c r="CX419">
        <f>ROUND(Y419*Source!I189,9)</f>
        <v>8.64</v>
      </c>
      <c r="CY419">
        <f>AD419</f>
        <v>0</v>
      </c>
      <c r="CZ419">
        <f>AH419</f>
        <v>0</v>
      </c>
      <c r="DA419">
        <f>AL419</f>
        <v>1</v>
      </c>
      <c r="DB419">
        <f>ROUND((ROUND(AT419*CZ419,2)*1.2),6)</f>
        <v>0</v>
      </c>
      <c r="DC419">
        <f>ROUND((ROUND(AT419*AG419,2)*1.2),6)</f>
        <v>0</v>
      </c>
      <c r="DD419" t="s">
        <v>3</v>
      </c>
      <c r="DE419" t="s">
        <v>3</v>
      </c>
      <c r="DF419">
        <f t="shared" ref="DF419:DF429" si="189">ROUND(ROUND(AE419,2)*CX419,2)</f>
        <v>0</v>
      </c>
      <c r="DG419">
        <f t="shared" si="188"/>
        <v>0</v>
      </c>
      <c r="DH419">
        <f t="shared" si="177"/>
        <v>0</v>
      </c>
      <c r="DI419">
        <f t="shared" si="176"/>
        <v>0</v>
      </c>
      <c r="DJ419">
        <f>DI419</f>
        <v>0</v>
      </c>
      <c r="DK419">
        <v>0</v>
      </c>
      <c r="DL419" t="s">
        <v>3</v>
      </c>
      <c r="DM419">
        <v>0</v>
      </c>
      <c r="DN419" t="s">
        <v>3</v>
      </c>
      <c r="DO419">
        <v>0</v>
      </c>
    </row>
    <row r="420" spans="1:119" x14ac:dyDescent="0.2">
      <c r="A420">
        <f>ROW(Source!A189)</f>
        <v>189</v>
      </c>
      <c r="B420">
        <v>85739205</v>
      </c>
      <c r="C420">
        <v>85739917</v>
      </c>
      <c r="D420">
        <v>85229633</v>
      </c>
      <c r="E420">
        <v>1</v>
      </c>
      <c r="F420">
        <v>1</v>
      </c>
      <c r="G420">
        <v>1081</v>
      </c>
      <c r="H420">
        <v>2</v>
      </c>
      <c r="I420" t="s">
        <v>475</v>
      </c>
      <c r="J420" t="s">
        <v>476</v>
      </c>
      <c r="K420" t="s">
        <v>477</v>
      </c>
      <c r="L420">
        <v>1368</v>
      </c>
      <c r="N420">
        <v>1011</v>
      </c>
      <c r="O420" t="s">
        <v>478</v>
      </c>
      <c r="P420" t="s">
        <v>478</v>
      </c>
      <c r="Q420">
        <v>1</v>
      </c>
      <c r="W420">
        <v>0</v>
      </c>
      <c r="X420">
        <v>1498588441</v>
      </c>
      <c r="Y420">
        <f>(AT420*1.2)</f>
        <v>56.64</v>
      </c>
      <c r="AA420">
        <v>0</v>
      </c>
      <c r="AB420">
        <v>7.59</v>
      </c>
      <c r="AC420">
        <v>0</v>
      </c>
      <c r="AD420">
        <v>0</v>
      </c>
      <c r="AE420">
        <v>0</v>
      </c>
      <c r="AF420">
        <v>7.11</v>
      </c>
      <c r="AG420">
        <v>0</v>
      </c>
      <c r="AH420">
        <v>0</v>
      </c>
      <c r="AI420">
        <v>1</v>
      </c>
      <c r="AJ420">
        <v>1</v>
      </c>
      <c r="AK420">
        <v>1</v>
      </c>
      <c r="AL420">
        <v>1</v>
      </c>
      <c r="AM420">
        <v>-2</v>
      </c>
      <c r="AN420">
        <v>0</v>
      </c>
      <c r="AO420">
        <v>1</v>
      </c>
      <c r="AP420">
        <v>1</v>
      </c>
      <c r="AQ420">
        <v>0</v>
      </c>
      <c r="AR420">
        <v>0</v>
      </c>
      <c r="AS420" t="s">
        <v>3</v>
      </c>
      <c r="AT420">
        <v>47.2</v>
      </c>
      <c r="AU420" t="s">
        <v>36</v>
      </c>
      <c r="AV420">
        <v>0</v>
      </c>
      <c r="AW420">
        <v>2</v>
      </c>
      <c r="AX420">
        <v>85739997</v>
      </c>
      <c r="AY420">
        <v>1</v>
      </c>
      <c r="AZ420">
        <v>0</v>
      </c>
      <c r="BA420">
        <v>434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f>ROUND(Y420*Source!I189*DO420,9)</f>
        <v>0</v>
      </c>
      <c r="CX420">
        <f>ROUND(Y420*Source!I189,9)</f>
        <v>6.7968000000000002</v>
      </c>
      <c r="CY420">
        <f>AB420</f>
        <v>7.59</v>
      </c>
      <c r="CZ420">
        <f>AF420</f>
        <v>7.11</v>
      </c>
      <c r="DA420">
        <f>AJ420</f>
        <v>1</v>
      </c>
      <c r="DB420">
        <f>ROUND((ROUND(AT420*CZ420,2)*1.2),6)</f>
        <v>402.70800000000003</v>
      </c>
      <c r="DC420">
        <f>ROUND((ROUND(AT420*AG420,2)*1.2),6)</f>
        <v>0</v>
      </c>
      <c r="DD420" t="s">
        <v>3</v>
      </c>
      <c r="DE420" t="s">
        <v>3</v>
      </c>
      <c r="DF420">
        <f t="shared" si="189"/>
        <v>0</v>
      </c>
      <c r="DG420">
        <f t="shared" si="188"/>
        <v>48.33</v>
      </c>
      <c r="DH420">
        <f t="shared" si="177"/>
        <v>0</v>
      </c>
      <c r="DI420">
        <f t="shared" si="176"/>
        <v>0</v>
      </c>
      <c r="DJ420">
        <f>DG420</f>
        <v>48.33</v>
      </c>
      <c r="DK420">
        <v>0</v>
      </c>
      <c r="DL420" t="s">
        <v>3</v>
      </c>
      <c r="DM420">
        <v>0</v>
      </c>
      <c r="DN420" t="s">
        <v>3</v>
      </c>
      <c r="DO420">
        <v>0</v>
      </c>
    </row>
    <row r="421" spans="1:119" x14ac:dyDescent="0.2">
      <c r="A421">
        <f>ROW(Source!A189)</f>
        <v>189</v>
      </c>
      <c r="B421">
        <v>85739205</v>
      </c>
      <c r="C421">
        <v>85739917</v>
      </c>
      <c r="D421">
        <v>85229932</v>
      </c>
      <c r="E421">
        <v>1</v>
      </c>
      <c r="F421">
        <v>1</v>
      </c>
      <c r="G421">
        <v>1081</v>
      </c>
      <c r="H421">
        <v>2</v>
      </c>
      <c r="I421" t="s">
        <v>482</v>
      </c>
      <c r="J421" t="s">
        <v>483</v>
      </c>
      <c r="K421" t="s">
        <v>484</v>
      </c>
      <c r="L421">
        <v>1368</v>
      </c>
      <c r="N421">
        <v>1011</v>
      </c>
      <c r="O421" t="s">
        <v>478</v>
      </c>
      <c r="P421" t="s">
        <v>478</v>
      </c>
      <c r="Q421">
        <v>1</v>
      </c>
      <c r="W421">
        <v>0</v>
      </c>
      <c r="X421">
        <v>874612079</v>
      </c>
      <c r="Y421">
        <f>(AT421*1.2)</f>
        <v>1.2E-2</v>
      </c>
      <c r="AA421">
        <v>0</v>
      </c>
      <c r="AB421">
        <v>88.67</v>
      </c>
      <c r="AC421">
        <v>13.47</v>
      </c>
      <c r="AD421">
        <v>0</v>
      </c>
      <c r="AE421">
        <v>0</v>
      </c>
      <c r="AF421">
        <v>83.1</v>
      </c>
      <c r="AG421">
        <v>12.62</v>
      </c>
      <c r="AH421">
        <v>0</v>
      </c>
      <c r="AI421">
        <v>1</v>
      </c>
      <c r="AJ421">
        <v>1</v>
      </c>
      <c r="AK421">
        <v>1</v>
      </c>
      <c r="AL421">
        <v>1</v>
      </c>
      <c r="AM421">
        <v>-2</v>
      </c>
      <c r="AN421">
        <v>0</v>
      </c>
      <c r="AO421">
        <v>1</v>
      </c>
      <c r="AP421">
        <v>1</v>
      </c>
      <c r="AQ421">
        <v>0</v>
      </c>
      <c r="AR421">
        <v>0</v>
      </c>
      <c r="AS421" t="s">
        <v>3</v>
      </c>
      <c r="AT421">
        <v>0.01</v>
      </c>
      <c r="AU421" t="s">
        <v>36</v>
      </c>
      <c r="AV421">
        <v>0</v>
      </c>
      <c r="AW421">
        <v>2</v>
      </c>
      <c r="AX421">
        <v>85739998</v>
      </c>
      <c r="AY421">
        <v>1</v>
      </c>
      <c r="AZ421">
        <v>0</v>
      </c>
      <c r="BA421">
        <v>435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f>ROUND(Y421*Source!I189*DO421,9)</f>
        <v>1.8172799999999999E-2</v>
      </c>
      <c r="CX421">
        <f>ROUND(Y421*Source!I189,9)</f>
        <v>1.4400000000000001E-3</v>
      </c>
      <c r="CY421">
        <f>AB421</f>
        <v>88.67</v>
      </c>
      <c r="CZ421">
        <f>AF421</f>
        <v>83.1</v>
      </c>
      <c r="DA421">
        <f>AJ421</f>
        <v>1</v>
      </c>
      <c r="DB421">
        <f>ROUND((ROUND(AT421*CZ421,2)*1.2),6)</f>
        <v>0.996</v>
      </c>
      <c r="DC421">
        <f>ROUND((ROUND(AT421*AG421,2)*1.2),6)</f>
        <v>0.156</v>
      </c>
      <c r="DD421" t="s">
        <v>3</v>
      </c>
      <c r="DE421" t="s">
        <v>3</v>
      </c>
      <c r="DF421">
        <f t="shared" si="189"/>
        <v>0</v>
      </c>
      <c r="DG421">
        <f t="shared" si="188"/>
        <v>0.12</v>
      </c>
      <c r="DH421">
        <f t="shared" si="177"/>
        <v>0.02</v>
      </c>
      <c r="DI421">
        <f t="shared" si="176"/>
        <v>0</v>
      </c>
      <c r="DJ421">
        <f>DG421</f>
        <v>0.12</v>
      </c>
      <c r="DK421">
        <v>0</v>
      </c>
      <c r="DL421" t="s">
        <v>485</v>
      </c>
      <c r="DM421">
        <v>0</v>
      </c>
      <c r="DN421" t="s">
        <v>474</v>
      </c>
      <c r="DO421">
        <v>12.62</v>
      </c>
    </row>
    <row r="422" spans="1:119" x14ac:dyDescent="0.2">
      <c r="A422">
        <f>ROW(Source!A189)</f>
        <v>189</v>
      </c>
      <c r="B422">
        <v>85739205</v>
      </c>
      <c r="C422">
        <v>85739917</v>
      </c>
      <c r="D422">
        <v>85199562</v>
      </c>
      <c r="E422">
        <v>1</v>
      </c>
      <c r="F422">
        <v>1</v>
      </c>
      <c r="G422">
        <v>1081</v>
      </c>
      <c r="H422">
        <v>3</v>
      </c>
      <c r="I422" t="s">
        <v>537</v>
      </c>
      <c r="J422" t="s">
        <v>538</v>
      </c>
      <c r="K422" t="s">
        <v>539</v>
      </c>
      <c r="L422">
        <v>1348</v>
      </c>
      <c r="N422">
        <v>1009</v>
      </c>
      <c r="O422" t="s">
        <v>266</v>
      </c>
      <c r="P422" t="s">
        <v>266</v>
      </c>
      <c r="Q422">
        <v>1000</v>
      </c>
      <c r="W422">
        <v>0</v>
      </c>
      <c r="X422">
        <v>-287838193</v>
      </c>
      <c r="Y422">
        <f>(AT422*1)</f>
        <v>3.0000000000000001E-3</v>
      </c>
      <c r="AA422">
        <v>23761.63</v>
      </c>
      <c r="AB422">
        <v>0</v>
      </c>
      <c r="AC422">
        <v>0</v>
      </c>
      <c r="AD422">
        <v>0</v>
      </c>
      <c r="AE422">
        <v>23114.43</v>
      </c>
      <c r="AF422">
        <v>0</v>
      </c>
      <c r="AG422">
        <v>0</v>
      </c>
      <c r="AH422">
        <v>0</v>
      </c>
      <c r="AI422">
        <v>1</v>
      </c>
      <c r="AJ422">
        <v>1</v>
      </c>
      <c r="AK422">
        <v>1</v>
      </c>
      <c r="AL422">
        <v>1</v>
      </c>
      <c r="AM422">
        <v>-2</v>
      </c>
      <c r="AN422">
        <v>0</v>
      </c>
      <c r="AO422">
        <v>1</v>
      </c>
      <c r="AP422">
        <v>1</v>
      </c>
      <c r="AQ422">
        <v>0</v>
      </c>
      <c r="AR422">
        <v>0</v>
      </c>
      <c r="AS422" t="s">
        <v>3</v>
      </c>
      <c r="AT422">
        <v>3.0000000000000001E-3</v>
      </c>
      <c r="AU422" t="s">
        <v>35</v>
      </c>
      <c r="AV422">
        <v>0</v>
      </c>
      <c r="AW422">
        <v>2</v>
      </c>
      <c r="AX422">
        <v>85739999</v>
      </c>
      <c r="AY422">
        <v>1</v>
      </c>
      <c r="AZ422">
        <v>0</v>
      </c>
      <c r="BA422">
        <v>436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ROUND(Y422*Source!I189,9)</f>
        <v>3.6000000000000002E-4</v>
      </c>
      <c r="CY422">
        <f>AA422</f>
        <v>23761.63</v>
      </c>
      <c r="CZ422">
        <f>AE422</f>
        <v>23114.43</v>
      </c>
      <c r="DA422">
        <f>AI422</f>
        <v>1</v>
      </c>
      <c r="DB422">
        <f>ROUND((ROUND(AT422*CZ422,2)*1),6)</f>
        <v>69.34</v>
      </c>
      <c r="DC422">
        <f>ROUND((ROUND(AT422*AG422,2)*1),6)</f>
        <v>0</v>
      </c>
      <c r="DD422" t="s">
        <v>3</v>
      </c>
      <c r="DE422" t="s">
        <v>3</v>
      </c>
      <c r="DF422">
        <f t="shared" si="189"/>
        <v>8.32</v>
      </c>
      <c r="DG422">
        <f t="shared" si="188"/>
        <v>0</v>
      </c>
      <c r="DH422">
        <f t="shared" si="177"/>
        <v>0</v>
      </c>
      <c r="DI422">
        <f t="shared" si="176"/>
        <v>0</v>
      </c>
      <c r="DJ422">
        <f>DF422</f>
        <v>8.32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">
      <c r="A423">
        <f>ROW(Source!A189)</f>
        <v>189</v>
      </c>
      <c r="B423">
        <v>85739205</v>
      </c>
      <c r="C423">
        <v>85739917</v>
      </c>
      <c r="D423">
        <v>85200023</v>
      </c>
      <c r="E423">
        <v>1</v>
      </c>
      <c r="F423">
        <v>1</v>
      </c>
      <c r="G423">
        <v>1081</v>
      </c>
      <c r="H423">
        <v>3</v>
      </c>
      <c r="I423" t="s">
        <v>555</v>
      </c>
      <c r="J423" t="s">
        <v>556</v>
      </c>
      <c r="K423" t="s">
        <v>557</v>
      </c>
      <c r="L423">
        <v>1348</v>
      </c>
      <c r="N423">
        <v>1009</v>
      </c>
      <c r="O423" t="s">
        <v>266</v>
      </c>
      <c r="P423" t="s">
        <v>266</v>
      </c>
      <c r="Q423">
        <v>1000</v>
      </c>
      <c r="W423">
        <v>0</v>
      </c>
      <c r="X423">
        <v>63955816</v>
      </c>
      <c r="Y423">
        <f>(AT423*1)</f>
        <v>0.01</v>
      </c>
      <c r="AA423">
        <v>7387.02</v>
      </c>
      <c r="AB423">
        <v>0</v>
      </c>
      <c r="AC423">
        <v>0</v>
      </c>
      <c r="AD423">
        <v>0</v>
      </c>
      <c r="AE423">
        <v>7185.82</v>
      </c>
      <c r="AF423">
        <v>0</v>
      </c>
      <c r="AG423">
        <v>0</v>
      </c>
      <c r="AH423">
        <v>0</v>
      </c>
      <c r="AI423">
        <v>1</v>
      </c>
      <c r="AJ423">
        <v>1</v>
      </c>
      <c r="AK423">
        <v>1</v>
      </c>
      <c r="AL423">
        <v>1</v>
      </c>
      <c r="AM423">
        <v>-2</v>
      </c>
      <c r="AN423">
        <v>0</v>
      </c>
      <c r="AO423">
        <v>1</v>
      </c>
      <c r="AP423">
        <v>1</v>
      </c>
      <c r="AQ423">
        <v>0</v>
      </c>
      <c r="AR423">
        <v>0</v>
      </c>
      <c r="AS423" t="s">
        <v>3</v>
      </c>
      <c r="AT423">
        <v>0.01</v>
      </c>
      <c r="AU423" t="s">
        <v>35</v>
      </c>
      <c r="AV423">
        <v>0</v>
      </c>
      <c r="AW423">
        <v>2</v>
      </c>
      <c r="AX423">
        <v>85740000</v>
      </c>
      <c r="AY423">
        <v>1</v>
      </c>
      <c r="AZ423">
        <v>0</v>
      </c>
      <c r="BA423">
        <v>437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V423">
        <v>0</v>
      </c>
      <c r="CW423">
        <v>0</v>
      </c>
      <c r="CX423">
        <f>ROUND(Y423*Source!I189,9)</f>
        <v>1.1999999999999999E-3</v>
      </c>
      <c r="CY423">
        <f>AA423</f>
        <v>7387.02</v>
      </c>
      <c r="CZ423">
        <f>AE423</f>
        <v>7185.82</v>
      </c>
      <c r="DA423">
        <f>AI423</f>
        <v>1</v>
      </c>
      <c r="DB423">
        <f>ROUND((ROUND(AT423*CZ423,2)*1),6)</f>
        <v>71.86</v>
      </c>
      <c r="DC423">
        <f>ROUND((ROUND(AT423*AG423,2)*1),6)</f>
        <v>0</v>
      </c>
      <c r="DD423" t="s">
        <v>3</v>
      </c>
      <c r="DE423" t="s">
        <v>3</v>
      </c>
      <c r="DF423">
        <f t="shared" si="189"/>
        <v>8.6199999999999992</v>
      </c>
      <c r="DG423">
        <f t="shared" si="188"/>
        <v>0</v>
      </c>
      <c r="DH423">
        <f t="shared" si="177"/>
        <v>0</v>
      </c>
      <c r="DI423">
        <f t="shared" si="176"/>
        <v>0</v>
      </c>
      <c r="DJ423">
        <f>DF423</f>
        <v>8.6199999999999992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">
      <c r="A424">
        <f>ROW(Source!A189)</f>
        <v>189</v>
      </c>
      <c r="B424">
        <v>85739205</v>
      </c>
      <c r="C424">
        <v>85739917</v>
      </c>
      <c r="D424">
        <v>85215459</v>
      </c>
      <c r="E424">
        <v>1</v>
      </c>
      <c r="F424">
        <v>1</v>
      </c>
      <c r="G424">
        <v>1081</v>
      </c>
      <c r="H424">
        <v>3</v>
      </c>
      <c r="I424" t="s">
        <v>603</v>
      </c>
      <c r="J424" t="s">
        <v>604</v>
      </c>
      <c r="K424" t="s">
        <v>605</v>
      </c>
      <c r="L424">
        <v>1354</v>
      </c>
      <c r="N424">
        <v>1010</v>
      </c>
      <c r="O424" t="s">
        <v>99</v>
      </c>
      <c r="P424" t="s">
        <v>99</v>
      </c>
      <c r="Q424">
        <v>1</v>
      </c>
      <c r="W424">
        <v>0</v>
      </c>
      <c r="X424">
        <v>-1710543629</v>
      </c>
      <c r="Y424">
        <f>(AT424*1)</f>
        <v>100</v>
      </c>
      <c r="AA424">
        <v>11.44</v>
      </c>
      <c r="AB424">
        <v>0</v>
      </c>
      <c r="AC424">
        <v>0</v>
      </c>
      <c r="AD424">
        <v>0</v>
      </c>
      <c r="AE424">
        <v>11.13</v>
      </c>
      <c r="AF424">
        <v>0</v>
      </c>
      <c r="AG424">
        <v>0</v>
      </c>
      <c r="AH424">
        <v>0</v>
      </c>
      <c r="AI424">
        <v>1</v>
      </c>
      <c r="AJ424">
        <v>1</v>
      </c>
      <c r="AK424">
        <v>1</v>
      </c>
      <c r="AL424">
        <v>1</v>
      </c>
      <c r="AM424">
        <v>-2</v>
      </c>
      <c r="AN424">
        <v>0</v>
      </c>
      <c r="AO424">
        <v>1</v>
      </c>
      <c r="AP424">
        <v>1</v>
      </c>
      <c r="AQ424">
        <v>0</v>
      </c>
      <c r="AR424">
        <v>0</v>
      </c>
      <c r="AS424" t="s">
        <v>3</v>
      </c>
      <c r="AT424">
        <v>100</v>
      </c>
      <c r="AU424" t="s">
        <v>35</v>
      </c>
      <c r="AV424">
        <v>0</v>
      </c>
      <c r="AW424">
        <v>2</v>
      </c>
      <c r="AX424">
        <v>85740001</v>
      </c>
      <c r="AY424">
        <v>1</v>
      </c>
      <c r="AZ424">
        <v>0</v>
      </c>
      <c r="BA424">
        <v>438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ROUND(Y424*Source!I189,9)</f>
        <v>12</v>
      </c>
      <c r="CY424">
        <f>AA424</f>
        <v>11.44</v>
      </c>
      <c r="CZ424">
        <f>AE424</f>
        <v>11.13</v>
      </c>
      <c r="DA424">
        <f>AI424</f>
        <v>1</v>
      </c>
      <c r="DB424">
        <f>ROUND((ROUND(AT424*CZ424,2)*1),6)</f>
        <v>1113</v>
      </c>
      <c r="DC424">
        <f>ROUND((ROUND(AT424*AG424,2)*1),6)</f>
        <v>0</v>
      </c>
      <c r="DD424" t="s">
        <v>3</v>
      </c>
      <c r="DE424" t="s">
        <v>3</v>
      </c>
      <c r="DF424">
        <f t="shared" si="189"/>
        <v>133.56</v>
      </c>
      <c r="DG424">
        <f t="shared" si="188"/>
        <v>0</v>
      </c>
      <c r="DH424">
        <f t="shared" si="177"/>
        <v>0</v>
      </c>
      <c r="DI424">
        <f t="shared" si="176"/>
        <v>0</v>
      </c>
      <c r="DJ424">
        <f>DF424</f>
        <v>133.56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">
      <c r="A425">
        <f>ROW(Source!A189)</f>
        <v>189</v>
      </c>
      <c r="B425">
        <v>85739205</v>
      </c>
      <c r="C425">
        <v>85739917</v>
      </c>
      <c r="D425">
        <v>85215359</v>
      </c>
      <c r="E425">
        <v>1</v>
      </c>
      <c r="F425">
        <v>1</v>
      </c>
      <c r="G425">
        <v>1081</v>
      </c>
      <c r="H425">
        <v>3</v>
      </c>
      <c r="I425" t="s">
        <v>373</v>
      </c>
      <c r="J425" t="s">
        <v>376</v>
      </c>
      <c r="K425" t="s">
        <v>374</v>
      </c>
      <c r="L425">
        <v>1391</v>
      </c>
      <c r="N425">
        <v>1013</v>
      </c>
      <c r="O425" t="s">
        <v>375</v>
      </c>
      <c r="P425" t="s">
        <v>375</v>
      </c>
      <c r="Q425">
        <v>1</v>
      </c>
      <c r="W425">
        <v>0</v>
      </c>
      <c r="X425">
        <v>673296093</v>
      </c>
      <c r="Y425">
        <f>(AT425*1)</f>
        <v>50</v>
      </c>
      <c r="AA425">
        <v>21.41</v>
      </c>
      <c r="AB425">
        <v>0</v>
      </c>
      <c r="AC425">
        <v>0</v>
      </c>
      <c r="AD425">
        <v>0</v>
      </c>
      <c r="AE425">
        <v>21.41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1</v>
      </c>
      <c r="AM425">
        <v>0</v>
      </c>
      <c r="AN425">
        <v>0</v>
      </c>
      <c r="AO425">
        <v>0</v>
      </c>
      <c r="AP425">
        <v>1</v>
      </c>
      <c r="AQ425">
        <v>0</v>
      </c>
      <c r="AR425">
        <v>0</v>
      </c>
      <c r="AS425" t="s">
        <v>3</v>
      </c>
      <c r="AT425">
        <v>50</v>
      </c>
      <c r="AU425" t="s">
        <v>35</v>
      </c>
      <c r="AV425">
        <v>0</v>
      </c>
      <c r="AW425">
        <v>1</v>
      </c>
      <c r="AX425">
        <v>-1</v>
      </c>
      <c r="AY425">
        <v>0</v>
      </c>
      <c r="AZ425">
        <v>0</v>
      </c>
      <c r="BA425" t="s">
        <v>3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V425">
        <v>0</v>
      </c>
      <c r="CW425">
        <v>0</v>
      </c>
      <c r="CX425">
        <f>ROUND(Y425*Source!I189,9)</f>
        <v>6</v>
      </c>
      <c r="CY425">
        <f>AA425</f>
        <v>21.41</v>
      </c>
      <c r="CZ425">
        <f>AE425</f>
        <v>21.41</v>
      </c>
      <c r="DA425">
        <f>AI425</f>
        <v>1</v>
      </c>
      <c r="DB425">
        <f>ROUND((ROUND(AT425*CZ425,2)*1),6)</f>
        <v>1070.5</v>
      </c>
      <c r="DC425">
        <f>ROUND((ROUND(AT425*AG425,2)*1),6)</f>
        <v>0</v>
      </c>
      <c r="DD425" t="s">
        <v>3</v>
      </c>
      <c r="DE425" t="s">
        <v>3</v>
      </c>
      <c r="DF425">
        <f t="shared" si="189"/>
        <v>128.46</v>
      </c>
      <c r="DG425">
        <f t="shared" si="188"/>
        <v>0</v>
      </c>
      <c r="DH425">
        <f t="shared" si="177"/>
        <v>0</v>
      </c>
      <c r="DI425">
        <f t="shared" si="176"/>
        <v>0</v>
      </c>
      <c r="DJ425">
        <f>DF425</f>
        <v>128.46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">
      <c r="A426">
        <f>ROW(Source!A189)</f>
        <v>189</v>
      </c>
      <c r="B426">
        <v>85739205</v>
      </c>
      <c r="C426">
        <v>85739917</v>
      </c>
      <c r="D426">
        <v>85219766</v>
      </c>
      <c r="E426">
        <v>1</v>
      </c>
      <c r="F426">
        <v>1</v>
      </c>
      <c r="G426">
        <v>1081</v>
      </c>
      <c r="H426">
        <v>3</v>
      </c>
      <c r="I426" t="s">
        <v>606</v>
      </c>
      <c r="J426" t="s">
        <v>607</v>
      </c>
      <c r="K426" t="s">
        <v>608</v>
      </c>
      <c r="L426">
        <v>1354</v>
      </c>
      <c r="N426">
        <v>1010</v>
      </c>
      <c r="O426" t="s">
        <v>99</v>
      </c>
      <c r="P426" t="s">
        <v>99</v>
      </c>
      <c r="Q426">
        <v>1</v>
      </c>
      <c r="W426">
        <v>0</v>
      </c>
      <c r="X426">
        <v>-640005846</v>
      </c>
      <c r="Y426">
        <f>(AT426*1)</f>
        <v>100</v>
      </c>
      <c r="AA426">
        <v>22.7</v>
      </c>
      <c r="AB426">
        <v>0</v>
      </c>
      <c r="AC426">
        <v>0</v>
      </c>
      <c r="AD426">
        <v>0</v>
      </c>
      <c r="AE426">
        <v>22.08</v>
      </c>
      <c r="AF426">
        <v>0</v>
      </c>
      <c r="AG426">
        <v>0</v>
      </c>
      <c r="AH426">
        <v>0</v>
      </c>
      <c r="AI426">
        <v>1</v>
      </c>
      <c r="AJ426">
        <v>1</v>
      </c>
      <c r="AK426">
        <v>1</v>
      </c>
      <c r="AL426">
        <v>1</v>
      </c>
      <c r="AM426">
        <v>-2</v>
      </c>
      <c r="AN426">
        <v>0</v>
      </c>
      <c r="AO426">
        <v>1</v>
      </c>
      <c r="AP426">
        <v>1</v>
      </c>
      <c r="AQ426">
        <v>0</v>
      </c>
      <c r="AR426">
        <v>0</v>
      </c>
      <c r="AS426" t="s">
        <v>3</v>
      </c>
      <c r="AT426">
        <v>100</v>
      </c>
      <c r="AU426" t="s">
        <v>35</v>
      </c>
      <c r="AV426">
        <v>0</v>
      </c>
      <c r="AW426">
        <v>2</v>
      </c>
      <c r="AX426">
        <v>85740002</v>
      </c>
      <c r="AY426">
        <v>1</v>
      </c>
      <c r="AZ426">
        <v>0</v>
      </c>
      <c r="BA426">
        <v>439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v>0</v>
      </c>
      <c r="CX426">
        <f>ROUND(Y426*Source!I189,9)</f>
        <v>12</v>
      </c>
      <c r="CY426">
        <f>AA426</f>
        <v>22.7</v>
      </c>
      <c r="CZ426">
        <f>AE426</f>
        <v>22.08</v>
      </c>
      <c r="DA426">
        <f>AI426</f>
        <v>1</v>
      </c>
      <c r="DB426">
        <f>ROUND((ROUND(AT426*CZ426,2)*1),6)</f>
        <v>2208</v>
      </c>
      <c r="DC426">
        <f>ROUND((ROUND(AT426*AG426,2)*1),6)</f>
        <v>0</v>
      </c>
      <c r="DD426" t="s">
        <v>3</v>
      </c>
      <c r="DE426" t="s">
        <v>3</v>
      </c>
      <c r="DF426">
        <f t="shared" si="189"/>
        <v>264.95999999999998</v>
      </c>
      <c r="DG426">
        <f t="shared" si="188"/>
        <v>0</v>
      </c>
      <c r="DH426">
        <f t="shared" si="177"/>
        <v>0</v>
      </c>
      <c r="DI426">
        <f t="shared" si="176"/>
        <v>0</v>
      </c>
      <c r="DJ426">
        <f>DF426</f>
        <v>264.95999999999998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">
      <c r="A427">
        <f>ROW(Source!A190)</f>
        <v>190</v>
      </c>
      <c r="B427">
        <v>85739207</v>
      </c>
      <c r="C427">
        <v>85739917</v>
      </c>
      <c r="D427">
        <v>85164021</v>
      </c>
      <c r="E427">
        <v>1081</v>
      </c>
      <c r="F427">
        <v>1</v>
      </c>
      <c r="G427">
        <v>1081</v>
      </c>
      <c r="H427">
        <v>1</v>
      </c>
      <c r="I427" t="s">
        <v>472</v>
      </c>
      <c r="J427" t="s">
        <v>3</v>
      </c>
      <c r="K427" t="s">
        <v>473</v>
      </c>
      <c r="L427">
        <v>1191</v>
      </c>
      <c r="N427">
        <v>1013</v>
      </c>
      <c r="O427" t="s">
        <v>474</v>
      </c>
      <c r="P427" t="s">
        <v>474</v>
      </c>
      <c r="Q427">
        <v>1</v>
      </c>
      <c r="W427">
        <v>0</v>
      </c>
      <c r="X427">
        <v>476480486</v>
      </c>
      <c r="Y427">
        <f>(AT427*1.2)</f>
        <v>72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5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60</v>
      </c>
      <c r="AU427" t="s">
        <v>36</v>
      </c>
      <c r="AV427">
        <v>1</v>
      </c>
      <c r="AW427">
        <v>2</v>
      </c>
      <c r="AX427">
        <v>85739996</v>
      </c>
      <c r="AY427">
        <v>1</v>
      </c>
      <c r="AZ427">
        <v>0</v>
      </c>
      <c r="BA427">
        <v>441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U427">
        <f>ROUND(AT427*Source!I190*AH427*AL427,2)</f>
        <v>0</v>
      </c>
      <c r="CV427">
        <f>ROUND(Y427*Source!I190,9)</f>
        <v>8.64</v>
      </c>
      <c r="CW427">
        <v>0</v>
      </c>
      <c r="CX427">
        <f>ROUND(Y427*Source!I190,9)</f>
        <v>8.64</v>
      </c>
      <c r="CY427">
        <f>AD427</f>
        <v>0</v>
      </c>
      <c r="CZ427">
        <f>AH427</f>
        <v>0</v>
      </c>
      <c r="DA427">
        <f>AL427</f>
        <v>1</v>
      </c>
      <c r="DB427">
        <f>ROUND((ROUND(AT427*CZ427,2)*1.2),6)</f>
        <v>0</v>
      </c>
      <c r="DC427">
        <f>ROUND((ROUND(AT427*AG427,2)*1.2),6)</f>
        <v>0</v>
      </c>
      <c r="DD427" t="s">
        <v>3</v>
      </c>
      <c r="DE427" t="s">
        <v>3</v>
      </c>
      <c r="DF427">
        <f t="shared" si="189"/>
        <v>0</v>
      </c>
      <c r="DG427">
        <f t="shared" si="188"/>
        <v>0</v>
      </c>
      <c r="DH427">
        <f t="shared" si="177"/>
        <v>0</v>
      </c>
      <c r="DI427">
        <f t="shared" si="176"/>
        <v>0</v>
      </c>
      <c r="DJ427">
        <f>DI427</f>
        <v>0</v>
      </c>
      <c r="DK427">
        <v>0</v>
      </c>
      <c r="DL427" t="s">
        <v>3</v>
      </c>
      <c r="DM427">
        <v>0</v>
      </c>
      <c r="DN427" t="s">
        <v>3</v>
      </c>
      <c r="DO427">
        <v>0</v>
      </c>
    </row>
    <row r="428" spans="1:119" x14ac:dyDescent="0.2">
      <c r="A428">
        <f>ROW(Source!A190)</f>
        <v>190</v>
      </c>
      <c r="B428">
        <v>85739207</v>
      </c>
      <c r="C428">
        <v>85739917</v>
      </c>
      <c r="D428">
        <v>85229633</v>
      </c>
      <c r="E428">
        <v>1</v>
      </c>
      <c r="F428">
        <v>1</v>
      </c>
      <c r="G428">
        <v>1081</v>
      </c>
      <c r="H428">
        <v>2</v>
      </c>
      <c r="I428" t="s">
        <v>475</v>
      </c>
      <c r="J428" t="s">
        <v>476</v>
      </c>
      <c r="K428" t="s">
        <v>477</v>
      </c>
      <c r="L428">
        <v>1368</v>
      </c>
      <c r="N428">
        <v>1011</v>
      </c>
      <c r="O428" t="s">
        <v>478</v>
      </c>
      <c r="P428" t="s">
        <v>478</v>
      </c>
      <c r="Q428">
        <v>1</v>
      </c>
      <c r="W428">
        <v>0</v>
      </c>
      <c r="X428">
        <v>1498588441</v>
      </c>
      <c r="Y428">
        <f>(AT428*1.2)</f>
        <v>56.64</v>
      </c>
      <c r="AA428">
        <v>0</v>
      </c>
      <c r="AB428">
        <v>102.11</v>
      </c>
      <c r="AC428">
        <v>0</v>
      </c>
      <c r="AD428">
        <v>0</v>
      </c>
      <c r="AE428">
        <v>0</v>
      </c>
      <c r="AF428">
        <v>7.11</v>
      </c>
      <c r="AG428">
        <v>0</v>
      </c>
      <c r="AH428">
        <v>0</v>
      </c>
      <c r="AI428">
        <v>1</v>
      </c>
      <c r="AJ428">
        <v>13.46</v>
      </c>
      <c r="AK428">
        <v>1</v>
      </c>
      <c r="AL428">
        <v>1</v>
      </c>
      <c r="AM428">
        <v>2</v>
      </c>
      <c r="AN428">
        <v>0</v>
      </c>
      <c r="AO428">
        <v>1</v>
      </c>
      <c r="AP428">
        <v>1</v>
      </c>
      <c r="AQ428">
        <v>0</v>
      </c>
      <c r="AR428">
        <v>0</v>
      </c>
      <c r="AS428" t="s">
        <v>3</v>
      </c>
      <c r="AT428">
        <v>47.2</v>
      </c>
      <c r="AU428" t="s">
        <v>36</v>
      </c>
      <c r="AV428">
        <v>0</v>
      </c>
      <c r="AW428">
        <v>2</v>
      </c>
      <c r="AX428">
        <v>85739997</v>
      </c>
      <c r="AY428">
        <v>1</v>
      </c>
      <c r="AZ428">
        <v>0</v>
      </c>
      <c r="BA428">
        <v>442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f>ROUND(Y428*Source!I190*DO428,9)</f>
        <v>0</v>
      </c>
      <c r="CX428">
        <f>ROUND(Y428*Source!I190,9)</f>
        <v>6.7968000000000002</v>
      </c>
      <c r="CY428">
        <f>AB428</f>
        <v>102.11</v>
      </c>
      <c r="CZ428">
        <f>AF428</f>
        <v>7.11</v>
      </c>
      <c r="DA428">
        <f>AJ428</f>
        <v>13.46</v>
      </c>
      <c r="DB428">
        <f>ROUND((ROUND(AT428*CZ428,2)*1.2),6)</f>
        <v>402.70800000000003</v>
      </c>
      <c r="DC428">
        <f>ROUND((ROUND(AT428*AG428,2)*1.2),6)</f>
        <v>0</v>
      </c>
      <c r="DD428" t="s">
        <v>3</v>
      </c>
      <c r="DE428" t="s">
        <v>3</v>
      </c>
      <c r="DF428">
        <f t="shared" si="189"/>
        <v>0</v>
      </c>
      <c r="DG428">
        <f>ROUND(ROUND(AF428*AJ428,2)*CX428,2)</f>
        <v>650.45000000000005</v>
      </c>
      <c r="DH428">
        <f t="shared" si="177"/>
        <v>0</v>
      </c>
      <c r="DI428">
        <f t="shared" si="176"/>
        <v>0</v>
      </c>
      <c r="DJ428">
        <f>DG428</f>
        <v>650.45000000000005</v>
      </c>
      <c r="DK428">
        <v>0</v>
      </c>
      <c r="DL428" t="s">
        <v>3</v>
      </c>
      <c r="DM428">
        <v>0</v>
      </c>
      <c r="DN428" t="s">
        <v>3</v>
      </c>
      <c r="DO428">
        <v>0</v>
      </c>
    </row>
    <row r="429" spans="1:119" x14ac:dyDescent="0.2">
      <c r="A429">
        <f>ROW(Source!A190)</f>
        <v>190</v>
      </c>
      <c r="B429">
        <v>85739207</v>
      </c>
      <c r="C429">
        <v>85739917</v>
      </c>
      <c r="D429">
        <v>85229932</v>
      </c>
      <c r="E429">
        <v>1</v>
      </c>
      <c r="F429">
        <v>1</v>
      </c>
      <c r="G429">
        <v>1081</v>
      </c>
      <c r="H429">
        <v>2</v>
      </c>
      <c r="I429" t="s">
        <v>482</v>
      </c>
      <c r="J429" t="s">
        <v>483</v>
      </c>
      <c r="K429" t="s">
        <v>484</v>
      </c>
      <c r="L429">
        <v>1368</v>
      </c>
      <c r="N429">
        <v>1011</v>
      </c>
      <c r="O429" t="s">
        <v>478</v>
      </c>
      <c r="P429" t="s">
        <v>478</v>
      </c>
      <c r="Q429">
        <v>1</v>
      </c>
      <c r="W429">
        <v>0</v>
      </c>
      <c r="X429">
        <v>874612079</v>
      </c>
      <c r="Y429">
        <f>(AT429*1.2)</f>
        <v>1.2E-2</v>
      </c>
      <c r="AA429">
        <v>0</v>
      </c>
      <c r="AB429">
        <v>1513.56</v>
      </c>
      <c r="AC429">
        <v>758.78</v>
      </c>
      <c r="AD429">
        <v>0</v>
      </c>
      <c r="AE429">
        <v>0</v>
      </c>
      <c r="AF429">
        <v>83.1</v>
      </c>
      <c r="AG429">
        <v>12.62</v>
      </c>
      <c r="AH429">
        <v>0</v>
      </c>
      <c r="AI429">
        <v>1</v>
      </c>
      <c r="AJ429">
        <v>17.07</v>
      </c>
      <c r="AK429">
        <v>56.35</v>
      </c>
      <c r="AL429">
        <v>1</v>
      </c>
      <c r="AM429">
        <v>2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0.01</v>
      </c>
      <c r="AU429" t="s">
        <v>36</v>
      </c>
      <c r="AV429">
        <v>0</v>
      </c>
      <c r="AW429">
        <v>2</v>
      </c>
      <c r="AX429">
        <v>85739998</v>
      </c>
      <c r="AY429">
        <v>1</v>
      </c>
      <c r="AZ429">
        <v>0</v>
      </c>
      <c r="BA429">
        <v>443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V429">
        <v>0</v>
      </c>
      <c r="CW429">
        <f>ROUND(Y429*Source!I190*DO429,9)</f>
        <v>1.8172799999999999E-2</v>
      </c>
      <c r="CX429">
        <f>ROUND(Y429*Source!I190,9)</f>
        <v>1.4400000000000001E-3</v>
      </c>
      <c r="CY429">
        <f>AB429</f>
        <v>1513.56</v>
      </c>
      <c r="CZ429">
        <f>AF429</f>
        <v>83.1</v>
      </c>
      <c r="DA429">
        <f>AJ429</f>
        <v>17.07</v>
      </c>
      <c r="DB429">
        <f>ROUND((ROUND(AT429*CZ429,2)*1.2),6)</f>
        <v>0.996</v>
      </c>
      <c r="DC429">
        <f>ROUND((ROUND(AT429*AG429,2)*1.2),6)</f>
        <v>0.156</v>
      </c>
      <c r="DD429" t="s">
        <v>3</v>
      </c>
      <c r="DE429" t="s">
        <v>3</v>
      </c>
      <c r="DF429">
        <f t="shared" si="189"/>
        <v>0</v>
      </c>
      <c r="DG429">
        <f>ROUND(ROUND(AF429*AJ429,2)*CX429,2)</f>
        <v>2.04</v>
      </c>
      <c r="DH429">
        <f>ROUND(ROUND(AG429*AK429,2)*CX429,2)</f>
        <v>1.02</v>
      </c>
      <c r="DI429">
        <f t="shared" si="176"/>
        <v>0</v>
      </c>
      <c r="DJ429">
        <f>DG429</f>
        <v>2.04</v>
      </c>
      <c r="DK429">
        <v>0</v>
      </c>
      <c r="DL429" t="s">
        <v>485</v>
      </c>
      <c r="DM429">
        <v>0</v>
      </c>
      <c r="DN429" t="s">
        <v>474</v>
      </c>
      <c r="DO429">
        <v>12.62</v>
      </c>
    </row>
    <row r="430" spans="1:119" x14ac:dyDescent="0.2">
      <c r="A430">
        <f>ROW(Source!A190)</f>
        <v>190</v>
      </c>
      <c r="B430">
        <v>85739207</v>
      </c>
      <c r="C430">
        <v>85739917</v>
      </c>
      <c r="D430">
        <v>85199562</v>
      </c>
      <c r="E430">
        <v>1</v>
      </c>
      <c r="F430">
        <v>1</v>
      </c>
      <c r="G430">
        <v>1081</v>
      </c>
      <c r="H430">
        <v>3</v>
      </c>
      <c r="I430" t="s">
        <v>537</v>
      </c>
      <c r="J430" t="s">
        <v>538</v>
      </c>
      <c r="K430" t="s">
        <v>539</v>
      </c>
      <c r="L430">
        <v>1348</v>
      </c>
      <c r="N430">
        <v>1009</v>
      </c>
      <c r="O430" t="s">
        <v>266</v>
      </c>
      <c r="P430" t="s">
        <v>266</v>
      </c>
      <c r="Q430">
        <v>1000</v>
      </c>
      <c r="W430">
        <v>0</v>
      </c>
      <c r="X430">
        <v>-287838193</v>
      </c>
      <c r="Y430">
        <f>(AT430*1)</f>
        <v>3.0000000000000001E-3</v>
      </c>
      <c r="AA430">
        <v>106689.74</v>
      </c>
      <c r="AB430">
        <v>0</v>
      </c>
      <c r="AC430">
        <v>0</v>
      </c>
      <c r="AD430">
        <v>0</v>
      </c>
      <c r="AE430">
        <v>23114.43</v>
      </c>
      <c r="AF430">
        <v>0</v>
      </c>
      <c r="AG430">
        <v>0</v>
      </c>
      <c r="AH430">
        <v>0</v>
      </c>
      <c r="AI430">
        <v>4.49</v>
      </c>
      <c r="AJ430">
        <v>1</v>
      </c>
      <c r="AK430">
        <v>1</v>
      </c>
      <c r="AL430">
        <v>1</v>
      </c>
      <c r="AM430">
        <v>2</v>
      </c>
      <c r="AN430">
        <v>0</v>
      </c>
      <c r="AO430">
        <v>1</v>
      </c>
      <c r="AP430">
        <v>1</v>
      </c>
      <c r="AQ430">
        <v>0</v>
      </c>
      <c r="AR430">
        <v>0</v>
      </c>
      <c r="AS430" t="s">
        <v>3</v>
      </c>
      <c r="AT430">
        <v>3.0000000000000001E-3</v>
      </c>
      <c r="AU430" t="s">
        <v>35</v>
      </c>
      <c r="AV430">
        <v>0</v>
      </c>
      <c r="AW430">
        <v>2</v>
      </c>
      <c r="AX430">
        <v>85739999</v>
      </c>
      <c r="AY430">
        <v>1</v>
      </c>
      <c r="AZ430">
        <v>0</v>
      </c>
      <c r="BA430">
        <v>444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v>0</v>
      </c>
      <c r="CX430">
        <f>ROUND(Y430*Source!I190,9)</f>
        <v>3.6000000000000002E-4</v>
      </c>
      <c r="CY430">
        <f>AA430</f>
        <v>106689.74</v>
      </c>
      <c r="CZ430">
        <f>AE430</f>
        <v>23114.43</v>
      </c>
      <c r="DA430">
        <f>AI430</f>
        <v>4.49</v>
      </c>
      <c r="DB430">
        <f>ROUND((ROUND(AT430*CZ430,2)*1),6)</f>
        <v>69.34</v>
      </c>
      <c r="DC430">
        <f>ROUND((ROUND(AT430*AG430,2)*1),6)</f>
        <v>0</v>
      </c>
      <c r="DD430" t="s">
        <v>3</v>
      </c>
      <c r="DE430" t="s">
        <v>3</v>
      </c>
      <c r="DF430">
        <f>ROUND(ROUND(AE430*AI430,2)*CX430,2)</f>
        <v>37.36</v>
      </c>
      <c r="DG430">
        <f t="shared" ref="DG430:DG443" si="190">ROUND(ROUND(AF430,2)*CX430,2)</f>
        <v>0</v>
      </c>
      <c r="DH430">
        <f t="shared" ref="DH430:DH443" si="191">ROUND(ROUND(AG430,2)*CX430,2)</f>
        <v>0</v>
      </c>
      <c r="DI430">
        <f t="shared" si="176"/>
        <v>0</v>
      </c>
      <c r="DJ430">
        <f>DF430</f>
        <v>37.36</v>
      </c>
      <c r="DK430">
        <v>0</v>
      </c>
      <c r="DL430" t="s">
        <v>3</v>
      </c>
      <c r="DM430">
        <v>0</v>
      </c>
      <c r="DN430" t="s">
        <v>3</v>
      </c>
      <c r="DO430">
        <v>0</v>
      </c>
    </row>
    <row r="431" spans="1:119" x14ac:dyDescent="0.2">
      <c r="A431">
        <f>ROW(Source!A190)</f>
        <v>190</v>
      </c>
      <c r="B431">
        <v>85739207</v>
      </c>
      <c r="C431">
        <v>85739917</v>
      </c>
      <c r="D431">
        <v>85200023</v>
      </c>
      <c r="E431">
        <v>1</v>
      </c>
      <c r="F431">
        <v>1</v>
      </c>
      <c r="G431">
        <v>1081</v>
      </c>
      <c r="H431">
        <v>3</v>
      </c>
      <c r="I431" t="s">
        <v>555</v>
      </c>
      <c r="J431" t="s">
        <v>556</v>
      </c>
      <c r="K431" t="s">
        <v>557</v>
      </c>
      <c r="L431">
        <v>1348</v>
      </c>
      <c r="N431">
        <v>1009</v>
      </c>
      <c r="O431" t="s">
        <v>266</v>
      </c>
      <c r="P431" t="s">
        <v>266</v>
      </c>
      <c r="Q431">
        <v>1000</v>
      </c>
      <c r="W431">
        <v>0</v>
      </c>
      <c r="X431">
        <v>63955816</v>
      </c>
      <c r="Y431">
        <f>(AT431*1)</f>
        <v>0.01</v>
      </c>
      <c r="AA431">
        <v>99503.2</v>
      </c>
      <c r="AB431">
        <v>0</v>
      </c>
      <c r="AC431">
        <v>0</v>
      </c>
      <c r="AD431">
        <v>0</v>
      </c>
      <c r="AE431">
        <v>7185.82</v>
      </c>
      <c r="AF431">
        <v>0</v>
      </c>
      <c r="AG431">
        <v>0</v>
      </c>
      <c r="AH431">
        <v>0</v>
      </c>
      <c r="AI431">
        <v>13.47</v>
      </c>
      <c r="AJ431">
        <v>1</v>
      </c>
      <c r="AK431">
        <v>1</v>
      </c>
      <c r="AL431">
        <v>1</v>
      </c>
      <c r="AM431">
        <v>2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0.01</v>
      </c>
      <c r="AU431" t="s">
        <v>35</v>
      </c>
      <c r="AV431">
        <v>0</v>
      </c>
      <c r="AW431">
        <v>2</v>
      </c>
      <c r="AX431">
        <v>85740000</v>
      </c>
      <c r="AY431">
        <v>1</v>
      </c>
      <c r="AZ431">
        <v>0</v>
      </c>
      <c r="BA431">
        <v>445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V431">
        <v>0</v>
      </c>
      <c r="CW431">
        <v>0</v>
      </c>
      <c r="CX431">
        <f>ROUND(Y431*Source!I190,9)</f>
        <v>1.1999999999999999E-3</v>
      </c>
      <c r="CY431">
        <f>AA431</f>
        <v>99503.2</v>
      </c>
      <c r="CZ431">
        <f>AE431</f>
        <v>7185.82</v>
      </c>
      <c r="DA431">
        <f>AI431</f>
        <v>13.47</v>
      </c>
      <c r="DB431">
        <f>ROUND((ROUND(AT431*CZ431,2)*1),6)</f>
        <v>71.86</v>
      </c>
      <c r="DC431">
        <f>ROUND((ROUND(AT431*AG431,2)*1),6)</f>
        <v>0</v>
      </c>
      <c r="DD431" t="s">
        <v>3</v>
      </c>
      <c r="DE431" t="s">
        <v>3</v>
      </c>
      <c r="DF431">
        <f>ROUND(ROUND(AE431*AI431,2)*CX431,2)</f>
        <v>116.15</v>
      </c>
      <c r="DG431">
        <f t="shared" si="190"/>
        <v>0</v>
      </c>
      <c r="DH431">
        <f t="shared" si="191"/>
        <v>0</v>
      </c>
      <c r="DI431">
        <f t="shared" si="176"/>
        <v>0</v>
      </c>
      <c r="DJ431">
        <f>DF431</f>
        <v>116.15</v>
      </c>
      <c r="DK431">
        <v>0</v>
      </c>
      <c r="DL431" t="s">
        <v>3</v>
      </c>
      <c r="DM431">
        <v>0</v>
      </c>
      <c r="DN431" t="s">
        <v>3</v>
      </c>
      <c r="DO431">
        <v>0</v>
      </c>
    </row>
    <row r="432" spans="1:119" x14ac:dyDescent="0.2">
      <c r="A432">
        <f>ROW(Source!A190)</f>
        <v>190</v>
      </c>
      <c r="B432">
        <v>85739207</v>
      </c>
      <c r="C432">
        <v>85739917</v>
      </c>
      <c r="D432">
        <v>85215459</v>
      </c>
      <c r="E432">
        <v>1</v>
      </c>
      <c r="F432">
        <v>1</v>
      </c>
      <c r="G432">
        <v>1081</v>
      </c>
      <c r="H432">
        <v>3</v>
      </c>
      <c r="I432" t="s">
        <v>603</v>
      </c>
      <c r="J432" t="s">
        <v>604</v>
      </c>
      <c r="K432" t="s">
        <v>605</v>
      </c>
      <c r="L432">
        <v>1354</v>
      </c>
      <c r="N432">
        <v>1010</v>
      </c>
      <c r="O432" t="s">
        <v>99</v>
      </c>
      <c r="P432" t="s">
        <v>99</v>
      </c>
      <c r="Q432">
        <v>1</v>
      </c>
      <c r="W432">
        <v>0</v>
      </c>
      <c r="X432">
        <v>-1710543629</v>
      </c>
      <c r="Y432">
        <f>(AT432*1)</f>
        <v>100</v>
      </c>
      <c r="AA432">
        <v>102.86</v>
      </c>
      <c r="AB432">
        <v>0</v>
      </c>
      <c r="AC432">
        <v>0</v>
      </c>
      <c r="AD432">
        <v>0</v>
      </c>
      <c r="AE432">
        <v>11.13</v>
      </c>
      <c r="AF432">
        <v>0</v>
      </c>
      <c r="AG432">
        <v>0</v>
      </c>
      <c r="AH432">
        <v>0</v>
      </c>
      <c r="AI432">
        <v>8.99</v>
      </c>
      <c r="AJ432">
        <v>1</v>
      </c>
      <c r="AK432">
        <v>1</v>
      </c>
      <c r="AL432">
        <v>1</v>
      </c>
      <c r="AM432">
        <v>2</v>
      </c>
      <c r="AN432">
        <v>0</v>
      </c>
      <c r="AO432">
        <v>1</v>
      </c>
      <c r="AP432">
        <v>1</v>
      </c>
      <c r="AQ432">
        <v>0</v>
      </c>
      <c r="AR432">
        <v>0</v>
      </c>
      <c r="AS432" t="s">
        <v>3</v>
      </c>
      <c r="AT432">
        <v>100</v>
      </c>
      <c r="AU432" t="s">
        <v>35</v>
      </c>
      <c r="AV432">
        <v>0</v>
      </c>
      <c r="AW432">
        <v>2</v>
      </c>
      <c r="AX432">
        <v>85740001</v>
      </c>
      <c r="AY432">
        <v>1</v>
      </c>
      <c r="AZ432">
        <v>0</v>
      </c>
      <c r="BA432">
        <v>446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v>0</v>
      </c>
      <c r="CX432">
        <f>ROUND(Y432*Source!I190,9)</f>
        <v>12</v>
      </c>
      <c r="CY432">
        <f>AA432</f>
        <v>102.86</v>
      </c>
      <c r="CZ432">
        <f>AE432</f>
        <v>11.13</v>
      </c>
      <c r="DA432">
        <f>AI432</f>
        <v>8.99</v>
      </c>
      <c r="DB432">
        <f>ROUND((ROUND(AT432*CZ432,2)*1),6)</f>
        <v>1113</v>
      </c>
      <c r="DC432">
        <f>ROUND((ROUND(AT432*AG432,2)*1),6)</f>
        <v>0</v>
      </c>
      <c r="DD432" t="s">
        <v>3</v>
      </c>
      <c r="DE432" t="s">
        <v>3</v>
      </c>
      <c r="DF432">
        <f>ROUND(ROUND(AE432*AI432,2)*CX432,2)</f>
        <v>1200.72</v>
      </c>
      <c r="DG432">
        <f t="shared" si="190"/>
        <v>0</v>
      </c>
      <c r="DH432">
        <f t="shared" si="191"/>
        <v>0</v>
      </c>
      <c r="DI432">
        <f t="shared" si="176"/>
        <v>0</v>
      </c>
      <c r="DJ432">
        <f>DF432</f>
        <v>1200.72</v>
      </c>
      <c r="DK432">
        <v>0</v>
      </c>
      <c r="DL432" t="s">
        <v>3</v>
      </c>
      <c r="DM432">
        <v>0</v>
      </c>
      <c r="DN432" t="s">
        <v>3</v>
      </c>
      <c r="DO432">
        <v>0</v>
      </c>
    </row>
    <row r="433" spans="1:119" x14ac:dyDescent="0.2">
      <c r="A433">
        <f>ROW(Source!A190)</f>
        <v>190</v>
      </c>
      <c r="B433">
        <v>85739207</v>
      </c>
      <c r="C433">
        <v>85739917</v>
      </c>
      <c r="D433">
        <v>85215359</v>
      </c>
      <c r="E433">
        <v>1</v>
      </c>
      <c r="F433">
        <v>1</v>
      </c>
      <c r="G433">
        <v>1081</v>
      </c>
      <c r="H433">
        <v>3</v>
      </c>
      <c r="I433" t="s">
        <v>373</v>
      </c>
      <c r="J433" t="s">
        <v>376</v>
      </c>
      <c r="K433" t="s">
        <v>374</v>
      </c>
      <c r="L433">
        <v>1391</v>
      </c>
      <c r="N433">
        <v>1013</v>
      </c>
      <c r="O433" t="s">
        <v>375</v>
      </c>
      <c r="P433" t="s">
        <v>375</v>
      </c>
      <c r="Q433">
        <v>1</v>
      </c>
      <c r="W433">
        <v>0</v>
      </c>
      <c r="X433">
        <v>673296093</v>
      </c>
      <c r="Y433">
        <f>(AT433*1)</f>
        <v>50</v>
      </c>
      <c r="AA433">
        <v>448.97</v>
      </c>
      <c r="AB433">
        <v>0</v>
      </c>
      <c r="AC433">
        <v>0</v>
      </c>
      <c r="AD433">
        <v>0</v>
      </c>
      <c r="AE433">
        <v>21.41</v>
      </c>
      <c r="AF433">
        <v>0</v>
      </c>
      <c r="AG433">
        <v>0</v>
      </c>
      <c r="AH433">
        <v>0</v>
      </c>
      <c r="AI433">
        <v>20.97</v>
      </c>
      <c r="AJ433">
        <v>1</v>
      </c>
      <c r="AK433">
        <v>1</v>
      </c>
      <c r="AL433">
        <v>1</v>
      </c>
      <c r="AM433">
        <v>0</v>
      </c>
      <c r="AN433">
        <v>0</v>
      </c>
      <c r="AO433">
        <v>0</v>
      </c>
      <c r="AP433">
        <v>1</v>
      </c>
      <c r="AQ433">
        <v>0</v>
      </c>
      <c r="AR433">
        <v>0</v>
      </c>
      <c r="AS433" t="s">
        <v>3</v>
      </c>
      <c r="AT433">
        <v>50</v>
      </c>
      <c r="AU433" t="s">
        <v>35</v>
      </c>
      <c r="AV433">
        <v>0</v>
      </c>
      <c r="AW433">
        <v>1</v>
      </c>
      <c r="AX433">
        <v>-1</v>
      </c>
      <c r="AY433">
        <v>0</v>
      </c>
      <c r="AZ433">
        <v>0</v>
      </c>
      <c r="BA433" t="s">
        <v>3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V433">
        <v>0</v>
      </c>
      <c r="CW433">
        <v>0</v>
      </c>
      <c r="CX433">
        <f>ROUND(Y433*Source!I190,9)</f>
        <v>6</v>
      </c>
      <c r="CY433">
        <f>AA433</f>
        <v>448.97</v>
      </c>
      <c r="CZ433">
        <f>AE433</f>
        <v>21.41</v>
      </c>
      <c r="DA433">
        <f>AI433</f>
        <v>20.97</v>
      </c>
      <c r="DB433">
        <f>ROUND((ROUND(AT433*CZ433,2)*1),6)</f>
        <v>1070.5</v>
      </c>
      <c r="DC433">
        <f>ROUND((ROUND(AT433*AG433,2)*1),6)</f>
        <v>0</v>
      </c>
      <c r="DD433" t="s">
        <v>3</v>
      </c>
      <c r="DE433" t="s">
        <v>3</v>
      </c>
      <c r="DF433">
        <f>ROUND(ROUND(AE433*AI433,2)*CX433,2)</f>
        <v>2693.82</v>
      </c>
      <c r="DG433">
        <f t="shared" si="190"/>
        <v>0</v>
      </c>
      <c r="DH433">
        <f t="shared" si="191"/>
        <v>0</v>
      </c>
      <c r="DI433">
        <f t="shared" si="176"/>
        <v>0</v>
      </c>
      <c r="DJ433">
        <f>DF433</f>
        <v>2693.82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">
      <c r="A434">
        <f>ROW(Source!A190)</f>
        <v>190</v>
      </c>
      <c r="B434">
        <v>85739207</v>
      </c>
      <c r="C434">
        <v>85739917</v>
      </c>
      <c r="D434">
        <v>85219766</v>
      </c>
      <c r="E434">
        <v>1</v>
      </c>
      <c r="F434">
        <v>1</v>
      </c>
      <c r="G434">
        <v>1081</v>
      </c>
      <c r="H434">
        <v>3</v>
      </c>
      <c r="I434" t="s">
        <v>606</v>
      </c>
      <c r="J434" t="s">
        <v>607</v>
      </c>
      <c r="K434" t="s">
        <v>608</v>
      </c>
      <c r="L434">
        <v>1354</v>
      </c>
      <c r="N434">
        <v>1010</v>
      </c>
      <c r="O434" t="s">
        <v>99</v>
      </c>
      <c r="P434" t="s">
        <v>99</v>
      </c>
      <c r="Q434">
        <v>1</v>
      </c>
      <c r="W434">
        <v>0</v>
      </c>
      <c r="X434">
        <v>-640005846</v>
      </c>
      <c r="Y434">
        <f>(AT434*1)</f>
        <v>100</v>
      </c>
      <c r="AA434">
        <v>186.81</v>
      </c>
      <c r="AB434">
        <v>0</v>
      </c>
      <c r="AC434">
        <v>0</v>
      </c>
      <c r="AD434">
        <v>0</v>
      </c>
      <c r="AE434">
        <v>22.08</v>
      </c>
      <c r="AF434">
        <v>0</v>
      </c>
      <c r="AG434">
        <v>0</v>
      </c>
      <c r="AH434">
        <v>0</v>
      </c>
      <c r="AI434">
        <v>8.23</v>
      </c>
      <c r="AJ434">
        <v>1</v>
      </c>
      <c r="AK434">
        <v>1</v>
      </c>
      <c r="AL434">
        <v>1</v>
      </c>
      <c r="AM434">
        <v>2</v>
      </c>
      <c r="AN434">
        <v>0</v>
      </c>
      <c r="AO434">
        <v>1</v>
      </c>
      <c r="AP434">
        <v>1</v>
      </c>
      <c r="AQ434">
        <v>0</v>
      </c>
      <c r="AR434">
        <v>0</v>
      </c>
      <c r="AS434" t="s">
        <v>3</v>
      </c>
      <c r="AT434">
        <v>100</v>
      </c>
      <c r="AU434" t="s">
        <v>35</v>
      </c>
      <c r="AV434">
        <v>0</v>
      </c>
      <c r="AW434">
        <v>2</v>
      </c>
      <c r="AX434">
        <v>85740002</v>
      </c>
      <c r="AY434">
        <v>1</v>
      </c>
      <c r="AZ434">
        <v>0</v>
      </c>
      <c r="BA434">
        <v>447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v>0</v>
      </c>
      <c r="CX434">
        <f>ROUND(Y434*Source!I190,9)</f>
        <v>12</v>
      </c>
      <c r="CY434">
        <f>AA434</f>
        <v>186.81</v>
      </c>
      <c r="CZ434">
        <f>AE434</f>
        <v>22.08</v>
      </c>
      <c r="DA434">
        <f>AI434</f>
        <v>8.23</v>
      </c>
      <c r="DB434">
        <f>ROUND((ROUND(AT434*CZ434,2)*1),6)</f>
        <v>2208</v>
      </c>
      <c r="DC434">
        <f>ROUND((ROUND(AT434*AG434,2)*1),6)</f>
        <v>0</v>
      </c>
      <c r="DD434" t="s">
        <v>3</v>
      </c>
      <c r="DE434" t="s">
        <v>3</v>
      </c>
      <c r="DF434">
        <f>ROUND(ROUND(AE434*AI434,2)*CX434,2)</f>
        <v>2180.64</v>
      </c>
      <c r="DG434">
        <f t="shared" si="190"/>
        <v>0</v>
      </c>
      <c r="DH434">
        <f t="shared" si="191"/>
        <v>0</v>
      </c>
      <c r="DI434">
        <f t="shared" si="176"/>
        <v>0</v>
      </c>
      <c r="DJ434">
        <f>DF434</f>
        <v>2180.64</v>
      </c>
      <c r="DK434">
        <v>0</v>
      </c>
      <c r="DL434" t="s">
        <v>3</v>
      </c>
      <c r="DM434">
        <v>0</v>
      </c>
      <c r="DN434" t="s">
        <v>3</v>
      </c>
      <c r="DO434">
        <v>0</v>
      </c>
    </row>
    <row r="435" spans="1:119" x14ac:dyDescent="0.2">
      <c r="A435">
        <f>ROW(Source!A193)</f>
        <v>193</v>
      </c>
      <c r="B435">
        <v>85739205</v>
      </c>
      <c r="C435">
        <v>85740020</v>
      </c>
      <c r="D435">
        <v>85164021</v>
      </c>
      <c r="E435">
        <v>1081</v>
      </c>
      <c r="F435">
        <v>1</v>
      </c>
      <c r="G435">
        <v>1081</v>
      </c>
      <c r="H435">
        <v>1</v>
      </c>
      <c r="I435" t="s">
        <v>472</v>
      </c>
      <c r="J435" t="s">
        <v>3</v>
      </c>
      <c r="K435" t="s">
        <v>473</v>
      </c>
      <c r="L435">
        <v>1191</v>
      </c>
      <c r="N435">
        <v>1013</v>
      </c>
      <c r="O435" t="s">
        <v>474</v>
      </c>
      <c r="P435" t="s">
        <v>474</v>
      </c>
      <c r="Q435">
        <v>1</v>
      </c>
      <c r="W435">
        <v>0</v>
      </c>
      <c r="X435">
        <v>476480486</v>
      </c>
      <c r="Y435">
        <f>((AT435*1.15)*1.2)</f>
        <v>2.1941999999999999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-2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1.59</v>
      </c>
      <c r="AU435" t="s">
        <v>79</v>
      </c>
      <c r="AV435">
        <v>1</v>
      </c>
      <c r="AW435">
        <v>2</v>
      </c>
      <c r="AX435">
        <v>85740022</v>
      </c>
      <c r="AY435">
        <v>1</v>
      </c>
      <c r="AZ435">
        <v>0</v>
      </c>
      <c r="BA435">
        <v>449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U435">
        <f>ROUND(AT435*Source!I193*AH435*AL435,2)</f>
        <v>0</v>
      </c>
      <c r="CV435">
        <f>ROUND(Y435*Source!I193,9)</f>
        <v>26.330400000000001</v>
      </c>
      <c r="CW435">
        <v>0</v>
      </c>
      <c r="CX435">
        <f>ROUND(Y435*Source!I193,9)</f>
        <v>26.330400000000001</v>
      </c>
      <c r="CY435">
        <f>AD435</f>
        <v>0</v>
      </c>
      <c r="CZ435">
        <f>AH435</f>
        <v>0</v>
      </c>
      <c r="DA435">
        <f>AL435</f>
        <v>1</v>
      </c>
      <c r="DB435">
        <f>ROUND(((ROUND(AT435*CZ435,2)*1.15)*1.2),6)</f>
        <v>0</v>
      </c>
      <c r="DC435">
        <f>ROUND(((ROUND(AT435*AG435,2)*1.15)*1.2),6)</f>
        <v>0</v>
      </c>
      <c r="DD435" t="s">
        <v>3</v>
      </c>
      <c r="DE435" t="s">
        <v>3</v>
      </c>
      <c r="DF435">
        <f t="shared" ref="DF435:DF445" si="192">ROUND(ROUND(AE435,2)*CX435,2)</f>
        <v>0</v>
      </c>
      <c r="DG435">
        <f t="shared" si="190"/>
        <v>0</v>
      </c>
      <c r="DH435">
        <f t="shared" si="191"/>
        <v>0</v>
      </c>
      <c r="DI435">
        <f t="shared" si="176"/>
        <v>0</v>
      </c>
      <c r="DJ435">
        <f>DI435</f>
        <v>0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">
      <c r="A436">
        <f>ROW(Source!A193)</f>
        <v>193</v>
      </c>
      <c r="B436">
        <v>85739205</v>
      </c>
      <c r="C436">
        <v>85740020</v>
      </c>
      <c r="D436">
        <v>85229932</v>
      </c>
      <c r="E436">
        <v>1</v>
      </c>
      <c r="F436">
        <v>1</v>
      </c>
      <c r="G436">
        <v>1081</v>
      </c>
      <c r="H436">
        <v>2</v>
      </c>
      <c r="I436" t="s">
        <v>482</v>
      </c>
      <c r="J436" t="s">
        <v>483</v>
      </c>
      <c r="K436" t="s">
        <v>484</v>
      </c>
      <c r="L436">
        <v>1368</v>
      </c>
      <c r="N436">
        <v>1011</v>
      </c>
      <c r="O436" t="s">
        <v>478</v>
      </c>
      <c r="P436" t="s">
        <v>478</v>
      </c>
      <c r="Q436">
        <v>1</v>
      </c>
      <c r="W436">
        <v>0</v>
      </c>
      <c r="X436">
        <v>874612079</v>
      </c>
      <c r="Y436">
        <f>((AT436*1.25)*1.2)</f>
        <v>0.09</v>
      </c>
      <c r="AA436">
        <v>0</v>
      </c>
      <c r="AB436">
        <v>88.67</v>
      </c>
      <c r="AC436">
        <v>13.47</v>
      </c>
      <c r="AD436">
        <v>0</v>
      </c>
      <c r="AE436">
        <v>0</v>
      </c>
      <c r="AF436">
        <v>83.1</v>
      </c>
      <c r="AG436">
        <v>12.62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-2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0.06</v>
      </c>
      <c r="AU436" t="s">
        <v>78</v>
      </c>
      <c r="AV436">
        <v>0</v>
      </c>
      <c r="AW436">
        <v>2</v>
      </c>
      <c r="AX436">
        <v>85740023</v>
      </c>
      <c r="AY436">
        <v>1</v>
      </c>
      <c r="AZ436">
        <v>0</v>
      </c>
      <c r="BA436">
        <v>450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f>ROUND(Y436*Source!I193*DO436,9)</f>
        <v>13.6296</v>
      </c>
      <c r="CX436">
        <f>ROUND(Y436*Source!I193,9)</f>
        <v>1.08</v>
      </c>
      <c r="CY436">
        <f>AB436</f>
        <v>88.67</v>
      </c>
      <c r="CZ436">
        <f>AF436</f>
        <v>83.1</v>
      </c>
      <c r="DA436">
        <f>AJ436</f>
        <v>1</v>
      </c>
      <c r="DB436">
        <f>ROUND(((ROUND(AT436*CZ436,2)*1.25)*1.2),6)</f>
        <v>7.4850000000000003</v>
      </c>
      <c r="DC436">
        <f>ROUND(((ROUND(AT436*AG436,2)*1.25)*1.2),6)</f>
        <v>1.1399999999999999</v>
      </c>
      <c r="DD436" t="s">
        <v>3</v>
      </c>
      <c r="DE436" t="s">
        <v>3</v>
      </c>
      <c r="DF436">
        <f t="shared" si="192"/>
        <v>0</v>
      </c>
      <c r="DG436">
        <f t="shared" si="190"/>
        <v>89.75</v>
      </c>
      <c r="DH436">
        <f t="shared" si="191"/>
        <v>13.63</v>
      </c>
      <c r="DI436">
        <f t="shared" si="176"/>
        <v>0</v>
      </c>
      <c r="DJ436">
        <f>DG436</f>
        <v>89.75</v>
      </c>
      <c r="DK436">
        <v>0</v>
      </c>
      <c r="DL436" t="s">
        <v>485</v>
      </c>
      <c r="DM436">
        <v>0</v>
      </c>
      <c r="DN436" t="s">
        <v>474</v>
      </c>
      <c r="DO436">
        <v>12.62</v>
      </c>
    </row>
    <row r="437" spans="1:119" x14ac:dyDescent="0.2">
      <c r="A437">
        <f>ROW(Source!A193)</f>
        <v>193</v>
      </c>
      <c r="B437">
        <v>85739205</v>
      </c>
      <c r="C437">
        <v>85740020</v>
      </c>
      <c r="D437">
        <v>85229166</v>
      </c>
      <c r="E437">
        <v>1</v>
      </c>
      <c r="F437">
        <v>1</v>
      </c>
      <c r="G437">
        <v>1081</v>
      </c>
      <c r="H437">
        <v>2</v>
      </c>
      <c r="I437" t="s">
        <v>510</v>
      </c>
      <c r="J437" t="s">
        <v>511</v>
      </c>
      <c r="K437" t="s">
        <v>512</v>
      </c>
      <c r="L437">
        <v>1368</v>
      </c>
      <c r="N437">
        <v>1011</v>
      </c>
      <c r="O437" t="s">
        <v>478</v>
      </c>
      <c r="P437" t="s">
        <v>478</v>
      </c>
      <c r="Q437">
        <v>1</v>
      </c>
      <c r="W437">
        <v>0</v>
      </c>
      <c r="X437">
        <v>-44940208</v>
      </c>
      <c r="Y437">
        <f>((AT437*1.25)*1.2)</f>
        <v>0.03</v>
      </c>
      <c r="AA437">
        <v>0</v>
      </c>
      <c r="AB437">
        <v>191.17</v>
      </c>
      <c r="AC437">
        <v>18.059999999999999</v>
      </c>
      <c r="AD437">
        <v>0</v>
      </c>
      <c r="AE437">
        <v>0</v>
      </c>
      <c r="AF437">
        <v>179.17</v>
      </c>
      <c r="AG437">
        <v>16.93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-2</v>
      </c>
      <c r="AN437">
        <v>0</v>
      </c>
      <c r="AO437">
        <v>1</v>
      </c>
      <c r="AP437">
        <v>1</v>
      </c>
      <c r="AQ437">
        <v>0</v>
      </c>
      <c r="AR437">
        <v>0</v>
      </c>
      <c r="AS437" t="s">
        <v>3</v>
      </c>
      <c r="AT437">
        <v>0.02</v>
      </c>
      <c r="AU437" t="s">
        <v>78</v>
      </c>
      <c r="AV437">
        <v>0</v>
      </c>
      <c r="AW437">
        <v>2</v>
      </c>
      <c r="AX437">
        <v>85740024</v>
      </c>
      <c r="AY437">
        <v>1</v>
      </c>
      <c r="AZ437">
        <v>0</v>
      </c>
      <c r="BA437">
        <v>451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f>ROUND(Y437*Source!I193*DO437,9)</f>
        <v>6.0948000000000002</v>
      </c>
      <c r="CX437">
        <f>ROUND(Y437*Source!I193,9)</f>
        <v>0.36</v>
      </c>
      <c r="CY437">
        <f>AB437</f>
        <v>191.17</v>
      </c>
      <c r="CZ437">
        <f>AF437</f>
        <v>179.17</v>
      </c>
      <c r="DA437">
        <f>AJ437</f>
        <v>1</v>
      </c>
      <c r="DB437">
        <f>ROUND(((ROUND(AT437*CZ437,2)*1.25)*1.2),6)</f>
        <v>5.37</v>
      </c>
      <c r="DC437">
        <f>ROUND(((ROUND(AT437*AG437,2)*1.25)*1.2),6)</f>
        <v>0.51</v>
      </c>
      <c r="DD437" t="s">
        <v>3</v>
      </c>
      <c r="DE437" t="s">
        <v>3</v>
      </c>
      <c r="DF437">
        <f t="shared" si="192"/>
        <v>0</v>
      </c>
      <c r="DG437">
        <f t="shared" si="190"/>
        <v>64.5</v>
      </c>
      <c r="DH437">
        <f t="shared" si="191"/>
        <v>6.09</v>
      </c>
      <c r="DI437">
        <f t="shared" si="176"/>
        <v>0</v>
      </c>
      <c r="DJ437">
        <f>DG437</f>
        <v>64.5</v>
      </c>
      <c r="DK437">
        <v>0</v>
      </c>
      <c r="DL437" t="s">
        <v>485</v>
      </c>
      <c r="DM437">
        <v>0</v>
      </c>
      <c r="DN437" t="s">
        <v>474</v>
      </c>
      <c r="DO437">
        <v>16.93</v>
      </c>
    </row>
    <row r="438" spans="1:119" x14ac:dyDescent="0.2">
      <c r="A438">
        <f>ROW(Source!A193)</f>
        <v>193</v>
      </c>
      <c r="B438">
        <v>85739205</v>
      </c>
      <c r="C438">
        <v>85740020</v>
      </c>
      <c r="D438">
        <v>85200671</v>
      </c>
      <c r="E438">
        <v>1</v>
      </c>
      <c r="F438">
        <v>1</v>
      </c>
      <c r="G438">
        <v>1081</v>
      </c>
      <c r="H438">
        <v>3</v>
      </c>
      <c r="I438" t="s">
        <v>516</v>
      </c>
      <c r="J438" t="s">
        <v>517</v>
      </c>
      <c r="K438" t="s">
        <v>518</v>
      </c>
      <c r="L438">
        <v>1346</v>
      </c>
      <c r="N438">
        <v>1009</v>
      </c>
      <c r="O438" t="s">
        <v>502</v>
      </c>
      <c r="P438" t="s">
        <v>502</v>
      </c>
      <c r="Q438">
        <v>1</v>
      </c>
      <c r="W438">
        <v>0</v>
      </c>
      <c r="X438">
        <v>1021383118</v>
      </c>
      <c r="Y438">
        <f>((AT438*1)*1)</f>
        <v>0.04</v>
      </c>
      <c r="AA438">
        <v>37.979999999999997</v>
      </c>
      <c r="AB438">
        <v>0</v>
      </c>
      <c r="AC438">
        <v>0</v>
      </c>
      <c r="AD438">
        <v>0</v>
      </c>
      <c r="AE438">
        <v>37.979999999999997</v>
      </c>
      <c r="AF438">
        <v>0</v>
      </c>
      <c r="AG438">
        <v>0</v>
      </c>
      <c r="AH438">
        <v>0</v>
      </c>
      <c r="AI438">
        <v>1</v>
      </c>
      <c r="AJ438">
        <v>1</v>
      </c>
      <c r="AK438">
        <v>1</v>
      </c>
      <c r="AL438">
        <v>1</v>
      </c>
      <c r="AM438">
        <v>-2</v>
      </c>
      <c r="AN438">
        <v>0</v>
      </c>
      <c r="AO438">
        <v>1</v>
      </c>
      <c r="AP438">
        <v>1</v>
      </c>
      <c r="AQ438">
        <v>0</v>
      </c>
      <c r="AR438">
        <v>0</v>
      </c>
      <c r="AS438" t="s">
        <v>3</v>
      </c>
      <c r="AT438">
        <v>0.04</v>
      </c>
      <c r="AU438" t="s">
        <v>77</v>
      </c>
      <c r="AV438">
        <v>0</v>
      </c>
      <c r="AW438">
        <v>2</v>
      </c>
      <c r="AX438">
        <v>85740025</v>
      </c>
      <c r="AY438">
        <v>1</v>
      </c>
      <c r="AZ438">
        <v>0</v>
      </c>
      <c r="BA438">
        <v>452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v>0</v>
      </c>
      <c r="CX438">
        <f>ROUND(Y438*Source!I193,9)</f>
        <v>0.48</v>
      </c>
      <c r="CY438">
        <f>AA438</f>
        <v>37.979999999999997</v>
      </c>
      <c r="CZ438">
        <f>AE438</f>
        <v>37.979999999999997</v>
      </c>
      <c r="DA438">
        <f>AI438</f>
        <v>1</v>
      </c>
      <c r="DB438">
        <f>ROUND(((ROUND(AT438*CZ438,2)*1)*1),6)</f>
        <v>1.52</v>
      </c>
      <c r="DC438">
        <f>ROUND(((ROUND(AT438*AG438,2)*1)*1),6)</f>
        <v>0</v>
      </c>
      <c r="DD438" t="s">
        <v>3</v>
      </c>
      <c r="DE438" t="s">
        <v>3</v>
      </c>
      <c r="DF438">
        <f t="shared" si="192"/>
        <v>18.23</v>
      </c>
      <c r="DG438">
        <f t="shared" si="190"/>
        <v>0</v>
      </c>
      <c r="DH438">
        <f t="shared" si="191"/>
        <v>0</v>
      </c>
      <c r="DI438">
        <f t="shared" si="176"/>
        <v>0</v>
      </c>
      <c r="DJ438">
        <f>DF438</f>
        <v>18.23</v>
      </c>
      <c r="DK438">
        <v>0</v>
      </c>
      <c r="DL438" t="s">
        <v>3</v>
      </c>
      <c r="DM438">
        <v>0</v>
      </c>
      <c r="DN438" t="s">
        <v>3</v>
      </c>
      <c r="DO438">
        <v>0</v>
      </c>
    </row>
    <row r="439" spans="1:119" x14ac:dyDescent="0.2">
      <c r="A439">
        <f>ROW(Source!A193)</f>
        <v>193</v>
      </c>
      <c r="B439">
        <v>85739205</v>
      </c>
      <c r="C439">
        <v>85740020</v>
      </c>
      <c r="D439">
        <v>85199230</v>
      </c>
      <c r="E439">
        <v>1</v>
      </c>
      <c r="F439">
        <v>1</v>
      </c>
      <c r="G439">
        <v>1081</v>
      </c>
      <c r="H439">
        <v>3</v>
      </c>
      <c r="I439" t="s">
        <v>519</v>
      </c>
      <c r="J439" t="s">
        <v>520</v>
      </c>
      <c r="K439" t="s">
        <v>521</v>
      </c>
      <c r="L439">
        <v>1348</v>
      </c>
      <c r="N439">
        <v>1009</v>
      </c>
      <c r="O439" t="s">
        <v>266</v>
      </c>
      <c r="P439" t="s">
        <v>266</v>
      </c>
      <c r="Q439">
        <v>1000</v>
      </c>
      <c r="W439">
        <v>0</v>
      </c>
      <c r="X439">
        <v>1270042986</v>
      </c>
      <c r="Y439">
        <f>((AT439*1)*1)</f>
        <v>1E-4</v>
      </c>
      <c r="AA439">
        <v>16214.84</v>
      </c>
      <c r="AB439">
        <v>0</v>
      </c>
      <c r="AC439">
        <v>0</v>
      </c>
      <c r="AD439">
        <v>0</v>
      </c>
      <c r="AE439">
        <v>16214.84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-2</v>
      </c>
      <c r="AN439">
        <v>0</v>
      </c>
      <c r="AO439">
        <v>1</v>
      </c>
      <c r="AP439">
        <v>1</v>
      </c>
      <c r="AQ439">
        <v>0</v>
      </c>
      <c r="AR439">
        <v>0</v>
      </c>
      <c r="AS439" t="s">
        <v>3</v>
      </c>
      <c r="AT439">
        <v>1E-4</v>
      </c>
      <c r="AU439" t="s">
        <v>77</v>
      </c>
      <c r="AV439">
        <v>0</v>
      </c>
      <c r="AW439">
        <v>2</v>
      </c>
      <c r="AX439">
        <v>85740026</v>
      </c>
      <c r="AY439">
        <v>1</v>
      </c>
      <c r="AZ439">
        <v>0</v>
      </c>
      <c r="BA439">
        <v>453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V439">
        <v>0</v>
      </c>
      <c r="CW439">
        <v>0</v>
      </c>
      <c r="CX439">
        <f>ROUND(Y439*Source!I193,9)</f>
        <v>1.1999999999999999E-3</v>
      </c>
      <c r="CY439">
        <f>AA439</f>
        <v>16214.84</v>
      </c>
      <c r="CZ439">
        <f>AE439</f>
        <v>16214.84</v>
      </c>
      <c r="DA439">
        <f>AI439</f>
        <v>1</v>
      </c>
      <c r="DB439">
        <f>ROUND(((ROUND(AT439*CZ439,2)*1)*1),6)</f>
        <v>1.62</v>
      </c>
      <c r="DC439">
        <f>ROUND(((ROUND(AT439*AG439,2)*1)*1),6)</f>
        <v>0</v>
      </c>
      <c r="DD439" t="s">
        <v>3</v>
      </c>
      <c r="DE439" t="s">
        <v>3</v>
      </c>
      <c r="DF439">
        <f t="shared" si="192"/>
        <v>19.46</v>
      </c>
      <c r="DG439">
        <f t="shared" si="190"/>
        <v>0</v>
      </c>
      <c r="DH439">
        <f t="shared" si="191"/>
        <v>0</v>
      </c>
      <c r="DI439">
        <f t="shared" si="176"/>
        <v>0</v>
      </c>
      <c r="DJ439">
        <f>DF439</f>
        <v>19.46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">
      <c r="A440">
        <f>ROW(Source!A193)</f>
        <v>193</v>
      </c>
      <c r="B440">
        <v>85739205</v>
      </c>
      <c r="C440">
        <v>85740020</v>
      </c>
      <c r="D440">
        <v>85199398</v>
      </c>
      <c r="E440">
        <v>1</v>
      </c>
      <c r="F440">
        <v>1</v>
      </c>
      <c r="G440">
        <v>1081</v>
      </c>
      <c r="H440">
        <v>3</v>
      </c>
      <c r="I440" t="s">
        <v>522</v>
      </c>
      <c r="J440" t="s">
        <v>523</v>
      </c>
      <c r="K440" t="s">
        <v>524</v>
      </c>
      <c r="L440">
        <v>1346</v>
      </c>
      <c r="N440">
        <v>1009</v>
      </c>
      <c r="O440" t="s">
        <v>502</v>
      </c>
      <c r="P440" t="s">
        <v>502</v>
      </c>
      <c r="Q440">
        <v>1</v>
      </c>
      <c r="W440">
        <v>0</v>
      </c>
      <c r="X440">
        <v>488689173</v>
      </c>
      <c r="Y440">
        <f>((AT440*1)*1)</f>
        <v>0.01</v>
      </c>
      <c r="AA440">
        <v>20.190000000000001</v>
      </c>
      <c r="AB440">
        <v>0</v>
      </c>
      <c r="AC440">
        <v>0</v>
      </c>
      <c r="AD440">
        <v>0</v>
      </c>
      <c r="AE440">
        <v>20.190000000000001</v>
      </c>
      <c r="AF440">
        <v>0</v>
      </c>
      <c r="AG440">
        <v>0</v>
      </c>
      <c r="AH440">
        <v>0</v>
      </c>
      <c r="AI440">
        <v>1</v>
      </c>
      <c r="AJ440">
        <v>1</v>
      </c>
      <c r="AK440">
        <v>1</v>
      </c>
      <c r="AL440">
        <v>1</v>
      </c>
      <c r="AM440">
        <v>-2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0.01</v>
      </c>
      <c r="AU440" t="s">
        <v>77</v>
      </c>
      <c r="AV440">
        <v>0</v>
      </c>
      <c r="AW440">
        <v>2</v>
      </c>
      <c r="AX440">
        <v>85740027</v>
      </c>
      <c r="AY440">
        <v>1</v>
      </c>
      <c r="AZ440">
        <v>0</v>
      </c>
      <c r="BA440">
        <v>454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V440">
        <v>0</v>
      </c>
      <c r="CW440">
        <v>0</v>
      </c>
      <c r="CX440">
        <f>ROUND(Y440*Source!I193,9)</f>
        <v>0.12</v>
      </c>
      <c r="CY440">
        <f>AA440</f>
        <v>20.190000000000001</v>
      </c>
      <c r="CZ440">
        <f>AE440</f>
        <v>20.190000000000001</v>
      </c>
      <c r="DA440">
        <f>AI440</f>
        <v>1</v>
      </c>
      <c r="DB440">
        <f>ROUND(((ROUND(AT440*CZ440,2)*1)*1),6)</f>
        <v>0.2</v>
      </c>
      <c r="DC440">
        <f>ROUND(((ROUND(AT440*AG440,2)*1)*1),6)</f>
        <v>0</v>
      </c>
      <c r="DD440" t="s">
        <v>3</v>
      </c>
      <c r="DE440" t="s">
        <v>3</v>
      </c>
      <c r="DF440">
        <f t="shared" si="192"/>
        <v>2.42</v>
      </c>
      <c r="DG440">
        <f t="shared" si="190"/>
        <v>0</v>
      </c>
      <c r="DH440">
        <f t="shared" si="191"/>
        <v>0</v>
      </c>
      <c r="DI440">
        <f t="shared" si="176"/>
        <v>0</v>
      </c>
      <c r="DJ440">
        <f>DF440</f>
        <v>2.42</v>
      </c>
      <c r="DK440">
        <v>0</v>
      </c>
      <c r="DL440" t="s">
        <v>3</v>
      </c>
      <c r="DM440">
        <v>0</v>
      </c>
      <c r="DN440" t="s">
        <v>3</v>
      </c>
      <c r="DO440">
        <v>0</v>
      </c>
    </row>
    <row r="441" spans="1:119" x14ac:dyDescent="0.2">
      <c r="A441">
        <f>ROW(Source!A193)</f>
        <v>193</v>
      </c>
      <c r="B441">
        <v>85739205</v>
      </c>
      <c r="C441">
        <v>85740020</v>
      </c>
      <c r="D441">
        <v>85219609</v>
      </c>
      <c r="E441">
        <v>1</v>
      </c>
      <c r="F441">
        <v>1</v>
      </c>
      <c r="G441">
        <v>1081</v>
      </c>
      <c r="H441">
        <v>3</v>
      </c>
      <c r="I441" t="s">
        <v>382</v>
      </c>
      <c r="J441" t="s">
        <v>384</v>
      </c>
      <c r="K441" t="s">
        <v>383</v>
      </c>
      <c r="L441">
        <v>1354</v>
      </c>
      <c r="N441">
        <v>1010</v>
      </c>
      <c r="O441" t="s">
        <v>99</v>
      </c>
      <c r="P441" t="s">
        <v>99</v>
      </c>
      <c r="Q441">
        <v>1</v>
      </c>
      <c r="W441">
        <v>0</v>
      </c>
      <c r="X441">
        <v>-1809205533</v>
      </c>
      <c r="Y441">
        <f>((AT441*1)*1)</f>
        <v>1</v>
      </c>
      <c r="AA441">
        <v>132.38</v>
      </c>
      <c r="AB441">
        <v>0</v>
      </c>
      <c r="AC441">
        <v>0</v>
      </c>
      <c r="AD441">
        <v>0</v>
      </c>
      <c r="AE441">
        <v>132.38</v>
      </c>
      <c r="AF441">
        <v>0</v>
      </c>
      <c r="AG441">
        <v>0</v>
      </c>
      <c r="AH441">
        <v>0</v>
      </c>
      <c r="AI441">
        <v>1</v>
      </c>
      <c r="AJ441">
        <v>1</v>
      </c>
      <c r="AK441">
        <v>1</v>
      </c>
      <c r="AL441">
        <v>1</v>
      </c>
      <c r="AM441">
        <v>0</v>
      </c>
      <c r="AN441">
        <v>0</v>
      </c>
      <c r="AO441">
        <v>0</v>
      </c>
      <c r="AP441">
        <v>1</v>
      </c>
      <c r="AQ441">
        <v>0</v>
      </c>
      <c r="AR441">
        <v>0</v>
      </c>
      <c r="AS441" t="s">
        <v>3</v>
      </c>
      <c r="AT441">
        <v>1</v>
      </c>
      <c r="AU441" t="s">
        <v>77</v>
      </c>
      <c r="AV441">
        <v>0</v>
      </c>
      <c r="AW441">
        <v>1</v>
      </c>
      <c r="AX441">
        <v>-1</v>
      </c>
      <c r="AY441">
        <v>0</v>
      </c>
      <c r="AZ441">
        <v>0</v>
      </c>
      <c r="BA441" t="s">
        <v>3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V441">
        <v>0</v>
      </c>
      <c r="CW441">
        <v>0</v>
      </c>
      <c r="CX441">
        <f>ROUND(Y441*Source!I193,9)</f>
        <v>12</v>
      </c>
      <c r="CY441">
        <f>AA441</f>
        <v>132.38</v>
      </c>
      <c r="CZ441">
        <f>AE441</f>
        <v>132.38</v>
      </c>
      <c r="DA441">
        <f>AI441</f>
        <v>1</v>
      </c>
      <c r="DB441">
        <f>ROUND(((ROUND(AT441*CZ441,2)*1)*1),6)</f>
        <v>132.38</v>
      </c>
      <c r="DC441">
        <f>ROUND(((ROUND(AT441*AG441,2)*1)*1),6)</f>
        <v>0</v>
      </c>
      <c r="DD441" t="s">
        <v>3</v>
      </c>
      <c r="DE441" t="s">
        <v>3</v>
      </c>
      <c r="DF441">
        <f t="shared" si="192"/>
        <v>1588.56</v>
      </c>
      <c r="DG441">
        <f t="shared" si="190"/>
        <v>0</v>
      </c>
      <c r="DH441">
        <f t="shared" si="191"/>
        <v>0</v>
      </c>
      <c r="DI441">
        <f t="shared" si="176"/>
        <v>0</v>
      </c>
      <c r="DJ441">
        <f>DF441</f>
        <v>1588.56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">
      <c r="A442">
        <f>ROW(Source!A193)</f>
        <v>193</v>
      </c>
      <c r="B442">
        <v>85739205</v>
      </c>
      <c r="C442">
        <v>85740020</v>
      </c>
      <c r="D442">
        <v>85219690</v>
      </c>
      <c r="E442">
        <v>1</v>
      </c>
      <c r="F442">
        <v>1</v>
      </c>
      <c r="G442">
        <v>1081</v>
      </c>
      <c r="H442">
        <v>3</v>
      </c>
      <c r="I442" t="s">
        <v>609</v>
      </c>
      <c r="J442" t="s">
        <v>610</v>
      </c>
      <c r="K442" t="s">
        <v>611</v>
      </c>
      <c r="L442">
        <v>1346</v>
      </c>
      <c r="N442">
        <v>1009</v>
      </c>
      <c r="O442" t="s">
        <v>502</v>
      </c>
      <c r="P442" t="s">
        <v>502</v>
      </c>
      <c r="Q442">
        <v>1</v>
      </c>
      <c r="W442">
        <v>0</v>
      </c>
      <c r="X442">
        <v>1225074207</v>
      </c>
      <c r="Y442">
        <f>((AT442*1)*1)</f>
        <v>1.374E-2</v>
      </c>
      <c r="AA442">
        <v>19.28</v>
      </c>
      <c r="AB442">
        <v>0</v>
      </c>
      <c r="AC442">
        <v>0</v>
      </c>
      <c r="AD442">
        <v>0</v>
      </c>
      <c r="AE442">
        <v>19.28</v>
      </c>
      <c r="AF442">
        <v>0</v>
      </c>
      <c r="AG442">
        <v>0</v>
      </c>
      <c r="AH442">
        <v>0</v>
      </c>
      <c r="AI442">
        <v>1</v>
      </c>
      <c r="AJ442">
        <v>1</v>
      </c>
      <c r="AK442">
        <v>1</v>
      </c>
      <c r="AL442">
        <v>1</v>
      </c>
      <c r="AM442">
        <v>-2</v>
      </c>
      <c r="AN442">
        <v>0</v>
      </c>
      <c r="AO442">
        <v>1</v>
      </c>
      <c r="AP442">
        <v>1</v>
      </c>
      <c r="AQ442">
        <v>0</v>
      </c>
      <c r="AR442">
        <v>0</v>
      </c>
      <c r="AS442" t="s">
        <v>3</v>
      </c>
      <c r="AT442">
        <v>1.374E-2</v>
      </c>
      <c r="AU442" t="s">
        <v>77</v>
      </c>
      <c r="AV442">
        <v>0</v>
      </c>
      <c r="AW442">
        <v>2</v>
      </c>
      <c r="AX442">
        <v>85740028</v>
      </c>
      <c r="AY442">
        <v>1</v>
      </c>
      <c r="AZ442">
        <v>0</v>
      </c>
      <c r="BA442">
        <v>455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v>0</v>
      </c>
      <c r="CX442">
        <f>ROUND(Y442*Source!I193,9)</f>
        <v>0.16488</v>
      </c>
      <c r="CY442">
        <f>AA442</f>
        <v>19.28</v>
      </c>
      <c r="CZ442">
        <f>AE442</f>
        <v>19.28</v>
      </c>
      <c r="DA442">
        <f>AI442</f>
        <v>1</v>
      </c>
      <c r="DB442">
        <f>ROUND(((ROUND(AT442*CZ442,2)*1)*1),6)</f>
        <v>0.26</v>
      </c>
      <c r="DC442">
        <f>ROUND(((ROUND(AT442*AG442,2)*1)*1),6)</f>
        <v>0</v>
      </c>
      <c r="DD442" t="s">
        <v>3</v>
      </c>
      <c r="DE442" t="s">
        <v>3</v>
      </c>
      <c r="DF442">
        <f t="shared" si="192"/>
        <v>3.18</v>
      </c>
      <c r="DG442">
        <f t="shared" si="190"/>
        <v>0</v>
      </c>
      <c r="DH442">
        <f t="shared" si="191"/>
        <v>0</v>
      </c>
      <c r="DI442">
        <f t="shared" si="176"/>
        <v>0</v>
      </c>
      <c r="DJ442">
        <f>DF442</f>
        <v>3.18</v>
      </c>
      <c r="DK442">
        <v>0</v>
      </c>
      <c r="DL442" t="s">
        <v>3</v>
      </c>
      <c r="DM442">
        <v>0</v>
      </c>
      <c r="DN442" t="s">
        <v>3</v>
      </c>
      <c r="DO442">
        <v>0</v>
      </c>
    </row>
    <row r="443" spans="1:119" x14ac:dyDescent="0.2">
      <c r="A443">
        <f>ROW(Source!A194)</f>
        <v>194</v>
      </c>
      <c r="B443">
        <v>85739207</v>
      </c>
      <c r="C443">
        <v>85740020</v>
      </c>
      <c r="D443">
        <v>85164021</v>
      </c>
      <c r="E443">
        <v>1081</v>
      </c>
      <c r="F443">
        <v>1</v>
      </c>
      <c r="G443">
        <v>1081</v>
      </c>
      <c r="H443">
        <v>1</v>
      </c>
      <c r="I443" t="s">
        <v>472</v>
      </c>
      <c r="J443" t="s">
        <v>3</v>
      </c>
      <c r="K443" t="s">
        <v>473</v>
      </c>
      <c r="L443">
        <v>1191</v>
      </c>
      <c r="N443">
        <v>1013</v>
      </c>
      <c r="O443" t="s">
        <v>474</v>
      </c>
      <c r="P443" t="s">
        <v>474</v>
      </c>
      <c r="Q443">
        <v>1</v>
      </c>
      <c r="W443">
        <v>0</v>
      </c>
      <c r="X443">
        <v>476480486</v>
      </c>
      <c r="Y443">
        <f>((AT443*1.15)*1.2)</f>
        <v>2.1941999999999999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1</v>
      </c>
      <c r="AK443">
        <v>1</v>
      </c>
      <c r="AL443">
        <v>1</v>
      </c>
      <c r="AM443">
        <v>5</v>
      </c>
      <c r="AN443">
        <v>0</v>
      </c>
      <c r="AO443">
        <v>1</v>
      </c>
      <c r="AP443">
        <v>1</v>
      </c>
      <c r="AQ443">
        <v>0</v>
      </c>
      <c r="AR443">
        <v>0</v>
      </c>
      <c r="AS443" t="s">
        <v>3</v>
      </c>
      <c r="AT443">
        <v>1.59</v>
      </c>
      <c r="AU443" t="s">
        <v>79</v>
      </c>
      <c r="AV443">
        <v>1</v>
      </c>
      <c r="AW443">
        <v>2</v>
      </c>
      <c r="AX443">
        <v>85740022</v>
      </c>
      <c r="AY443">
        <v>1</v>
      </c>
      <c r="AZ443">
        <v>0</v>
      </c>
      <c r="BA443">
        <v>458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U443">
        <f>ROUND(AT443*Source!I194*AH443*AL443,2)</f>
        <v>0</v>
      </c>
      <c r="CV443">
        <f>ROUND(Y443*Source!I194,9)</f>
        <v>26.330400000000001</v>
      </c>
      <c r="CW443">
        <v>0</v>
      </c>
      <c r="CX443">
        <f>ROUND(Y443*Source!I194,9)</f>
        <v>26.330400000000001</v>
      </c>
      <c r="CY443">
        <f>AD443</f>
        <v>0</v>
      </c>
      <c r="CZ443">
        <f>AH443</f>
        <v>0</v>
      </c>
      <c r="DA443">
        <f>AL443</f>
        <v>1</v>
      </c>
      <c r="DB443">
        <f>ROUND(((ROUND(AT443*CZ443,2)*1.15)*1.2),6)</f>
        <v>0</v>
      </c>
      <c r="DC443">
        <f>ROUND(((ROUND(AT443*AG443,2)*1.15)*1.2),6)</f>
        <v>0</v>
      </c>
      <c r="DD443" t="s">
        <v>3</v>
      </c>
      <c r="DE443" t="s">
        <v>3</v>
      </c>
      <c r="DF443">
        <f t="shared" si="192"/>
        <v>0</v>
      </c>
      <c r="DG443">
        <f t="shared" si="190"/>
        <v>0</v>
      </c>
      <c r="DH443">
        <f t="shared" si="191"/>
        <v>0</v>
      </c>
      <c r="DI443">
        <f t="shared" si="176"/>
        <v>0</v>
      </c>
      <c r="DJ443">
        <f>DI443</f>
        <v>0</v>
      </c>
      <c r="DK443">
        <v>0</v>
      </c>
      <c r="DL443" t="s">
        <v>3</v>
      </c>
      <c r="DM443">
        <v>0</v>
      </c>
      <c r="DN443" t="s">
        <v>3</v>
      </c>
      <c r="DO443">
        <v>0</v>
      </c>
    </row>
    <row r="444" spans="1:119" x14ac:dyDescent="0.2">
      <c r="A444">
        <f>ROW(Source!A194)</f>
        <v>194</v>
      </c>
      <c r="B444">
        <v>85739207</v>
      </c>
      <c r="C444">
        <v>85740020</v>
      </c>
      <c r="D444">
        <v>85229932</v>
      </c>
      <c r="E444">
        <v>1</v>
      </c>
      <c r="F444">
        <v>1</v>
      </c>
      <c r="G444">
        <v>1081</v>
      </c>
      <c r="H444">
        <v>2</v>
      </c>
      <c r="I444" t="s">
        <v>482</v>
      </c>
      <c r="J444" t="s">
        <v>483</v>
      </c>
      <c r="K444" t="s">
        <v>484</v>
      </c>
      <c r="L444">
        <v>1368</v>
      </c>
      <c r="N444">
        <v>1011</v>
      </c>
      <c r="O444" t="s">
        <v>478</v>
      </c>
      <c r="P444" t="s">
        <v>478</v>
      </c>
      <c r="Q444">
        <v>1</v>
      </c>
      <c r="W444">
        <v>0</v>
      </c>
      <c r="X444">
        <v>874612079</v>
      </c>
      <c r="Y444">
        <f>((AT444*1.25)*1.2)</f>
        <v>0.09</v>
      </c>
      <c r="AA444">
        <v>0</v>
      </c>
      <c r="AB444">
        <v>1513.56</v>
      </c>
      <c r="AC444">
        <v>758.78</v>
      </c>
      <c r="AD444">
        <v>0</v>
      </c>
      <c r="AE444">
        <v>0</v>
      </c>
      <c r="AF444">
        <v>83.1</v>
      </c>
      <c r="AG444">
        <v>12.62</v>
      </c>
      <c r="AH444">
        <v>0</v>
      </c>
      <c r="AI444">
        <v>1</v>
      </c>
      <c r="AJ444">
        <v>17.07</v>
      </c>
      <c r="AK444">
        <v>56.35</v>
      </c>
      <c r="AL444">
        <v>1</v>
      </c>
      <c r="AM444">
        <v>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0.06</v>
      </c>
      <c r="AU444" t="s">
        <v>78</v>
      </c>
      <c r="AV444">
        <v>0</v>
      </c>
      <c r="AW444">
        <v>2</v>
      </c>
      <c r="AX444">
        <v>85740023</v>
      </c>
      <c r="AY444">
        <v>1</v>
      </c>
      <c r="AZ444">
        <v>0</v>
      </c>
      <c r="BA444">
        <v>459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f>ROUND(Y444*Source!I194*DO444,9)</f>
        <v>13.6296</v>
      </c>
      <c r="CX444">
        <f>ROUND(Y444*Source!I194,9)</f>
        <v>1.08</v>
      </c>
      <c r="CY444">
        <f>AB444</f>
        <v>1513.56</v>
      </c>
      <c r="CZ444">
        <f>AF444</f>
        <v>83.1</v>
      </c>
      <c r="DA444">
        <f>AJ444</f>
        <v>17.07</v>
      </c>
      <c r="DB444">
        <f>ROUND(((ROUND(AT444*CZ444,2)*1.25)*1.2),6)</f>
        <v>7.4850000000000003</v>
      </c>
      <c r="DC444">
        <f>ROUND(((ROUND(AT444*AG444,2)*1.25)*1.2),6)</f>
        <v>1.1399999999999999</v>
      </c>
      <c r="DD444" t="s">
        <v>3</v>
      </c>
      <c r="DE444" t="s">
        <v>3</v>
      </c>
      <c r="DF444">
        <f t="shared" si="192"/>
        <v>0</v>
      </c>
      <c r="DG444">
        <f>ROUND(ROUND(AF444*AJ444,2)*CX444,2)</f>
        <v>1532</v>
      </c>
      <c r="DH444">
        <f>ROUND(ROUND(AG444*AK444,2)*CX444,2)</f>
        <v>768.03</v>
      </c>
      <c r="DI444">
        <f t="shared" si="176"/>
        <v>0</v>
      </c>
      <c r="DJ444">
        <f>DG444</f>
        <v>1532</v>
      </c>
      <c r="DK444">
        <v>0</v>
      </c>
      <c r="DL444" t="s">
        <v>485</v>
      </c>
      <c r="DM444">
        <v>0</v>
      </c>
      <c r="DN444" t="s">
        <v>474</v>
      </c>
      <c r="DO444">
        <v>12.62</v>
      </c>
    </row>
    <row r="445" spans="1:119" x14ac:dyDescent="0.2">
      <c r="A445">
        <f>ROW(Source!A194)</f>
        <v>194</v>
      </c>
      <c r="B445">
        <v>85739207</v>
      </c>
      <c r="C445">
        <v>85740020</v>
      </c>
      <c r="D445">
        <v>85229166</v>
      </c>
      <c r="E445">
        <v>1</v>
      </c>
      <c r="F445">
        <v>1</v>
      </c>
      <c r="G445">
        <v>1081</v>
      </c>
      <c r="H445">
        <v>2</v>
      </c>
      <c r="I445" t="s">
        <v>510</v>
      </c>
      <c r="J445" t="s">
        <v>511</v>
      </c>
      <c r="K445" t="s">
        <v>512</v>
      </c>
      <c r="L445">
        <v>1368</v>
      </c>
      <c r="N445">
        <v>1011</v>
      </c>
      <c r="O445" t="s">
        <v>478</v>
      </c>
      <c r="P445" t="s">
        <v>478</v>
      </c>
      <c r="Q445">
        <v>1</v>
      </c>
      <c r="W445">
        <v>0</v>
      </c>
      <c r="X445">
        <v>-44940208</v>
      </c>
      <c r="Y445">
        <f>((AT445*1.25)*1.2)</f>
        <v>0.03</v>
      </c>
      <c r="AA445">
        <v>0</v>
      </c>
      <c r="AB445">
        <v>2758.65</v>
      </c>
      <c r="AC445">
        <v>1017.92</v>
      </c>
      <c r="AD445">
        <v>0</v>
      </c>
      <c r="AE445">
        <v>0</v>
      </c>
      <c r="AF445">
        <v>179.17</v>
      </c>
      <c r="AG445">
        <v>16.93</v>
      </c>
      <c r="AH445">
        <v>0</v>
      </c>
      <c r="AI445">
        <v>1</v>
      </c>
      <c r="AJ445">
        <v>14.43</v>
      </c>
      <c r="AK445">
        <v>56.35</v>
      </c>
      <c r="AL445">
        <v>1</v>
      </c>
      <c r="AM445">
        <v>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0.02</v>
      </c>
      <c r="AU445" t="s">
        <v>78</v>
      </c>
      <c r="AV445">
        <v>0</v>
      </c>
      <c r="AW445">
        <v>2</v>
      </c>
      <c r="AX445">
        <v>85740024</v>
      </c>
      <c r="AY445">
        <v>1</v>
      </c>
      <c r="AZ445">
        <v>0</v>
      </c>
      <c r="BA445">
        <v>460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V445">
        <v>0</v>
      </c>
      <c r="CW445">
        <f>ROUND(Y445*Source!I194*DO445,9)</f>
        <v>6.0948000000000002</v>
      </c>
      <c r="CX445">
        <f>ROUND(Y445*Source!I194,9)</f>
        <v>0.36</v>
      </c>
      <c r="CY445">
        <f>AB445</f>
        <v>2758.65</v>
      </c>
      <c r="CZ445">
        <f>AF445</f>
        <v>179.17</v>
      </c>
      <c r="DA445">
        <f>AJ445</f>
        <v>14.43</v>
      </c>
      <c r="DB445">
        <f>ROUND(((ROUND(AT445*CZ445,2)*1.25)*1.2),6)</f>
        <v>5.37</v>
      </c>
      <c r="DC445">
        <f>ROUND(((ROUND(AT445*AG445,2)*1.25)*1.2),6)</f>
        <v>0.51</v>
      </c>
      <c r="DD445" t="s">
        <v>3</v>
      </c>
      <c r="DE445" t="s">
        <v>3</v>
      </c>
      <c r="DF445">
        <f t="shared" si="192"/>
        <v>0</v>
      </c>
      <c r="DG445">
        <f>ROUND(ROUND(AF445*AJ445,2)*CX445,2)</f>
        <v>930.75</v>
      </c>
      <c r="DH445">
        <f>ROUND(ROUND(AG445*AK445,2)*CX445,2)</f>
        <v>343.44</v>
      </c>
      <c r="DI445">
        <f t="shared" si="176"/>
        <v>0</v>
      </c>
      <c r="DJ445">
        <f>DG445</f>
        <v>930.75</v>
      </c>
      <c r="DK445">
        <v>0</v>
      </c>
      <c r="DL445" t="s">
        <v>485</v>
      </c>
      <c r="DM445">
        <v>0</v>
      </c>
      <c r="DN445" t="s">
        <v>474</v>
      </c>
      <c r="DO445">
        <v>16.93</v>
      </c>
    </row>
    <row r="446" spans="1:119" x14ac:dyDescent="0.2">
      <c r="A446">
        <f>ROW(Source!A194)</f>
        <v>194</v>
      </c>
      <c r="B446">
        <v>85739207</v>
      </c>
      <c r="C446">
        <v>85740020</v>
      </c>
      <c r="D446">
        <v>85200671</v>
      </c>
      <c r="E446">
        <v>1</v>
      </c>
      <c r="F446">
        <v>1</v>
      </c>
      <c r="G446">
        <v>1081</v>
      </c>
      <c r="H446">
        <v>3</v>
      </c>
      <c r="I446" t="s">
        <v>516</v>
      </c>
      <c r="J446" t="s">
        <v>517</v>
      </c>
      <c r="K446" t="s">
        <v>518</v>
      </c>
      <c r="L446">
        <v>1346</v>
      </c>
      <c r="N446">
        <v>1009</v>
      </c>
      <c r="O446" t="s">
        <v>502</v>
      </c>
      <c r="P446" t="s">
        <v>502</v>
      </c>
      <c r="Q446">
        <v>1</v>
      </c>
      <c r="W446">
        <v>0</v>
      </c>
      <c r="X446">
        <v>1021383118</v>
      </c>
      <c r="Y446">
        <f>((AT446*1)*1)</f>
        <v>0.04</v>
      </c>
      <c r="AA446">
        <v>315.23</v>
      </c>
      <c r="AB446">
        <v>0</v>
      </c>
      <c r="AC446">
        <v>0</v>
      </c>
      <c r="AD446">
        <v>0</v>
      </c>
      <c r="AE446">
        <v>37.979999999999997</v>
      </c>
      <c r="AF446">
        <v>0</v>
      </c>
      <c r="AG446">
        <v>0</v>
      </c>
      <c r="AH446">
        <v>0</v>
      </c>
      <c r="AI446">
        <v>8.3000000000000007</v>
      </c>
      <c r="AJ446">
        <v>1</v>
      </c>
      <c r="AK446">
        <v>1</v>
      </c>
      <c r="AL446">
        <v>1</v>
      </c>
      <c r="AM446">
        <v>2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0.04</v>
      </c>
      <c r="AU446" t="s">
        <v>77</v>
      </c>
      <c r="AV446">
        <v>0</v>
      </c>
      <c r="AW446">
        <v>2</v>
      </c>
      <c r="AX446">
        <v>85740025</v>
      </c>
      <c r="AY446">
        <v>1</v>
      </c>
      <c r="AZ446">
        <v>0</v>
      </c>
      <c r="BA446">
        <v>461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v>0</v>
      </c>
      <c r="CX446">
        <f>ROUND(Y446*Source!I194,9)</f>
        <v>0.48</v>
      </c>
      <c r="CY446">
        <f>AA446</f>
        <v>315.23</v>
      </c>
      <c r="CZ446">
        <f>AE446</f>
        <v>37.979999999999997</v>
      </c>
      <c r="DA446">
        <f>AI446</f>
        <v>8.3000000000000007</v>
      </c>
      <c r="DB446">
        <f>ROUND(((ROUND(AT446*CZ446,2)*1)*1),6)</f>
        <v>1.52</v>
      </c>
      <c r="DC446">
        <f>ROUND(((ROUND(AT446*AG446,2)*1)*1),6)</f>
        <v>0</v>
      </c>
      <c r="DD446" t="s">
        <v>3</v>
      </c>
      <c r="DE446" t="s">
        <v>3</v>
      </c>
      <c r="DF446">
        <f>ROUND(ROUND(AE446*AI446,2)*CX446,2)</f>
        <v>151.31</v>
      </c>
      <c r="DG446">
        <f t="shared" ref="DG446:DG458" si="193">ROUND(ROUND(AF446,2)*CX446,2)</f>
        <v>0</v>
      </c>
      <c r="DH446">
        <f t="shared" ref="DH446:DH459" si="194">ROUND(ROUND(AG446,2)*CX446,2)</f>
        <v>0</v>
      </c>
      <c r="DI446">
        <f t="shared" si="176"/>
        <v>0</v>
      </c>
      <c r="DJ446">
        <f>DF446</f>
        <v>151.31</v>
      </c>
      <c r="DK446">
        <v>0</v>
      </c>
      <c r="DL446" t="s">
        <v>3</v>
      </c>
      <c r="DM446">
        <v>0</v>
      </c>
      <c r="DN446" t="s">
        <v>3</v>
      </c>
      <c r="DO446">
        <v>0</v>
      </c>
    </row>
    <row r="447" spans="1:119" x14ac:dyDescent="0.2">
      <c r="A447">
        <f>ROW(Source!A194)</f>
        <v>194</v>
      </c>
      <c r="B447">
        <v>85739207</v>
      </c>
      <c r="C447">
        <v>85740020</v>
      </c>
      <c r="D447">
        <v>85199230</v>
      </c>
      <c r="E447">
        <v>1</v>
      </c>
      <c r="F447">
        <v>1</v>
      </c>
      <c r="G447">
        <v>1081</v>
      </c>
      <c r="H447">
        <v>3</v>
      </c>
      <c r="I447" t="s">
        <v>519</v>
      </c>
      <c r="J447" t="s">
        <v>520</v>
      </c>
      <c r="K447" t="s">
        <v>521</v>
      </c>
      <c r="L447">
        <v>1348</v>
      </c>
      <c r="N447">
        <v>1009</v>
      </c>
      <c r="O447" t="s">
        <v>266</v>
      </c>
      <c r="P447" t="s">
        <v>266</v>
      </c>
      <c r="Q447">
        <v>1000</v>
      </c>
      <c r="W447">
        <v>0</v>
      </c>
      <c r="X447">
        <v>1270042986</v>
      </c>
      <c r="Y447">
        <f>((AT447*1)*1)</f>
        <v>1E-4</v>
      </c>
      <c r="AA447">
        <v>55941.2</v>
      </c>
      <c r="AB447">
        <v>0</v>
      </c>
      <c r="AC447">
        <v>0</v>
      </c>
      <c r="AD447">
        <v>0</v>
      </c>
      <c r="AE447">
        <v>16214.84</v>
      </c>
      <c r="AF447">
        <v>0</v>
      </c>
      <c r="AG447">
        <v>0</v>
      </c>
      <c r="AH447">
        <v>0</v>
      </c>
      <c r="AI447">
        <v>3.45</v>
      </c>
      <c r="AJ447">
        <v>1</v>
      </c>
      <c r="AK447">
        <v>1</v>
      </c>
      <c r="AL447">
        <v>1</v>
      </c>
      <c r="AM447">
        <v>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1E-4</v>
      </c>
      <c r="AU447" t="s">
        <v>77</v>
      </c>
      <c r="AV447">
        <v>0</v>
      </c>
      <c r="AW447">
        <v>2</v>
      </c>
      <c r="AX447">
        <v>85740026</v>
      </c>
      <c r="AY447">
        <v>1</v>
      </c>
      <c r="AZ447">
        <v>0</v>
      </c>
      <c r="BA447">
        <v>462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V447">
        <v>0</v>
      </c>
      <c r="CW447">
        <v>0</v>
      </c>
      <c r="CX447">
        <f>ROUND(Y447*Source!I194,9)</f>
        <v>1.1999999999999999E-3</v>
      </c>
      <c r="CY447">
        <f>AA447</f>
        <v>55941.2</v>
      </c>
      <c r="CZ447">
        <f>AE447</f>
        <v>16214.84</v>
      </c>
      <c r="DA447">
        <f>AI447</f>
        <v>3.45</v>
      </c>
      <c r="DB447">
        <f>ROUND(((ROUND(AT447*CZ447,2)*1)*1),6)</f>
        <v>1.62</v>
      </c>
      <c r="DC447">
        <f>ROUND(((ROUND(AT447*AG447,2)*1)*1),6)</f>
        <v>0</v>
      </c>
      <c r="DD447" t="s">
        <v>3</v>
      </c>
      <c r="DE447" t="s">
        <v>3</v>
      </c>
      <c r="DF447">
        <f>ROUND(ROUND(AE447*AI447,2)*CX447,2)</f>
        <v>67.13</v>
      </c>
      <c r="DG447">
        <f t="shared" si="193"/>
        <v>0</v>
      </c>
      <c r="DH447">
        <f t="shared" si="194"/>
        <v>0</v>
      </c>
      <c r="DI447">
        <f t="shared" si="176"/>
        <v>0</v>
      </c>
      <c r="DJ447">
        <f>DF447</f>
        <v>67.13</v>
      </c>
      <c r="DK447">
        <v>0</v>
      </c>
      <c r="DL447" t="s">
        <v>3</v>
      </c>
      <c r="DM447">
        <v>0</v>
      </c>
      <c r="DN447" t="s">
        <v>3</v>
      </c>
      <c r="DO447">
        <v>0</v>
      </c>
    </row>
    <row r="448" spans="1:119" x14ac:dyDescent="0.2">
      <c r="A448">
        <f>ROW(Source!A194)</f>
        <v>194</v>
      </c>
      <c r="B448">
        <v>85739207</v>
      </c>
      <c r="C448">
        <v>85740020</v>
      </c>
      <c r="D448">
        <v>85199398</v>
      </c>
      <c r="E448">
        <v>1</v>
      </c>
      <c r="F448">
        <v>1</v>
      </c>
      <c r="G448">
        <v>1081</v>
      </c>
      <c r="H448">
        <v>3</v>
      </c>
      <c r="I448" t="s">
        <v>522</v>
      </c>
      <c r="J448" t="s">
        <v>523</v>
      </c>
      <c r="K448" t="s">
        <v>524</v>
      </c>
      <c r="L448">
        <v>1346</v>
      </c>
      <c r="N448">
        <v>1009</v>
      </c>
      <c r="O448" t="s">
        <v>502</v>
      </c>
      <c r="P448" t="s">
        <v>502</v>
      </c>
      <c r="Q448">
        <v>1</v>
      </c>
      <c r="W448">
        <v>0</v>
      </c>
      <c r="X448">
        <v>488689173</v>
      </c>
      <c r="Y448">
        <f>((AT448*1)*1)</f>
        <v>0.01</v>
      </c>
      <c r="AA448">
        <v>85.81</v>
      </c>
      <c r="AB448">
        <v>0</v>
      </c>
      <c r="AC448">
        <v>0</v>
      </c>
      <c r="AD448">
        <v>0</v>
      </c>
      <c r="AE448">
        <v>20.190000000000001</v>
      </c>
      <c r="AF448">
        <v>0</v>
      </c>
      <c r="AG448">
        <v>0</v>
      </c>
      <c r="AH448">
        <v>0</v>
      </c>
      <c r="AI448">
        <v>4.25</v>
      </c>
      <c r="AJ448">
        <v>1</v>
      </c>
      <c r="AK448">
        <v>1</v>
      </c>
      <c r="AL448">
        <v>1</v>
      </c>
      <c r="AM448">
        <v>2</v>
      </c>
      <c r="AN448">
        <v>0</v>
      </c>
      <c r="AO448">
        <v>1</v>
      </c>
      <c r="AP448">
        <v>1</v>
      </c>
      <c r="AQ448">
        <v>0</v>
      </c>
      <c r="AR448">
        <v>0</v>
      </c>
      <c r="AS448" t="s">
        <v>3</v>
      </c>
      <c r="AT448">
        <v>0.01</v>
      </c>
      <c r="AU448" t="s">
        <v>77</v>
      </c>
      <c r="AV448">
        <v>0</v>
      </c>
      <c r="AW448">
        <v>2</v>
      </c>
      <c r="AX448">
        <v>85740027</v>
      </c>
      <c r="AY448">
        <v>1</v>
      </c>
      <c r="AZ448">
        <v>0</v>
      </c>
      <c r="BA448">
        <v>463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v>0</v>
      </c>
      <c r="CX448">
        <f>ROUND(Y448*Source!I194,9)</f>
        <v>0.12</v>
      </c>
      <c r="CY448">
        <f>AA448</f>
        <v>85.81</v>
      </c>
      <c r="CZ448">
        <f>AE448</f>
        <v>20.190000000000001</v>
      </c>
      <c r="DA448">
        <f>AI448</f>
        <v>4.25</v>
      </c>
      <c r="DB448">
        <f>ROUND(((ROUND(AT448*CZ448,2)*1)*1),6)</f>
        <v>0.2</v>
      </c>
      <c r="DC448">
        <f>ROUND(((ROUND(AT448*AG448,2)*1)*1),6)</f>
        <v>0</v>
      </c>
      <c r="DD448" t="s">
        <v>3</v>
      </c>
      <c r="DE448" t="s">
        <v>3</v>
      </c>
      <c r="DF448">
        <f>ROUND(ROUND(AE448*AI448,2)*CX448,2)</f>
        <v>10.3</v>
      </c>
      <c r="DG448">
        <f t="shared" si="193"/>
        <v>0</v>
      </c>
      <c r="DH448">
        <f t="shared" si="194"/>
        <v>0</v>
      </c>
      <c r="DI448">
        <f t="shared" si="176"/>
        <v>0</v>
      </c>
      <c r="DJ448">
        <f>DF448</f>
        <v>10.3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">
      <c r="A449">
        <f>ROW(Source!A194)</f>
        <v>194</v>
      </c>
      <c r="B449">
        <v>85739207</v>
      </c>
      <c r="C449">
        <v>85740020</v>
      </c>
      <c r="D449">
        <v>85219609</v>
      </c>
      <c r="E449">
        <v>1</v>
      </c>
      <c r="F449">
        <v>1</v>
      </c>
      <c r="G449">
        <v>1081</v>
      </c>
      <c r="H449">
        <v>3</v>
      </c>
      <c r="I449" t="s">
        <v>382</v>
      </c>
      <c r="J449" t="s">
        <v>384</v>
      </c>
      <c r="K449" t="s">
        <v>383</v>
      </c>
      <c r="L449">
        <v>1354</v>
      </c>
      <c r="N449">
        <v>1010</v>
      </c>
      <c r="O449" t="s">
        <v>99</v>
      </c>
      <c r="P449" t="s">
        <v>99</v>
      </c>
      <c r="Q449">
        <v>1</v>
      </c>
      <c r="W449">
        <v>0</v>
      </c>
      <c r="X449">
        <v>-1809205533</v>
      </c>
      <c r="Y449">
        <f>((AT449*1)*1)</f>
        <v>1</v>
      </c>
      <c r="AA449">
        <v>836.64</v>
      </c>
      <c r="AB449">
        <v>0</v>
      </c>
      <c r="AC449">
        <v>0</v>
      </c>
      <c r="AD449">
        <v>0</v>
      </c>
      <c r="AE449">
        <v>132.38</v>
      </c>
      <c r="AF449">
        <v>0</v>
      </c>
      <c r="AG449">
        <v>0</v>
      </c>
      <c r="AH449">
        <v>0</v>
      </c>
      <c r="AI449">
        <v>6.32</v>
      </c>
      <c r="AJ449">
        <v>1</v>
      </c>
      <c r="AK449">
        <v>1</v>
      </c>
      <c r="AL449">
        <v>1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  <c r="AS449" t="s">
        <v>3</v>
      </c>
      <c r="AT449">
        <v>1</v>
      </c>
      <c r="AU449" t="s">
        <v>77</v>
      </c>
      <c r="AV449">
        <v>0</v>
      </c>
      <c r="AW449">
        <v>1</v>
      </c>
      <c r="AX449">
        <v>-1</v>
      </c>
      <c r="AY449">
        <v>0</v>
      </c>
      <c r="AZ449">
        <v>0</v>
      </c>
      <c r="BA449" t="s">
        <v>3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V449">
        <v>0</v>
      </c>
      <c r="CW449">
        <v>0</v>
      </c>
      <c r="CX449">
        <f>ROUND(Y449*Source!I194,9)</f>
        <v>12</v>
      </c>
      <c r="CY449">
        <f>AA449</f>
        <v>836.64</v>
      </c>
      <c r="CZ449">
        <f>AE449</f>
        <v>132.38</v>
      </c>
      <c r="DA449">
        <f>AI449</f>
        <v>6.32</v>
      </c>
      <c r="DB449">
        <f>ROUND(((ROUND(AT449*CZ449,2)*1)*1),6)</f>
        <v>132.38</v>
      </c>
      <c r="DC449">
        <f>ROUND(((ROUND(AT449*AG449,2)*1)*1),6)</f>
        <v>0</v>
      </c>
      <c r="DD449" t="s">
        <v>3</v>
      </c>
      <c r="DE449" t="s">
        <v>3</v>
      </c>
      <c r="DF449">
        <f>ROUND(ROUND(AE449*AI449,2)*CX449,2)</f>
        <v>10039.68</v>
      </c>
      <c r="DG449">
        <f t="shared" si="193"/>
        <v>0</v>
      </c>
      <c r="DH449">
        <f t="shared" si="194"/>
        <v>0</v>
      </c>
      <c r="DI449">
        <f t="shared" ref="DI449:DI512" si="195">ROUND(ROUND(AH449,2)*CX449,2)</f>
        <v>0</v>
      </c>
      <c r="DJ449">
        <f>DF449</f>
        <v>10039.68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">
      <c r="A450">
        <f>ROW(Source!A194)</f>
        <v>194</v>
      </c>
      <c r="B450">
        <v>85739207</v>
      </c>
      <c r="C450">
        <v>85740020</v>
      </c>
      <c r="D450">
        <v>85219690</v>
      </c>
      <c r="E450">
        <v>1</v>
      </c>
      <c r="F450">
        <v>1</v>
      </c>
      <c r="G450">
        <v>1081</v>
      </c>
      <c r="H450">
        <v>3</v>
      </c>
      <c r="I450" t="s">
        <v>609</v>
      </c>
      <c r="J450" t="s">
        <v>610</v>
      </c>
      <c r="K450" t="s">
        <v>611</v>
      </c>
      <c r="L450">
        <v>1346</v>
      </c>
      <c r="N450">
        <v>1009</v>
      </c>
      <c r="O450" t="s">
        <v>502</v>
      </c>
      <c r="P450" t="s">
        <v>502</v>
      </c>
      <c r="Q450">
        <v>1</v>
      </c>
      <c r="W450">
        <v>0</v>
      </c>
      <c r="X450">
        <v>1225074207</v>
      </c>
      <c r="Y450">
        <f>((AT450*1)*1)</f>
        <v>1.374E-2</v>
      </c>
      <c r="AA450">
        <v>333.16</v>
      </c>
      <c r="AB450">
        <v>0</v>
      </c>
      <c r="AC450">
        <v>0</v>
      </c>
      <c r="AD450">
        <v>0</v>
      </c>
      <c r="AE450">
        <v>19.28</v>
      </c>
      <c r="AF450">
        <v>0</v>
      </c>
      <c r="AG450">
        <v>0</v>
      </c>
      <c r="AH450">
        <v>0</v>
      </c>
      <c r="AI450">
        <v>17.28</v>
      </c>
      <c r="AJ450">
        <v>1</v>
      </c>
      <c r="AK450">
        <v>1</v>
      </c>
      <c r="AL450">
        <v>1</v>
      </c>
      <c r="AM450">
        <v>2</v>
      </c>
      <c r="AN450">
        <v>0</v>
      </c>
      <c r="AO450">
        <v>1</v>
      </c>
      <c r="AP450">
        <v>1</v>
      </c>
      <c r="AQ450">
        <v>0</v>
      </c>
      <c r="AR450">
        <v>0</v>
      </c>
      <c r="AS450" t="s">
        <v>3</v>
      </c>
      <c r="AT450">
        <v>1.374E-2</v>
      </c>
      <c r="AU450" t="s">
        <v>77</v>
      </c>
      <c r="AV450">
        <v>0</v>
      </c>
      <c r="AW450">
        <v>2</v>
      </c>
      <c r="AX450">
        <v>85740028</v>
      </c>
      <c r="AY450">
        <v>1</v>
      </c>
      <c r="AZ450">
        <v>0</v>
      </c>
      <c r="BA450">
        <v>464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v>0</v>
      </c>
      <c r="CX450">
        <f>ROUND(Y450*Source!I194,9)</f>
        <v>0.16488</v>
      </c>
      <c r="CY450">
        <f>AA450</f>
        <v>333.16</v>
      </c>
      <c r="CZ450">
        <f>AE450</f>
        <v>19.28</v>
      </c>
      <c r="DA450">
        <f>AI450</f>
        <v>17.28</v>
      </c>
      <c r="DB450">
        <f>ROUND(((ROUND(AT450*CZ450,2)*1)*1),6)</f>
        <v>0.26</v>
      </c>
      <c r="DC450">
        <f>ROUND(((ROUND(AT450*AG450,2)*1)*1),6)</f>
        <v>0</v>
      </c>
      <c r="DD450" t="s">
        <v>3</v>
      </c>
      <c r="DE450" t="s">
        <v>3</v>
      </c>
      <c r="DF450">
        <f>ROUND(ROUND(AE450*AI450,2)*CX450,2)</f>
        <v>54.93</v>
      </c>
      <c r="DG450">
        <f t="shared" si="193"/>
        <v>0</v>
      </c>
      <c r="DH450">
        <f t="shared" si="194"/>
        <v>0</v>
      </c>
      <c r="DI450">
        <f t="shared" si="195"/>
        <v>0</v>
      </c>
      <c r="DJ450">
        <f>DF450</f>
        <v>54.93</v>
      </c>
      <c r="DK450">
        <v>0</v>
      </c>
      <c r="DL450" t="s">
        <v>3</v>
      </c>
      <c r="DM450">
        <v>0</v>
      </c>
      <c r="DN450" t="s">
        <v>3</v>
      </c>
      <c r="DO450">
        <v>0</v>
      </c>
    </row>
    <row r="451" spans="1:119" x14ac:dyDescent="0.2">
      <c r="A451">
        <f>ROW(Source!A197)</f>
        <v>197</v>
      </c>
      <c r="B451">
        <v>85739205</v>
      </c>
      <c r="C451">
        <v>85740035</v>
      </c>
      <c r="D451">
        <v>85164021</v>
      </c>
      <c r="E451">
        <v>1081</v>
      </c>
      <c r="F451">
        <v>1</v>
      </c>
      <c r="G451">
        <v>1081</v>
      </c>
      <c r="H451">
        <v>1</v>
      </c>
      <c r="I451" t="s">
        <v>472</v>
      </c>
      <c r="J451" t="s">
        <v>3</v>
      </c>
      <c r="K451" t="s">
        <v>473</v>
      </c>
      <c r="L451">
        <v>1191</v>
      </c>
      <c r="N451">
        <v>1013</v>
      </c>
      <c r="O451" t="s">
        <v>474</v>
      </c>
      <c r="P451" t="s">
        <v>474</v>
      </c>
      <c r="Q451">
        <v>1</v>
      </c>
      <c r="W451">
        <v>0</v>
      </c>
      <c r="X451">
        <v>476480486</v>
      </c>
      <c r="Y451">
        <f>((AT451*1.15)*1.2)</f>
        <v>2.0286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1</v>
      </c>
      <c r="AL451">
        <v>1</v>
      </c>
      <c r="AM451">
        <v>-2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1.47</v>
      </c>
      <c r="AU451" t="s">
        <v>79</v>
      </c>
      <c r="AV451">
        <v>1</v>
      </c>
      <c r="AW451">
        <v>2</v>
      </c>
      <c r="AX451">
        <v>85740036</v>
      </c>
      <c r="AY451">
        <v>1</v>
      </c>
      <c r="AZ451">
        <v>0</v>
      </c>
      <c r="BA451">
        <v>467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U451">
        <f>ROUND(AT451*Source!I197*AH451*AL451,2)</f>
        <v>0</v>
      </c>
      <c r="CV451">
        <f>ROUND(Y451*Source!I197,9)</f>
        <v>24.3432</v>
      </c>
      <c r="CW451">
        <v>0</v>
      </c>
      <c r="CX451">
        <f>ROUND(Y451*Source!I197,9)</f>
        <v>24.3432</v>
      </c>
      <c r="CY451">
        <f>AD451</f>
        <v>0</v>
      </c>
      <c r="CZ451">
        <f>AH451</f>
        <v>0</v>
      </c>
      <c r="DA451">
        <f>AL451</f>
        <v>1</v>
      </c>
      <c r="DB451">
        <f>ROUND(((ROUND(AT451*CZ451,2)*1.15)*1.2),6)</f>
        <v>0</v>
      </c>
      <c r="DC451">
        <f>ROUND(((ROUND(AT451*AG451,2)*1.15)*1.2),6)</f>
        <v>0</v>
      </c>
      <c r="DD451" t="s">
        <v>3</v>
      </c>
      <c r="DE451" t="s">
        <v>3</v>
      </c>
      <c r="DF451">
        <f t="shared" ref="DF451:DF460" si="196">ROUND(ROUND(AE451,2)*CX451,2)</f>
        <v>0</v>
      </c>
      <c r="DG451">
        <f t="shared" si="193"/>
        <v>0</v>
      </c>
      <c r="DH451">
        <f t="shared" si="194"/>
        <v>0</v>
      </c>
      <c r="DI451">
        <f t="shared" si="195"/>
        <v>0</v>
      </c>
      <c r="DJ451">
        <f>DI451</f>
        <v>0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">
      <c r="A452">
        <f>ROW(Source!A197)</f>
        <v>197</v>
      </c>
      <c r="B452">
        <v>85739205</v>
      </c>
      <c r="C452">
        <v>85740035</v>
      </c>
      <c r="D452">
        <v>85229633</v>
      </c>
      <c r="E452">
        <v>1</v>
      </c>
      <c r="F452">
        <v>1</v>
      </c>
      <c r="G452">
        <v>1081</v>
      </c>
      <c r="H452">
        <v>2</v>
      </c>
      <c r="I452" t="s">
        <v>475</v>
      </c>
      <c r="J452" t="s">
        <v>476</v>
      </c>
      <c r="K452" t="s">
        <v>477</v>
      </c>
      <c r="L452">
        <v>1368</v>
      </c>
      <c r="N452">
        <v>1011</v>
      </c>
      <c r="O452" t="s">
        <v>478</v>
      </c>
      <c r="P452" t="s">
        <v>478</v>
      </c>
      <c r="Q452">
        <v>1</v>
      </c>
      <c r="W452">
        <v>0</v>
      </c>
      <c r="X452">
        <v>1498588441</v>
      </c>
      <c r="Y452">
        <f>((AT452*1.25)*1.2)</f>
        <v>0.52500000000000002</v>
      </c>
      <c r="AA452">
        <v>0</v>
      </c>
      <c r="AB452">
        <v>7.59</v>
      </c>
      <c r="AC452">
        <v>0</v>
      </c>
      <c r="AD452">
        <v>0</v>
      </c>
      <c r="AE452">
        <v>0</v>
      </c>
      <c r="AF452">
        <v>7.11</v>
      </c>
      <c r="AG452">
        <v>0</v>
      </c>
      <c r="AH452">
        <v>0</v>
      </c>
      <c r="AI452">
        <v>1</v>
      </c>
      <c r="AJ452">
        <v>1</v>
      </c>
      <c r="AK452">
        <v>1</v>
      </c>
      <c r="AL452">
        <v>1</v>
      </c>
      <c r="AM452">
        <v>-2</v>
      </c>
      <c r="AN452">
        <v>0</v>
      </c>
      <c r="AO452">
        <v>1</v>
      </c>
      <c r="AP452">
        <v>1</v>
      </c>
      <c r="AQ452">
        <v>0</v>
      </c>
      <c r="AR452">
        <v>0</v>
      </c>
      <c r="AS452" t="s">
        <v>3</v>
      </c>
      <c r="AT452">
        <v>0.35</v>
      </c>
      <c r="AU452" t="s">
        <v>78</v>
      </c>
      <c r="AV452">
        <v>0</v>
      </c>
      <c r="AW452">
        <v>2</v>
      </c>
      <c r="AX452">
        <v>85740037</v>
      </c>
      <c r="AY452">
        <v>1</v>
      </c>
      <c r="AZ452">
        <v>0</v>
      </c>
      <c r="BA452">
        <v>468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f>ROUND(Y452*Source!I197*DO452,9)</f>
        <v>0</v>
      </c>
      <c r="CX452">
        <f>ROUND(Y452*Source!I197,9)</f>
        <v>6.3</v>
      </c>
      <c r="CY452">
        <f>AB452</f>
        <v>7.59</v>
      </c>
      <c r="CZ452">
        <f>AF452</f>
        <v>7.11</v>
      </c>
      <c r="DA452">
        <f>AJ452</f>
        <v>1</v>
      </c>
      <c r="DB452">
        <f>ROUND(((ROUND(AT452*CZ452,2)*1.25)*1.2),6)</f>
        <v>3.7349999999999999</v>
      </c>
      <c r="DC452">
        <f>ROUND(((ROUND(AT452*AG452,2)*1.25)*1.2),6)</f>
        <v>0</v>
      </c>
      <c r="DD452" t="s">
        <v>3</v>
      </c>
      <c r="DE452" t="s">
        <v>3</v>
      </c>
      <c r="DF452">
        <f t="shared" si="196"/>
        <v>0</v>
      </c>
      <c r="DG452">
        <f t="shared" si="193"/>
        <v>44.79</v>
      </c>
      <c r="DH452">
        <f t="shared" si="194"/>
        <v>0</v>
      </c>
      <c r="DI452">
        <f t="shared" si="195"/>
        <v>0</v>
      </c>
      <c r="DJ452">
        <f>DG452</f>
        <v>44.79</v>
      </c>
      <c r="DK452">
        <v>0</v>
      </c>
      <c r="DL452" t="s">
        <v>3</v>
      </c>
      <c r="DM452">
        <v>0</v>
      </c>
      <c r="DN452" t="s">
        <v>3</v>
      </c>
      <c r="DO452">
        <v>0</v>
      </c>
    </row>
    <row r="453" spans="1:119" x14ac:dyDescent="0.2">
      <c r="A453">
        <f>ROW(Source!A197)</f>
        <v>197</v>
      </c>
      <c r="B453">
        <v>85739205</v>
      </c>
      <c r="C453">
        <v>85740035</v>
      </c>
      <c r="D453">
        <v>85229932</v>
      </c>
      <c r="E453">
        <v>1</v>
      </c>
      <c r="F453">
        <v>1</v>
      </c>
      <c r="G453">
        <v>1081</v>
      </c>
      <c r="H453">
        <v>2</v>
      </c>
      <c r="I453" t="s">
        <v>482</v>
      </c>
      <c r="J453" t="s">
        <v>483</v>
      </c>
      <c r="K453" t="s">
        <v>484</v>
      </c>
      <c r="L453">
        <v>1368</v>
      </c>
      <c r="N453">
        <v>1011</v>
      </c>
      <c r="O453" t="s">
        <v>478</v>
      </c>
      <c r="P453" t="s">
        <v>478</v>
      </c>
      <c r="Q453">
        <v>1</v>
      </c>
      <c r="W453">
        <v>0</v>
      </c>
      <c r="X453">
        <v>874612079</v>
      </c>
      <c r="Y453">
        <f>((AT453*1.25)*1.2)</f>
        <v>1.4999999999999999E-2</v>
      </c>
      <c r="AA453">
        <v>0</v>
      </c>
      <c r="AB453">
        <v>88.67</v>
      </c>
      <c r="AC453">
        <v>13.47</v>
      </c>
      <c r="AD453">
        <v>0</v>
      </c>
      <c r="AE453">
        <v>0</v>
      </c>
      <c r="AF453">
        <v>83.1</v>
      </c>
      <c r="AG453">
        <v>12.62</v>
      </c>
      <c r="AH453">
        <v>0</v>
      </c>
      <c r="AI453">
        <v>1</v>
      </c>
      <c r="AJ453">
        <v>1</v>
      </c>
      <c r="AK453">
        <v>1</v>
      </c>
      <c r="AL453">
        <v>1</v>
      </c>
      <c r="AM453">
        <v>-2</v>
      </c>
      <c r="AN453">
        <v>0</v>
      </c>
      <c r="AO453">
        <v>1</v>
      </c>
      <c r="AP453">
        <v>1</v>
      </c>
      <c r="AQ453">
        <v>0</v>
      </c>
      <c r="AR453">
        <v>0</v>
      </c>
      <c r="AS453" t="s">
        <v>3</v>
      </c>
      <c r="AT453">
        <v>0.01</v>
      </c>
      <c r="AU453" t="s">
        <v>78</v>
      </c>
      <c r="AV453">
        <v>0</v>
      </c>
      <c r="AW453">
        <v>2</v>
      </c>
      <c r="AX453">
        <v>85740038</v>
      </c>
      <c r="AY453">
        <v>1</v>
      </c>
      <c r="AZ453">
        <v>0</v>
      </c>
      <c r="BA453">
        <v>469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V453">
        <v>0</v>
      </c>
      <c r="CW453">
        <f>ROUND(Y453*Source!I197*DO453,9)</f>
        <v>2.2715999999999998</v>
      </c>
      <c r="CX453">
        <f>ROUND(Y453*Source!I197,9)</f>
        <v>0.18</v>
      </c>
      <c r="CY453">
        <f>AB453</f>
        <v>88.67</v>
      </c>
      <c r="CZ453">
        <f>AF453</f>
        <v>83.1</v>
      </c>
      <c r="DA453">
        <f>AJ453</f>
        <v>1</v>
      </c>
      <c r="DB453">
        <f>ROUND(((ROUND(AT453*CZ453,2)*1.25)*1.2),6)</f>
        <v>1.2450000000000001</v>
      </c>
      <c r="DC453">
        <f>ROUND(((ROUND(AT453*AG453,2)*1.25)*1.2),6)</f>
        <v>0.19500000000000001</v>
      </c>
      <c r="DD453" t="s">
        <v>3</v>
      </c>
      <c r="DE453" t="s">
        <v>3</v>
      </c>
      <c r="DF453">
        <f t="shared" si="196"/>
        <v>0</v>
      </c>
      <c r="DG453">
        <f t="shared" si="193"/>
        <v>14.96</v>
      </c>
      <c r="DH453">
        <f t="shared" si="194"/>
        <v>2.27</v>
      </c>
      <c r="DI453">
        <f t="shared" si="195"/>
        <v>0</v>
      </c>
      <c r="DJ453">
        <f>DG453</f>
        <v>14.96</v>
      </c>
      <c r="DK453">
        <v>0</v>
      </c>
      <c r="DL453" t="s">
        <v>485</v>
      </c>
      <c r="DM453">
        <v>0</v>
      </c>
      <c r="DN453" t="s">
        <v>474</v>
      </c>
      <c r="DO453">
        <v>12.62</v>
      </c>
    </row>
    <row r="454" spans="1:119" x14ac:dyDescent="0.2">
      <c r="A454">
        <f>ROW(Source!A197)</f>
        <v>197</v>
      </c>
      <c r="B454">
        <v>85739205</v>
      </c>
      <c r="C454">
        <v>85740035</v>
      </c>
      <c r="D454">
        <v>85200102</v>
      </c>
      <c r="E454">
        <v>1</v>
      </c>
      <c r="F454">
        <v>1</v>
      </c>
      <c r="G454">
        <v>1081</v>
      </c>
      <c r="H454">
        <v>3</v>
      </c>
      <c r="I454" t="s">
        <v>612</v>
      </c>
      <c r="J454" t="s">
        <v>613</v>
      </c>
      <c r="K454" t="s">
        <v>614</v>
      </c>
      <c r="L454">
        <v>1348</v>
      </c>
      <c r="N454">
        <v>1009</v>
      </c>
      <c r="O454" t="s">
        <v>266</v>
      </c>
      <c r="P454" t="s">
        <v>266</v>
      </c>
      <c r="Q454">
        <v>1000</v>
      </c>
      <c r="W454">
        <v>0</v>
      </c>
      <c r="X454">
        <v>1001555392</v>
      </c>
      <c r="Y454">
        <f>((AT454*1)*1)</f>
        <v>1.3999999999999999E-4</v>
      </c>
      <c r="AA454">
        <v>9879.51</v>
      </c>
      <c r="AB454">
        <v>0</v>
      </c>
      <c r="AC454">
        <v>0</v>
      </c>
      <c r="AD454">
        <v>0</v>
      </c>
      <c r="AE454">
        <v>9879.51</v>
      </c>
      <c r="AF454">
        <v>0</v>
      </c>
      <c r="AG454">
        <v>0</v>
      </c>
      <c r="AH454">
        <v>0</v>
      </c>
      <c r="AI454">
        <v>1</v>
      </c>
      <c r="AJ454">
        <v>1</v>
      </c>
      <c r="AK454">
        <v>1</v>
      </c>
      <c r="AL454">
        <v>1</v>
      </c>
      <c r="AM454">
        <v>-2</v>
      </c>
      <c r="AN454">
        <v>0</v>
      </c>
      <c r="AO454">
        <v>1</v>
      </c>
      <c r="AP454">
        <v>1</v>
      </c>
      <c r="AQ454">
        <v>0</v>
      </c>
      <c r="AR454">
        <v>0</v>
      </c>
      <c r="AS454" t="s">
        <v>3</v>
      </c>
      <c r="AT454">
        <v>1.3999999999999999E-4</v>
      </c>
      <c r="AU454" t="s">
        <v>77</v>
      </c>
      <c r="AV454">
        <v>0</v>
      </c>
      <c r="AW454">
        <v>2</v>
      </c>
      <c r="AX454">
        <v>85740039</v>
      </c>
      <c r="AY454">
        <v>1</v>
      </c>
      <c r="AZ454">
        <v>0</v>
      </c>
      <c r="BA454">
        <v>470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v>0</v>
      </c>
      <c r="CX454">
        <f>ROUND(Y454*Source!I197,9)</f>
        <v>1.6800000000000001E-3</v>
      </c>
      <c r="CY454">
        <f>AA454</f>
        <v>9879.51</v>
      </c>
      <c r="CZ454">
        <f>AE454</f>
        <v>9879.51</v>
      </c>
      <c r="DA454">
        <f>AI454</f>
        <v>1</v>
      </c>
      <c r="DB454">
        <f>ROUND(((ROUND(AT454*CZ454,2)*1)*1),6)</f>
        <v>1.38</v>
      </c>
      <c r="DC454">
        <f>ROUND(((ROUND(AT454*AG454,2)*1)*1),6)</f>
        <v>0</v>
      </c>
      <c r="DD454" t="s">
        <v>3</v>
      </c>
      <c r="DE454" t="s">
        <v>3</v>
      </c>
      <c r="DF454">
        <f t="shared" si="196"/>
        <v>16.600000000000001</v>
      </c>
      <c r="DG454">
        <f t="shared" si="193"/>
        <v>0</v>
      </c>
      <c r="DH454">
        <f t="shared" si="194"/>
        <v>0</v>
      </c>
      <c r="DI454">
        <f t="shared" si="195"/>
        <v>0</v>
      </c>
      <c r="DJ454">
        <f>DF454</f>
        <v>16.600000000000001</v>
      </c>
      <c r="DK454">
        <v>0</v>
      </c>
      <c r="DL454" t="s">
        <v>3</v>
      </c>
      <c r="DM454">
        <v>0</v>
      </c>
      <c r="DN454" t="s">
        <v>3</v>
      </c>
      <c r="DO454">
        <v>0</v>
      </c>
    </row>
    <row r="455" spans="1:119" x14ac:dyDescent="0.2">
      <c r="A455">
        <f>ROW(Source!A197)</f>
        <v>197</v>
      </c>
      <c r="B455">
        <v>85739205</v>
      </c>
      <c r="C455">
        <v>85740035</v>
      </c>
      <c r="D455">
        <v>85198911</v>
      </c>
      <c r="E455">
        <v>1</v>
      </c>
      <c r="F455">
        <v>1</v>
      </c>
      <c r="G455">
        <v>1081</v>
      </c>
      <c r="H455">
        <v>3</v>
      </c>
      <c r="I455" t="s">
        <v>615</v>
      </c>
      <c r="J455" t="s">
        <v>616</v>
      </c>
      <c r="K455" t="s">
        <v>617</v>
      </c>
      <c r="L455">
        <v>1348</v>
      </c>
      <c r="N455">
        <v>1009</v>
      </c>
      <c r="O455" t="s">
        <v>266</v>
      </c>
      <c r="P455" t="s">
        <v>266</v>
      </c>
      <c r="Q455">
        <v>1000</v>
      </c>
      <c r="W455">
        <v>0</v>
      </c>
      <c r="X455">
        <v>-268464753</v>
      </c>
      <c r="Y455">
        <f>((AT455*1)*1)</f>
        <v>1.1000000000000001E-3</v>
      </c>
      <c r="AA455">
        <v>17868.28</v>
      </c>
      <c r="AB455">
        <v>0</v>
      </c>
      <c r="AC455">
        <v>0</v>
      </c>
      <c r="AD455">
        <v>0</v>
      </c>
      <c r="AE455">
        <v>17868.28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-2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1.1000000000000001E-3</v>
      </c>
      <c r="AU455" t="s">
        <v>77</v>
      </c>
      <c r="AV455">
        <v>0</v>
      </c>
      <c r="AW455">
        <v>2</v>
      </c>
      <c r="AX455">
        <v>85740040</v>
      </c>
      <c r="AY455">
        <v>1</v>
      </c>
      <c r="AZ455">
        <v>0</v>
      </c>
      <c r="BA455">
        <v>471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V455">
        <v>0</v>
      </c>
      <c r="CW455">
        <v>0</v>
      </c>
      <c r="CX455">
        <f>ROUND(Y455*Source!I197,9)</f>
        <v>1.32E-2</v>
      </c>
      <c r="CY455">
        <f>AA455</f>
        <v>17868.28</v>
      </c>
      <c r="CZ455">
        <f>AE455</f>
        <v>17868.28</v>
      </c>
      <c r="DA455">
        <f>AI455</f>
        <v>1</v>
      </c>
      <c r="DB455">
        <f>ROUND(((ROUND(AT455*CZ455,2)*1)*1),6)</f>
        <v>19.66</v>
      </c>
      <c r="DC455">
        <f>ROUND(((ROUND(AT455*AG455,2)*1)*1),6)</f>
        <v>0</v>
      </c>
      <c r="DD455" t="s">
        <v>3</v>
      </c>
      <c r="DE455" t="s">
        <v>3</v>
      </c>
      <c r="DF455">
        <f t="shared" si="196"/>
        <v>235.86</v>
      </c>
      <c r="DG455">
        <f t="shared" si="193"/>
        <v>0</v>
      </c>
      <c r="DH455">
        <f t="shared" si="194"/>
        <v>0</v>
      </c>
      <c r="DI455">
        <f t="shared" si="195"/>
        <v>0</v>
      </c>
      <c r="DJ455">
        <f>DF455</f>
        <v>235.86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">
      <c r="A456">
        <f>ROW(Source!A197)</f>
        <v>197</v>
      </c>
      <c r="B456">
        <v>85739205</v>
      </c>
      <c r="C456">
        <v>85740035</v>
      </c>
      <c r="D456">
        <v>85216543</v>
      </c>
      <c r="E456">
        <v>1</v>
      </c>
      <c r="F456">
        <v>1</v>
      </c>
      <c r="G456">
        <v>1081</v>
      </c>
      <c r="H456">
        <v>3</v>
      </c>
      <c r="I456" t="s">
        <v>392</v>
      </c>
      <c r="J456" t="s">
        <v>394</v>
      </c>
      <c r="K456" t="s">
        <v>393</v>
      </c>
      <c r="L456">
        <v>1354</v>
      </c>
      <c r="N456">
        <v>1010</v>
      </c>
      <c r="O456" t="s">
        <v>99</v>
      </c>
      <c r="P456" t="s">
        <v>99</v>
      </c>
      <c r="Q456">
        <v>1</v>
      </c>
      <c r="W456">
        <v>0</v>
      </c>
      <c r="X456">
        <v>1616596241</v>
      </c>
      <c r="Y456">
        <f>((AT456*1)*1)</f>
        <v>1</v>
      </c>
      <c r="AA456">
        <v>54.24</v>
      </c>
      <c r="AB456">
        <v>0</v>
      </c>
      <c r="AC456">
        <v>0</v>
      </c>
      <c r="AD456">
        <v>0</v>
      </c>
      <c r="AE456">
        <v>54.24</v>
      </c>
      <c r="AF456">
        <v>0</v>
      </c>
      <c r="AG456">
        <v>0</v>
      </c>
      <c r="AH456">
        <v>0</v>
      </c>
      <c r="AI456">
        <v>1</v>
      </c>
      <c r="AJ456">
        <v>1</v>
      </c>
      <c r="AK456">
        <v>1</v>
      </c>
      <c r="AL456">
        <v>1</v>
      </c>
      <c r="AM456">
        <v>0</v>
      </c>
      <c r="AN456">
        <v>0</v>
      </c>
      <c r="AO456">
        <v>0</v>
      </c>
      <c r="AP456">
        <v>1</v>
      </c>
      <c r="AQ456">
        <v>0</v>
      </c>
      <c r="AR456">
        <v>0</v>
      </c>
      <c r="AS456" t="s">
        <v>3</v>
      </c>
      <c r="AT456">
        <v>1</v>
      </c>
      <c r="AU456" t="s">
        <v>77</v>
      </c>
      <c r="AV456">
        <v>0</v>
      </c>
      <c r="AW456">
        <v>1</v>
      </c>
      <c r="AX456">
        <v>-1</v>
      </c>
      <c r="AY456">
        <v>0</v>
      </c>
      <c r="AZ456">
        <v>0</v>
      </c>
      <c r="BA456" t="s">
        <v>3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V456">
        <v>0</v>
      </c>
      <c r="CW456">
        <v>0</v>
      </c>
      <c r="CX456">
        <f>ROUND(Y456*Source!I197,9)</f>
        <v>12</v>
      </c>
      <c r="CY456">
        <f>AA456</f>
        <v>54.24</v>
      </c>
      <c r="CZ456">
        <f>AE456</f>
        <v>54.24</v>
      </c>
      <c r="DA456">
        <f>AI456</f>
        <v>1</v>
      </c>
      <c r="DB456">
        <f>ROUND(((ROUND(AT456*CZ456,2)*1)*1),6)</f>
        <v>54.24</v>
      </c>
      <c r="DC456">
        <f>ROUND(((ROUND(AT456*AG456,2)*1)*1),6)</f>
        <v>0</v>
      </c>
      <c r="DD456" t="s">
        <v>3</v>
      </c>
      <c r="DE456" t="s">
        <v>3</v>
      </c>
      <c r="DF456">
        <f t="shared" si="196"/>
        <v>650.88</v>
      </c>
      <c r="DG456">
        <f t="shared" si="193"/>
        <v>0</v>
      </c>
      <c r="DH456">
        <f t="shared" si="194"/>
        <v>0</v>
      </c>
      <c r="DI456">
        <f t="shared" si="195"/>
        <v>0</v>
      </c>
      <c r="DJ456">
        <f>DF456</f>
        <v>650.88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">
      <c r="A457">
        <f>ROW(Source!A197)</f>
        <v>197</v>
      </c>
      <c r="B457">
        <v>85739205</v>
      </c>
      <c r="C457">
        <v>85740035</v>
      </c>
      <c r="D457">
        <v>85219690</v>
      </c>
      <c r="E457">
        <v>1</v>
      </c>
      <c r="F457">
        <v>1</v>
      </c>
      <c r="G457">
        <v>1081</v>
      </c>
      <c r="H457">
        <v>3</v>
      </c>
      <c r="I457" t="s">
        <v>609</v>
      </c>
      <c r="J457" t="s">
        <v>610</v>
      </c>
      <c r="K457" t="s">
        <v>611</v>
      </c>
      <c r="L457">
        <v>1346</v>
      </c>
      <c r="N457">
        <v>1009</v>
      </c>
      <c r="O457" t="s">
        <v>502</v>
      </c>
      <c r="P457" t="s">
        <v>502</v>
      </c>
      <c r="Q457">
        <v>1</v>
      </c>
      <c r="W457">
        <v>0</v>
      </c>
      <c r="X457">
        <v>1225074207</v>
      </c>
      <c r="Y457">
        <f>((AT457*1)*1)</f>
        <v>0.02</v>
      </c>
      <c r="AA457">
        <v>19.28</v>
      </c>
      <c r="AB457">
        <v>0</v>
      </c>
      <c r="AC457">
        <v>0</v>
      </c>
      <c r="AD457">
        <v>0</v>
      </c>
      <c r="AE457">
        <v>19.28</v>
      </c>
      <c r="AF457">
        <v>0</v>
      </c>
      <c r="AG457">
        <v>0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-2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0.02</v>
      </c>
      <c r="AU457" t="s">
        <v>77</v>
      </c>
      <c r="AV457">
        <v>0</v>
      </c>
      <c r="AW457">
        <v>2</v>
      </c>
      <c r="AX457">
        <v>85740041</v>
      </c>
      <c r="AY457">
        <v>1</v>
      </c>
      <c r="AZ457">
        <v>0</v>
      </c>
      <c r="BA457">
        <v>472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V457">
        <v>0</v>
      </c>
      <c r="CW457">
        <v>0</v>
      </c>
      <c r="CX457">
        <f>ROUND(Y457*Source!I197,9)</f>
        <v>0.24</v>
      </c>
      <c r="CY457">
        <f>AA457</f>
        <v>19.28</v>
      </c>
      <c r="CZ457">
        <f>AE457</f>
        <v>19.28</v>
      </c>
      <c r="DA457">
        <f>AI457</f>
        <v>1</v>
      </c>
      <c r="DB457">
        <f>ROUND(((ROUND(AT457*CZ457,2)*1)*1),6)</f>
        <v>0.39</v>
      </c>
      <c r="DC457">
        <f>ROUND(((ROUND(AT457*AG457,2)*1)*1),6)</f>
        <v>0</v>
      </c>
      <c r="DD457" t="s">
        <v>3</v>
      </c>
      <c r="DE457" t="s">
        <v>3</v>
      </c>
      <c r="DF457">
        <f t="shared" si="196"/>
        <v>4.63</v>
      </c>
      <c r="DG457">
        <f t="shared" si="193"/>
        <v>0</v>
      </c>
      <c r="DH457">
        <f t="shared" si="194"/>
        <v>0</v>
      </c>
      <c r="DI457">
        <f t="shared" si="195"/>
        <v>0</v>
      </c>
      <c r="DJ457">
        <f>DF457</f>
        <v>4.63</v>
      </c>
      <c r="DK457">
        <v>0</v>
      </c>
      <c r="DL457" t="s">
        <v>3</v>
      </c>
      <c r="DM457">
        <v>0</v>
      </c>
      <c r="DN457" t="s">
        <v>3</v>
      </c>
      <c r="DO457">
        <v>0</v>
      </c>
    </row>
    <row r="458" spans="1:119" x14ac:dyDescent="0.2">
      <c r="A458">
        <f>ROW(Source!A198)</f>
        <v>198</v>
      </c>
      <c r="B458">
        <v>85739207</v>
      </c>
      <c r="C458">
        <v>85740035</v>
      </c>
      <c r="D458">
        <v>85164021</v>
      </c>
      <c r="E458">
        <v>1081</v>
      </c>
      <c r="F458">
        <v>1</v>
      </c>
      <c r="G458">
        <v>1081</v>
      </c>
      <c r="H458">
        <v>1</v>
      </c>
      <c r="I458" t="s">
        <v>472</v>
      </c>
      <c r="J458" t="s">
        <v>3</v>
      </c>
      <c r="K458" t="s">
        <v>473</v>
      </c>
      <c r="L458">
        <v>1191</v>
      </c>
      <c r="N458">
        <v>1013</v>
      </c>
      <c r="O458" t="s">
        <v>474</v>
      </c>
      <c r="P458" t="s">
        <v>474</v>
      </c>
      <c r="Q458">
        <v>1</v>
      </c>
      <c r="W458">
        <v>0</v>
      </c>
      <c r="X458">
        <v>476480486</v>
      </c>
      <c r="Y458">
        <f>((AT458*1.15)*1.2)</f>
        <v>2.0286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1</v>
      </c>
      <c r="AK458">
        <v>1</v>
      </c>
      <c r="AL458">
        <v>1</v>
      </c>
      <c r="AM458">
        <v>5</v>
      </c>
      <c r="AN458">
        <v>0</v>
      </c>
      <c r="AO458">
        <v>1</v>
      </c>
      <c r="AP458">
        <v>1</v>
      </c>
      <c r="AQ458">
        <v>0</v>
      </c>
      <c r="AR458">
        <v>0</v>
      </c>
      <c r="AS458" t="s">
        <v>3</v>
      </c>
      <c r="AT458">
        <v>1.47</v>
      </c>
      <c r="AU458" t="s">
        <v>79</v>
      </c>
      <c r="AV458">
        <v>1</v>
      </c>
      <c r="AW458">
        <v>2</v>
      </c>
      <c r="AX458">
        <v>85740036</v>
      </c>
      <c r="AY458">
        <v>1</v>
      </c>
      <c r="AZ458">
        <v>0</v>
      </c>
      <c r="BA458">
        <v>475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U458">
        <f>ROUND(AT458*Source!I198*AH458*AL458,2)</f>
        <v>0</v>
      </c>
      <c r="CV458">
        <f>ROUND(Y458*Source!I198,9)</f>
        <v>24.3432</v>
      </c>
      <c r="CW458">
        <v>0</v>
      </c>
      <c r="CX458">
        <f>ROUND(Y458*Source!I198,9)</f>
        <v>24.3432</v>
      </c>
      <c r="CY458">
        <f>AD458</f>
        <v>0</v>
      </c>
      <c r="CZ458">
        <f>AH458</f>
        <v>0</v>
      </c>
      <c r="DA458">
        <f>AL458</f>
        <v>1</v>
      </c>
      <c r="DB458">
        <f>ROUND(((ROUND(AT458*CZ458,2)*1.15)*1.2),6)</f>
        <v>0</v>
      </c>
      <c r="DC458">
        <f>ROUND(((ROUND(AT458*AG458,2)*1.15)*1.2),6)</f>
        <v>0</v>
      </c>
      <c r="DD458" t="s">
        <v>3</v>
      </c>
      <c r="DE458" t="s">
        <v>3</v>
      </c>
      <c r="DF458">
        <f t="shared" si="196"/>
        <v>0</v>
      </c>
      <c r="DG458">
        <f t="shared" si="193"/>
        <v>0</v>
      </c>
      <c r="DH458">
        <f t="shared" si="194"/>
        <v>0</v>
      </c>
      <c r="DI458">
        <f t="shared" si="195"/>
        <v>0</v>
      </c>
      <c r="DJ458">
        <f>DI458</f>
        <v>0</v>
      </c>
      <c r="DK458">
        <v>0</v>
      </c>
      <c r="DL458" t="s">
        <v>3</v>
      </c>
      <c r="DM458">
        <v>0</v>
      </c>
      <c r="DN458" t="s">
        <v>3</v>
      </c>
      <c r="DO458">
        <v>0</v>
      </c>
    </row>
    <row r="459" spans="1:119" x14ac:dyDescent="0.2">
      <c r="A459">
        <f>ROW(Source!A198)</f>
        <v>198</v>
      </c>
      <c r="B459">
        <v>85739207</v>
      </c>
      <c r="C459">
        <v>85740035</v>
      </c>
      <c r="D459">
        <v>85229633</v>
      </c>
      <c r="E459">
        <v>1</v>
      </c>
      <c r="F459">
        <v>1</v>
      </c>
      <c r="G459">
        <v>1081</v>
      </c>
      <c r="H459">
        <v>2</v>
      </c>
      <c r="I459" t="s">
        <v>475</v>
      </c>
      <c r="J459" t="s">
        <v>476</v>
      </c>
      <c r="K459" t="s">
        <v>477</v>
      </c>
      <c r="L459">
        <v>1368</v>
      </c>
      <c r="N459">
        <v>1011</v>
      </c>
      <c r="O459" t="s">
        <v>478</v>
      </c>
      <c r="P459" t="s">
        <v>478</v>
      </c>
      <c r="Q459">
        <v>1</v>
      </c>
      <c r="W459">
        <v>0</v>
      </c>
      <c r="X459">
        <v>1498588441</v>
      </c>
      <c r="Y459">
        <f>((AT459*1.25)*1.2)</f>
        <v>0.52500000000000002</v>
      </c>
      <c r="AA459">
        <v>0</v>
      </c>
      <c r="AB459">
        <v>102.11</v>
      </c>
      <c r="AC459">
        <v>0</v>
      </c>
      <c r="AD459">
        <v>0</v>
      </c>
      <c r="AE459">
        <v>0</v>
      </c>
      <c r="AF459">
        <v>7.11</v>
      </c>
      <c r="AG459">
        <v>0</v>
      </c>
      <c r="AH459">
        <v>0</v>
      </c>
      <c r="AI459">
        <v>1</v>
      </c>
      <c r="AJ459">
        <v>13.46</v>
      </c>
      <c r="AK459">
        <v>1</v>
      </c>
      <c r="AL459">
        <v>1</v>
      </c>
      <c r="AM459">
        <v>2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0.35</v>
      </c>
      <c r="AU459" t="s">
        <v>78</v>
      </c>
      <c r="AV459">
        <v>0</v>
      </c>
      <c r="AW459">
        <v>2</v>
      </c>
      <c r="AX459">
        <v>85740037</v>
      </c>
      <c r="AY459">
        <v>1</v>
      </c>
      <c r="AZ459">
        <v>0</v>
      </c>
      <c r="BA459">
        <v>476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V459">
        <v>0</v>
      </c>
      <c r="CW459">
        <f>ROUND(Y459*Source!I198*DO459,9)</f>
        <v>0</v>
      </c>
      <c r="CX459">
        <f>ROUND(Y459*Source!I198,9)</f>
        <v>6.3</v>
      </c>
      <c r="CY459">
        <f>AB459</f>
        <v>102.11</v>
      </c>
      <c r="CZ459">
        <f>AF459</f>
        <v>7.11</v>
      </c>
      <c r="DA459">
        <f>AJ459</f>
        <v>13.46</v>
      </c>
      <c r="DB459">
        <f>ROUND(((ROUND(AT459*CZ459,2)*1.25)*1.2),6)</f>
        <v>3.7349999999999999</v>
      </c>
      <c r="DC459">
        <f>ROUND(((ROUND(AT459*AG459,2)*1.25)*1.2),6)</f>
        <v>0</v>
      </c>
      <c r="DD459" t="s">
        <v>3</v>
      </c>
      <c r="DE459" t="s">
        <v>3</v>
      </c>
      <c r="DF459">
        <f t="shared" si="196"/>
        <v>0</v>
      </c>
      <c r="DG459">
        <f>ROUND(ROUND(AF459*AJ459,2)*CX459,2)</f>
        <v>602.91</v>
      </c>
      <c r="DH459">
        <f t="shared" si="194"/>
        <v>0</v>
      </c>
      <c r="DI459">
        <f t="shared" si="195"/>
        <v>0</v>
      </c>
      <c r="DJ459">
        <f>DG459</f>
        <v>602.91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">
      <c r="A460">
        <f>ROW(Source!A198)</f>
        <v>198</v>
      </c>
      <c r="B460">
        <v>85739207</v>
      </c>
      <c r="C460">
        <v>85740035</v>
      </c>
      <c r="D460">
        <v>85229932</v>
      </c>
      <c r="E460">
        <v>1</v>
      </c>
      <c r="F460">
        <v>1</v>
      </c>
      <c r="G460">
        <v>1081</v>
      </c>
      <c r="H460">
        <v>2</v>
      </c>
      <c r="I460" t="s">
        <v>482</v>
      </c>
      <c r="J460" t="s">
        <v>483</v>
      </c>
      <c r="K460" t="s">
        <v>484</v>
      </c>
      <c r="L460">
        <v>1368</v>
      </c>
      <c r="N460">
        <v>1011</v>
      </c>
      <c r="O460" t="s">
        <v>478</v>
      </c>
      <c r="P460" t="s">
        <v>478</v>
      </c>
      <c r="Q460">
        <v>1</v>
      </c>
      <c r="W460">
        <v>0</v>
      </c>
      <c r="X460">
        <v>874612079</v>
      </c>
      <c r="Y460">
        <f>((AT460*1.25)*1.2)</f>
        <v>1.4999999999999999E-2</v>
      </c>
      <c r="AA460">
        <v>0</v>
      </c>
      <c r="AB460">
        <v>1513.56</v>
      </c>
      <c r="AC460">
        <v>758.78</v>
      </c>
      <c r="AD460">
        <v>0</v>
      </c>
      <c r="AE460">
        <v>0</v>
      </c>
      <c r="AF460">
        <v>83.1</v>
      </c>
      <c r="AG460">
        <v>12.62</v>
      </c>
      <c r="AH460">
        <v>0</v>
      </c>
      <c r="AI460">
        <v>1</v>
      </c>
      <c r="AJ460">
        <v>17.07</v>
      </c>
      <c r="AK460">
        <v>56.35</v>
      </c>
      <c r="AL460">
        <v>1</v>
      </c>
      <c r="AM460">
        <v>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0.01</v>
      </c>
      <c r="AU460" t="s">
        <v>78</v>
      </c>
      <c r="AV460">
        <v>0</v>
      </c>
      <c r="AW460">
        <v>2</v>
      </c>
      <c r="AX460">
        <v>85740038</v>
      </c>
      <c r="AY460">
        <v>1</v>
      </c>
      <c r="AZ460">
        <v>0</v>
      </c>
      <c r="BA460">
        <v>477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f>ROUND(Y460*Source!I198*DO460,9)</f>
        <v>2.2715999999999998</v>
      </c>
      <c r="CX460">
        <f>ROUND(Y460*Source!I198,9)</f>
        <v>0.18</v>
      </c>
      <c r="CY460">
        <f>AB460</f>
        <v>1513.56</v>
      </c>
      <c r="CZ460">
        <f>AF460</f>
        <v>83.1</v>
      </c>
      <c r="DA460">
        <f>AJ460</f>
        <v>17.07</v>
      </c>
      <c r="DB460">
        <f>ROUND(((ROUND(AT460*CZ460,2)*1.25)*1.2),6)</f>
        <v>1.2450000000000001</v>
      </c>
      <c r="DC460">
        <f>ROUND(((ROUND(AT460*AG460,2)*1.25)*1.2),6)</f>
        <v>0.19500000000000001</v>
      </c>
      <c r="DD460" t="s">
        <v>3</v>
      </c>
      <c r="DE460" t="s">
        <v>3</v>
      </c>
      <c r="DF460">
        <f t="shared" si="196"/>
        <v>0</v>
      </c>
      <c r="DG460">
        <f>ROUND(ROUND(AF460*AJ460,2)*CX460,2)</f>
        <v>255.33</v>
      </c>
      <c r="DH460">
        <f>ROUND(ROUND(AG460*AK460,2)*CX460,2)</f>
        <v>128.01</v>
      </c>
      <c r="DI460">
        <f t="shared" si="195"/>
        <v>0</v>
      </c>
      <c r="DJ460">
        <f>DG460</f>
        <v>255.33</v>
      </c>
      <c r="DK460">
        <v>0</v>
      </c>
      <c r="DL460" t="s">
        <v>485</v>
      </c>
      <c r="DM460">
        <v>0</v>
      </c>
      <c r="DN460" t="s">
        <v>474</v>
      </c>
      <c r="DO460">
        <v>12.62</v>
      </c>
    </row>
    <row r="461" spans="1:119" x14ac:dyDescent="0.2">
      <c r="A461">
        <f>ROW(Source!A198)</f>
        <v>198</v>
      </c>
      <c r="B461">
        <v>85739207</v>
      </c>
      <c r="C461">
        <v>85740035</v>
      </c>
      <c r="D461">
        <v>85200102</v>
      </c>
      <c r="E461">
        <v>1</v>
      </c>
      <c r="F461">
        <v>1</v>
      </c>
      <c r="G461">
        <v>1081</v>
      </c>
      <c r="H461">
        <v>3</v>
      </c>
      <c r="I461" t="s">
        <v>612</v>
      </c>
      <c r="J461" t="s">
        <v>613</v>
      </c>
      <c r="K461" t="s">
        <v>614</v>
      </c>
      <c r="L461">
        <v>1348</v>
      </c>
      <c r="N461">
        <v>1009</v>
      </c>
      <c r="O461" t="s">
        <v>266</v>
      </c>
      <c r="P461" t="s">
        <v>266</v>
      </c>
      <c r="Q461">
        <v>1000</v>
      </c>
      <c r="W461">
        <v>0</v>
      </c>
      <c r="X461">
        <v>1001555392</v>
      </c>
      <c r="Y461">
        <f>((AT461*1)*1)</f>
        <v>1.3999999999999999E-4</v>
      </c>
      <c r="AA461">
        <v>204110.68</v>
      </c>
      <c r="AB461">
        <v>0</v>
      </c>
      <c r="AC461">
        <v>0</v>
      </c>
      <c r="AD461">
        <v>0</v>
      </c>
      <c r="AE461">
        <v>9879.51</v>
      </c>
      <c r="AF461">
        <v>0</v>
      </c>
      <c r="AG461">
        <v>0</v>
      </c>
      <c r="AH461">
        <v>0</v>
      </c>
      <c r="AI461">
        <v>20.66</v>
      </c>
      <c r="AJ461">
        <v>1</v>
      </c>
      <c r="AK461">
        <v>1</v>
      </c>
      <c r="AL461">
        <v>1</v>
      </c>
      <c r="AM461">
        <v>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1.3999999999999999E-4</v>
      </c>
      <c r="AU461" t="s">
        <v>77</v>
      </c>
      <c r="AV461">
        <v>0</v>
      </c>
      <c r="AW461">
        <v>2</v>
      </c>
      <c r="AX461">
        <v>85740039</v>
      </c>
      <c r="AY461">
        <v>1</v>
      </c>
      <c r="AZ461">
        <v>0</v>
      </c>
      <c r="BA461">
        <v>478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V461">
        <v>0</v>
      </c>
      <c r="CW461">
        <v>0</v>
      </c>
      <c r="CX461">
        <f>ROUND(Y461*Source!I198,9)</f>
        <v>1.6800000000000001E-3</v>
      </c>
      <c r="CY461">
        <f>AA461</f>
        <v>204110.68</v>
      </c>
      <c r="CZ461">
        <f>AE461</f>
        <v>9879.51</v>
      </c>
      <c r="DA461">
        <f>AI461</f>
        <v>20.66</v>
      </c>
      <c r="DB461">
        <f>ROUND(((ROUND(AT461*CZ461,2)*1)*1),6)</f>
        <v>1.38</v>
      </c>
      <c r="DC461">
        <f>ROUND(((ROUND(AT461*AG461,2)*1)*1),6)</f>
        <v>0</v>
      </c>
      <c r="DD461" t="s">
        <v>3</v>
      </c>
      <c r="DE461" t="s">
        <v>3</v>
      </c>
      <c r="DF461">
        <f>ROUND(ROUND(AE461*AI461,2)*CX461,2)</f>
        <v>342.91</v>
      </c>
      <c r="DG461">
        <f t="shared" ref="DG461:DG473" si="197">ROUND(ROUND(AF461,2)*CX461,2)</f>
        <v>0</v>
      </c>
      <c r="DH461">
        <f t="shared" ref="DH461:DH474" si="198">ROUND(ROUND(AG461,2)*CX461,2)</f>
        <v>0</v>
      </c>
      <c r="DI461">
        <f t="shared" si="195"/>
        <v>0</v>
      </c>
      <c r="DJ461">
        <f>DF461</f>
        <v>342.91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">
      <c r="A462">
        <f>ROW(Source!A198)</f>
        <v>198</v>
      </c>
      <c r="B462">
        <v>85739207</v>
      </c>
      <c r="C462">
        <v>85740035</v>
      </c>
      <c r="D462">
        <v>85198911</v>
      </c>
      <c r="E462">
        <v>1</v>
      </c>
      <c r="F462">
        <v>1</v>
      </c>
      <c r="G462">
        <v>1081</v>
      </c>
      <c r="H462">
        <v>3</v>
      </c>
      <c r="I462" t="s">
        <v>615</v>
      </c>
      <c r="J462" t="s">
        <v>616</v>
      </c>
      <c r="K462" t="s">
        <v>617</v>
      </c>
      <c r="L462">
        <v>1348</v>
      </c>
      <c r="N462">
        <v>1009</v>
      </c>
      <c r="O462" t="s">
        <v>266</v>
      </c>
      <c r="P462" t="s">
        <v>266</v>
      </c>
      <c r="Q462">
        <v>1000</v>
      </c>
      <c r="W462">
        <v>0</v>
      </c>
      <c r="X462">
        <v>-268464753</v>
      </c>
      <c r="Y462">
        <f>((AT462*1)*1)</f>
        <v>1.1000000000000001E-3</v>
      </c>
      <c r="AA462">
        <v>121682.99</v>
      </c>
      <c r="AB462">
        <v>0</v>
      </c>
      <c r="AC462">
        <v>0</v>
      </c>
      <c r="AD462">
        <v>0</v>
      </c>
      <c r="AE462">
        <v>17868.28</v>
      </c>
      <c r="AF462">
        <v>0</v>
      </c>
      <c r="AG462">
        <v>0</v>
      </c>
      <c r="AH462">
        <v>0</v>
      </c>
      <c r="AI462">
        <v>6.81</v>
      </c>
      <c r="AJ462">
        <v>1</v>
      </c>
      <c r="AK462">
        <v>1</v>
      </c>
      <c r="AL462">
        <v>1</v>
      </c>
      <c r="AM462">
        <v>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1.1000000000000001E-3</v>
      </c>
      <c r="AU462" t="s">
        <v>77</v>
      </c>
      <c r="AV462">
        <v>0</v>
      </c>
      <c r="AW462">
        <v>2</v>
      </c>
      <c r="AX462">
        <v>85740040</v>
      </c>
      <c r="AY462">
        <v>1</v>
      </c>
      <c r="AZ462">
        <v>0</v>
      </c>
      <c r="BA462">
        <v>479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v>0</v>
      </c>
      <c r="CX462">
        <f>ROUND(Y462*Source!I198,9)</f>
        <v>1.32E-2</v>
      </c>
      <c r="CY462">
        <f>AA462</f>
        <v>121682.99</v>
      </c>
      <c r="CZ462">
        <f>AE462</f>
        <v>17868.28</v>
      </c>
      <c r="DA462">
        <f>AI462</f>
        <v>6.81</v>
      </c>
      <c r="DB462">
        <f>ROUND(((ROUND(AT462*CZ462,2)*1)*1),6)</f>
        <v>19.66</v>
      </c>
      <c r="DC462">
        <f>ROUND(((ROUND(AT462*AG462,2)*1)*1),6)</f>
        <v>0</v>
      </c>
      <c r="DD462" t="s">
        <v>3</v>
      </c>
      <c r="DE462" t="s">
        <v>3</v>
      </c>
      <c r="DF462">
        <f>ROUND(ROUND(AE462*AI462,2)*CX462,2)</f>
        <v>1606.22</v>
      </c>
      <c r="DG462">
        <f t="shared" si="197"/>
        <v>0</v>
      </c>
      <c r="DH462">
        <f t="shared" si="198"/>
        <v>0</v>
      </c>
      <c r="DI462">
        <f t="shared" si="195"/>
        <v>0</v>
      </c>
      <c r="DJ462">
        <f>DF462</f>
        <v>1606.22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">
      <c r="A463">
        <f>ROW(Source!A198)</f>
        <v>198</v>
      </c>
      <c r="B463">
        <v>85739207</v>
      </c>
      <c r="C463">
        <v>85740035</v>
      </c>
      <c r="D463">
        <v>85216543</v>
      </c>
      <c r="E463">
        <v>1</v>
      </c>
      <c r="F463">
        <v>1</v>
      </c>
      <c r="G463">
        <v>1081</v>
      </c>
      <c r="H463">
        <v>3</v>
      </c>
      <c r="I463" t="s">
        <v>392</v>
      </c>
      <c r="J463" t="s">
        <v>394</v>
      </c>
      <c r="K463" t="s">
        <v>393</v>
      </c>
      <c r="L463">
        <v>1354</v>
      </c>
      <c r="N463">
        <v>1010</v>
      </c>
      <c r="O463" t="s">
        <v>99</v>
      </c>
      <c r="P463" t="s">
        <v>99</v>
      </c>
      <c r="Q463">
        <v>1</v>
      </c>
      <c r="W463">
        <v>0</v>
      </c>
      <c r="X463">
        <v>1616596241</v>
      </c>
      <c r="Y463">
        <f>((AT463*1)*1)</f>
        <v>1</v>
      </c>
      <c r="AA463">
        <v>170.31</v>
      </c>
      <c r="AB463">
        <v>0</v>
      </c>
      <c r="AC463">
        <v>0</v>
      </c>
      <c r="AD463">
        <v>0</v>
      </c>
      <c r="AE463">
        <v>54.24</v>
      </c>
      <c r="AF463">
        <v>0</v>
      </c>
      <c r="AG463">
        <v>0</v>
      </c>
      <c r="AH463">
        <v>0</v>
      </c>
      <c r="AI463">
        <v>3.14</v>
      </c>
      <c r="AJ463">
        <v>1</v>
      </c>
      <c r="AK463">
        <v>1</v>
      </c>
      <c r="AL463">
        <v>1</v>
      </c>
      <c r="AM463">
        <v>0</v>
      </c>
      <c r="AN463">
        <v>0</v>
      </c>
      <c r="AO463">
        <v>0</v>
      </c>
      <c r="AP463">
        <v>1</v>
      </c>
      <c r="AQ463">
        <v>0</v>
      </c>
      <c r="AR463">
        <v>0</v>
      </c>
      <c r="AS463" t="s">
        <v>3</v>
      </c>
      <c r="AT463">
        <v>1</v>
      </c>
      <c r="AU463" t="s">
        <v>77</v>
      </c>
      <c r="AV463">
        <v>0</v>
      </c>
      <c r="AW463">
        <v>1</v>
      </c>
      <c r="AX463">
        <v>-1</v>
      </c>
      <c r="AY463">
        <v>0</v>
      </c>
      <c r="AZ463">
        <v>0</v>
      </c>
      <c r="BA463" t="s">
        <v>3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v>0</v>
      </c>
      <c r="CX463">
        <f>ROUND(Y463*Source!I198,9)</f>
        <v>12</v>
      </c>
      <c r="CY463">
        <f>AA463</f>
        <v>170.31</v>
      </c>
      <c r="CZ463">
        <f>AE463</f>
        <v>54.24</v>
      </c>
      <c r="DA463">
        <f>AI463</f>
        <v>3.14</v>
      </c>
      <c r="DB463">
        <f>ROUND(((ROUND(AT463*CZ463,2)*1)*1),6)</f>
        <v>54.24</v>
      </c>
      <c r="DC463">
        <f>ROUND(((ROUND(AT463*AG463,2)*1)*1),6)</f>
        <v>0</v>
      </c>
      <c r="DD463" t="s">
        <v>3</v>
      </c>
      <c r="DE463" t="s">
        <v>3</v>
      </c>
      <c r="DF463">
        <f>ROUND(ROUND(AE463*AI463,2)*CX463,2)</f>
        <v>2043.72</v>
      </c>
      <c r="DG463">
        <f t="shared" si="197"/>
        <v>0</v>
      </c>
      <c r="DH463">
        <f t="shared" si="198"/>
        <v>0</v>
      </c>
      <c r="DI463">
        <f t="shared" si="195"/>
        <v>0</v>
      </c>
      <c r="DJ463">
        <f>DF463</f>
        <v>2043.72</v>
      </c>
      <c r="DK463">
        <v>0</v>
      </c>
      <c r="DL463" t="s">
        <v>3</v>
      </c>
      <c r="DM463">
        <v>0</v>
      </c>
      <c r="DN463" t="s">
        <v>3</v>
      </c>
      <c r="DO463">
        <v>0</v>
      </c>
    </row>
    <row r="464" spans="1:119" x14ac:dyDescent="0.2">
      <c r="A464">
        <f>ROW(Source!A198)</f>
        <v>198</v>
      </c>
      <c r="B464">
        <v>85739207</v>
      </c>
      <c r="C464">
        <v>85740035</v>
      </c>
      <c r="D464">
        <v>85219690</v>
      </c>
      <c r="E464">
        <v>1</v>
      </c>
      <c r="F464">
        <v>1</v>
      </c>
      <c r="G464">
        <v>1081</v>
      </c>
      <c r="H464">
        <v>3</v>
      </c>
      <c r="I464" t="s">
        <v>609</v>
      </c>
      <c r="J464" t="s">
        <v>610</v>
      </c>
      <c r="K464" t="s">
        <v>611</v>
      </c>
      <c r="L464">
        <v>1346</v>
      </c>
      <c r="N464">
        <v>1009</v>
      </c>
      <c r="O464" t="s">
        <v>502</v>
      </c>
      <c r="P464" t="s">
        <v>502</v>
      </c>
      <c r="Q464">
        <v>1</v>
      </c>
      <c r="W464">
        <v>0</v>
      </c>
      <c r="X464">
        <v>1225074207</v>
      </c>
      <c r="Y464">
        <f>((AT464*1)*1)</f>
        <v>0.02</v>
      </c>
      <c r="AA464">
        <v>333.16</v>
      </c>
      <c r="AB464">
        <v>0</v>
      </c>
      <c r="AC464">
        <v>0</v>
      </c>
      <c r="AD464">
        <v>0</v>
      </c>
      <c r="AE464">
        <v>19.28</v>
      </c>
      <c r="AF464">
        <v>0</v>
      </c>
      <c r="AG464">
        <v>0</v>
      </c>
      <c r="AH464">
        <v>0</v>
      </c>
      <c r="AI464">
        <v>17.28</v>
      </c>
      <c r="AJ464">
        <v>1</v>
      </c>
      <c r="AK464">
        <v>1</v>
      </c>
      <c r="AL464">
        <v>1</v>
      </c>
      <c r="AM464">
        <v>2</v>
      </c>
      <c r="AN464">
        <v>0</v>
      </c>
      <c r="AO464">
        <v>1</v>
      </c>
      <c r="AP464">
        <v>1</v>
      </c>
      <c r="AQ464">
        <v>0</v>
      </c>
      <c r="AR464">
        <v>0</v>
      </c>
      <c r="AS464" t="s">
        <v>3</v>
      </c>
      <c r="AT464">
        <v>0.02</v>
      </c>
      <c r="AU464" t="s">
        <v>77</v>
      </c>
      <c r="AV464">
        <v>0</v>
      </c>
      <c r="AW464">
        <v>2</v>
      </c>
      <c r="AX464">
        <v>85740041</v>
      </c>
      <c r="AY464">
        <v>1</v>
      </c>
      <c r="AZ464">
        <v>0</v>
      </c>
      <c r="BA464">
        <v>480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v>0</v>
      </c>
      <c r="CX464">
        <f>ROUND(Y464*Source!I198,9)</f>
        <v>0.24</v>
      </c>
      <c r="CY464">
        <f>AA464</f>
        <v>333.16</v>
      </c>
      <c r="CZ464">
        <f>AE464</f>
        <v>19.28</v>
      </c>
      <c r="DA464">
        <f>AI464</f>
        <v>17.28</v>
      </c>
      <c r="DB464">
        <f>ROUND(((ROUND(AT464*CZ464,2)*1)*1),6)</f>
        <v>0.39</v>
      </c>
      <c r="DC464">
        <f>ROUND(((ROUND(AT464*AG464,2)*1)*1),6)</f>
        <v>0</v>
      </c>
      <c r="DD464" t="s">
        <v>3</v>
      </c>
      <c r="DE464" t="s">
        <v>3</v>
      </c>
      <c r="DF464">
        <f>ROUND(ROUND(AE464*AI464,2)*CX464,2)</f>
        <v>79.959999999999994</v>
      </c>
      <c r="DG464">
        <f t="shared" si="197"/>
        <v>0</v>
      </c>
      <c r="DH464">
        <f t="shared" si="198"/>
        <v>0</v>
      </c>
      <c r="DI464">
        <f t="shared" si="195"/>
        <v>0</v>
      </c>
      <c r="DJ464">
        <f>DF464</f>
        <v>79.959999999999994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">
      <c r="A465">
        <f>ROW(Source!A201)</f>
        <v>201</v>
      </c>
      <c r="B465">
        <v>85739205</v>
      </c>
      <c r="C465">
        <v>85740009</v>
      </c>
      <c r="D465">
        <v>85164021</v>
      </c>
      <c r="E465">
        <v>1081</v>
      </c>
      <c r="F465">
        <v>1</v>
      </c>
      <c r="G465">
        <v>1081</v>
      </c>
      <c r="H465">
        <v>1</v>
      </c>
      <c r="I465" t="s">
        <v>472</v>
      </c>
      <c r="J465" t="s">
        <v>3</v>
      </c>
      <c r="K465" t="s">
        <v>473</v>
      </c>
      <c r="L465">
        <v>1191</v>
      </c>
      <c r="N465">
        <v>1013</v>
      </c>
      <c r="O465" t="s">
        <v>474</v>
      </c>
      <c r="P465" t="s">
        <v>474</v>
      </c>
      <c r="Q465">
        <v>1</v>
      </c>
      <c r="W465">
        <v>0</v>
      </c>
      <c r="X465">
        <v>476480486</v>
      </c>
      <c r="Y465">
        <f>(AT465*1.2)</f>
        <v>72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</v>
      </c>
      <c r="AJ465">
        <v>1</v>
      </c>
      <c r="AK465">
        <v>1</v>
      </c>
      <c r="AL465">
        <v>1</v>
      </c>
      <c r="AM465">
        <v>-2</v>
      </c>
      <c r="AN465">
        <v>0</v>
      </c>
      <c r="AO465">
        <v>1</v>
      </c>
      <c r="AP465">
        <v>1</v>
      </c>
      <c r="AQ465">
        <v>0</v>
      </c>
      <c r="AR465">
        <v>0</v>
      </c>
      <c r="AS465" t="s">
        <v>3</v>
      </c>
      <c r="AT465">
        <v>60</v>
      </c>
      <c r="AU465" t="s">
        <v>36</v>
      </c>
      <c r="AV465">
        <v>1</v>
      </c>
      <c r="AW465">
        <v>2</v>
      </c>
      <c r="AX465">
        <v>85740010</v>
      </c>
      <c r="AY465">
        <v>1</v>
      </c>
      <c r="AZ465">
        <v>0</v>
      </c>
      <c r="BA465">
        <v>483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U465">
        <f>ROUND(AT465*Source!I201*AH465*AL465,2)</f>
        <v>0</v>
      </c>
      <c r="CV465">
        <f>ROUND(Y465*Source!I201,9)</f>
        <v>560.16</v>
      </c>
      <c r="CW465">
        <v>0</v>
      </c>
      <c r="CX465">
        <f>ROUND(Y465*Source!I201,9)</f>
        <v>560.16</v>
      </c>
      <c r="CY465">
        <f>AD465</f>
        <v>0</v>
      </c>
      <c r="CZ465">
        <f>AH465</f>
        <v>0</v>
      </c>
      <c r="DA465">
        <f>AL465</f>
        <v>1</v>
      </c>
      <c r="DB465">
        <f>ROUND((ROUND(AT465*CZ465,2)*1.2),6)</f>
        <v>0</v>
      </c>
      <c r="DC465">
        <f>ROUND((ROUND(AT465*AG465,2)*1.2),6)</f>
        <v>0</v>
      </c>
      <c r="DD465" t="s">
        <v>3</v>
      </c>
      <c r="DE465" t="s">
        <v>3</v>
      </c>
      <c r="DF465">
        <f t="shared" ref="DF465:DF475" si="199">ROUND(ROUND(AE465,2)*CX465,2)</f>
        <v>0</v>
      </c>
      <c r="DG465">
        <f t="shared" si="197"/>
        <v>0</v>
      </c>
      <c r="DH465">
        <f t="shared" si="198"/>
        <v>0</v>
      </c>
      <c r="DI465">
        <f t="shared" si="195"/>
        <v>0</v>
      </c>
      <c r="DJ465">
        <f>DI465</f>
        <v>0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">
      <c r="A466">
        <f>ROW(Source!A201)</f>
        <v>201</v>
      </c>
      <c r="B466">
        <v>85739205</v>
      </c>
      <c r="C466">
        <v>85740009</v>
      </c>
      <c r="D466">
        <v>85229633</v>
      </c>
      <c r="E466">
        <v>1</v>
      </c>
      <c r="F466">
        <v>1</v>
      </c>
      <c r="G466">
        <v>1081</v>
      </c>
      <c r="H466">
        <v>2</v>
      </c>
      <c r="I466" t="s">
        <v>475</v>
      </c>
      <c r="J466" t="s">
        <v>476</v>
      </c>
      <c r="K466" t="s">
        <v>477</v>
      </c>
      <c r="L466">
        <v>1368</v>
      </c>
      <c r="N466">
        <v>1011</v>
      </c>
      <c r="O466" t="s">
        <v>478</v>
      </c>
      <c r="P466" t="s">
        <v>478</v>
      </c>
      <c r="Q466">
        <v>1</v>
      </c>
      <c r="W466">
        <v>0</v>
      </c>
      <c r="X466">
        <v>1498588441</v>
      </c>
      <c r="Y466">
        <f>(AT466*1.2)</f>
        <v>56.64</v>
      </c>
      <c r="AA466">
        <v>0</v>
      </c>
      <c r="AB466">
        <v>7.59</v>
      </c>
      <c r="AC466">
        <v>0</v>
      </c>
      <c r="AD466">
        <v>0</v>
      </c>
      <c r="AE466">
        <v>0</v>
      </c>
      <c r="AF466">
        <v>7.11</v>
      </c>
      <c r="AG466">
        <v>0</v>
      </c>
      <c r="AH466">
        <v>0</v>
      </c>
      <c r="AI466">
        <v>1</v>
      </c>
      <c r="AJ466">
        <v>1</v>
      </c>
      <c r="AK466">
        <v>1</v>
      </c>
      <c r="AL466">
        <v>1</v>
      </c>
      <c r="AM466">
        <v>-2</v>
      </c>
      <c r="AN466">
        <v>0</v>
      </c>
      <c r="AO466">
        <v>1</v>
      </c>
      <c r="AP466">
        <v>1</v>
      </c>
      <c r="AQ466">
        <v>0</v>
      </c>
      <c r="AR466">
        <v>0</v>
      </c>
      <c r="AS466" t="s">
        <v>3</v>
      </c>
      <c r="AT466">
        <v>47.2</v>
      </c>
      <c r="AU466" t="s">
        <v>36</v>
      </c>
      <c r="AV466">
        <v>0</v>
      </c>
      <c r="AW466">
        <v>2</v>
      </c>
      <c r="AX466">
        <v>85740011</v>
      </c>
      <c r="AY466">
        <v>1</v>
      </c>
      <c r="AZ466">
        <v>0</v>
      </c>
      <c r="BA466">
        <v>484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f>ROUND(Y466*Source!I201*DO466,9)</f>
        <v>0</v>
      </c>
      <c r="CX466">
        <f>ROUND(Y466*Source!I201,9)</f>
        <v>440.6592</v>
      </c>
      <c r="CY466">
        <f>AB466</f>
        <v>7.59</v>
      </c>
      <c r="CZ466">
        <f>AF466</f>
        <v>7.11</v>
      </c>
      <c r="DA466">
        <f>AJ466</f>
        <v>1</v>
      </c>
      <c r="DB466">
        <f>ROUND((ROUND(AT466*CZ466,2)*1.2),6)</f>
        <v>402.70800000000003</v>
      </c>
      <c r="DC466">
        <f>ROUND((ROUND(AT466*AG466,2)*1.2),6)</f>
        <v>0</v>
      </c>
      <c r="DD466" t="s">
        <v>3</v>
      </c>
      <c r="DE466" t="s">
        <v>3</v>
      </c>
      <c r="DF466">
        <f t="shared" si="199"/>
        <v>0</v>
      </c>
      <c r="DG466">
        <f t="shared" si="197"/>
        <v>3133.09</v>
      </c>
      <c r="DH466">
        <f t="shared" si="198"/>
        <v>0</v>
      </c>
      <c r="DI466">
        <f t="shared" si="195"/>
        <v>0</v>
      </c>
      <c r="DJ466">
        <f>DG466</f>
        <v>3133.09</v>
      </c>
      <c r="DK466">
        <v>0</v>
      </c>
      <c r="DL466" t="s">
        <v>3</v>
      </c>
      <c r="DM466">
        <v>0</v>
      </c>
      <c r="DN466" t="s">
        <v>3</v>
      </c>
      <c r="DO466">
        <v>0</v>
      </c>
    </row>
    <row r="467" spans="1:119" x14ac:dyDescent="0.2">
      <c r="A467">
        <f>ROW(Source!A201)</f>
        <v>201</v>
      </c>
      <c r="B467">
        <v>85739205</v>
      </c>
      <c r="C467">
        <v>85740009</v>
      </c>
      <c r="D467">
        <v>85229932</v>
      </c>
      <c r="E467">
        <v>1</v>
      </c>
      <c r="F467">
        <v>1</v>
      </c>
      <c r="G467">
        <v>1081</v>
      </c>
      <c r="H467">
        <v>2</v>
      </c>
      <c r="I467" t="s">
        <v>482</v>
      </c>
      <c r="J467" t="s">
        <v>483</v>
      </c>
      <c r="K467" t="s">
        <v>484</v>
      </c>
      <c r="L467">
        <v>1368</v>
      </c>
      <c r="N467">
        <v>1011</v>
      </c>
      <c r="O467" t="s">
        <v>478</v>
      </c>
      <c r="P467" t="s">
        <v>478</v>
      </c>
      <c r="Q467">
        <v>1</v>
      </c>
      <c r="W467">
        <v>0</v>
      </c>
      <c r="X467">
        <v>874612079</v>
      </c>
      <c r="Y467">
        <f>(AT467*1.2)</f>
        <v>1.2E-2</v>
      </c>
      <c r="AA467">
        <v>0</v>
      </c>
      <c r="AB467">
        <v>88.67</v>
      </c>
      <c r="AC467">
        <v>13.47</v>
      </c>
      <c r="AD467">
        <v>0</v>
      </c>
      <c r="AE467">
        <v>0</v>
      </c>
      <c r="AF467">
        <v>83.1</v>
      </c>
      <c r="AG467">
        <v>12.62</v>
      </c>
      <c r="AH467">
        <v>0</v>
      </c>
      <c r="AI467">
        <v>1</v>
      </c>
      <c r="AJ467">
        <v>1</v>
      </c>
      <c r="AK467">
        <v>1</v>
      </c>
      <c r="AL467">
        <v>1</v>
      </c>
      <c r="AM467">
        <v>-2</v>
      </c>
      <c r="AN467">
        <v>0</v>
      </c>
      <c r="AO467">
        <v>1</v>
      </c>
      <c r="AP467">
        <v>1</v>
      </c>
      <c r="AQ467">
        <v>0</v>
      </c>
      <c r="AR467">
        <v>0</v>
      </c>
      <c r="AS467" t="s">
        <v>3</v>
      </c>
      <c r="AT467">
        <v>0.01</v>
      </c>
      <c r="AU467" t="s">
        <v>36</v>
      </c>
      <c r="AV467">
        <v>0</v>
      </c>
      <c r="AW467">
        <v>2</v>
      </c>
      <c r="AX467">
        <v>85740012</v>
      </c>
      <c r="AY467">
        <v>1</v>
      </c>
      <c r="AZ467">
        <v>0</v>
      </c>
      <c r="BA467">
        <v>485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V467">
        <v>0</v>
      </c>
      <c r="CW467">
        <f>ROUND(Y467*Source!I201*DO467,9)</f>
        <v>1.1782032</v>
      </c>
      <c r="CX467">
        <f>ROUND(Y467*Source!I201,9)</f>
        <v>9.3359999999999999E-2</v>
      </c>
      <c r="CY467">
        <f>AB467</f>
        <v>88.67</v>
      </c>
      <c r="CZ467">
        <f>AF467</f>
        <v>83.1</v>
      </c>
      <c r="DA467">
        <f>AJ467</f>
        <v>1</v>
      </c>
      <c r="DB467">
        <f>ROUND((ROUND(AT467*CZ467,2)*1.2),6)</f>
        <v>0.996</v>
      </c>
      <c r="DC467">
        <f>ROUND((ROUND(AT467*AG467,2)*1.2),6)</f>
        <v>0.156</v>
      </c>
      <c r="DD467" t="s">
        <v>3</v>
      </c>
      <c r="DE467" t="s">
        <v>3</v>
      </c>
      <c r="DF467">
        <f t="shared" si="199"/>
        <v>0</v>
      </c>
      <c r="DG467">
        <f t="shared" si="197"/>
        <v>7.76</v>
      </c>
      <c r="DH467">
        <f t="shared" si="198"/>
        <v>1.18</v>
      </c>
      <c r="DI467">
        <f t="shared" si="195"/>
        <v>0</v>
      </c>
      <c r="DJ467">
        <f>DG467</f>
        <v>7.76</v>
      </c>
      <c r="DK467">
        <v>0</v>
      </c>
      <c r="DL467" t="s">
        <v>485</v>
      </c>
      <c r="DM467">
        <v>0</v>
      </c>
      <c r="DN467" t="s">
        <v>474</v>
      </c>
      <c r="DO467">
        <v>12.62</v>
      </c>
    </row>
    <row r="468" spans="1:119" x14ac:dyDescent="0.2">
      <c r="A468">
        <f>ROW(Source!A201)</f>
        <v>201</v>
      </c>
      <c r="B468">
        <v>85739205</v>
      </c>
      <c r="C468">
        <v>85740009</v>
      </c>
      <c r="D468">
        <v>85199562</v>
      </c>
      <c r="E468">
        <v>1</v>
      </c>
      <c r="F468">
        <v>1</v>
      </c>
      <c r="G468">
        <v>1081</v>
      </c>
      <c r="H468">
        <v>3</v>
      </c>
      <c r="I468" t="s">
        <v>537</v>
      </c>
      <c r="J468" t="s">
        <v>538</v>
      </c>
      <c r="K468" t="s">
        <v>539</v>
      </c>
      <c r="L468">
        <v>1348</v>
      </c>
      <c r="N468">
        <v>1009</v>
      </c>
      <c r="O468" t="s">
        <v>266</v>
      </c>
      <c r="P468" t="s">
        <v>266</v>
      </c>
      <c r="Q468">
        <v>1000</v>
      </c>
      <c r="W468">
        <v>0</v>
      </c>
      <c r="X468">
        <v>-287838193</v>
      </c>
      <c r="Y468">
        <f>(AT468*1)</f>
        <v>3.0000000000000001E-3</v>
      </c>
      <c r="AA468">
        <v>23761.63</v>
      </c>
      <c r="AB468">
        <v>0</v>
      </c>
      <c r="AC468">
        <v>0</v>
      </c>
      <c r="AD468">
        <v>0</v>
      </c>
      <c r="AE468">
        <v>23114.43</v>
      </c>
      <c r="AF468">
        <v>0</v>
      </c>
      <c r="AG468">
        <v>0</v>
      </c>
      <c r="AH468">
        <v>0</v>
      </c>
      <c r="AI468">
        <v>1</v>
      </c>
      <c r="AJ468">
        <v>1</v>
      </c>
      <c r="AK468">
        <v>1</v>
      </c>
      <c r="AL468">
        <v>1</v>
      </c>
      <c r="AM468">
        <v>-2</v>
      </c>
      <c r="AN468">
        <v>0</v>
      </c>
      <c r="AO468">
        <v>1</v>
      </c>
      <c r="AP468">
        <v>1</v>
      </c>
      <c r="AQ468">
        <v>0</v>
      </c>
      <c r="AR468">
        <v>0</v>
      </c>
      <c r="AS468" t="s">
        <v>3</v>
      </c>
      <c r="AT468">
        <v>3.0000000000000001E-3</v>
      </c>
      <c r="AU468" t="s">
        <v>35</v>
      </c>
      <c r="AV468">
        <v>0</v>
      </c>
      <c r="AW468">
        <v>2</v>
      </c>
      <c r="AX468">
        <v>85740013</v>
      </c>
      <c r="AY468">
        <v>1</v>
      </c>
      <c r="AZ468">
        <v>0</v>
      </c>
      <c r="BA468">
        <v>486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v>0</v>
      </c>
      <c r="CX468">
        <f>ROUND(Y468*Source!I201,9)</f>
        <v>2.334E-2</v>
      </c>
      <c r="CY468">
        <f>AA468</f>
        <v>23761.63</v>
      </c>
      <c r="CZ468">
        <f>AE468</f>
        <v>23114.43</v>
      </c>
      <c r="DA468">
        <f>AI468</f>
        <v>1</v>
      </c>
      <c r="DB468">
        <f>ROUND((ROUND(AT468*CZ468,2)*1),6)</f>
        <v>69.34</v>
      </c>
      <c r="DC468">
        <f>ROUND((ROUND(AT468*AG468,2)*1),6)</f>
        <v>0</v>
      </c>
      <c r="DD468" t="s">
        <v>3</v>
      </c>
      <c r="DE468" t="s">
        <v>3</v>
      </c>
      <c r="DF468">
        <f t="shared" si="199"/>
        <v>539.49</v>
      </c>
      <c r="DG468">
        <f t="shared" si="197"/>
        <v>0</v>
      </c>
      <c r="DH468">
        <f t="shared" si="198"/>
        <v>0</v>
      </c>
      <c r="DI468">
        <f t="shared" si="195"/>
        <v>0</v>
      </c>
      <c r="DJ468">
        <f>DF468</f>
        <v>539.49</v>
      </c>
      <c r="DK468">
        <v>0</v>
      </c>
      <c r="DL468" t="s">
        <v>3</v>
      </c>
      <c r="DM468">
        <v>0</v>
      </c>
      <c r="DN468" t="s">
        <v>3</v>
      </c>
      <c r="DO468">
        <v>0</v>
      </c>
    </row>
    <row r="469" spans="1:119" x14ac:dyDescent="0.2">
      <c r="A469">
        <f>ROW(Source!A201)</f>
        <v>201</v>
      </c>
      <c r="B469">
        <v>85739205</v>
      </c>
      <c r="C469">
        <v>85740009</v>
      </c>
      <c r="D469">
        <v>85200023</v>
      </c>
      <c r="E469">
        <v>1</v>
      </c>
      <c r="F469">
        <v>1</v>
      </c>
      <c r="G469">
        <v>1081</v>
      </c>
      <c r="H469">
        <v>3</v>
      </c>
      <c r="I469" t="s">
        <v>555</v>
      </c>
      <c r="J469" t="s">
        <v>556</v>
      </c>
      <c r="K469" t="s">
        <v>557</v>
      </c>
      <c r="L469">
        <v>1348</v>
      </c>
      <c r="N469">
        <v>1009</v>
      </c>
      <c r="O469" t="s">
        <v>266</v>
      </c>
      <c r="P469" t="s">
        <v>266</v>
      </c>
      <c r="Q469">
        <v>1000</v>
      </c>
      <c r="W469">
        <v>0</v>
      </c>
      <c r="X469">
        <v>63955816</v>
      </c>
      <c r="Y469">
        <f>(AT469*1)</f>
        <v>0.01</v>
      </c>
      <c r="AA469">
        <v>7387.02</v>
      </c>
      <c r="AB469">
        <v>0</v>
      </c>
      <c r="AC469">
        <v>0</v>
      </c>
      <c r="AD469">
        <v>0</v>
      </c>
      <c r="AE469">
        <v>7185.82</v>
      </c>
      <c r="AF469">
        <v>0</v>
      </c>
      <c r="AG469">
        <v>0</v>
      </c>
      <c r="AH469">
        <v>0</v>
      </c>
      <c r="AI469">
        <v>1</v>
      </c>
      <c r="AJ469">
        <v>1</v>
      </c>
      <c r="AK469">
        <v>1</v>
      </c>
      <c r="AL469">
        <v>1</v>
      </c>
      <c r="AM469">
        <v>-2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0.01</v>
      </c>
      <c r="AU469" t="s">
        <v>35</v>
      </c>
      <c r="AV469">
        <v>0</v>
      </c>
      <c r="AW469">
        <v>2</v>
      </c>
      <c r="AX469">
        <v>85740014</v>
      </c>
      <c r="AY469">
        <v>1</v>
      </c>
      <c r="AZ469">
        <v>0</v>
      </c>
      <c r="BA469">
        <v>487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V469">
        <v>0</v>
      </c>
      <c r="CW469">
        <v>0</v>
      </c>
      <c r="CX469">
        <f>ROUND(Y469*Source!I201,9)</f>
        <v>7.7799999999999994E-2</v>
      </c>
      <c r="CY469">
        <f>AA469</f>
        <v>7387.02</v>
      </c>
      <c r="CZ469">
        <f>AE469</f>
        <v>7185.82</v>
      </c>
      <c r="DA469">
        <f>AI469</f>
        <v>1</v>
      </c>
      <c r="DB469">
        <f>ROUND((ROUND(AT469*CZ469,2)*1),6)</f>
        <v>71.86</v>
      </c>
      <c r="DC469">
        <f>ROUND((ROUND(AT469*AG469,2)*1),6)</f>
        <v>0</v>
      </c>
      <c r="DD469" t="s">
        <v>3</v>
      </c>
      <c r="DE469" t="s">
        <v>3</v>
      </c>
      <c r="DF469">
        <f t="shared" si="199"/>
        <v>559.05999999999995</v>
      </c>
      <c r="DG469">
        <f t="shared" si="197"/>
        <v>0</v>
      </c>
      <c r="DH469">
        <f t="shared" si="198"/>
        <v>0</v>
      </c>
      <c r="DI469">
        <f t="shared" si="195"/>
        <v>0</v>
      </c>
      <c r="DJ469">
        <f>DF469</f>
        <v>559.05999999999995</v>
      </c>
      <c r="DK469">
        <v>0</v>
      </c>
      <c r="DL469" t="s">
        <v>3</v>
      </c>
      <c r="DM469">
        <v>0</v>
      </c>
      <c r="DN469" t="s">
        <v>3</v>
      </c>
      <c r="DO469">
        <v>0</v>
      </c>
    </row>
    <row r="470" spans="1:119" x14ac:dyDescent="0.2">
      <c r="A470">
        <f>ROW(Source!A201)</f>
        <v>201</v>
      </c>
      <c r="B470">
        <v>85739205</v>
      </c>
      <c r="C470">
        <v>85740009</v>
      </c>
      <c r="D470">
        <v>85215454</v>
      </c>
      <c r="E470">
        <v>1</v>
      </c>
      <c r="F470">
        <v>1</v>
      </c>
      <c r="G470">
        <v>1081</v>
      </c>
      <c r="H470">
        <v>3</v>
      </c>
      <c r="I470" t="s">
        <v>397</v>
      </c>
      <c r="J470" t="s">
        <v>399</v>
      </c>
      <c r="K470" t="s">
        <v>398</v>
      </c>
      <c r="L470">
        <v>1354</v>
      </c>
      <c r="N470">
        <v>1010</v>
      </c>
      <c r="O470" t="s">
        <v>99</v>
      </c>
      <c r="P470" t="s">
        <v>99</v>
      </c>
      <c r="Q470">
        <v>1</v>
      </c>
      <c r="W470">
        <v>0</v>
      </c>
      <c r="X470">
        <v>-1614271934</v>
      </c>
      <c r="Y470">
        <f>(AT470*1)</f>
        <v>100</v>
      </c>
      <c r="AA470">
        <v>31.64</v>
      </c>
      <c r="AB470">
        <v>0</v>
      </c>
      <c r="AC470">
        <v>0</v>
      </c>
      <c r="AD470">
        <v>0</v>
      </c>
      <c r="AE470">
        <v>31.64</v>
      </c>
      <c r="AF470">
        <v>0</v>
      </c>
      <c r="AG470">
        <v>0</v>
      </c>
      <c r="AH470">
        <v>0</v>
      </c>
      <c r="AI470">
        <v>1</v>
      </c>
      <c r="AJ470">
        <v>1</v>
      </c>
      <c r="AK470">
        <v>1</v>
      </c>
      <c r="AL470">
        <v>1</v>
      </c>
      <c r="AM470">
        <v>0</v>
      </c>
      <c r="AN470">
        <v>0</v>
      </c>
      <c r="AO470">
        <v>0</v>
      </c>
      <c r="AP470">
        <v>1</v>
      </c>
      <c r="AQ470">
        <v>0</v>
      </c>
      <c r="AR470">
        <v>0</v>
      </c>
      <c r="AS470" t="s">
        <v>3</v>
      </c>
      <c r="AT470">
        <v>100</v>
      </c>
      <c r="AU470" t="s">
        <v>35</v>
      </c>
      <c r="AV470">
        <v>0</v>
      </c>
      <c r="AW470">
        <v>1</v>
      </c>
      <c r="AX470">
        <v>-1</v>
      </c>
      <c r="AY470">
        <v>0</v>
      </c>
      <c r="AZ470">
        <v>0</v>
      </c>
      <c r="BA470" t="s">
        <v>3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v>0</v>
      </c>
      <c r="CX470">
        <f>ROUND(Y470*Source!I201,9)</f>
        <v>778</v>
      </c>
      <c r="CY470">
        <f>AA470</f>
        <v>31.64</v>
      </c>
      <c r="CZ470">
        <f>AE470</f>
        <v>31.64</v>
      </c>
      <c r="DA470">
        <f>AI470</f>
        <v>1</v>
      </c>
      <c r="DB470">
        <f>ROUND((ROUND(AT470*CZ470,2)*1),6)</f>
        <v>3164</v>
      </c>
      <c r="DC470">
        <f>ROUND((ROUND(AT470*AG470,2)*1),6)</f>
        <v>0</v>
      </c>
      <c r="DD470" t="s">
        <v>3</v>
      </c>
      <c r="DE470" t="s">
        <v>3</v>
      </c>
      <c r="DF470">
        <f t="shared" si="199"/>
        <v>24615.919999999998</v>
      </c>
      <c r="DG470">
        <f t="shared" si="197"/>
        <v>0</v>
      </c>
      <c r="DH470">
        <f t="shared" si="198"/>
        <v>0</v>
      </c>
      <c r="DI470">
        <f t="shared" si="195"/>
        <v>0</v>
      </c>
      <c r="DJ470">
        <f>DF470</f>
        <v>24615.919999999998</v>
      </c>
      <c r="DK470">
        <v>0</v>
      </c>
      <c r="DL470" t="s">
        <v>3</v>
      </c>
      <c r="DM470">
        <v>0</v>
      </c>
      <c r="DN470" t="s">
        <v>3</v>
      </c>
      <c r="DO470">
        <v>0</v>
      </c>
    </row>
    <row r="471" spans="1:119" x14ac:dyDescent="0.2">
      <c r="A471">
        <f>ROW(Source!A201)</f>
        <v>201</v>
      </c>
      <c r="B471">
        <v>85739205</v>
      </c>
      <c r="C471">
        <v>85740009</v>
      </c>
      <c r="D471">
        <v>85215459</v>
      </c>
      <c r="E471">
        <v>1</v>
      </c>
      <c r="F471">
        <v>1</v>
      </c>
      <c r="G471">
        <v>1081</v>
      </c>
      <c r="H471">
        <v>3</v>
      </c>
      <c r="I471" t="s">
        <v>603</v>
      </c>
      <c r="J471" t="s">
        <v>604</v>
      </c>
      <c r="K471" t="s">
        <v>605</v>
      </c>
      <c r="L471">
        <v>1354</v>
      </c>
      <c r="N471">
        <v>1010</v>
      </c>
      <c r="O471" t="s">
        <v>99</v>
      </c>
      <c r="P471" t="s">
        <v>99</v>
      </c>
      <c r="Q471">
        <v>1</v>
      </c>
      <c r="W471">
        <v>0</v>
      </c>
      <c r="X471">
        <v>-1710543629</v>
      </c>
      <c r="Y471">
        <f>(AT471*1)</f>
        <v>100</v>
      </c>
      <c r="AA471">
        <v>11.44</v>
      </c>
      <c r="AB471">
        <v>0</v>
      </c>
      <c r="AC471">
        <v>0</v>
      </c>
      <c r="AD471">
        <v>0</v>
      </c>
      <c r="AE471">
        <v>11.13</v>
      </c>
      <c r="AF471">
        <v>0</v>
      </c>
      <c r="AG471">
        <v>0</v>
      </c>
      <c r="AH471">
        <v>0</v>
      </c>
      <c r="AI471">
        <v>1</v>
      </c>
      <c r="AJ471">
        <v>1</v>
      </c>
      <c r="AK471">
        <v>1</v>
      </c>
      <c r="AL471">
        <v>1</v>
      </c>
      <c r="AM471">
        <v>-2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100</v>
      </c>
      <c r="AU471" t="s">
        <v>35</v>
      </c>
      <c r="AV471">
        <v>0</v>
      </c>
      <c r="AW471">
        <v>2</v>
      </c>
      <c r="AX471">
        <v>85740015</v>
      </c>
      <c r="AY471">
        <v>1</v>
      </c>
      <c r="AZ471">
        <v>0</v>
      </c>
      <c r="BA471">
        <v>488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v>0</v>
      </c>
      <c r="CX471">
        <f>ROUND(Y471*Source!I201,9)</f>
        <v>778</v>
      </c>
      <c r="CY471">
        <f>AA471</f>
        <v>11.44</v>
      </c>
      <c r="CZ471">
        <f>AE471</f>
        <v>11.13</v>
      </c>
      <c r="DA471">
        <f>AI471</f>
        <v>1</v>
      </c>
      <c r="DB471">
        <f>ROUND((ROUND(AT471*CZ471,2)*1),6)</f>
        <v>1113</v>
      </c>
      <c r="DC471">
        <f>ROUND((ROUND(AT471*AG471,2)*1),6)</f>
        <v>0</v>
      </c>
      <c r="DD471" t="s">
        <v>3</v>
      </c>
      <c r="DE471" t="s">
        <v>3</v>
      </c>
      <c r="DF471">
        <f t="shared" si="199"/>
        <v>8659.14</v>
      </c>
      <c r="DG471">
        <f t="shared" si="197"/>
        <v>0</v>
      </c>
      <c r="DH471">
        <f t="shared" si="198"/>
        <v>0</v>
      </c>
      <c r="DI471">
        <f t="shared" si="195"/>
        <v>0</v>
      </c>
      <c r="DJ471">
        <f>DF471</f>
        <v>8659.14</v>
      </c>
      <c r="DK471">
        <v>0</v>
      </c>
      <c r="DL471" t="s">
        <v>3</v>
      </c>
      <c r="DM471">
        <v>0</v>
      </c>
      <c r="DN471" t="s">
        <v>3</v>
      </c>
      <c r="DO471">
        <v>0</v>
      </c>
    </row>
    <row r="472" spans="1:119" x14ac:dyDescent="0.2">
      <c r="A472">
        <f>ROW(Source!A201)</f>
        <v>201</v>
      </c>
      <c r="B472">
        <v>85739205</v>
      </c>
      <c r="C472">
        <v>85740009</v>
      </c>
      <c r="D472">
        <v>85219766</v>
      </c>
      <c r="E472">
        <v>1</v>
      </c>
      <c r="F472">
        <v>1</v>
      </c>
      <c r="G472">
        <v>1081</v>
      </c>
      <c r="H472">
        <v>3</v>
      </c>
      <c r="I472" t="s">
        <v>606</v>
      </c>
      <c r="J472" t="s">
        <v>607</v>
      </c>
      <c r="K472" t="s">
        <v>608</v>
      </c>
      <c r="L472">
        <v>1354</v>
      </c>
      <c r="N472">
        <v>1010</v>
      </c>
      <c r="O472" t="s">
        <v>99</v>
      </c>
      <c r="P472" t="s">
        <v>99</v>
      </c>
      <c r="Q472">
        <v>1</v>
      </c>
      <c r="W472">
        <v>0</v>
      </c>
      <c r="X472">
        <v>-640005846</v>
      </c>
      <c r="Y472">
        <f>(AT472*1)</f>
        <v>100</v>
      </c>
      <c r="AA472">
        <v>22.7</v>
      </c>
      <c r="AB472">
        <v>0</v>
      </c>
      <c r="AC472">
        <v>0</v>
      </c>
      <c r="AD472">
        <v>0</v>
      </c>
      <c r="AE472">
        <v>22.08</v>
      </c>
      <c r="AF472">
        <v>0</v>
      </c>
      <c r="AG472">
        <v>0</v>
      </c>
      <c r="AH472">
        <v>0</v>
      </c>
      <c r="AI472">
        <v>1</v>
      </c>
      <c r="AJ472">
        <v>1</v>
      </c>
      <c r="AK472">
        <v>1</v>
      </c>
      <c r="AL472">
        <v>1</v>
      </c>
      <c r="AM472">
        <v>-2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100</v>
      </c>
      <c r="AU472" t="s">
        <v>35</v>
      </c>
      <c r="AV472">
        <v>0</v>
      </c>
      <c r="AW472">
        <v>2</v>
      </c>
      <c r="AX472">
        <v>85740016</v>
      </c>
      <c r="AY472">
        <v>1</v>
      </c>
      <c r="AZ472">
        <v>0</v>
      </c>
      <c r="BA472">
        <v>489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v>0</v>
      </c>
      <c r="CX472">
        <f>ROUND(Y472*Source!I201,9)</f>
        <v>778</v>
      </c>
      <c r="CY472">
        <f>AA472</f>
        <v>22.7</v>
      </c>
      <c r="CZ472">
        <f>AE472</f>
        <v>22.08</v>
      </c>
      <c r="DA472">
        <f>AI472</f>
        <v>1</v>
      </c>
      <c r="DB472">
        <f>ROUND((ROUND(AT472*CZ472,2)*1),6)</f>
        <v>2208</v>
      </c>
      <c r="DC472">
        <f>ROUND((ROUND(AT472*AG472,2)*1),6)</f>
        <v>0</v>
      </c>
      <c r="DD472" t="s">
        <v>3</v>
      </c>
      <c r="DE472" t="s">
        <v>3</v>
      </c>
      <c r="DF472">
        <f t="shared" si="199"/>
        <v>17178.240000000002</v>
      </c>
      <c r="DG472">
        <f t="shared" si="197"/>
        <v>0</v>
      </c>
      <c r="DH472">
        <f t="shared" si="198"/>
        <v>0</v>
      </c>
      <c r="DI472">
        <f t="shared" si="195"/>
        <v>0</v>
      </c>
      <c r="DJ472">
        <f>DF472</f>
        <v>17178.240000000002</v>
      </c>
      <c r="DK472">
        <v>0</v>
      </c>
      <c r="DL472" t="s">
        <v>3</v>
      </c>
      <c r="DM472">
        <v>0</v>
      </c>
      <c r="DN472" t="s">
        <v>3</v>
      </c>
      <c r="DO472">
        <v>0</v>
      </c>
    </row>
    <row r="473" spans="1:119" x14ac:dyDescent="0.2">
      <c r="A473">
        <f>ROW(Source!A202)</f>
        <v>202</v>
      </c>
      <c r="B473">
        <v>85739207</v>
      </c>
      <c r="C473">
        <v>85740009</v>
      </c>
      <c r="D473">
        <v>85164021</v>
      </c>
      <c r="E473">
        <v>1081</v>
      </c>
      <c r="F473">
        <v>1</v>
      </c>
      <c r="G473">
        <v>1081</v>
      </c>
      <c r="H473">
        <v>1</v>
      </c>
      <c r="I473" t="s">
        <v>472</v>
      </c>
      <c r="J473" t="s">
        <v>3</v>
      </c>
      <c r="K473" t="s">
        <v>473</v>
      </c>
      <c r="L473">
        <v>1191</v>
      </c>
      <c r="N473">
        <v>1013</v>
      </c>
      <c r="O473" t="s">
        <v>474</v>
      </c>
      <c r="P473" t="s">
        <v>474</v>
      </c>
      <c r="Q473">
        <v>1</v>
      </c>
      <c r="W473">
        <v>0</v>
      </c>
      <c r="X473">
        <v>476480486</v>
      </c>
      <c r="Y473">
        <f>(AT473*1.2)</f>
        <v>72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</v>
      </c>
      <c r="AJ473">
        <v>1</v>
      </c>
      <c r="AK473">
        <v>1</v>
      </c>
      <c r="AL473">
        <v>1</v>
      </c>
      <c r="AM473">
        <v>5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60</v>
      </c>
      <c r="AU473" t="s">
        <v>36</v>
      </c>
      <c r="AV473">
        <v>1</v>
      </c>
      <c r="AW473">
        <v>2</v>
      </c>
      <c r="AX473">
        <v>85740010</v>
      </c>
      <c r="AY473">
        <v>1</v>
      </c>
      <c r="AZ473">
        <v>0</v>
      </c>
      <c r="BA473">
        <v>491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U473">
        <f>ROUND(AT473*Source!I202*AH473*AL473,2)</f>
        <v>0</v>
      </c>
      <c r="CV473">
        <f>ROUND(Y473*Source!I202,9)</f>
        <v>560.16</v>
      </c>
      <c r="CW473">
        <v>0</v>
      </c>
      <c r="CX473">
        <f>ROUND(Y473*Source!I202,9)</f>
        <v>560.16</v>
      </c>
      <c r="CY473">
        <f>AD473</f>
        <v>0</v>
      </c>
      <c r="CZ473">
        <f>AH473</f>
        <v>0</v>
      </c>
      <c r="DA473">
        <f>AL473</f>
        <v>1</v>
      </c>
      <c r="DB473">
        <f>ROUND((ROUND(AT473*CZ473,2)*1.2),6)</f>
        <v>0</v>
      </c>
      <c r="DC473">
        <f>ROUND((ROUND(AT473*AG473,2)*1.2),6)</f>
        <v>0</v>
      </c>
      <c r="DD473" t="s">
        <v>3</v>
      </c>
      <c r="DE473" t="s">
        <v>3</v>
      </c>
      <c r="DF473">
        <f t="shared" si="199"/>
        <v>0</v>
      </c>
      <c r="DG473">
        <f t="shared" si="197"/>
        <v>0</v>
      </c>
      <c r="DH473">
        <f t="shared" si="198"/>
        <v>0</v>
      </c>
      <c r="DI473">
        <f t="shared" si="195"/>
        <v>0</v>
      </c>
      <c r="DJ473">
        <f>DI473</f>
        <v>0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">
      <c r="A474">
        <f>ROW(Source!A202)</f>
        <v>202</v>
      </c>
      <c r="B474">
        <v>85739207</v>
      </c>
      <c r="C474">
        <v>85740009</v>
      </c>
      <c r="D474">
        <v>85229633</v>
      </c>
      <c r="E474">
        <v>1</v>
      </c>
      <c r="F474">
        <v>1</v>
      </c>
      <c r="G474">
        <v>1081</v>
      </c>
      <c r="H474">
        <v>2</v>
      </c>
      <c r="I474" t="s">
        <v>475</v>
      </c>
      <c r="J474" t="s">
        <v>476</v>
      </c>
      <c r="K474" t="s">
        <v>477</v>
      </c>
      <c r="L474">
        <v>1368</v>
      </c>
      <c r="N474">
        <v>1011</v>
      </c>
      <c r="O474" t="s">
        <v>478</v>
      </c>
      <c r="P474" t="s">
        <v>478</v>
      </c>
      <c r="Q474">
        <v>1</v>
      </c>
      <c r="W474">
        <v>0</v>
      </c>
      <c r="X474">
        <v>1498588441</v>
      </c>
      <c r="Y474">
        <f>(AT474*1.2)</f>
        <v>56.64</v>
      </c>
      <c r="AA474">
        <v>0</v>
      </c>
      <c r="AB474">
        <v>102.11</v>
      </c>
      <c r="AC474">
        <v>0</v>
      </c>
      <c r="AD474">
        <v>0</v>
      </c>
      <c r="AE474">
        <v>0</v>
      </c>
      <c r="AF474">
        <v>7.11</v>
      </c>
      <c r="AG474">
        <v>0</v>
      </c>
      <c r="AH474">
        <v>0</v>
      </c>
      <c r="AI474">
        <v>1</v>
      </c>
      <c r="AJ474">
        <v>13.46</v>
      </c>
      <c r="AK474">
        <v>1</v>
      </c>
      <c r="AL474">
        <v>1</v>
      </c>
      <c r="AM474">
        <v>2</v>
      </c>
      <c r="AN474">
        <v>0</v>
      </c>
      <c r="AO474">
        <v>1</v>
      </c>
      <c r="AP474">
        <v>1</v>
      </c>
      <c r="AQ474">
        <v>0</v>
      </c>
      <c r="AR474">
        <v>0</v>
      </c>
      <c r="AS474" t="s">
        <v>3</v>
      </c>
      <c r="AT474">
        <v>47.2</v>
      </c>
      <c r="AU474" t="s">
        <v>36</v>
      </c>
      <c r="AV474">
        <v>0</v>
      </c>
      <c r="AW474">
        <v>2</v>
      </c>
      <c r="AX474">
        <v>85740011</v>
      </c>
      <c r="AY474">
        <v>1</v>
      </c>
      <c r="AZ474">
        <v>0</v>
      </c>
      <c r="BA474">
        <v>492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f>ROUND(Y474*Source!I202*DO474,9)</f>
        <v>0</v>
      </c>
      <c r="CX474">
        <f>ROUND(Y474*Source!I202,9)</f>
        <v>440.6592</v>
      </c>
      <c r="CY474">
        <f>AB474</f>
        <v>102.11</v>
      </c>
      <c r="CZ474">
        <f>AF474</f>
        <v>7.11</v>
      </c>
      <c r="DA474">
        <f>AJ474</f>
        <v>13.46</v>
      </c>
      <c r="DB474">
        <f>ROUND((ROUND(AT474*CZ474,2)*1.2),6)</f>
        <v>402.70800000000003</v>
      </c>
      <c r="DC474">
        <f>ROUND((ROUND(AT474*AG474,2)*1.2),6)</f>
        <v>0</v>
      </c>
      <c r="DD474" t="s">
        <v>3</v>
      </c>
      <c r="DE474" t="s">
        <v>3</v>
      </c>
      <c r="DF474">
        <f t="shared" si="199"/>
        <v>0</v>
      </c>
      <c r="DG474">
        <f>ROUND(ROUND(AF474*AJ474,2)*CX474,2)</f>
        <v>42171.09</v>
      </c>
      <c r="DH474">
        <f t="shared" si="198"/>
        <v>0</v>
      </c>
      <c r="DI474">
        <f t="shared" si="195"/>
        <v>0</v>
      </c>
      <c r="DJ474">
        <f>DG474</f>
        <v>42171.09</v>
      </c>
      <c r="DK474">
        <v>0</v>
      </c>
      <c r="DL474" t="s">
        <v>3</v>
      </c>
      <c r="DM474">
        <v>0</v>
      </c>
      <c r="DN474" t="s">
        <v>3</v>
      </c>
      <c r="DO474">
        <v>0</v>
      </c>
    </row>
    <row r="475" spans="1:119" x14ac:dyDescent="0.2">
      <c r="A475">
        <f>ROW(Source!A202)</f>
        <v>202</v>
      </c>
      <c r="B475">
        <v>85739207</v>
      </c>
      <c r="C475">
        <v>85740009</v>
      </c>
      <c r="D475">
        <v>85229932</v>
      </c>
      <c r="E475">
        <v>1</v>
      </c>
      <c r="F475">
        <v>1</v>
      </c>
      <c r="G475">
        <v>1081</v>
      </c>
      <c r="H475">
        <v>2</v>
      </c>
      <c r="I475" t="s">
        <v>482</v>
      </c>
      <c r="J475" t="s">
        <v>483</v>
      </c>
      <c r="K475" t="s">
        <v>484</v>
      </c>
      <c r="L475">
        <v>1368</v>
      </c>
      <c r="N475">
        <v>1011</v>
      </c>
      <c r="O475" t="s">
        <v>478</v>
      </c>
      <c r="P475" t="s">
        <v>478</v>
      </c>
      <c r="Q475">
        <v>1</v>
      </c>
      <c r="W475">
        <v>0</v>
      </c>
      <c r="X475">
        <v>874612079</v>
      </c>
      <c r="Y475">
        <f>(AT475*1.2)</f>
        <v>1.2E-2</v>
      </c>
      <c r="AA475">
        <v>0</v>
      </c>
      <c r="AB475">
        <v>1513.56</v>
      </c>
      <c r="AC475">
        <v>758.78</v>
      </c>
      <c r="AD475">
        <v>0</v>
      </c>
      <c r="AE475">
        <v>0</v>
      </c>
      <c r="AF475">
        <v>83.1</v>
      </c>
      <c r="AG475">
        <v>12.62</v>
      </c>
      <c r="AH475">
        <v>0</v>
      </c>
      <c r="AI475">
        <v>1</v>
      </c>
      <c r="AJ475">
        <v>17.07</v>
      </c>
      <c r="AK475">
        <v>56.35</v>
      </c>
      <c r="AL475">
        <v>1</v>
      </c>
      <c r="AM475">
        <v>2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0.01</v>
      </c>
      <c r="AU475" t="s">
        <v>36</v>
      </c>
      <c r="AV475">
        <v>0</v>
      </c>
      <c r="AW475">
        <v>2</v>
      </c>
      <c r="AX475">
        <v>85740012</v>
      </c>
      <c r="AY475">
        <v>1</v>
      </c>
      <c r="AZ475">
        <v>0</v>
      </c>
      <c r="BA475">
        <v>493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V475">
        <v>0</v>
      </c>
      <c r="CW475">
        <f>ROUND(Y475*Source!I202*DO475,9)</f>
        <v>1.1782032</v>
      </c>
      <c r="CX475">
        <f>ROUND(Y475*Source!I202,9)</f>
        <v>9.3359999999999999E-2</v>
      </c>
      <c r="CY475">
        <f>AB475</f>
        <v>1513.56</v>
      </c>
      <c r="CZ475">
        <f>AF475</f>
        <v>83.1</v>
      </c>
      <c r="DA475">
        <f>AJ475</f>
        <v>17.07</v>
      </c>
      <c r="DB475">
        <f>ROUND((ROUND(AT475*CZ475,2)*1.2),6)</f>
        <v>0.996</v>
      </c>
      <c r="DC475">
        <f>ROUND((ROUND(AT475*AG475,2)*1.2),6)</f>
        <v>0.156</v>
      </c>
      <c r="DD475" t="s">
        <v>3</v>
      </c>
      <c r="DE475" t="s">
        <v>3</v>
      </c>
      <c r="DF475">
        <f t="shared" si="199"/>
        <v>0</v>
      </c>
      <c r="DG475">
        <f>ROUND(ROUND(AF475*AJ475,2)*CX475,2)</f>
        <v>132.43</v>
      </c>
      <c r="DH475">
        <f>ROUND(ROUND(AG475*AK475,2)*CX475,2)</f>
        <v>66.39</v>
      </c>
      <c r="DI475">
        <f t="shared" si="195"/>
        <v>0</v>
      </c>
      <c r="DJ475">
        <f>DG475</f>
        <v>132.43</v>
      </c>
      <c r="DK475">
        <v>0</v>
      </c>
      <c r="DL475" t="s">
        <v>485</v>
      </c>
      <c r="DM475">
        <v>0</v>
      </c>
      <c r="DN475" t="s">
        <v>474</v>
      </c>
      <c r="DO475">
        <v>12.62</v>
      </c>
    </row>
    <row r="476" spans="1:119" x14ac:dyDescent="0.2">
      <c r="A476">
        <f>ROW(Source!A202)</f>
        <v>202</v>
      </c>
      <c r="B476">
        <v>85739207</v>
      </c>
      <c r="C476">
        <v>85740009</v>
      </c>
      <c r="D476">
        <v>85199562</v>
      </c>
      <c r="E476">
        <v>1</v>
      </c>
      <c r="F476">
        <v>1</v>
      </c>
      <c r="G476">
        <v>1081</v>
      </c>
      <c r="H476">
        <v>3</v>
      </c>
      <c r="I476" t="s">
        <v>537</v>
      </c>
      <c r="J476" t="s">
        <v>538</v>
      </c>
      <c r="K476" t="s">
        <v>539</v>
      </c>
      <c r="L476">
        <v>1348</v>
      </c>
      <c r="N476">
        <v>1009</v>
      </c>
      <c r="O476" t="s">
        <v>266</v>
      </c>
      <c r="P476" t="s">
        <v>266</v>
      </c>
      <c r="Q476">
        <v>1000</v>
      </c>
      <c r="W476">
        <v>0</v>
      </c>
      <c r="X476">
        <v>-287838193</v>
      </c>
      <c r="Y476">
        <f>(AT476*1)</f>
        <v>3.0000000000000001E-3</v>
      </c>
      <c r="AA476">
        <v>106689.74</v>
      </c>
      <c r="AB476">
        <v>0</v>
      </c>
      <c r="AC476">
        <v>0</v>
      </c>
      <c r="AD476">
        <v>0</v>
      </c>
      <c r="AE476">
        <v>23114.43</v>
      </c>
      <c r="AF476">
        <v>0</v>
      </c>
      <c r="AG476">
        <v>0</v>
      </c>
      <c r="AH476">
        <v>0</v>
      </c>
      <c r="AI476">
        <v>4.49</v>
      </c>
      <c r="AJ476">
        <v>1</v>
      </c>
      <c r="AK476">
        <v>1</v>
      </c>
      <c r="AL476">
        <v>1</v>
      </c>
      <c r="AM476">
        <v>2</v>
      </c>
      <c r="AN476">
        <v>0</v>
      </c>
      <c r="AO476">
        <v>1</v>
      </c>
      <c r="AP476">
        <v>1</v>
      </c>
      <c r="AQ476">
        <v>0</v>
      </c>
      <c r="AR476">
        <v>0</v>
      </c>
      <c r="AS476" t="s">
        <v>3</v>
      </c>
      <c r="AT476">
        <v>3.0000000000000001E-3</v>
      </c>
      <c r="AU476" t="s">
        <v>35</v>
      </c>
      <c r="AV476">
        <v>0</v>
      </c>
      <c r="AW476">
        <v>2</v>
      </c>
      <c r="AX476">
        <v>85740013</v>
      </c>
      <c r="AY476">
        <v>1</v>
      </c>
      <c r="AZ476">
        <v>0</v>
      </c>
      <c r="BA476">
        <v>494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V476">
        <v>0</v>
      </c>
      <c r="CW476">
        <v>0</v>
      </c>
      <c r="CX476">
        <f>ROUND(Y476*Source!I202,9)</f>
        <v>2.334E-2</v>
      </c>
      <c r="CY476">
        <f>AA476</f>
        <v>106689.74</v>
      </c>
      <c r="CZ476">
        <f>AE476</f>
        <v>23114.43</v>
      </c>
      <c r="DA476">
        <f>AI476</f>
        <v>4.49</v>
      </c>
      <c r="DB476">
        <f>ROUND((ROUND(AT476*CZ476,2)*1),6)</f>
        <v>69.34</v>
      </c>
      <c r="DC476">
        <f>ROUND((ROUND(AT476*AG476,2)*1),6)</f>
        <v>0</v>
      </c>
      <c r="DD476" t="s">
        <v>3</v>
      </c>
      <c r="DE476" t="s">
        <v>3</v>
      </c>
      <c r="DF476">
        <f>ROUND(ROUND(AE476*AI476,2)*CX476,2)</f>
        <v>2422.31</v>
      </c>
      <c r="DG476">
        <f t="shared" ref="DG476:DG490" si="200">ROUND(ROUND(AF476,2)*CX476,2)</f>
        <v>0</v>
      </c>
      <c r="DH476">
        <f t="shared" ref="DH476:DH490" si="201">ROUND(ROUND(AG476,2)*CX476,2)</f>
        <v>0</v>
      </c>
      <c r="DI476">
        <f t="shared" si="195"/>
        <v>0</v>
      </c>
      <c r="DJ476">
        <f>DF476</f>
        <v>2422.31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">
      <c r="A477">
        <f>ROW(Source!A202)</f>
        <v>202</v>
      </c>
      <c r="B477">
        <v>85739207</v>
      </c>
      <c r="C477">
        <v>85740009</v>
      </c>
      <c r="D477">
        <v>85200023</v>
      </c>
      <c r="E477">
        <v>1</v>
      </c>
      <c r="F477">
        <v>1</v>
      </c>
      <c r="G477">
        <v>1081</v>
      </c>
      <c r="H477">
        <v>3</v>
      </c>
      <c r="I477" t="s">
        <v>555</v>
      </c>
      <c r="J477" t="s">
        <v>556</v>
      </c>
      <c r="K477" t="s">
        <v>557</v>
      </c>
      <c r="L477">
        <v>1348</v>
      </c>
      <c r="N477">
        <v>1009</v>
      </c>
      <c r="O477" t="s">
        <v>266</v>
      </c>
      <c r="P477" t="s">
        <v>266</v>
      </c>
      <c r="Q477">
        <v>1000</v>
      </c>
      <c r="W477">
        <v>0</v>
      </c>
      <c r="X477">
        <v>63955816</v>
      </c>
      <c r="Y477">
        <f>(AT477*1)</f>
        <v>0.01</v>
      </c>
      <c r="AA477">
        <v>99503.2</v>
      </c>
      <c r="AB477">
        <v>0</v>
      </c>
      <c r="AC477">
        <v>0</v>
      </c>
      <c r="AD477">
        <v>0</v>
      </c>
      <c r="AE477">
        <v>7185.82</v>
      </c>
      <c r="AF477">
        <v>0</v>
      </c>
      <c r="AG477">
        <v>0</v>
      </c>
      <c r="AH477">
        <v>0</v>
      </c>
      <c r="AI477">
        <v>13.47</v>
      </c>
      <c r="AJ477">
        <v>1</v>
      </c>
      <c r="AK477">
        <v>1</v>
      </c>
      <c r="AL477">
        <v>1</v>
      </c>
      <c r="AM477">
        <v>2</v>
      </c>
      <c r="AN477">
        <v>0</v>
      </c>
      <c r="AO477">
        <v>1</v>
      </c>
      <c r="AP477">
        <v>1</v>
      </c>
      <c r="AQ477">
        <v>0</v>
      </c>
      <c r="AR477">
        <v>0</v>
      </c>
      <c r="AS477" t="s">
        <v>3</v>
      </c>
      <c r="AT477">
        <v>0.01</v>
      </c>
      <c r="AU477" t="s">
        <v>35</v>
      </c>
      <c r="AV477">
        <v>0</v>
      </c>
      <c r="AW477">
        <v>2</v>
      </c>
      <c r="AX477">
        <v>85740014</v>
      </c>
      <c r="AY477">
        <v>1</v>
      </c>
      <c r="AZ477">
        <v>0</v>
      </c>
      <c r="BA477">
        <v>495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v>0</v>
      </c>
      <c r="CX477">
        <f>ROUND(Y477*Source!I202,9)</f>
        <v>7.7799999999999994E-2</v>
      </c>
      <c r="CY477">
        <f>AA477</f>
        <v>99503.2</v>
      </c>
      <c r="CZ477">
        <f>AE477</f>
        <v>7185.82</v>
      </c>
      <c r="DA477">
        <f>AI477</f>
        <v>13.47</v>
      </c>
      <c r="DB477">
        <f>ROUND((ROUND(AT477*CZ477,2)*1),6)</f>
        <v>71.86</v>
      </c>
      <c r="DC477">
        <f>ROUND((ROUND(AT477*AG477,2)*1),6)</f>
        <v>0</v>
      </c>
      <c r="DD477" t="s">
        <v>3</v>
      </c>
      <c r="DE477" t="s">
        <v>3</v>
      </c>
      <c r="DF477">
        <f>ROUND(ROUND(AE477*AI477,2)*CX477,2)</f>
        <v>7530.5</v>
      </c>
      <c r="DG477">
        <f t="shared" si="200"/>
        <v>0</v>
      </c>
      <c r="DH477">
        <f t="shared" si="201"/>
        <v>0</v>
      </c>
      <c r="DI477">
        <f t="shared" si="195"/>
        <v>0</v>
      </c>
      <c r="DJ477">
        <f>DF477</f>
        <v>7530.5</v>
      </c>
      <c r="DK477">
        <v>0</v>
      </c>
      <c r="DL477" t="s">
        <v>3</v>
      </c>
      <c r="DM477">
        <v>0</v>
      </c>
      <c r="DN477" t="s">
        <v>3</v>
      </c>
      <c r="DO477">
        <v>0</v>
      </c>
    </row>
    <row r="478" spans="1:119" x14ac:dyDescent="0.2">
      <c r="A478">
        <f>ROW(Source!A202)</f>
        <v>202</v>
      </c>
      <c r="B478">
        <v>85739207</v>
      </c>
      <c r="C478">
        <v>85740009</v>
      </c>
      <c r="D478">
        <v>85215454</v>
      </c>
      <c r="E478">
        <v>1</v>
      </c>
      <c r="F478">
        <v>1</v>
      </c>
      <c r="G478">
        <v>1081</v>
      </c>
      <c r="H478">
        <v>3</v>
      </c>
      <c r="I478" t="s">
        <v>397</v>
      </c>
      <c r="J478" t="s">
        <v>399</v>
      </c>
      <c r="K478" t="s">
        <v>398</v>
      </c>
      <c r="L478">
        <v>1354</v>
      </c>
      <c r="N478">
        <v>1010</v>
      </c>
      <c r="O478" t="s">
        <v>99</v>
      </c>
      <c r="P478" t="s">
        <v>99</v>
      </c>
      <c r="Q478">
        <v>1</v>
      </c>
      <c r="W478">
        <v>0</v>
      </c>
      <c r="X478">
        <v>-1614271934</v>
      </c>
      <c r="Y478">
        <f>(AT478*1)</f>
        <v>100</v>
      </c>
      <c r="AA478">
        <v>204.08</v>
      </c>
      <c r="AB478">
        <v>0</v>
      </c>
      <c r="AC478">
        <v>0</v>
      </c>
      <c r="AD478">
        <v>0</v>
      </c>
      <c r="AE478">
        <v>31.64</v>
      </c>
      <c r="AF478">
        <v>0</v>
      </c>
      <c r="AG478">
        <v>0</v>
      </c>
      <c r="AH478">
        <v>0</v>
      </c>
      <c r="AI478">
        <v>6.45</v>
      </c>
      <c r="AJ478">
        <v>1</v>
      </c>
      <c r="AK478">
        <v>1</v>
      </c>
      <c r="AL478">
        <v>1</v>
      </c>
      <c r="AM478">
        <v>0</v>
      </c>
      <c r="AN478">
        <v>0</v>
      </c>
      <c r="AO478">
        <v>0</v>
      </c>
      <c r="AP478">
        <v>1</v>
      </c>
      <c r="AQ478">
        <v>0</v>
      </c>
      <c r="AR478">
        <v>0</v>
      </c>
      <c r="AS478" t="s">
        <v>3</v>
      </c>
      <c r="AT478">
        <v>100</v>
      </c>
      <c r="AU478" t="s">
        <v>35</v>
      </c>
      <c r="AV478">
        <v>0</v>
      </c>
      <c r="AW478">
        <v>1</v>
      </c>
      <c r="AX478">
        <v>-1</v>
      </c>
      <c r="AY478">
        <v>0</v>
      </c>
      <c r="AZ478">
        <v>0</v>
      </c>
      <c r="BA478" t="s">
        <v>3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V478">
        <v>0</v>
      </c>
      <c r="CW478">
        <v>0</v>
      </c>
      <c r="CX478">
        <f>ROUND(Y478*Source!I202,9)</f>
        <v>778</v>
      </c>
      <c r="CY478">
        <f>AA478</f>
        <v>204.08</v>
      </c>
      <c r="CZ478">
        <f>AE478</f>
        <v>31.64</v>
      </c>
      <c r="DA478">
        <f>AI478</f>
        <v>6.45</v>
      </c>
      <c r="DB478">
        <f>ROUND((ROUND(AT478*CZ478,2)*1),6)</f>
        <v>3164</v>
      </c>
      <c r="DC478">
        <f>ROUND((ROUND(AT478*AG478,2)*1),6)</f>
        <v>0</v>
      </c>
      <c r="DD478" t="s">
        <v>3</v>
      </c>
      <c r="DE478" t="s">
        <v>3</v>
      </c>
      <c r="DF478">
        <f>ROUND(ROUND(AE478*AI478,2)*CX478,2)</f>
        <v>158774.24</v>
      </c>
      <c r="DG478">
        <f t="shared" si="200"/>
        <v>0</v>
      </c>
      <c r="DH478">
        <f t="shared" si="201"/>
        <v>0</v>
      </c>
      <c r="DI478">
        <f t="shared" si="195"/>
        <v>0</v>
      </c>
      <c r="DJ478">
        <f>DF478</f>
        <v>158774.24</v>
      </c>
      <c r="DK478">
        <v>0</v>
      </c>
      <c r="DL478" t="s">
        <v>3</v>
      </c>
      <c r="DM478">
        <v>0</v>
      </c>
      <c r="DN478" t="s">
        <v>3</v>
      </c>
      <c r="DO478">
        <v>0</v>
      </c>
    </row>
    <row r="479" spans="1:119" x14ac:dyDescent="0.2">
      <c r="A479">
        <f>ROW(Source!A202)</f>
        <v>202</v>
      </c>
      <c r="B479">
        <v>85739207</v>
      </c>
      <c r="C479">
        <v>85740009</v>
      </c>
      <c r="D479">
        <v>85215459</v>
      </c>
      <c r="E479">
        <v>1</v>
      </c>
      <c r="F479">
        <v>1</v>
      </c>
      <c r="G479">
        <v>1081</v>
      </c>
      <c r="H479">
        <v>3</v>
      </c>
      <c r="I479" t="s">
        <v>603</v>
      </c>
      <c r="J479" t="s">
        <v>604</v>
      </c>
      <c r="K479" t="s">
        <v>605</v>
      </c>
      <c r="L479">
        <v>1354</v>
      </c>
      <c r="N479">
        <v>1010</v>
      </c>
      <c r="O479" t="s">
        <v>99</v>
      </c>
      <c r="P479" t="s">
        <v>99</v>
      </c>
      <c r="Q479">
        <v>1</v>
      </c>
      <c r="W479">
        <v>0</v>
      </c>
      <c r="X479">
        <v>-1710543629</v>
      </c>
      <c r="Y479">
        <f>(AT479*1)</f>
        <v>100</v>
      </c>
      <c r="AA479">
        <v>102.86</v>
      </c>
      <c r="AB479">
        <v>0</v>
      </c>
      <c r="AC479">
        <v>0</v>
      </c>
      <c r="AD479">
        <v>0</v>
      </c>
      <c r="AE479">
        <v>11.13</v>
      </c>
      <c r="AF479">
        <v>0</v>
      </c>
      <c r="AG479">
        <v>0</v>
      </c>
      <c r="AH479">
        <v>0</v>
      </c>
      <c r="AI479">
        <v>8.99</v>
      </c>
      <c r="AJ479">
        <v>1</v>
      </c>
      <c r="AK479">
        <v>1</v>
      </c>
      <c r="AL479">
        <v>1</v>
      </c>
      <c r="AM479">
        <v>2</v>
      </c>
      <c r="AN479">
        <v>0</v>
      </c>
      <c r="AO479">
        <v>1</v>
      </c>
      <c r="AP479">
        <v>1</v>
      </c>
      <c r="AQ479">
        <v>0</v>
      </c>
      <c r="AR479">
        <v>0</v>
      </c>
      <c r="AS479" t="s">
        <v>3</v>
      </c>
      <c r="AT479">
        <v>100</v>
      </c>
      <c r="AU479" t="s">
        <v>35</v>
      </c>
      <c r="AV479">
        <v>0</v>
      </c>
      <c r="AW479">
        <v>2</v>
      </c>
      <c r="AX479">
        <v>85740015</v>
      </c>
      <c r="AY479">
        <v>1</v>
      </c>
      <c r="AZ479">
        <v>0</v>
      </c>
      <c r="BA479">
        <v>496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V479">
        <v>0</v>
      </c>
      <c r="CW479">
        <v>0</v>
      </c>
      <c r="CX479">
        <f>ROUND(Y479*Source!I202,9)</f>
        <v>778</v>
      </c>
      <c r="CY479">
        <f>AA479</f>
        <v>102.86</v>
      </c>
      <c r="CZ479">
        <f>AE479</f>
        <v>11.13</v>
      </c>
      <c r="DA479">
        <f>AI479</f>
        <v>8.99</v>
      </c>
      <c r="DB479">
        <f>ROUND((ROUND(AT479*CZ479,2)*1),6)</f>
        <v>1113</v>
      </c>
      <c r="DC479">
        <f>ROUND((ROUND(AT479*AG479,2)*1),6)</f>
        <v>0</v>
      </c>
      <c r="DD479" t="s">
        <v>3</v>
      </c>
      <c r="DE479" t="s">
        <v>3</v>
      </c>
      <c r="DF479">
        <f>ROUND(ROUND(AE479*AI479,2)*CX479,2)</f>
        <v>77846.679999999993</v>
      </c>
      <c r="DG479">
        <f t="shared" si="200"/>
        <v>0</v>
      </c>
      <c r="DH479">
        <f t="shared" si="201"/>
        <v>0</v>
      </c>
      <c r="DI479">
        <f t="shared" si="195"/>
        <v>0</v>
      </c>
      <c r="DJ479">
        <f>DF479</f>
        <v>77846.679999999993</v>
      </c>
      <c r="DK479">
        <v>0</v>
      </c>
      <c r="DL479" t="s">
        <v>3</v>
      </c>
      <c r="DM479">
        <v>0</v>
      </c>
      <c r="DN479" t="s">
        <v>3</v>
      </c>
      <c r="DO479">
        <v>0</v>
      </c>
    </row>
    <row r="480" spans="1:119" x14ac:dyDescent="0.2">
      <c r="A480">
        <f>ROW(Source!A202)</f>
        <v>202</v>
      </c>
      <c r="B480">
        <v>85739207</v>
      </c>
      <c r="C480">
        <v>85740009</v>
      </c>
      <c r="D480">
        <v>85219766</v>
      </c>
      <c r="E480">
        <v>1</v>
      </c>
      <c r="F480">
        <v>1</v>
      </c>
      <c r="G480">
        <v>1081</v>
      </c>
      <c r="H480">
        <v>3</v>
      </c>
      <c r="I480" t="s">
        <v>606</v>
      </c>
      <c r="J480" t="s">
        <v>607</v>
      </c>
      <c r="K480" t="s">
        <v>608</v>
      </c>
      <c r="L480">
        <v>1354</v>
      </c>
      <c r="N480">
        <v>1010</v>
      </c>
      <c r="O480" t="s">
        <v>99</v>
      </c>
      <c r="P480" t="s">
        <v>99</v>
      </c>
      <c r="Q480">
        <v>1</v>
      </c>
      <c r="W480">
        <v>0</v>
      </c>
      <c r="X480">
        <v>-640005846</v>
      </c>
      <c r="Y480">
        <f>(AT480*1)</f>
        <v>100</v>
      </c>
      <c r="AA480">
        <v>186.81</v>
      </c>
      <c r="AB480">
        <v>0</v>
      </c>
      <c r="AC480">
        <v>0</v>
      </c>
      <c r="AD480">
        <v>0</v>
      </c>
      <c r="AE480">
        <v>22.08</v>
      </c>
      <c r="AF480">
        <v>0</v>
      </c>
      <c r="AG480">
        <v>0</v>
      </c>
      <c r="AH480">
        <v>0</v>
      </c>
      <c r="AI480">
        <v>8.23</v>
      </c>
      <c r="AJ480">
        <v>1</v>
      </c>
      <c r="AK480">
        <v>1</v>
      </c>
      <c r="AL480">
        <v>1</v>
      </c>
      <c r="AM480">
        <v>2</v>
      </c>
      <c r="AN480">
        <v>0</v>
      </c>
      <c r="AO480">
        <v>1</v>
      </c>
      <c r="AP480">
        <v>1</v>
      </c>
      <c r="AQ480">
        <v>0</v>
      </c>
      <c r="AR480">
        <v>0</v>
      </c>
      <c r="AS480" t="s">
        <v>3</v>
      </c>
      <c r="AT480">
        <v>100</v>
      </c>
      <c r="AU480" t="s">
        <v>35</v>
      </c>
      <c r="AV480">
        <v>0</v>
      </c>
      <c r="AW480">
        <v>2</v>
      </c>
      <c r="AX480">
        <v>85740016</v>
      </c>
      <c r="AY480">
        <v>1</v>
      </c>
      <c r="AZ480">
        <v>0</v>
      </c>
      <c r="BA480">
        <v>497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v>0</v>
      </c>
      <c r="CX480">
        <f>ROUND(Y480*Source!I202,9)</f>
        <v>778</v>
      </c>
      <c r="CY480">
        <f>AA480</f>
        <v>186.81</v>
      </c>
      <c r="CZ480">
        <f>AE480</f>
        <v>22.08</v>
      </c>
      <c r="DA480">
        <f>AI480</f>
        <v>8.23</v>
      </c>
      <c r="DB480">
        <f>ROUND((ROUND(AT480*CZ480,2)*1),6)</f>
        <v>2208</v>
      </c>
      <c r="DC480">
        <f>ROUND((ROUND(AT480*AG480,2)*1),6)</f>
        <v>0</v>
      </c>
      <c r="DD480" t="s">
        <v>3</v>
      </c>
      <c r="DE480" t="s">
        <v>3</v>
      </c>
      <c r="DF480">
        <f>ROUND(ROUND(AE480*AI480,2)*CX480,2)</f>
        <v>141378.16</v>
      </c>
      <c r="DG480">
        <f t="shared" si="200"/>
        <v>0</v>
      </c>
      <c r="DH480">
        <f t="shared" si="201"/>
        <v>0</v>
      </c>
      <c r="DI480">
        <f t="shared" si="195"/>
        <v>0</v>
      </c>
      <c r="DJ480">
        <f>DF480</f>
        <v>141378.16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">
      <c r="A481">
        <f>ROW(Source!A205)</f>
        <v>205</v>
      </c>
      <c r="B481">
        <v>85739205</v>
      </c>
      <c r="C481">
        <v>85740048</v>
      </c>
      <c r="D481">
        <v>85164021</v>
      </c>
      <c r="E481">
        <v>1081</v>
      </c>
      <c r="F481">
        <v>1</v>
      </c>
      <c r="G481">
        <v>1081</v>
      </c>
      <c r="H481">
        <v>1</v>
      </c>
      <c r="I481" t="s">
        <v>472</v>
      </c>
      <c r="J481" t="s">
        <v>3</v>
      </c>
      <c r="K481" t="s">
        <v>473</v>
      </c>
      <c r="L481">
        <v>1191</v>
      </c>
      <c r="N481">
        <v>1013</v>
      </c>
      <c r="O481" t="s">
        <v>474</v>
      </c>
      <c r="P481" t="s">
        <v>474</v>
      </c>
      <c r="Q481">
        <v>1</v>
      </c>
      <c r="W481">
        <v>0</v>
      </c>
      <c r="X481">
        <v>476480486</v>
      </c>
      <c r="Y481">
        <f t="shared" ref="Y481:Y486" si="202">(AT481*1.2)</f>
        <v>190.79999999999998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</v>
      </c>
      <c r="AJ481">
        <v>1</v>
      </c>
      <c r="AK481">
        <v>1</v>
      </c>
      <c r="AL481">
        <v>1</v>
      </c>
      <c r="AM481">
        <v>-2</v>
      </c>
      <c r="AN481">
        <v>0</v>
      </c>
      <c r="AO481">
        <v>1</v>
      </c>
      <c r="AP481">
        <v>1</v>
      </c>
      <c r="AQ481">
        <v>0</v>
      </c>
      <c r="AR481">
        <v>0</v>
      </c>
      <c r="AS481" t="s">
        <v>3</v>
      </c>
      <c r="AT481">
        <v>159</v>
      </c>
      <c r="AU481" t="s">
        <v>36</v>
      </c>
      <c r="AV481">
        <v>1</v>
      </c>
      <c r="AW481">
        <v>2</v>
      </c>
      <c r="AX481">
        <v>85740061</v>
      </c>
      <c r="AY481">
        <v>1</v>
      </c>
      <c r="AZ481">
        <v>0</v>
      </c>
      <c r="BA481">
        <v>499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U481">
        <f>ROUND(AT481*Source!I205*AH481*AL481,2)</f>
        <v>0</v>
      </c>
      <c r="CV481">
        <f>ROUND(Y481*Source!I205,9)</f>
        <v>1125.72</v>
      </c>
      <c r="CW481">
        <v>0</v>
      </c>
      <c r="CX481">
        <f>ROUND(Y481*Source!I205,9)</f>
        <v>1125.72</v>
      </c>
      <c r="CY481">
        <f>AD481</f>
        <v>0</v>
      </c>
      <c r="CZ481">
        <f>AH481</f>
        <v>0</v>
      </c>
      <c r="DA481">
        <f>AL481</f>
        <v>1</v>
      </c>
      <c r="DB481">
        <f t="shared" ref="DB481:DB486" si="203">ROUND((ROUND(AT481*CZ481,2)*1.2),6)</f>
        <v>0</v>
      </c>
      <c r="DC481">
        <f t="shared" ref="DC481:DC486" si="204">ROUND((ROUND(AT481*AG481,2)*1.2),6)</f>
        <v>0</v>
      </c>
      <c r="DD481" t="s">
        <v>3</v>
      </c>
      <c r="DE481" t="s">
        <v>3</v>
      </c>
      <c r="DF481">
        <f t="shared" ref="DF481:DF495" si="205">ROUND(ROUND(AE481,2)*CX481,2)</f>
        <v>0</v>
      </c>
      <c r="DG481">
        <f t="shared" si="200"/>
        <v>0</v>
      </c>
      <c r="DH481">
        <f t="shared" si="201"/>
        <v>0</v>
      </c>
      <c r="DI481">
        <f t="shared" si="195"/>
        <v>0</v>
      </c>
      <c r="DJ481">
        <f>DI481</f>
        <v>0</v>
      </c>
      <c r="DK481">
        <v>0</v>
      </c>
      <c r="DL481" t="s">
        <v>3</v>
      </c>
      <c r="DM481">
        <v>0</v>
      </c>
      <c r="DN481" t="s">
        <v>3</v>
      </c>
      <c r="DO481">
        <v>0</v>
      </c>
    </row>
    <row r="482" spans="1:119" x14ac:dyDescent="0.2">
      <c r="A482">
        <f>ROW(Source!A205)</f>
        <v>205</v>
      </c>
      <c r="B482">
        <v>85739205</v>
      </c>
      <c r="C482">
        <v>85740048</v>
      </c>
      <c r="D482">
        <v>85229527</v>
      </c>
      <c r="E482">
        <v>1</v>
      </c>
      <c r="F482">
        <v>1</v>
      </c>
      <c r="G482">
        <v>1081</v>
      </c>
      <c r="H482">
        <v>2</v>
      </c>
      <c r="I482" t="s">
        <v>546</v>
      </c>
      <c r="J482" t="s">
        <v>547</v>
      </c>
      <c r="K482" t="s">
        <v>548</v>
      </c>
      <c r="L482">
        <v>1368</v>
      </c>
      <c r="N482">
        <v>1011</v>
      </c>
      <c r="O482" t="s">
        <v>478</v>
      </c>
      <c r="P482" t="s">
        <v>478</v>
      </c>
      <c r="Q482">
        <v>1</v>
      </c>
      <c r="W482">
        <v>0</v>
      </c>
      <c r="X482">
        <v>-1222619517</v>
      </c>
      <c r="Y482">
        <f t="shared" si="202"/>
        <v>11.28</v>
      </c>
      <c r="AA482">
        <v>0</v>
      </c>
      <c r="AB482">
        <v>51.29</v>
      </c>
      <c r="AC482">
        <v>13.47</v>
      </c>
      <c r="AD482">
        <v>0</v>
      </c>
      <c r="AE482">
        <v>0</v>
      </c>
      <c r="AF482">
        <v>48.07</v>
      </c>
      <c r="AG482">
        <v>12.62</v>
      </c>
      <c r="AH482">
        <v>0</v>
      </c>
      <c r="AI482">
        <v>1</v>
      </c>
      <c r="AJ482">
        <v>1</v>
      </c>
      <c r="AK482">
        <v>1</v>
      </c>
      <c r="AL482">
        <v>1</v>
      </c>
      <c r="AM482">
        <v>-2</v>
      </c>
      <c r="AN482">
        <v>0</v>
      </c>
      <c r="AO482">
        <v>1</v>
      </c>
      <c r="AP482">
        <v>1</v>
      </c>
      <c r="AQ482">
        <v>0</v>
      </c>
      <c r="AR482">
        <v>0</v>
      </c>
      <c r="AS482" t="s">
        <v>3</v>
      </c>
      <c r="AT482">
        <v>9.4</v>
      </c>
      <c r="AU482" t="s">
        <v>36</v>
      </c>
      <c r="AV482">
        <v>0</v>
      </c>
      <c r="AW482">
        <v>2</v>
      </c>
      <c r="AX482">
        <v>85740062</v>
      </c>
      <c r="AY482">
        <v>1</v>
      </c>
      <c r="AZ482">
        <v>0</v>
      </c>
      <c r="BA482">
        <v>500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V482">
        <v>0</v>
      </c>
      <c r="CW482">
        <f>ROUND(Y482*Source!I205*DO482,9)</f>
        <v>839.88624000000004</v>
      </c>
      <c r="CX482">
        <f>ROUND(Y482*Source!I205,9)</f>
        <v>66.552000000000007</v>
      </c>
      <c r="CY482">
        <f>AB482</f>
        <v>51.29</v>
      </c>
      <c r="CZ482">
        <f>AF482</f>
        <v>48.07</v>
      </c>
      <c r="DA482">
        <f>AJ482</f>
        <v>1</v>
      </c>
      <c r="DB482">
        <f t="shared" si="203"/>
        <v>542.23199999999997</v>
      </c>
      <c r="DC482">
        <f t="shared" si="204"/>
        <v>142.35599999999999</v>
      </c>
      <c r="DD482" t="s">
        <v>3</v>
      </c>
      <c r="DE482" t="s">
        <v>3</v>
      </c>
      <c r="DF482">
        <f t="shared" si="205"/>
        <v>0</v>
      </c>
      <c r="DG482">
        <f t="shared" si="200"/>
        <v>3199.15</v>
      </c>
      <c r="DH482">
        <f t="shared" si="201"/>
        <v>839.89</v>
      </c>
      <c r="DI482">
        <f t="shared" si="195"/>
        <v>0</v>
      </c>
      <c r="DJ482">
        <f>DG482</f>
        <v>3199.15</v>
      </c>
      <c r="DK482">
        <v>0</v>
      </c>
      <c r="DL482" t="s">
        <v>485</v>
      </c>
      <c r="DM482">
        <v>0</v>
      </c>
      <c r="DN482" t="s">
        <v>474</v>
      </c>
      <c r="DO482">
        <v>12.62</v>
      </c>
    </row>
    <row r="483" spans="1:119" x14ac:dyDescent="0.2">
      <c r="A483">
        <f>ROW(Source!A205)</f>
        <v>205</v>
      </c>
      <c r="B483">
        <v>85739205</v>
      </c>
      <c r="C483">
        <v>85740048</v>
      </c>
      <c r="D483">
        <v>85229564</v>
      </c>
      <c r="E483">
        <v>1</v>
      </c>
      <c r="F483">
        <v>1</v>
      </c>
      <c r="G483">
        <v>1081</v>
      </c>
      <c r="H483">
        <v>2</v>
      </c>
      <c r="I483" t="s">
        <v>549</v>
      </c>
      <c r="J483" t="s">
        <v>550</v>
      </c>
      <c r="K483" t="s">
        <v>551</v>
      </c>
      <c r="L483">
        <v>1368</v>
      </c>
      <c r="N483">
        <v>1011</v>
      </c>
      <c r="O483" t="s">
        <v>478</v>
      </c>
      <c r="P483" t="s">
        <v>478</v>
      </c>
      <c r="Q483">
        <v>1</v>
      </c>
      <c r="W483">
        <v>0</v>
      </c>
      <c r="X483">
        <v>210297649</v>
      </c>
      <c r="Y483">
        <f t="shared" si="202"/>
        <v>10.199999999999999</v>
      </c>
      <c r="AA483">
        <v>0</v>
      </c>
      <c r="AB483">
        <v>6.18</v>
      </c>
      <c r="AC483">
        <v>0</v>
      </c>
      <c r="AD483">
        <v>0</v>
      </c>
      <c r="AE483">
        <v>0</v>
      </c>
      <c r="AF483">
        <v>5.79</v>
      </c>
      <c r="AG483">
        <v>0</v>
      </c>
      <c r="AH483">
        <v>0</v>
      </c>
      <c r="AI483">
        <v>1</v>
      </c>
      <c r="AJ483">
        <v>1</v>
      </c>
      <c r="AK483">
        <v>1</v>
      </c>
      <c r="AL483">
        <v>1</v>
      </c>
      <c r="AM483">
        <v>-2</v>
      </c>
      <c r="AN483">
        <v>0</v>
      </c>
      <c r="AO483">
        <v>1</v>
      </c>
      <c r="AP483">
        <v>1</v>
      </c>
      <c r="AQ483">
        <v>0</v>
      </c>
      <c r="AR483">
        <v>0</v>
      </c>
      <c r="AS483" t="s">
        <v>3</v>
      </c>
      <c r="AT483">
        <v>8.5</v>
      </c>
      <c r="AU483" t="s">
        <v>36</v>
      </c>
      <c r="AV483">
        <v>0</v>
      </c>
      <c r="AW483">
        <v>2</v>
      </c>
      <c r="AX483">
        <v>85740063</v>
      </c>
      <c r="AY483">
        <v>1</v>
      </c>
      <c r="AZ483">
        <v>0</v>
      </c>
      <c r="BA483">
        <v>501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V483">
        <v>0</v>
      </c>
      <c r="CW483">
        <f>ROUND(Y483*Source!I205*DO483,9)</f>
        <v>0</v>
      </c>
      <c r="CX483">
        <f>ROUND(Y483*Source!I205,9)</f>
        <v>60.18</v>
      </c>
      <c r="CY483">
        <f>AB483</f>
        <v>6.18</v>
      </c>
      <c r="CZ483">
        <f>AF483</f>
        <v>5.79</v>
      </c>
      <c r="DA483">
        <f>AJ483</f>
        <v>1</v>
      </c>
      <c r="DB483">
        <f t="shared" si="203"/>
        <v>59.064</v>
      </c>
      <c r="DC483">
        <f t="shared" si="204"/>
        <v>0</v>
      </c>
      <c r="DD483" t="s">
        <v>3</v>
      </c>
      <c r="DE483" t="s">
        <v>3</v>
      </c>
      <c r="DF483">
        <f t="shared" si="205"/>
        <v>0</v>
      </c>
      <c r="DG483">
        <f t="shared" si="200"/>
        <v>348.44</v>
      </c>
      <c r="DH483">
        <f t="shared" si="201"/>
        <v>0</v>
      </c>
      <c r="DI483">
        <f t="shared" si="195"/>
        <v>0</v>
      </c>
      <c r="DJ483">
        <f>DG483</f>
        <v>348.44</v>
      </c>
      <c r="DK483">
        <v>0</v>
      </c>
      <c r="DL483" t="s">
        <v>3</v>
      </c>
      <c r="DM483">
        <v>0</v>
      </c>
      <c r="DN483" t="s">
        <v>3</v>
      </c>
      <c r="DO483">
        <v>0</v>
      </c>
    </row>
    <row r="484" spans="1:119" x14ac:dyDescent="0.2">
      <c r="A484">
        <f>ROW(Source!A205)</f>
        <v>205</v>
      </c>
      <c r="B484">
        <v>85739205</v>
      </c>
      <c r="C484">
        <v>85740048</v>
      </c>
      <c r="D484">
        <v>85229633</v>
      </c>
      <c r="E484">
        <v>1</v>
      </c>
      <c r="F484">
        <v>1</v>
      </c>
      <c r="G484">
        <v>1081</v>
      </c>
      <c r="H484">
        <v>2</v>
      </c>
      <c r="I484" t="s">
        <v>475</v>
      </c>
      <c r="J484" t="s">
        <v>476</v>
      </c>
      <c r="K484" t="s">
        <v>477</v>
      </c>
      <c r="L484">
        <v>1368</v>
      </c>
      <c r="N484">
        <v>1011</v>
      </c>
      <c r="O484" t="s">
        <v>478</v>
      </c>
      <c r="P484" t="s">
        <v>478</v>
      </c>
      <c r="Q484">
        <v>1</v>
      </c>
      <c r="W484">
        <v>0</v>
      </c>
      <c r="X484">
        <v>1498588441</v>
      </c>
      <c r="Y484">
        <f t="shared" si="202"/>
        <v>30</v>
      </c>
      <c r="AA484">
        <v>0</v>
      </c>
      <c r="AB484">
        <v>7.59</v>
      </c>
      <c r="AC484">
        <v>0</v>
      </c>
      <c r="AD484">
        <v>0</v>
      </c>
      <c r="AE484">
        <v>0</v>
      </c>
      <c r="AF484">
        <v>7.11</v>
      </c>
      <c r="AG484">
        <v>0</v>
      </c>
      <c r="AH484">
        <v>0</v>
      </c>
      <c r="AI484">
        <v>1</v>
      </c>
      <c r="AJ484">
        <v>1</v>
      </c>
      <c r="AK484">
        <v>1</v>
      </c>
      <c r="AL484">
        <v>1</v>
      </c>
      <c r="AM484">
        <v>-2</v>
      </c>
      <c r="AN484">
        <v>0</v>
      </c>
      <c r="AO484">
        <v>1</v>
      </c>
      <c r="AP484">
        <v>1</v>
      </c>
      <c r="AQ484">
        <v>0</v>
      </c>
      <c r="AR484">
        <v>0</v>
      </c>
      <c r="AS484" t="s">
        <v>3</v>
      </c>
      <c r="AT484">
        <v>25</v>
      </c>
      <c r="AU484" t="s">
        <v>36</v>
      </c>
      <c r="AV484">
        <v>0</v>
      </c>
      <c r="AW484">
        <v>2</v>
      </c>
      <c r="AX484">
        <v>85740064</v>
      </c>
      <c r="AY484">
        <v>1</v>
      </c>
      <c r="AZ484">
        <v>0</v>
      </c>
      <c r="BA484">
        <v>502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f>ROUND(Y484*Source!I205*DO484,9)</f>
        <v>0</v>
      </c>
      <c r="CX484">
        <f>ROUND(Y484*Source!I205,9)</f>
        <v>177</v>
      </c>
      <c r="CY484">
        <f>AB484</f>
        <v>7.59</v>
      </c>
      <c r="CZ484">
        <f>AF484</f>
        <v>7.11</v>
      </c>
      <c r="DA484">
        <f>AJ484</f>
        <v>1</v>
      </c>
      <c r="DB484">
        <f t="shared" si="203"/>
        <v>213.3</v>
      </c>
      <c r="DC484">
        <f t="shared" si="204"/>
        <v>0</v>
      </c>
      <c r="DD484" t="s">
        <v>3</v>
      </c>
      <c r="DE484" t="s">
        <v>3</v>
      </c>
      <c r="DF484">
        <f t="shared" si="205"/>
        <v>0</v>
      </c>
      <c r="DG484">
        <f t="shared" si="200"/>
        <v>1258.47</v>
      </c>
      <c r="DH484">
        <f t="shared" si="201"/>
        <v>0</v>
      </c>
      <c r="DI484">
        <f t="shared" si="195"/>
        <v>0</v>
      </c>
      <c r="DJ484">
        <f>DG484</f>
        <v>1258.47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">
      <c r="A485">
        <f>ROW(Source!A205)</f>
        <v>205</v>
      </c>
      <c r="B485">
        <v>85739205</v>
      </c>
      <c r="C485">
        <v>85740048</v>
      </c>
      <c r="D485">
        <v>85229932</v>
      </c>
      <c r="E485">
        <v>1</v>
      </c>
      <c r="F485">
        <v>1</v>
      </c>
      <c r="G485">
        <v>1081</v>
      </c>
      <c r="H485">
        <v>2</v>
      </c>
      <c r="I485" t="s">
        <v>482</v>
      </c>
      <c r="J485" t="s">
        <v>483</v>
      </c>
      <c r="K485" t="s">
        <v>484</v>
      </c>
      <c r="L485">
        <v>1368</v>
      </c>
      <c r="N485">
        <v>1011</v>
      </c>
      <c r="O485" t="s">
        <v>478</v>
      </c>
      <c r="P485" t="s">
        <v>478</v>
      </c>
      <c r="Q485">
        <v>1</v>
      </c>
      <c r="W485">
        <v>0</v>
      </c>
      <c r="X485">
        <v>874612079</v>
      </c>
      <c r="Y485">
        <f t="shared" si="202"/>
        <v>1.9919999999999998</v>
      </c>
      <c r="AA485">
        <v>0</v>
      </c>
      <c r="AB485">
        <v>88.67</v>
      </c>
      <c r="AC485">
        <v>13.47</v>
      </c>
      <c r="AD485">
        <v>0</v>
      </c>
      <c r="AE485">
        <v>0</v>
      </c>
      <c r="AF485">
        <v>83.1</v>
      </c>
      <c r="AG485">
        <v>12.62</v>
      </c>
      <c r="AH485">
        <v>0</v>
      </c>
      <c r="AI485">
        <v>1</v>
      </c>
      <c r="AJ485">
        <v>1</v>
      </c>
      <c r="AK485">
        <v>1</v>
      </c>
      <c r="AL485">
        <v>1</v>
      </c>
      <c r="AM485">
        <v>-2</v>
      </c>
      <c r="AN485">
        <v>0</v>
      </c>
      <c r="AO485">
        <v>1</v>
      </c>
      <c r="AP485">
        <v>1</v>
      </c>
      <c r="AQ485">
        <v>0</v>
      </c>
      <c r="AR485">
        <v>0</v>
      </c>
      <c r="AS485" t="s">
        <v>3</v>
      </c>
      <c r="AT485">
        <v>1.66</v>
      </c>
      <c r="AU485" t="s">
        <v>36</v>
      </c>
      <c r="AV485">
        <v>0</v>
      </c>
      <c r="AW485">
        <v>2</v>
      </c>
      <c r="AX485">
        <v>85740065</v>
      </c>
      <c r="AY485">
        <v>1</v>
      </c>
      <c r="AZ485">
        <v>0</v>
      </c>
      <c r="BA485">
        <v>503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V485">
        <v>0</v>
      </c>
      <c r="CW485">
        <f>ROUND(Y485*Source!I205*DO485,9)</f>
        <v>148.320336</v>
      </c>
      <c r="CX485">
        <f>ROUND(Y485*Source!I205,9)</f>
        <v>11.752800000000001</v>
      </c>
      <c r="CY485">
        <f>AB485</f>
        <v>88.67</v>
      </c>
      <c r="CZ485">
        <f>AF485</f>
        <v>83.1</v>
      </c>
      <c r="DA485">
        <f>AJ485</f>
        <v>1</v>
      </c>
      <c r="DB485">
        <f t="shared" si="203"/>
        <v>165.54</v>
      </c>
      <c r="DC485">
        <f t="shared" si="204"/>
        <v>25.14</v>
      </c>
      <c r="DD485" t="s">
        <v>3</v>
      </c>
      <c r="DE485" t="s">
        <v>3</v>
      </c>
      <c r="DF485">
        <f t="shared" si="205"/>
        <v>0</v>
      </c>
      <c r="DG485">
        <f t="shared" si="200"/>
        <v>976.66</v>
      </c>
      <c r="DH485">
        <f t="shared" si="201"/>
        <v>148.32</v>
      </c>
      <c r="DI485">
        <f t="shared" si="195"/>
        <v>0</v>
      </c>
      <c r="DJ485">
        <f>DG485</f>
        <v>976.66</v>
      </c>
      <c r="DK485">
        <v>0</v>
      </c>
      <c r="DL485" t="s">
        <v>485</v>
      </c>
      <c r="DM485">
        <v>0</v>
      </c>
      <c r="DN485" t="s">
        <v>474</v>
      </c>
      <c r="DO485">
        <v>12.62</v>
      </c>
    </row>
    <row r="486" spans="1:119" x14ac:dyDescent="0.2">
      <c r="A486">
        <f>ROW(Source!A205)</f>
        <v>205</v>
      </c>
      <c r="B486">
        <v>85739205</v>
      </c>
      <c r="C486">
        <v>85740048</v>
      </c>
      <c r="D486">
        <v>85229250</v>
      </c>
      <c r="E486">
        <v>1</v>
      </c>
      <c r="F486">
        <v>1</v>
      </c>
      <c r="G486">
        <v>1081</v>
      </c>
      <c r="H486">
        <v>2</v>
      </c>
      <c r="I486" t="s">
        <v>552</v>
      </c>
      <c r="J486" t="s">
        <v>553</v>
      </c>
      <c r="K486" t="s">
        <v>554</v>
      </c>
      <c r="L486">
        <v>1368</v>
      </c>
      <c r="N486">
        <v>1011</v>
      </c>
      <c r="O486" t="s">
        <v>478</v>
      </c>
      <c r="P486" t="s">
        <v>478</v>
      </c>
      <c r="Q486">
        <v>1</v>
      </c>
      <c r="W486">
        <v>0</v>
      </c>
      <c r="X486">
        <v>-1755828087</v>
      </c>
      <c r="Y486">
        <f t="shared" si="202"/>
        <v>1.464</v>
      </c>
      <c r="AA486">
        <v>0</v>
      </c>
      <c r="AB486">
        <v>3.39</v>
      </c>
      <c r="AC486">
        <v>0</v>
      </c>
      <c r="AD486">
        <v>0</v>
      </c>
      <c r="AE486">
        <v>0</v>
      </c>
      <c r="AF486">
        <v>3.18</v>
      </c>
      <c r="AG486">
        <v>0</v>
      </c>
      <c r="AH486">
        <v>0</v>
      </c>
      <c r="AI486">
        <v>1</v>
      </c>
      <c r="AJ486">
        <v>1</v>
      </c>
      <c r="AK486">
        <v>1</v>
      </c>
      <c r="AL486">
        <v>1</v>
      </c>
      <c r="AM486">
        <v>-2</v>
      </c>
      <c r="AN486">
        <v>0</v>
      </c>
      <c r="AO486">
        <v>1</v>
      </c>
      <c r="AP486">
        <v>1</v>
      </c>
      <c r="AQ486">
        <v>0</v>
      </c>
      <c r="AR486">
        <v>0</v>
      </c>
      <c r="AS486" t="s">
        <v>3</v>
      </c>
      <c r="AT486">
        <v>1.22</v>
      </c>
      <c r="AU486" t="s">
        <v>36</v>
      </c>
      <c r="AV486">
        <v>0</v>
      </c>
      <c r="AW486">
        <v>2</v>
      </c>
      <c r="AX486">
        <v>85740066</v>
      </c>
      <c r="AY486">
        <v>1</v>
      </c>
      <c r="AZ486">
        <v>0</v>
      </c>
      <c r="BA486">
        <v>504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V486">
        <v>0</v>
      </c>
      <c r="CW486">
        <f>ROUND(Y486*Source!I205*DO486,9)</f>
        <v>0</v>
      </c>
      <c r="CX486">
        <f>ROUND(Y486*Source!I205,9)</f>
        <v>8.6376000000000008</v>
      </c>
      <c r="CY486">
        <f>AB486</f>
        <v>3.39</v>
      </c>
      <c r="CZ486">
        <f>AF486</f>
        <v>3.18</v>
      </c>
      <c r="DA486">
        <f>AJ486</f>
        <v>1</v>
      </c>
      <c r="DB486">
        <f t="shared" si="203"/>
        <v>4.6559999999999997</v>
      </c>
      <c r="DC486">
        <f t="shared" si="204"/>
        <v>0</v>
      </c>
      <c r="DD486" t="s">
        <v>3</v>
      </c>
      <c r="DE486" t="s">
        <v>3</v>
      </c>
      <c r="DF486">
        <f t="shared" si="205"/>
        <v>0</v>
      </c>
      <c r="DG486">
        <f t="shared" si="200"/>
        <v>27.47</v>
      </c>
      <c r="DH486">
        <f t="shared" si="201"/>
        <v>0</v>
      </c>
      <c r="DI486">
        <f t="shared" si="195"/>
        <v>0</v>
      </c>
      <c r="DJ486">
        <f>DG486</f>
        <v>27.47</v>
      </c>
      <c r="DK486">
        <v>0</v>
      </c>
      <c r="DL486" t="s">
        <v>3</v>
      </c>
      <c r="DM486">
        <v>0</v>
      </c>
      <c r="DN486" t="s">
        <v>3</v>
      </c>
      <c r="DO486">
        <v>0</v>
      </c>
    </row>
    <row r="487" spans="1:119" x14ac:dyDescent="0.2">
      <c r="A487">
        <f>ROW(Source!A205)</f>
        <v>205</v>
      </c>
      <c r="B487">
        <v>85739205</v>
      </c>
      <c r="C487">
        <v>85740048</v>
      </c>
      <c r="D487">
        <v>85198960</v>
      </c>
      <c r="E487">
        <v>1</v>
      </c>
      <c r="F487">
        <v>1</v>
      </c>
      <c r="G487">
        <v>1081</v>
      </c>
      <c r="H487">
        <v>3</v>
      </c>
      <c r="I487" t="s">
        <v>513</v>
      </c>
      <c r="J487" t="s">
        <v>514</v>
      </c>
      <c r="K487" t="s">
        <v>515</v>
      </c>
      <c r="L487">
        <v>1339</v>
      </c>
      <c r="N487">
        <v>1007</v>
      </c>
      <c r="O487" t="s">
        <v>506</v>
      </c>
      <c r="P487" t="s">
        <v>506</v>
      </c>
      <c r="Q487">
        <v>1</v>
      </c>
      <c r="W487">
        <v>0</v>
      </c>
      <c r="X487">
        <v>-1622585150</v>
      </c>
      <c r="Y487">
        <f>(AT487*1)</f>
        <v>10</v>
      </c>
      <c r="AA487">
        <v>7.27</v>
      </c>
      <c r="AB487">
        <v>0</v>
      </c>
      <c r="AC487">
        <v>0</v>
      </c>
      <c r="AD487">
        <v>0</v>
      </c>
      <c r="AE487">
        <v>7.07</v>
      </c>
      <c r="AF487">
        <v>0</v>
      </c>
      <c r="AG487">
        <v>0</v>
      </c>
      <c r="AH487">
        <v>0</v>
      </c>
      <c r="AI487">
        <v>1</v>
      </c>
      <c r="AJ487">
        <v>1</v>
      </c>
      <c r="AK487">
        <v>1</v>
      </c>
      <c r="AL487">
        <v>1</v>
      </c>
      <c r="AM487">
        <v>-2</v>
      </c>
      <c r="AN487">
        <v>0</v>
      </c>
      <c r="AO487">
        <v>1</v>
      </c>
      <c r="AP487">
        <v>1</v>
      </c>
      <c r="AQ487">
        <v>0</v>
      </c>
      <c r="AR487">
        <v>0</v>
      </c>
      <c r="AS487" t="s">
        <v>3</v>
      </c>
      <c r="AT487">
        <v>10</v>
      </c>
      <c r="AU487" t="s">
        <v>35</v>
      </c>
      <c r="AV487">
        <v>0</v>
      </c>
      <c r="AW487">
        <v>2</v>
      </c>
      <c r="AX487">
        <v>85740067</v>
      </c>
      <c r="AY487">
        <v>1</v>
      </c>
      <c r="AZ487">
        <v>0</v>
      </c>
      <c r="BA487">
        <v>505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V487">
        <v>0</v>
      </c>
      <c r="CW487">
        <v>0</v>
      </c>
      <c r="CX487">
        <f>ROUND(Y487*Source!I205,9)</f>
        <v>59</v>
      </c>
      <c r="CY487">
        <f>AA487</f>
        <v>7.27</v>
      </c>
      <c r="CZ487">
        <f>AE487</f>
        <v>7.07</v>
      </c>
      <c r="DA487">
        <f>AI487</f>
        <v>1</v>
      </c>
      <c r="DB487">
        <f>ROUND((ROUND(AT487*CZ487,2)*1),6)</f>
        <v>70.7</v>
      </c>
      <c r="DC487">
        <f>ROUND((ROUND(AT487*AG487,2)*1),6)</f>
        <v>0</v>
      </c>
      <c r="DD487" t="s">
        <v>3</v>
      </c>
      <c r="DE487" t="s">
        <v>3</v>
      </c>
      <c r="DF487">
        <f t="shared" si="205"/>
        <v>417.13</v>
      </c>
      <c r="DG487">
        <f t="shared" si="200"/>
        <v>0</v>
      </c>
      <c r="DH487">
        <f t="shared" si="201"/>
        <v>0</v>
      </c>
      <c r="DI487">
        <f t="shared" si="195"/>
        <v>0</v>
      </c>
      <c r="DJ487">
        <f>DF487</f>
        <v>417.13</v>
      </c>
      <c r="DK487">
        <v>0</v>
      </c>
      <c r="DL487" t="s">
        <v>3</v>
      </c>
      <c r="DM487">
        <v>0</v>
      </c>
      <c r="DN487" t="s">
        <v>3</v>
      </c>
      <c r="DO487">
        <v>0</v>
      </c>
    </row>
    <row r="488" spans="1:119" x14ac:dyDescent="0.2">
      <c r="A488">
        <f>ROW(Source!A205)</f>
        <v>205</v>
      </c>
      <c r="B488">
        <v>85739205</v>
      </c>
      <c r="C488">
        <v>85740048</v>
      </c>
      <c r="D488">
        <v>85200023</v>
      </c>
      <c r="E488">
        <v>1</v>
      </c>
      <c r="F488">
        <v>1</v>
      </c>
      <c r="G488">
        <v>1081</v>
      </c>
      <c r="H488">
        <v>3</v>
      </c>
      <c r="I488" t="s">
        <v>555</v>
      </c>
      <c r="J488" t="s">
        <v>556</v>
      </c>
      <c r="K488" t="s">
        <v>557</v>
      </c>
      <c r="L488">
        <v>1348</v>
      </c>
      <c r="N488">
        <v>1009</v>
      </c>
      <c r="O488" t="s">
        <v>266</v>
      </c>
      <c r="P488" t="s">
        <v>266</v>
      </c>
      <c r="Q488">
        <v>1000</v>
      </c>
      <c r="W488">
        <v>0</v>
      </c>
      <c r="X488">
        <v>63955816</v>
      </c>
      <c r="Y488">
        <f>(AT488*1)</f>
        <v>7.7000000000000002E-3</v>
      </c>
      <c r="AA488">
        <v>7387.02</v>
      </c>
      <c r="AB488">
        <v>0</v>
      </c>
      <c r="AC488">
        <v>0</v>
      </c>
      <c r="AD488">
        <v>0</v>
      </c>
      <c r="AE488">
        <v>7185.82</v>
      </c>
      <c r="AF488">
        <v>0</v>
      </c>
      <c r="AG488">
        <v>0</v>
      </c>
      <c r="AH488">
        <v>0</v>
      </c>
      <c r="AI488">
        <v>1</v>
      </c>
      <c r="AJ488">
        <v>1</v>
      </c>
      <c r="AK488">
        <v>1</v>
      </c>
      <c r="AL488">
        <v>1</v>
      </c>
      <c r="AM488">
        <v>-2</v>
      </c>
      <c r="AN488">
        <v>0</v>
      </c>
      <c r="AO488">
        <v>1</v>
      </c>
      <c r="AP488">
        <v>1</v>
      </c>
      <c r="AQ488">
        <v>0</v>
      </c>
      <c r="AR488">
        <v>0</v>
      </c>
      <c r="AS488" t="s">
        <v>3</v>
      </c>
      <c r="AT488">
        <v>7.7000000000000002E-3</v>
      </c>
      <c r="AU488" t="s">
        <v>35</v>
      </c>
      <c r="AV488">
        <v>0</v>
      </c>
      <c r="AW488">
        <v>2</v>
      </c>
      <c r="AX488">
        <v>85740068</v>
      </c>
      <c r="AY488">
        <v>1</v>
      </c>
      <c r="AZ488">
        <v>0</v>
      </c>
      <c r="BA488">
        <v>506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V488">
        <v>0</v>
      </c>
      <c r="CW488">
        <v>0</v>
      </c>
      <c r="CX488">
        <f>ROUND(Y488*Source!I205,9)</f>
        <v>4.5429999999999998E-2</v>
      </c>
      <c r="CY488">
        <f>AA488</f>
        <v>7387.02</v>
      </c>
      <c r="CZ488">
        <f>AE488</f>
        <v>7185.82</v>
      </c>
      <c r="DA488">
        <f>AI488</f>
        <v>1</v>
      </c>
      <c r="DB488">
        <f>ROUND((ROUND(AT488*CZ488,2)*1),6)</f>
        <v>55.33</v>
      </c>
      <c r="DC488">
        <f>ROUND((ROUND(AT488*AG488,2)*1),6)</f>
        <v>0</v>
      </c>
      <c r="DD488" t="s">
        <v>3</v>
      </c>
      <c r="DE488" t="s">
        <v>3</v>
      </c>
      <c r="DF488">
        <f t="shared" si="205"/>
        <v>326.45</v>
      </c>
      <c r="DG488">
        <f t="shared" si="200"/>
        <v>0</v>
      </c>
      <c r="DH488">
        <f t="shared" si="201"/>
        <v>0</v>
      </c>
      <c r="DI488">
        <f t="shared" si="195"/>
        <v>0</v>
      </c>
      <c r="DJ488">
        <f>DF488</f>
        <v>326.45</v>
      </c>
      <c r="DK488">
        <v>0</v>
      </c>
      <c r="DL488" t="s">
        <v>3</v>
      </c>
      <c r="DM488">
        <v>0</v>
      </c>
      <c r="DN488" t="s">
        <v>3</v>
      </c>
      <c r="DO488">
        <v>0</v>
      </c>
    </row>
    <row r="489" spans="1:119" x14ac:dyDescent="0.2">
      <c r="A489">
        <f>ROW(Source!A205)</f>
        <v>205</v>
      </c>
      <c r="B489">
        <v>85739205</v>
      </c>
      <c r="C489">
        <v>85740048</v>
      </c>
      <c r="D489">
        <v>85213619</v>
      </c>
      <c r="E489">
        <v>1</v>
      </c>
      <c r="F489">
        <v>1</v>
      </c>
      <c r="G489">
        <v>1081</v>
      </c>
      <c r="H489">
        <v>3</v>
      </c>
      <c r="I489" t="s">
        <v>186</v>
      </c>
      <c r="J489" t="s">
        <v>188</v>
      </c>
      <c r="K489" t="s">
        <v>187</v>
      </c>
      <c r="L489">
        <v>1301</v>
      </c>
      <c r="N489">
        <v>1003</v>
      </c>
      <c r="O489" t="s">
        <v>179</v>
      </c>
      <c r="P489" t="s">
        <v>179</v>
      </c>
      <c r="Q489">
        <v>1</v>
      </c>
      <c r="W489">
        <v>0</v>
      </c>
      <c r="X489">
        <v>-648477377</v>
      </c>
      <c r="Y489">
        <f>(AT489*1)</f>
        <v>100.5</v>
      </c>
      <c r="AA489">
        <v>80.59</v>
      </c>
      <c r="AB489">
        <v>0</v>
      </c>
      <c r="AC489">
        <v>0</v>
      </c>
      <c r="AD489">
        <v>0</v>
      </c>
      <c r="AE489">
        <v>80.59</v>
      </c>
      <c r="AF489">
        <v>0</v>
      </c>
      <c r="AG489">
        <v>0</v>
      </c>
      <c r="AH489">
        <v>0</v>
      </c>
      <c r="AI489">
        <v>1</v>
      </c>
      <c r="AJ489">
        <v>1</v>
      </c>
      <c r="AK489">
        <v>1</v>
      </c>
      <c r="AL489">
        <v>1</v>
      </c>
      <c r="AM489">
        <v>0</v>
      </c>
      <c r="AN489">
        <v>0</v>
      </c>
      <c r="AO489">
        <v>0</v>
      </c>
      <c r="AP489">
        <v>1</v>
      </c>
      <c r="AQ489">
        <v>0</v>
      </c>
      <c r="AR489">
        <v>0</v>
      </c>
      <c r="AS489" t="s">
        <v>3</v>
      </c>
      <c r="AT489">
        <v>100.5</v>
      </c>
      <c r="AU489" t="s">
        <v>35</v>
      </c>
      <c r="AV489">
        <v>0</v>
      </c>
      <c r="AW489">
        <v>1</v>
      </c>
      <c r="AX489">
        <v>-1</v>
      </c>
      <c r="AY489">
        <v>0</v>
      </c>
      <c r="AZ489">
        <v>0</v>
      </c>
      <c r="BA489" t="s">
        <v>3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V489">
        <v>0</v>
      </c>
      <c r="CW489">
        <v>0</v>
      </c>
      <c r="CX489">
        <f>ROUND(Y489*Source!I205,9)</f>
        <v>592.95000000000005</v>
      </c>
      <c r="CY489">
        <f>AA489</f>
        <v>80.59</v>
      </c>
      <c r="CZ489">
        <f>AE489</f>
        <v>80.59</v>
      </c>
      <c r="DA489">
        <f>AI489</f>
        <v>1</v>
      </c>
      <c r="DB489">
        <f>ROUND((ROUND(AT489*CZ489,2)*1),6)</f>
        <v>8099.3</v>
      </c>
      <c r="DC489">
        <f>ROUND((ROUND(AT489*AG489,2)*1),6)</f>
        <v>0</v>
      </c>
      <c r="DD489" t="s">
        <v>3</v>
      </c>
      <c r="DE489" t="s">
        <v>3</v>
      </c>
      <c r="DF489">
        <f t="shared" si="205"/>
        <v>47785.84</v>
      </c>
      <c r="DG489">
        <f t="shared" si="200"/>
        <v>0</v>
      </c>
      <c r="DH489">
        <f t="shared" si="201"/>
        <v>0</v>
      </c>
      <c r="DI489">
        <f t="shared" si="195"/>
        <v>0</v>
      </c>
      <c r="DJ489">
        <f>DF489</f>
        <v>47785.84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">
      <c r="A490">
        <f>ROW(Source!A206)</f>
        <v>206</v>
      </c>
      <c r="B490">
        <v>85739207</v>
      </c>
      <c r="C490">
        <v>85740048</v>
      </c>
      <c r="D490">
        <v>85164021</v>
      </c>
      <c r="E490">
        <v>1081</v>
      </c>
      <c r="F490">
        <v>1</v>
      </c>
      <c r="G490">
        <v>1081</v>
      </c>
      <c r="H490">
        <v>1</v>
      </c>
      <c r="I490" t="s">
        <v>472</v>
      </c>
      <c r="J490" t="s">
        <v>3</v>
      </c>
      <c r="K490" t="s">
        <v>473</v>
      </c>
      <c r="L490">
        <v>1191</v>
      </c>
      <c r="N490">
        <v>1013</v>
      </c>
      <c r="O490" t="s">
        <v>474</v>
      </c>
      <c r="P490" t="s">
        <v>474</v>
      </c>
      <c r="Q490">
        <v>1</v>
      </c>
      <c r="W490">
        <v>0</v>
      </c>
      <c r="X490">
        <v>476480486</v>
      </c>
      <c r="Y490">
        <f t="shared" ref="Y490:Y495" si="206">(AT490*1.2)</f>
        <v>190.79999999999998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</v>
      </c>
      <c r="AJ490">
        <v>1</v>
      </c>
      <c r="AK490">
        <v>1</v>
      </c>
      <c r="AL490">
        <v>1</v>
      </c>
      <c r="AM490">
        <v>5</v>
      </c>
      <c r="AN490">
        <v>0</v>
      </c>
      <c r="AO490">
        <v>1</v>
      </c>
      <c r="AP490">
        <v>1</v>
      </c>
      <c r="AQ490">
        <v>0</v>
      </c>
      <c r="AR490">
        <v>0</v>
      </c>
      <c r="AS490" t="s">
        <v>3</v>
      </c>
      <c r="AT490">
        <v>159</v>
      </c>
      <c r="AU490" t="s">
        <v>36</v>
      </c>
      <c r="AV490">
        <v>1</v>
      </c>
      <c r="AW490">
        <v>2</v>
      </c>
      <c r="AX490">
        <v>85740061</v>
      </c>
      <c r="AY490">
        <v>1</v>
      </c>
      <c r="AZ490">
        <v>0</v>
      </c>
      <c r="BA490">
        <v>508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U490">
        <f>ROUND(AT490*Source!I206*AH490*AL490,2)</f>
        <v>0</v>
      </c>
      <c r="CV490">
        <f>ROUND(Y490*Source!I206,9)</f>
        <v>1125.72</v>
      </c>
      <c r="CW490">
        <v>0</v>
      </c>
      <c r="CX490">
        <f>ROUND(Y490*Source!I206,9)</f>
        <v>1125.72</v>
      </c>
      <c r="CY490">
        <f>AD490</f>
        <v>0</v>
      </c>
      <c r="CZ490">
        <f>AH490</f>
        <v>0</v>
      </c>
      <c r="DA490">
        <f>AL490</f>
        <v>1</v>
      </c>
      <c r="DB490">
        <f t="shared" ref="DB490:DB495" si="207">ROUND((ROUND(AT490*CZ490,2)*1.2),6)</f>
        <v>0</v>
      </c>
      <c r="DC490">
        <f t="shared" ref="DC490:DC495" si="208">ROUND((ROUND(AT490*AG490,2)*1.2),6)</f>
        <v>0</v>
      </c>
      <c r="DD490" t="s">
        <v>3</v>
      </c>
      <c r="DE490" t="s">
        <v>3</v>
      </c>
      <c r="DF490">
        <f t="shared" si="205"/>
        <v>0</v>
      </c>
      <c r="DG490">
        <f t="shared" si="200"/>
        <v>0</v>
      </c>
      <c r="DH490">
        <f t="shared" si="201"/>
        <v>0</v>
      </c>
      <c r="DI490">
        <f t="shared" si="195"/>
        <v>0</v>
      </c>
      <c r="DJ490">
        <f>DI490</f>
        <v>0</v>
      </c>
      <c r="DK490">
        <v>0</v>
      </c>
      <c r="DL490" t="s">
        <v>3</v>
      </c>
      <c r="DM490">
        <v>0</v>
      </c>
      <c r="DN490" t="s">
        <v>3</v>
      </c>
      <c r="DO490">
        <v>0</v>
      </c>
    </row>
    <row r="491" spans="1:119" x14ac:dyDescent="0.2">
      <c r="A491">
        <f>ROW(Source!A206)</f>
        <v>206</v>
      </c>
      <c r="B491">
        <v>85739207</v>
      </c>
      <c r="C491">
        <v>85740048</v>
      </c>
      <c r="D491">
        <v>85229527</v>
      </c>
      <c r="E491">
        <v>1</v>
      </c>
      <c r="F491">
        <v>1</v>
      </c>
      <c r="G491">
        <v>1081</v>
      </c>
      <c r="H491">
        <v>2</v>
      </c>
      <c r="I491" t="s">
        <v>546</v>
      </c>
      <c r="J491" t="s">
        <v>547</v>
      </c>
      <c r="K491" t="s">
        <v>548</v>
      </c>
      <c r="L491">
        <v>1368</v>
      </c>
      <c r="N491">
        <v>1011</v>
      </c>
      <c r="O491" t="s">
        <v>478</v>
      </c>
      <c r="P491" t="s">
        <v>478</v>
      </c>
      <c r="Q491">
        <v>1</v>
      </c>
      <c r="W491">
        <v>0</v>
      </c>
      <c r="X491">
        <v>-1222619517</v>
      </c>
      <c r="Y491">
        <f t="shared" si="206"/>
        <v>11.28</v>
      </c>
      <c r="AA491">
        <v>0</v>
      </c>
      <c r="AB491">
        <v>1209.95</v>
      </c>
      <c r="AC491">
        <v>758.78</v>
      </c>
      <c r="AD491">
        <v>0</v>
      </c>
      <c r="AE491">
        <v>0</v>
      </c>
      <c r="AF491">
        <v>48.07</v>
      </c>
      <c r="AG491">
        <v>12.62</v>
      </c>
      <c r="AH491">
        <v>0</v>
      </c>
      <c r="AI491">
        <v>1</v>
      </c>
      <c r="AJ491">
        <v>23.59</v>
      </c>
      <c r="AK491">
        <v>56.35</v>
      </c>
      <c r="AL491">
        <v>1</v>
      </c>
      <c r="AM491">
        <v>2</v>
      </c>
      <c r="AN491">
        <v>0</v>
      </c>
      <c r="AO491">
        <v>1</v>
      </c>
      <c r="AP491">
        <v>1</v>
      </c>
      <c r="AQ491">
        <v>0</v>
      </c>
      <c r="AR491">
        <v>0</v>
      </c>
      <c r="AS491" t="s">
        <v>3</v>
      </c>
      <c r="AT491">
        <v>9.4</v>
      </c>
      <c r="AU491" t="s">
        <v>36</v>
      </c>
      <c r="AV491">
        <v>0</v>
      </c>
      <c r="AW491">
        <v>2</v>
      </c>
      <c r="AX491">
        <v>85740062</v>
      </c>
      <c r="AY491">
        <v>1</v>
      </c>
      <c r="AZ491">
        <v>0</v>
      </c>
      <c r="BA491">
        <v>509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V491">
        <v>0</v>
      </c>
      <c r="CW491">
        <f>ROUND(Y491*Source!I206*DO491,9)</f>
        <v>839.88624000000004</v>
      </c>
      <c r="CX491">
        <f>ROUND(Y491*Source!I206,9)</f>
        <v>66.552000000000007</v>
      </c>
      <c r="CY491">
        <f>AB491</f>
        <v>1209.95</v>
      </c>
      <c r="CZ491">
        <f>AF491</f>
        <v>48.07</v>
      </c>
      <c r="DA491">
        <f>AJ491</f>
        <v>23.59</v>
      </c>
      <c r="DB491">
        <f t="shared" si="207"/>
        <v>542.23199999999997</v>
      </c>
      <c r="DC491">
        <f t="shared" si="208"/>
        <v>142.35599999999999</v>
      </c>
      <c r="DD491" t="s">
        <v>3</v>
      </c>
      <c r="DE491" t="s">
        <v>3</v>
      </c>
      <c r="DF491">
        <f t="shared" si="205"/>
        <v>0</v>
      </c>
      <c r="DG491">
        <f>ROUND(ROUND(AF491*AJ491,2)*CX491,2)</f>
        <v>75467.97</v>
      </c>
      <c r="DH491">
        <f>ROUND(ROUND(AG491*AK491,2)*CX491,2)</f>
        <v>47327.79</v>
      </c>
      <c r="DI491">
        <f t="shared" si="195"/>
        <v>0</v>
      </c>
      <c r="DJ491">
        <f>DG491</f>
        <v>75467.97</v>
      </c>
      <c r="DK491">
        <v>0</v>
      </c>
      <c r="DL491" t="s">
        <v>485</v>
      </c>
      <c r="DM491">
        <v>0</v>
      </c>
      <c r="DN491" t="s">
        <v>474</v>
      </c>
      <c r="DO491">
        <v>12.62</v>
      </c>
    </row>
    <row r="492" spans="1:119" x14ac:dyDescent="0.2">
      <c r="A492">
        <f>ROW(Source!A206)</f>
        <v>206</v>
      </c>
      <c r="B492">
        <v>85739207</v>
      </c>
      <c r="C492">
        <v>85740048</v>
      </c>
      <c r="D492">
        <v>85229564</v>
      </c>
      <c r="E492">
        <v>1</v>
      </c>
      <c r="F492">
        <v>1</v>
      </c>
      <c r="G492">
        <v>1081</v>
      </c>
      <c r="H492">
        <v>2</v>
      </c>
      <c r="I492" t="s">
        <v>549</v>
      </c>
      <c r="J492" t="s">
        <v>550</v>
      </c>
      <c r="K492" t="s">
        <v>551</v>
      </c>
      <c r="L492">
        <v>1368</v>
      </c>
      <c r="N492">
        <v>1011</v>
      </c>
      <c r="O492" t="s">
        <v>478</v>
      </c>
      <c r="P492" t="s">
        <v>478</v>
      </c>
      <c r="Q492">
        <v>1</v>
      </c>
      <c r="W492">
        <v>0</v>
      </c>
      <c r="X492">
        <v>210297649</v>
      </c>
      <c r="Y492">
        <f t="shared" si="206"/>
        <v>10.199999999999999</v>
      </c>
      <c r="AA492">
        <v>0</v>
      </c>
      <c r="AB492">
        <v>65.790000000000006</v>
      </c>
      <c r="AC492">
        <v>0</v>
      </c>
      <c r="AD492">
        <v>0</v>
      </c>
      <c r="AE492">
        <v>0</v>
      </c>
      <c r="AF492">
        <v>5.79</v>
      </c>
      <c r="AG492">
        <v>0</v>
      </c>
      <c r="AH492">
        <v>0</v>
      </c>
      <c r="AI492">
        <v>1</v>
      </c>
      <c r="AJ492">
        <v>10.65</v>
      </c>
      <c r="AK492">
        <v>1</v>
      </c>
      <c r="AL492">
        <v>1</v>
      </c>
      <c r="AM492">
        <v>2</v>
      </c>
      <c r="AN492">
        <v>0</v>
      </c>
      <c r="AO492">
        <v>1</v>
      </c>
      <c r="AP492">
        <v>1</v>
      </c>
      <c r="AQ492">
        <v>0</v>
      </c>
      <c r="AR492">
        <v>0</v>
      </c>
      <c r="AS492" t="s">
        <v>3</v>
      </c>
      <c r="AT492">
        <v>8.5</v>
      </c>
      <c r="AU492" t="s">
        <v>36</v>
      </c>
      <c r="AV492">
        <v>0</v>
      </c>
      <c r="AW492">
        <v>2</v>
      </c>
      <c r="AX492">
        <v>85740063</v>
      </c>
      <c r="AY492">
        <v>1</v>
      </c>
      <c r="AZ492">
        <v>0</v>
      </c>
      <c r="BA492">
        <v>510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f>ROUND(Y492*Source!I206*DO492,9)</f>
        <v>0</v>
      </c>
      <c r="CX492">
        <f>ROUND(Y492*Source!I206,9)</f>
        <v>60.18</v>
      </c>
      <c r="CY492">
        <f>AB492</f>
        <v>65.790000000000006</v>
      </c>
      <c r="CZ492">
        <f>AF492</f>
        <v>5.79</v>
      </c>
      <c r="DA492">
        <f>AJ492</f>
        <v>10.65</v>
      </c>
      <c r="DB492">
        <f t="shared" si="207"/>
        <v>59.064</v>
      </c>
      <c r="DC492">
        <f t="shared" si="208"/>
        <v>0</v>
      </c>
      <c r="DD492" t="s">
        <v>3</v>
      </c>
      <c r="DE492" t="s">
        <v>3</v>
      </c>
      <c r="DF492">
        <f t="shared" si="205"/>
        <v>0</v>
      </c>
      <c r="DG492">
        <f>ROUND(ROUND(AF492*AJ492,2)*CX492,2)</f>
        <v>3710.7</v>
      </c>
      <c r="DH492">
        <f>ROUND(ROUND(AG492,2)*CX492,2)</f>
        <v>0</v>
      </c>
      <c r="DI492">
        <f t="shared" si="195"/>
        <v>0</v>
      </c>
      <c r="DJ492">
        <f>DG492</f>
        <v>3710.7</v>
      </c>
      <c r="DK492">
        <v>0</v>
      </c>
      <c r="DL492" t="s">
        <v>3</v>
      </c>
      <c r="DM492">
        <v>0</v>
      </c>
      <c r="DN492" t="s">
        <v>3</v>
      </c>
      <c r="DO492">
        <v>0</v>
      </c>
    </row>
    <row r="493" spans="1:119" x14ac:dyDescent="0.2">
      <c r="A493">
        <f>ROW(Source!A206)</f>
        <v>206</v>
      </c>
      <c r="B493">
        <v>85739207</v>
      </c>
      <c r="C493">
        <v>85740048</v>
      </c>
      <c r="D493">
        <v>85229633</v>
      </c>
      <c r="E493">
        <v>1</v>
      </c>
      <c r="F493">
        <v>1</v>
      </c>
      <c r="G493">
        <v>1081</v>
      </c>
      <c r="H493">
        <v>2</v>
      </c>
      <c r="I493" t="s">
        <v>475</v>
      </c>
      <c r="J493" t="s">
        <v>476</v>
      </c>
      <c r="K493" t="s">
        <v>477</v>
      </c>
      <c r="L493">
        <v>1368</v>
      </c>
      <c r="N493">
        <v>1011</v>
      </c>
      <c r="O493" t="s">
        <v>478</v>
      </c>
      <c r="P493" t="s">
        <v>478</v>
      </c>
      <c r="Q493">
        <v>1</v>
      </c>
      <c r="W493">
        <v>0</v>
      </c>
      <c r="X493">
        <v>1498588441</v>
      </c>
      <c r="Y493">
        <f t="shared" si="206"/>
        <v>30</v>
      </c>
      <c r="AA493">
        <v>0</v>
      </c>
      <c r="AB493">
        <v>102.11</v>
      </c>
      <c r="AC493">
        <v>0</v>
      </c>
      <c r="AD493">
        <v>0</v>
      </c>
      <c r="AE493">
        <v>0</v>
      </c>
      <c r="AF493">
        <v>7.11</v>
      </c>
      <c r="AG493">
        <v>0</v>
      </c>
      <c r="AH493">
        <v>0</v>
      </c>
      <c r="AI493">
        <v>1</v>
      </c>
      <c r="AJ493">
        <v>13.46</v>
      </c>
      <c r="AK493">
        <v>1</v>
      </c>
      <c r="AL493">
        <v>1</v>
      </c>
      <c r="AM493">
        <v>2</v>
      </c>
      <c r="AN493">
        <v>0</v>
      </c>
      <c r="AO493">
        <v>1</v>
      </c>
      <c r="AP493">
        <v>1</v>
      </c>
      <c r="AQ493">
        <v>0</v>
      </c>
      <c r="AR493">
        <v>0</v>
      </c>
      <c r="AS493" t="s">
        <v>3</v>
      </c>
      <c r="AT493">
        <v>25</v>
      </c>
      <c r="AU493" t="s">
        <v>36</v>
      </c>
      <c r="AV493">
        <v>0</v>
      </c>
      <c r="AW493">
        <v>2</v>
      </c>
      <c r="AX493">
        <v>85740064</v>
      </c>
      <c r="AY493">
        <v>1</v>
      </c>
      <c r="AZ493">
        <v>0</v>
      </c>
      <c r="BA493">
        <v>511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V493">
        <v>0</v>
      </c>
      <c r="CW493">
        <f>ROUND(Y493*Source!I206*DO493,9)</f>
        <v>0</v>
      </c>
      <c r="CX493">
        <f>ROUND(Y493*Source!I206,9)</f>
        <v>177</v>
      </c>
      <c r="CY493">
        <f>AB493</f>
        <v>102.11</v>
      </c>
      <c r="CZ493">
        <f>AF493</f>
        <v>7.11</v>
      </c>
      <c r="DA493">
        <f>AJ493</f>
        <v>13.46</v>
      </c>
      <c r="DB493">
        <f t="shared" si="207"/>
        <v>213.3</v>
      </c>
      <c r="DC493">
        <f t="shared" si="208"/>
        <v>0</v>
      </c>
      <c r="DD493" t="s">
        <v>3</v>
      </c>
      <c r="DE493" t="s">
        <v>3</v>
      </c>
      <c r="DF493">
        <f t="shared" si="205"/>
        <v>0</v>
      </c>
      <c r="DG493">
        <f>ROUND(ROUND(AF493*AJ493,2)*CX493,2)</f>
        <v>16938.900000000001</v>
      </c>
      <c r="DH493">
        <f>ROUND(ROUND(AG493,2)*CX493,2)</f>
        <v>0</v>
      </c>
      <c r="DI493">
        <f t="shared" si="195"/>
        <v>0</v>
      </c>
      <c r="DJ493">
        <f>DG493</f>
        <v>16938.900000000001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">
      <c r="A494">
        <f>ROW(Source!A206)</f>
        <v>206</v>
      </c>
      <c r="B494">
        <v>85739207</v>
      </c>
      <c r="C494">
        <v>85740048</v>
      </c>
      <c r="D494">
        <v>85229932</v>
      </c>
      <c r="E494">
        <v>1</v>
      </c>
      <c r="F494">
        <v>1</v>
      </c>
      <c r="G494">
        <v>1081</v>
      </c>
      <c r="H494">
        <v>2</v>
      </c>
      <c r="I494" t="s">
        <v>482</v>
      </c>
      <c r="J494" t="s">
        <v>483</v>
      </c>
      <c r="K494" t="s">
        <v>484</v>
      </c>
      <c r="L494">
        <v>1368</v>
      </c>
      <c r="N494">
        <v>1011</v>
      </c>
      <c r="O494" t="s">
        <v>478</v>
      </c>
      <c r="P494" t="s">
        <v>478</v>
      </c>
      <c r="Q494">
        <v>1</v>
      </c>
      <c r="W494">
        <v>0</v>
      </c>
      <c r="X494">
        <v>874612079</v>
      </c>
      <c r="Y494">
        <f t="shared" si="206"/>
        <v>1.9919999999999998</v>
      </c>
      <c r="AA494">
        <v>0</v>
      </c>
      <c r="AB494">
        <v>1513.56</v>
      </c>
      <c r="AC494">
        <v>758.78</v>
      </c>
      <c r="AD494">
        <v>0</v>
      </c>
      <c r="AE494">
        <v>0</v>
      </c>
      <c r="AF494">
        <v>83.1</v>
      </c>
      <c r="AG494">
        <v>12.62</v>
      </c>
      <c r="AH494">
        <v>0</v>
      </c>
      <c r="AI494">
        <v>1</v>
      </c>
      <c r="AJ494">
        <v>17.07</v>
      </c>
      <c r="AK494">
        <v>56.35</v>
      </c>
      <c r="AL494">
        <v>1</v>
      </c>
      <c r="AM494">
        <v>2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1.66</v>
      </c>
      <c r="AU494" t="s">
        <v>36</v>
      </c>
      <c r="AV494">
        <v>0</v>
      </c>
      <c r="AW494">
        <v>2</v>
      </c>
      <c r="AX494">
        <v>85740065</v>
      </c>
      <c r="AY494">
        <v>1</v>
      </c>
      <c r="AZ494">
        <v>0</v>
      </c>
      <c r="BA494">
        <v>512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V494">
        <v>0</v>
      </c>
      <c r="CW494">
        <f>ROUND(Y494*Source!I206*DO494,9)</f>
        <v>148.320336</v>
      </c>
      <c r="CX494">
        <f>ROUND(Y494*Source!I206,9)</f>
        <v>11.752800000000001</v>
      </c>
      <c r="CY494">
        <f>AB494</f>
        <v>1513.56</v>
      </c>
      <c r="CZ494">
        <f>AF494</f>
        <v>83.1</v>
      </c>
      <c r="DA494">
        <f>AJ494</f>
        <v>17.07</v>
      </c>
      <c r="DB494">
        <f t="shared" si="207"/>
        <v>165.54</v>
      </c>
      <c r="DC494">
        <f t="shared" si="208"/>
        <v>25.14</v>
      </c>
      <c r="DD494" t="s">
        <v>3</v>
      </c>
      <c r="DE494" t="s">
        <v>3</v>
      </c>
      <c r="DF494">
        <f t="shared" si="205"/>
        <v>0</v>
      </c>
      <c r="DG494">
        <f>ROUND(ROUND(AF494*AJ494,2)*CX494,2)</f>
        <v>16671.580000000002</v>
      </c>
      <c r="DH494">
        <f>ROUND(ROUND(AG494*AK494,2)*CX494,2)</f>
        <v>8357.89</v>
      </c>
      <c r="DI494">
        <f t="shared" si="195"/>
        <v>0</v>
      </c>
      <c r="DJ494">
        <f>DG494</f>
        <v>16671.580000000002</v>
      </c>
      <c r="DK494">
        <v>0</v>
      </c>
      <c r="DL494" t="s">
        <v>485</v>
      </c>
      <c r="DM494">
        <v>0</v>
      </c>
      <c r="DN494" t="s">
        <v>474</v>
      </c>
      <c r="DO494">
        <v>12.62</v>
      </c>
    </row>
    <row r="495" spans="1:119" x14ac:dyDescent="0.2">
      <c r="A495">
        <f>ROW(Source!A206)</f>
        <v>206</v>
      </c>
      <c r="B495">
        <v>85739207</v>
      </c>
      <c r="C495">
        <v>85740048</v>
      </c>
      <c r="D495">
        <v>85229250</v>
      </c>
      <c r="E495">
        <v>1</v>
      </c>
      <c r="F495">
        <v>1</v>
      </c>
      <c r="G495">
        <v>1081</v>
      </c>
      <c r="H495">
        <v>2</v>
      </c>
      <c r="I495" t="s">
        <v>552</v>
      </c>
      <c r="J495" t="s">
        <v>553</v>
      </c>
      <c r="K495" t="s">
        <v>554</v>
      </c>
      <c r="L495">
        <v>1368</v>
      </c>
      <c r="N495">
        <v>1011</v>
      </c>
      <c r="O495" t="s">
        <v>478</v>
      </c>
      <c r="P495" t="s">
        <v>478</v>
      </c>
      <c r="Q495">
        <v>1</v>
      </c>
      <c r="W495">
        <v>0</v>
      </c>
      <c r="X495">
        <v>-1755828087</v>
      </c>
      <c r="Y495">
        <f t="shared" si="206"/>
        <v>1.464</v>
      </c>
      <c r="AA495">
        <v>0</v>
      </c>
      <c r="AB495">
        <v>34.85</v>
      </c>
      <c r="AC495">
        <v>0</v>
      </c>
      <c r="AD495">
        <v>0</v>
      </c>
      <c r="AE495">
        <v>0</v>
      </c>
      <c r="AF495">
        <v>3.18</v>
      </c>
      <c r="AG495">
        <v>0</v>
      </c>
      <c r="AH495">
        <v>0</v>
      </c>
      <c r="AI495">
        <v>1</v>
      </c>
      <c r="AJ495">
        <v>10.27</v>
      </c>
      <c r="AK495">
        <v>1</v>
      </c>
      <c r="AL495">
        <v>1</v>
      </c>
      <c r="AM495">
        <v>2</v>
      </c>
      <c r="AN495">
        <v>0</v>
      </c>
      <c r="AO495">
        <v>1</v>
      </c>
      <c r="AP495">
        <v>1</v>
      </c>
      <c r="AQ495">
        <v>0</v>
      </c>
      <c r="AR495">
        <v>0</v>
      </c>
      <c r="AS495" t="s">
        <v>3</v>
      </c>
      <c r="AT495">
        <v>1.22</v>
      </c>
      <c r="AU495" t="s">
        <v>36</v>
      </c>
      <c r="AV495">
        <v>0</v>
      </c>
      <c r="AW495">
        <v>2</v>
      </c>
      <c r="AX495">
        <v>85740066</v>
      </c>
      <c r="AY495">
        <v>1</v>
      </c>
      <c r="AZ495">
        <v>0</v>
      </c>
      <c r="BA495">
        <v>513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V495">
        <v>0</v>
      </c>
      <c r="CW495">
        <f>ROUND(Y495*Source!I206*DO495,9)</f>
        <v>0</v>
      </c>
      <c r="CX495">
        <f>ROUND(Y495*Source!I206,9)</f>
        <v>8.6376000000000008</v>
      </c>
      <c r="CY495">
        <f>AB495</f>
        <v>34.85</v>
      </c>
      <c r="CZ495">
        <f>AF495</f>
        <v>3.18</v>
      </c>
      <c r="DA495">
        <f>AJ495</f>
        <v>10.27</v>
      </c>
      <c r="DB495">
        <f t="shared" si="207"/>
        <v>4.6559999999999997</v>
      </c>
      <c r="DC495">
        <f t="shared" si="208"/>
        <v>0</v>
      </c>
      <c r="DD495" t="s">
        <v>3</v>
      </c>
      <c r="DE495" t="s">
        <v>3</v>
      </c>
      <c r="DF495">
        <f t="shared" si="205"/>
        <v>0</v>
      </c>
      <c r="DG495">
        <f>ROUND(ROUND(AF495*AJ495,2)*CX495,2)</f>
        <v>282.10000000000002</v>
      </c>
      <c r="DH495">
        <f t="shared" ref="DH495:DH508" si="209">ROUND(ROUND(AG495,2)*CX495,2)</f>
        <v>0</v>
      </c>
      <c r="DI495">
        <f t="shared" si="195"/>
        <v>0</v>
      </c>
      <c r="DJ495">
        <f>DG495</f>
        <v>282.10000000000002</v>
      </c>
      <c r="DK495">
        <v>0</v>
      </c>
      <c r="DL495" t="s">
        <v>3</v>
      </c>
      <c r="DM495">
        <v>0</v>
      </c>
      <c r="DN495" t="s">
        <v>3</v>
      </c>
      <c r="DO495">
        <v>0</v>
      </c>
    </row>
    <row r="496" spans="1:119" x14ac:dyDescent="0.2">
      <c r="A496">
        <f>ROW(Source!A206)</f>
        <v>206</v>
      </c>
      <c r="B496">
        <v>85739207</v>
      </c>
      <c r="C496">
        <v>85740048</v>
      </c>
      <c r="D496">
        <v>85198960</v>
      </c>
      <c r="E496">
        <v>1</v>
      </c>
      <c r="F496">
        <v>1</v>
      </c>
      <c r="G496">
        <v>1081</v>
      </c>
      <c r="H496">
        <v>3</v>
      </c>
      <c r="I496" t="s">
        <v>513</v>
      </c>
      <c r="J496" t="s">
        <v>514</v>
      </c>
      <c r="K496" t="s">
        <v>515</v>
      </c>
      <c r="L496">
        <v>1339</v>
      </c>
      <c r="N496">
        <v>1007</v>
      </c>
      <c r="O496" t="s">
        <v>506</v>
      </c>
      <c r="P496" t="s">
        <v>506</v>
      </c>
      <c r="Q496">
        <v>1</v>
      </c>
      <c r="W496">
        <v>0</v>
      </c>
      <c r="X496">
        <v>-1622585150</v>
      </c>
      <c r="Y496">
        <f>(AT496*1)</f>
        <v>10</v>
      </c>
      <c r="AA496">
        <v>56.33</v>
      </c>
      <c r="AB496">
        <v>0</v>
      </c>
      <c r="AC496">
        <v>0</v>
      </c>
      <c r="AD496">
        <v>0</v>
      </c>
      <c r="AE496">
        <v>7.07</v>
      </c>
      <c r="AF496">
        <v>0</v>
      </c>
      <c r="AG496">
        <v>0</v>
      </c>
      <c r="AH496">
        <v>0</v>
      </c>
      <c r="AI496">
        <v>7.75</v>
      </c>
      <c r="AJ496">
        <v>1</v>
      </c>
      <c r="AK496">
        <v>1</v>
      </c>
      <c r="AL496">
        <v>1</v>
      </c>
      <c r="AM496">
        <v>2</v>
      </c>
      <c r="AN496">
        <v>0</v>
      </c>
      <c r="AO496">
        <v>1</v>
      </c>
      <c r="AP496">
        <v>1</v>
      </c>
      <c r="AQ496">
        <v>0</v>
      </c>
      <c r="AR496">
        <v>0</v>
      </c>
      <c r="AS496" t="s">
        <v>3</v>
      </c>
      <c r="AT496">
        <v>10</v>
      </c>
      <c r="AU496" t="s">
        <v>35</v>
      </c>
      <c r="AV496">
        <v>0</v>
      </c>
      <c r="AW496">
        <v>2</v>
      </c>
      <c r="AX496">
        <v>85740067</v>
      </c>
      <c r="AY496">
        <v>1</v>
      </c>
      <c r="AZ496">
        <v>0</v>
      </c>
      <c r="BA496">
        <v>514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V496">
        <v>0</v>
      </c>
      <c r="CW496">
        <v>0</v>
      </c>
      <c r="CX496">
        <f>ROUND(Y496*Source!I206,9)</f>
        <v>59</v>
      </c>
      <c r="CY496">
        <f>AA496</f>
        <v>56.33</v>
      </c>
      <c r="CZ496">
        <f>AE496</f>
        <v>7.07</v>
      </c>
      <c r="DA496">
        <f>AI496</f>
        <v>7.75</v>
      </c>
      <c r="DB496">
        <f>ROUND((ROUND(AT496*CZ496,2)*1),6)</f>
        <v>70.7</v>
      </c>
      <c r="DC496">
        <f>ROUND((ROUND(AT496*AG496,2)*1),6)</f>
        <v>0</v>
      </c>
      <c r="DD496" t="s">
        <v>3</v>
      </c>
      <c r="DE496" t="s">
        <v>3</v>
      </c>
      <c r="DF496">
        <f>ROUND(ROUND(AE496*AI496,2)*CX496,2)</f>
        <v>3232.61</v>
      </c>
      <c r="DG496">
        <f t="shared" ref="DG496:DG507" si="210">ROUND(ROUND(AF496,2)*CX496,2)</f>
        <v>0</v>
      </c>
      <c r="DH496">
        <f t="shared" si="209"/>
        <v>0</v>
      </c>
      <c r="DI496">
        <f t="shared" si="195"/>
        <v>0</v>
      </c>
      <c r="DJ496">
        <f>DF496</f>
        <v>3232.61</v>
      </c>
      <c r="DK496">
        <v>0</v>
      </c>
      <c r="DL496" t="s">
        <v>3</v>
      </c>
      <c r="DM496">
        <v>0</v>
      </c>
      <c r="DN496" t="s">
        <v>3</v>
      </c>
      <c r="DO496">
        <v>0</v>
      </c>
    </row>
    <row r="497" spans="1:119" x14ac:dyDescent="0.2">
      <c r="A497">
        <f>ROW(Source!A206)</f>
        <v>206</v>
      </c>
      <c r="B497">
        <v>85739207</v>
      </c>
      <c r="C497">
        <v>85740048</v>
      </c>
      <c r="D497">
        <v>85200023</v>
      </c>
      <c r="E497">
        <v>1</v>
      </c>
      <c r="F497">
        <v>1</v>
      </c>
      <c r="G497">
        <v>1081</v>
      </c>
      <c r="H497">
        <v>3</v>
      </c>
      <c r="I497" t="s">
        <v>555</v>
      </c>
      <c r="J497" t="s">
        <v>556</v>
      </c>
      <c r="K497" t="s">
        <v>557</v>
      </c>
      <c r="L497">
        <v>1348</v>
      </c>
      <c r="N497">
        <v>1009</v>
      </c>
      <c r="O497" t="s">
        <v>266</v>
      </c>
      <c r="P497" t="s">
        <v>266</v>
      </c>
      <c r="Q497">
        <v>1000</v>
      </c>
      <c r="W497">
        <v>0</v>
      </c>
      <c r="X497">
        <v>63955816</v>
      </c>
      <c r="Y497">
        <f>(AT497*1)</f>
        <v>7.7000000000000002E-3</v>
      </c>
      <c r="AA497">
        <v>99503.2</v>
      </c>
      <c r="AB497">
        <v>0</v>
      </c>
      <c r="AC497">
        <v>0</v>
      </c>
      <c r="AD497">
        <v>0</v>
      </c>
      <c r="AE497">
        <v>7185.82</v>
      </c>
      <c r="AF497">
        <v>0</v>
      </c>
      <c r="AG497">
        <v>0</v>
      </c>
      <c r="AH497">
        <v>0</v>
      </c>
      <c r="AI497">
        <v>13.47</v>
      </c>
      <c r="AJ497">
        <v>1</v>
      </c>
      <c r="AK497">
        <v>1</v>
      </c>
      <c r="AL497">
        <v>1</v>
      </c>
      <c r="AM497">
        <v>2</v>
      </c>
      <c r="AN497">
        <v>0</v>
      </c>
      <c r="AO497">
        <v>1</v>
      </c>
      <c r="AP497">
        <v>1</v>
      </c>
      <c r="AQ497">
        <v>0</v>
      </c>
      <c r="AR497">
        <v>0</v>
      </c>
      <c r="AS497" t="s">
        <v>3</v>
      </c>
      <c r="AT497">
        <v>7.7000000000000002E-3</v>
      </c>
      <c r="AU497" t="s">
        <v>35</v>
      </c>
      <c r="AV497">
        <v>0</v>
      </c>
      <c r="AW497">
        <v>2</v>
      </c>
      <c r="AX497">
        <v>85740068</v>
      </c>
      <c r="AY497">
        <v>1</v>
      </c>
      <c r="AZ497">
        <v>0</v>
      </c>
      <c r="BA497">
        <v>515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V497">
        <v>0</v>
      </c>
      <c r="CW497">
        <v>0</v>
      </c>
      <c r="CX497">
        <f>ROUND(Y497*Source!I206,9)</f>
        <v>4.5429999999999998E-2</v>
      </c>
      <c r="CY497">
        <f>AA497</f>
        <v>99503.2</v>
      </c>
      <c r="CZ497">
        <f>AE497</f>
        <v>7185.82</v>
      </c>
      <c r="DA497">
        <f>AI497</f>
        <v>13.47</v>
      </c>
      <c r="DB497">
        <f>ROUND((ROUND(AT497*CZ497,2)*1),6)</f>
        <v>55.33</v>
      </c>
      <c r="DC497">
        <f>ROUND((ROUND(AT497*AG497,2)*1),6)</f>
        <v>0</v>
      </c>
      <c r="DD497" t="s">
        <v>3</v>
      </c>
      <c r="DE497" t="s">
        <v>3</v>
      </c>
      <c r="DF497">
        <f>ROUND(ROUND(AE497*AI497,2)*CX497,2)</f>
        <v>4397.3100000000004</v>
      </c>
      <c r="DG497">
        <f t="shared" si="210"/>
        <v>0</v>
      </c>
      <c r="DH497">
        <f t="shared" si="209"/>
        <v>0</v>
      </c>
      <c r="DI497">
        <f t="shared" si="195"/>
        <v>0</v>
      </c>
      <c r="DJ497">
        <f>DF497</f>
        <v>4397.3100000000004</v>
      </c>
      <c r="DK497">
        <v>0</v>
      </c>
      <c r="DL497" t="s">
        <v>3</v>
      </c>
      <c r="DM497">
        <v>0</v>
      </c>
      <c r="DN497" t="s">
        <v>3</v>
      </c>
      <c r="DO497">
        <v>0</v>
      </c>
    </row>
    <row r="498" spans="1:119" x14ac:dyDescent="0.2">
      <c r="A498">
        <f>ROW(Source!A206)</f>
        <v>206</v>
      </c>
      <c r="B498">
        <v>85739207</v>
      </c>
      <c r="C498">
        <v>85740048</v>
      </c>
      <c r="D498">
        <v>85213619</v>
      </c>
      <c r="E498">
        <v>1</v>
      </c>
      <c r="F498">
        <v>1</v>
      </c>
      <c r="G498">
        <v>1081</v>
      </c>
      <c r="H498">
        <v>3</v>
      </c>
      <c r="I498" t="s">
        <v>186</v>
      </c>
      <c r="J498" t="s">
        <v>188</v>
      </c>
      <c r="K498" t="s">
        <v>187</v>
      </c>
      <c r="L498">
        <v>1301</v>
      </c>
      <c r="N498">
        <v>1003</v>
      </c>
      <c r="O498" t="s">
        <v>179</v>
      </c>
      <c r="P498" t="s">
        <v>179</v>
      </c>
      <c r="Q498">
        <v>1</v>
      </c>
      <c r="W498">
        <v>0</v>
      </c>
      <c r="X498">
        <v>-648477377</v>
      </c>
      <c r="Y498">
        <f>(AT498*1)</f>
        <v>100.5</v>
      </c>
      <c r="AA498">
        <v>369.91</v>
      </c>
      <c r="AB498">
        <v>0</v>
      </c>
      <c r="AC498">
        <v>0</v>
      </c>
      <c r="AD498">
        <v>0</v>
      </c>
      <c r="AE498">
        <v>80.59</v>
      </c>
      <c r="AF498">
        <v>0</v>
      </c>
      <c r="AG498">
        <v>0</v>
      </c>
      <c r="AH498">
        <v>0</v>
      </c>
      <c r="AI498">
        <v>4.59</v>
      </c>
      <c r="AJ498">
        <v>1</v>
      </c>
      <c r="AK498">
        <v>1</v>
      </c>
      <c r="AL498">
        <v>1</v>
      </c>
      <c r="AM498">
        <v>0</v>
      </c>
      <c r="AN498">
        <v>0</v>
      </c>
      <c r="AO498">
        <v>0</v>
      </c>
      <c r="AP498">
        <v>1</v>
      </c>
      <c r="AQ498">
        <v>0</v>
      </c>
      <c r="AR498">
        <v>0</v>
      </c>
      <c r="AS498" t="s">
        <v>3</v>
      </c>
      <c r="AT498">
        <v>100.5</v>
      </c>
      <c r="AU498" t="s">
        <v>35</v>
      </c>
      <c r="AV498">
        <v>0</v>
      </c>
      <c r="AW498">
        <v>1</v>
      </c>
      <c r="AX498">
        <v>-1</v>
      </c>
      <c r="AY498">
        <v>0</v>
      </c>
      <c r="AZ498">
        <v>0</v>
      </c>
      <c r="BA498" t="s">
        <v>3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V498">
        <v>0</v>
      </c>
      <c r="CW498">
        <v>0</v>
      </c>
      <c r="CX498">
        <f>ROUND(Y498*Source!I206,9)</f>
        <v>592.95000000000005</v>
      </c>
      <c r="CY498">
        <f>AA498</f>
        <v>369.91</v>
      </c>
      <c r="CZ498">
        <f>AE498</f>
        <v>80.59</v>
      </c>
      <c r="DA498">
        <f>AI498</f>
        <v>4.59</v>
      </c>
      <c r="DB498">
        <f>ROUND((ROUND(AT498*CZ498,2)*1),6)</f>
        <v>8099.3</v>
      </c>
      <c r="DC498">
        <f>ROUND((ROUND(AT498*AG498,2)*1),6)</f>
        <v>0</v>
      </c>
      <c r="DD498" t="s">
        <v>3</v>
      </c>
      <c r="DE498" t="s">
        <v>3</v>
      </c>
      <c r="DF498">
        <f>ROUND(ROUND(AE498*AI498,2)*CX498,2)</f>
        <v>219338.13</v>
      </c>
      <c r="DG498">
        <f t="shared" si="210"/>
        <v>0</v>
      </c>
      <c r="DH498">
        <f t="shared" si="209"/>
        <v>0</v>
      </c>
      <c r="DI498">
        <f t="shared" si="195"/>
        <v>0</v>
      </c>
      <c r="DJ498">
        <f>DF498</f>
        <v>219338.13</v>
      </c>
      <c r="DK498">
        <v>0</v>
      </c>
      <c r="DL498" t="s">
        <v>3</v>
      </c>
      <c r="DM498">
        <v>0</v>
      </c>
      <c r="DN498" t="s">
        <v>3</v>
      </c>
      <c r="DO498">
        <v>0</v>
      </c>
    </row>
    <row r="499" spans="1:119" x14ac:dyDescent="0.2">
      <c r="A499">
        <f>ROW(Source!A209)</f>
        <v>209</v>
      </c>
      <c r="B499">
        <v>85739205</v>
      </c>
      <c r="C499">
        <v>85740146</v>
      </c>
      <c r="D499">
        <v>85164021</v>
      </c>
      <c r="E499">
        <v>1081</v>
      </c>
      <c r="F499">
        <v>1</v>
      </c>
      <c r="G499">
        <v>1081</v>
      </c>
      <c r="H499">
        <v>1</v>
      </c>
      <c r="I499" t="s">
        <v>472</v>
      </c>
      <c r="J499" t="s">
        <v>3</v>
      </c>
      <c r="K499" t="s">
        <v>473</v>
      </c>
      <c r="L499">
        <v>1191</v>
      </c>
      <c r="N499">
        <v>1013</v>
      </c>
      <c r="O499" t="s">
        <v>474</v>
      </c>
      <c r="P499" t="s">
        <v>474</v>
      </c>
      <c r="Q499">
        <v>1</v>
      </c>
      <c r="W499">
        <v>0</v>
      </c>
      <c r="X499">
        <v>476480486</v>
      </c>
      <c r="Y499">
        <f>(AT499*1.2)</f>
        <v>6.48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</v>
      </c>
      <c r="AJ499">
        <v>1</v>
      </c>
      <c r="AK499">
        <v>1</v>
      </c>
      <c r="AL499">
        <v>1</v>
      </c>
      <c r="AM499">
        <v>-2</v>
      </c>
      <c r="AN499">
        <v>0</v>
      </c>
      <c r="AO499">
        <v>1</v>
      </c>
      <c r="AP499">
        <v>1</v>
      </c>
      <c r="AQ499">
        <v>0</v>
      </c>
      <c r="AR499">
        <v>0</v>
      </c>
      <c r="AS499" t="s">
        <v>3</v>
      </c>
      <c r="AT499">
        <v>5.4</v>
      </c>
      <c r="AU499" t="s">
        <v>36</v>
      </c>
      <c r="AV499">
        <v>1</v>
      </c>
      <c r="AW499">
        <v>2</v>
      </c>
      <c r="AX499">
        <v>85740155</v>
      </c>
      <c r="AY499">
        <v>1</v>
      </c>
      <c r="AZ499">
        <v>0</v>
      </c>
      <c r="BA499">
        <v>517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U499">
        <f>ROUND(AT499*Source!I209*AH499*AL499,2)</f>
        <v>0</v>
      </c>
      <c r="CV499">
        <f>ROUND(Y499*Source!I209,9)</f>
        <v>155.52000000000001</v>
      </c>
      <c r="CW499">
        <v>0</v>
      </c>
      <c r="CX499">
        <f>ROUND(Y499*Source!I209,9)</f>
        <v>155.52000000000001</v>
      </c>
      <c r="CY499">
        <f>AD499</f>
        <v>0</v>
      </c>
      <c r="CZ499">
        <f>AH499</f>
        <v>0</v>
      </c>
      <c r="DA499">
        <f>AL499</f>
        <v>1</v>
      </c>
      <c r="DB499">
        <f>ROUND((ROUND(AT499*CZ499,2)*1.2),6)</f>
        <v>0</v>
      </c>
      <c r="DC499">
        <f>ROUND((ROUND(AT499*AG499,2)*1.2),6)</f>
        <v>0</v>
      </c>
      <c r="DD499" t="s">
        <v>3</v>
      </c>
      <c r="DE499" t="s">
        <v>3</v>
      </c>
      <c r="DF499">
        <f t="shared" ref="DF499:DF509" si="211">ROUND(ROUND(AE499,2)*CX499,2)</f>
        <v>0</v>
      </c>
      <c r="DG499">
        <f t="shared" si="210"/>
        <v>0</v>
      </c>
      <c r="DH499">
        <f t="shared" si="209"/>
        <v>0</v>
      </c>
      <c r="DI499">
        <f t="shared" si="195"/>
        <v>0</v>
      </c>
      <c r="DJ499">
        <f>DI499</f>
        <v>0</v>
      </c>
      <c r="DK499">
        <v>0</v>
      </c>
      <c r="DL499" t="s">
        <v>3</v>
      </c>
      <c r="DM499">
        <v>0</v>
      </c>
      <c r="DN499" t="s">
        <v>3</v>
      </c>
      <c r="DO499">
        <v>0</v>
      </c>
    </row>
    <row r="500" spans="1:119" x14ac:dyDescent="0.2">
      <c r="A500">
        <f>ROW(Source!A209)</f>
        <v>209</v>
      </c>
      <c r="B500">
        <v>85739205</v>
      </c>
      <c r="C500">
        <v>85740146</v>
      </c>
      <c r="D500">
        <v>85229633</v>
      </c>
      <c r="E500">
        <v>1</v>
      </c>
      <c r="F500">
        <v>1</v>
      </c>
      <c r="G500">
        <v>1081</v>
      </c>
      <c r="H500">
        <v>2</v>
      </c>
      <c r="I500" t="s">
        <v>475</v>
      </c>
      <c r="J500" t="s">
        <v>476</v>
      </c>
      <c r="K500" t="s">
        <v>477</v>
      </c>
      <c r="L500">
        <v>1368</v>
      </c>
      <c r="N500">
        <v>1011</v>
      </c>
      <c r="O500" t="s">
        <v>478</v>
      </c>
      <c r="P500" t="s">
        <v>478</v>
      </c>
      <c r="Q500">
        <v>1</v>
      </c>
      <c r="W500">
        <v>0</v>
      </c>
      <c r="X500">
        <v>1498588441</v>
      </c>
      <c r="Y500">
        <f>(AT500*1.2)</f>
        <v>1.08</v>
      </c>
      <c r="AA500">
        <v>0</v>
      </c>
      <c r="AB500">
        <v>7.59</v>
      </c>
      <c r="AC500">
        <v>0</v>
      </c>
      <c r="AD500">
        <v>0</v>
      </c>
      <c r="AE500">
        <v>0</v>
      </c>
      <c r="AF500">
        <v>7.11</v>
      </c>
      <c r="AG500">
        <v>0</v>
      </c>
      <c r="AH500">
        <v>0</v>
      </c>
      <c r="AI500">
        <v>1</v>
      </c>
      <c r="AJ500">
        <v>1</v>
      </c>
      <c r="AK500">
        <v>1</v>
      </c>
      <c r="AL500">
        <v>1</v>
      </c>
      <c r="AM500">
        <v>-2</v>
      </c>
      <c r="AN500">
        <v>0</v>
      </c>
      <c r="AO500">
        <v>1</v>
      </c>
      <c r="AP500">
        <v>1</v>
      </c>
      <c r="AQ500">
        <v>0</v>
      </c>
      <c r="AR500">
        <v>0</v>
      </c>
      <c r="AS500" t="s">
        <v>3</v>
      </c>
      <c r="AT500">
        <v>0.9</v>
      </c>
      <c r="AU500" t="s">
        <v>36</v>
      </c>
      <c r="AV500">
        <v>0</v>
      </c>
      <c r="AW500">
        <v>2</v>
      </c>
      <c r="AX500">
        <v>85740156</v>
      </c>
      <c r="AY500">
        <v>1</v>
      </c>
      <c r="AZ500">
        <v>0</v>
      </c>
      <c r="BA500">
        <v>518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V500">
        <v>0</v>
      </c>
      <c r="CW500">
        <f>ROUND(Y500*Source!I209*DO500,9)</f>
        <v>0</v>
      </c>
      <c r="CX500">
        <f>ROUND(Y500*Source!I209,9)</f>
        <v>25.92</v>
      </c>
      <c r="CY500">
        <f>AB500</f>
        <v>7.59</v>
      </c>
      <c r="CZ500">
        <f>AF500</f>
        <v>7.11</v>
      </c>
      <c r="DA500">
        <f>AJ500</f>
        <v>1</v>
      </c>
      <c r="DB500">
        <f>ROUND((ROUND(AT500*CZ500,2)*1.2),6)</f>
        <v>7.68</v>
      </c>
      <c r="DC500">
        <f>ROUND((ROUND(AT500*AG500,2)*1.2),6)</f>
        <v>0</v>
      </c>
      <c r="DD500" t="s">
        <v>3</v>
      </c>
      <c r="DE500" t="s">
        <v>3</v>
      </c>
      <c r="DF500">
        <f t="shared" si="211"/>
        <v>0</v>
      </c>
      <c r="DG500">
        <f t="shared" si="210"/>
        <v>184.29</v>
      </c>
      <c r="DH500">
        <f t="shared" si="209"/>
        <v>0</v>
      </c>
      <c r="DI500">
        <f t="shared" si="195"/>
        <v>0</v>
      </c>
      <c r="DJ500">
        <f>DG500</f>
        <v>184.29</v>
      </c>
      <c r="DK500">
        <v>0</v>
      </c>
      <c r="DL500" t="s">
        <v>3</v>
      </c>
      <c r="DM500">
        <v>0</v>
      </c>
      <c r="DN500" t="s">
        <v>3</v>
      </c>
      <c r="DO500">
        <v>0</v>
      </c>
    </row>
    <row r="501" spans="1:119" x14ac:dyDescent="0.2">
      <c r="A501">
        <f>ROW(Source!A209)</f>
        <v>209</v>
      </c>
      <c r="B501">
        <v>85739205</v>
      </c>
      <c r="C501">
        <v>85740146</v>
      </c>
      <c r="D501">
        <v>85229932</v>
      </c>
      <c r="E501">
        <v>1</v>
      </c>
      <c r="F501">
        <v>1</v>
      </c>
      <c r="G501">
        <v>1081</v>
      </c>
      <c r="H501">
        <v>2</v>
      </c>
      <c r="I501" t="s">
        <v>482</v>
      </c>
      <c r="J501" t="s">
        <v>483</v>
      </c>
      <c r="K501" t="s">
        <v>484</v>
      </c>
      <c r="L501">
        <v>1368</v>
      </c>
      <c r="N501">
        <v>1011</v>
      </c>
      <c r="O501" t="s">
        <v>478</v>
      </c>
      <c r="P501" t="s">
        <v>478</v>
      </c>
      <c r="Q501">
        <v>1</v>
      </c>
      <c r="W501">
        <v>0</v>
      </c>
      <c r="X501">
        <v>874612079</v>
      </c>
      <c r="Y501">
        <f>(AT501*1.2)</f>
        <v>2.4E-2</v>
      </c>
      <c r="AA501">
        <v>0</v>
      </c>
      <c r="AB501">
        <v>88.67</v>
      </c>
      <c r="AC501">
        <v>13.47</v>
      </c>
      <c r="AD501">
        <v>0</v>
      </c>
      <c r="AE501">
        <v>0</v>
      </c>
      <c r="AF501">
        <v>83.1</v>
      </c>
      <c r="AG501">
        <v>12.62</v>
      </c>
      <c r="AH501">
        <v>0</v>
      </c>
      <c r="AI501">
        <v>1</v>
      </c>
      <c r="AJ501">
        <v>1</v>
      </c>
      <c r="AK501">
        <v>1</v>
      </c>
      <c r="AL501">
        <v>1</v>
      </c>
      <c r="AM501">
        <v>-2</v>
      </c>
      <c r="AN501">
        <v>0</v>
      </c>
      <c r="AO501">
        <v>1</v>
      </c>
      <c r="AP501">
        <v>1</v>
      </c>
      <c r="AQ501">
        <v>0</v>
      </c>
      <c r="AR501">
        <v>0</v>
      </c>
      <c r="AS501" t="s">
        <v>3</v>
      </c>
      <c r="AT501">
        <v>0.02</v>
      </c>
      <c r="AU501" t="s">
        <v>36</v>
      </c>
      <c r="AV501">
        <v>0</v>
      </c>
      <c r="AW501">
        <v>2</v>
      </c>
      <c r="AX501">
        <v>85740157</v>
      </c>
      <c r="AY501">
        <v>1</v>
      </c>
      <c r="AZ501">
        <v>0</v>
      </c>
      <c r="BA501">
        <v>519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V501">
        <v>0</v>
      </c>
      <c r="CW501">
        <f>ROUND(Y501*Source!I209*DO501,9)</f>
        <v>7.26912</v>
      </c>
      <c r="CX501">
        <f>ROUND(Y501*Source!I209,9)</f>
        <v>0.57599999999999996</v>
      </c>
      <c r="CY501">
        <f>AB501</f>
        <v>88.67</v>
      </c>
      <c r="CZ501">
        <f>AF501</f>
        <v>83.1</v>
      </c>
      <c r="DA501">
        <f>AJ501</f>
        <v>1</v>
      </c>
      <c r="DB501">
        <f>ROUND((ROUND(AT501*CZ501,2)*1.2),6)</f>
        <v>1.992</v>
      </c>
      <c r="DC501">
        <f>ROUND((ROUND(AT501*AG501,2)*1.2),6)</f>
        <v>0.3</v>
      </c>
      <c r="DD501" t="s">
        <v>3</v>
      </c>
      <c r="DE501" t="s">
        <v>3</v>
      </c>
      <c r="DF501">
        <f t="shared" si="211"/>
        <v>0</v>
      </c>
      <c r="DG501">
        <f t="shared" si="210"/>
        <v>47.87</v>
      </c>
      <c r="DH501">
        <f t="shared" si="209"/>
        <v>7.27</v>
      </c>
      <c r="DI501">
        <f t="shared" si="195"/>
        <v>0</v>
      </c>
      <c r="DJ501">
        <f>DG501</f>
        <v>47.87</v>
      </c>
      <c r="DK501">
        <v>0</v>
      </c>
      <c r="DL501" t="s">
        <v>485</v>
      </c>
      <c r="DM501">
        <v>0</v>
      </c>
      <c r="DN501" t="s">
        <v>474</v>
      </c>
      <c r="DO501">
        <v>12.62</v>
      </c>
    </row>
    <row r="502" spans="1:119" x14ac:dyDescent="0.2">
      <c r="A502">
        <f>ROW(Source!A209)</f>
        <v>209</v>
      </c>
      <c r="B502">
        <v>85739205</v>
      </c>
      <c r="C502">
        <v>85740146</v>
      </c>
      <c r="D502">
        <v>85200111</v>
      </c>
      <c r="E502">
        <v>1</v>
      </c>
      <c r="F502">
        <v>1</v>
      </c>
      <c r="G502">
        <v>1081</v>
      </c>
      <c r="H502">
        <v>3</v>
      </c>
      <c r="I502" t="s">
        <v>492</v>
      </c>
      <c r="J502" t="s">
        <v>493</v>
      </c>
      <c r="K502" t="s">
        <v>494</v>
      </c>
      <c r="L502">
        <v>1348</v>
      </c>
      <c r="N502">
        <v>1009</v>
      </c>
      <c r="O502" t="s">
        <v>266</v>
      </c>
      <c r="P502" t="s">
        <v>266</v>
      </c>
      <c r="Q502">
        <v>1000</v>
      </c>
      <c r="W502">
        <v>0</v>
      </c>
      <c r="X502">
        <v>205566664</v>
      </c>
      <c r="Y502">
        <f>(AT502*1)</f>
        <v>4.4000000000000002E-4</v>
      </c>
      <c r="AA502">
        <v>9367.64</v>
      </c>
      <c r="AB502">
        <v>0</v>
      </c>
      <c r="AC502">
        <v>0</v>
      </c>
      <c r="AD502">
        <v>0</v>
      </c>
      <c r="AE502">
        <v>9112.49</v>
      </c>
      <c r="AF502">
        <v>0</v>
      </c>
      <c r="AG502">
        <v>0</v>
      </c>
      <c r="AH502">
        <v>0</v>
      </c>
      <c r="AI502">
        <v>1</v>
      </c>
      <c r="AJ502">
        <v>1</v>
      </c>
      <c r="AK502">
        <v>1</v>
      </c>
      <c r="AL502">
        <v>1</v>
      </c>
      <c r="AM502">
        <v>-2</v>
      </c>
      <c r="AN502">
        <v>0</v>
      </c>
      <c r="AO502">
        <v>1</v>
      </c>
      <c r="AP502">
        <v>1</v>
      </c>
      <c r="AQ502">
        <v>0</v>
      </c>
      <c r="AR502">
        <v>0</v>
      </c>
      <c r="AS502" t="s">
        <v>3</v>
      </c>
      <c r="AT502">
        <v>4.4000000000000002E-4</v>
      </c>
      <c r="AU502" t="s">
        <v>35</v>
      </c>
      <c r="AV502">
        <v>0</v>
      </c>
      <c r="AW502">
        <v>2</v>
      </c>
      <c r="AX502">
        <v>85740158</v>
      </c>
      <c r="AY502">
        <v>1</v>
      </c>
      <c r="AZ502">
        <v>0</v>
      </c>
      <c r="BA502">
        <v>520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V502">
        <v>0</v>
      </c>
      <c r="CW502">
        <v>0</v>
      </c>
      <c r="CX502">
        <f>ROUND(Y502*Source!I209,9)</f>
        <v>1.056E-2</v>
      </c>
      <c r="CY502">
        <f>AA502</f>
        <v>9367.64</v>
      </c>
      <c r="CZ502">
        <f>AE502</f>
        <v>9112.49</v>
      </c>
      <c r="DA502">
        <f>AI502</f>
        <v>1</v>
      </c>
      <c r="DB502">
        <f>ROUND((ROUND(AT502*CZ502,2)*1),6)</f>
        <v>4.01</v>
      </c>
      <c r="DC502">
        <f>ROUND((ROUND(AT502*AG502,2)*1),6)</f>
        <v>0</v>
      </c>
      <c r="DD502" t="s">
        <v>3</v>
      </c>
      <c r="DE502" t="s">
        <v>3</v>
      </c>
      <c r="DF502">
        <f t="shared" si="211"/>
        <v>96.23</v>
      </c>
      <c r="DG502">
        <f t="shared" si="210"/>
        <v>0</v>
      </c>
      <c r="DH502">
        <f t="shared" si="209"/>
        <v>0</v>
      </c>
      <c r="DI502">
        <f t="shared" si="195"/>
        <v>0</v>
      </c>
      <c r="DJ502">
        <f>DF502</f>
        <v>96.23</v>
      </c>
      <c r="DK502">
        <v>0</v>
      </c>
      <c r="DL502" t="s">
        <v>3</v>
      </c>
      <c r="DM502">
        <v>0</v>
      </c>
      <c r="DN502" t="s">
        <v>3</v>
      </c>
      <c r="DO502">
        <v>0</v>
      </c>
    </row>
    <row r="503" spans="1:119" x14ac:dyDescent="0.2">
      <c r="A503">
        <f>ROW(Source!A209)</f>
        <v>209</v>
      </c>
      <c r="B503">
        <v>85739205</v>
      </c>
      <c r="C503">
        <v>85740146</v>
      </c>
      <c r="D503">
        <v>85200784</v>
      </c>
      <c r="E503">
        <v>1</v>
      </c>
      <c r="F503">
        <v>1</v>
      </c>
      <c r="G503">
        <v>1081</v>
      </c>
      <c r="H503">
        <v>3</v>
      </c>
      <c r="I503" t="s">
        <v>499</v>
      </c>
      <c r="J503" t="s">
        <v>500</v>
      </c>
      <c r="K503" t="s">
        <v>501</v>
      </c>
      <c r="L503">
        <v>1346</v>
      </c>
      <c r="N503">
        <v>1009</v>
      </c>
      <c r="O503" t="s">
        <v>502</v>
      </c>
      <c r="P503" t="s">
        <v>502</v>
      </c>
      <c r="Q503">
        <v>1</v>
      </c>
      <c r="W503">
        <v>0</v>
      </c>
      <c r="X503">
        <v>-2132327540</v>
      </c>
      <c r="Y503">
        <f>(AT503*1)</f>
        <v>1.0999999999999999E-2</v>
      </c>
      <c r="AA503">
        <v>6.43</v>
      </c>
      <c r="AB503">
        <v>0</v>
      </c>
      <c r="AC503">
        <v>0</v>
      </c>
      <c r="AD503">
        <v>0</v>
      </c>
      <c r="AE503">
        <v>6.25</v>
      </c>
      <c r="AF503">
        <v>0</v>
      </c>
      <c r="AG503">
        <v>0</v>
      </c>
      <c r="AH503">
        <v>0</v>
      </c>
      <c r="AI503">
        <v>1</v>
      </c>
      <c r="AJ503">
        <v>1</v>
      </c>
      <c r="AK503">
        <v>1</v>
      </c>
      <c r="AL503">
        <v>1</v>
      </c>
      <c r="AM503">
        <v>-2</v>
      </c>
      <c r="AN503">
        <v>0</v>
      </c>
      <c r="AO503">
        <v>1</v>
      </c>
      <c r="AP503">
        <v>1</v>
      </c>
      <c r="AQ503">
        <v>0</v>
      </c>
      <c r="AR503">
        <v>0</v>
      </c>
      <c r="AS503" t="s">
        <v>3</v>
      </c>
      <c r="AT503">
        <v>1.0999999999999999E-2</v>
      </c>
      <c r="AU503" t="s">
        <v>35</v>
      </c>
      <c r="AV503">
        <v>0</v>
      </c>
      <c r="AW503">
        <v>2</v>
      </c>
      <c r="AX503">
        <v>85740159</v>
      </c>
      <c r="AY503">
        <v>1</v>
      </c>
      <c r="AZ503">
        <v>0</v>
      </c>
      <c r="BA503">
        <v>521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v>0</v>
      </c>
      <c r="CX503">
        <f>ROUND(Y503*Source!I209,9)</f>
        <v>0.26400000000000001</v>
      </c>
      <c r="CY503">
        <f>AA503</f>
        <v>6.43</v>
      </c>
      <c r="CZ503">
        <f>AE503</f>
        <v>6.25</v>
      </c>
      <c r="DA503">
        <f>AI503</f>
        <v>1</v>
      </c>
      <c r="DB503">
        <f>ROUND((ROUND(AT503*CZ503,2)*1),6)</f>
        <v>7.0000000000000007E-2</v>
      </c>
      <c r="DC503">
        <f>ROUND((ROUND(AT503*AG503,2)*1),6)</f>
        <v>0</v>
      </c>
      <c r="DD503" t="s">
        <v>3</v>
      </c>
      <c r="DE503" t="s">
        <v>3</v>
      </c>
      <c r="DF503">
        <f t="shared" si="211"/>
        <v>1.65</v>
      </c>
      <c r="DG503">
        <f t="shared" si="210"/>
        <v>0</v>
      </c>
      <c r="DH503">
        <f t="shared" si="209"/>
        <v>0</v>
      </c>
      <c r="DI503">
        <f t="shared" si="195"/>
        <v>0</v>
      </c>
      <c r="DJ503">
        <f>DF503</f>
        <v>1.65</v>
      </c>
      <c r="DK503">
        <v>0</v>
      </c>
      <c r="DL503" t="s">
        <v>3</v>
      </c>
      <c r="DM503">
        <v>0</v>
      </c>
      <c r="DN503" t="s">
        <v>3</v>
      </c>
      <c r="DO503">
        <v>0</v>
      </c>
    </row>
    <row r="504" spans="1:119" x14ac:dyDescent="0.2">
      <c r="A504">
        <f>ROW(Source!A209)</f>
        <v>209</v>
      </c>
      <c r="B504">
        <v>85739205</v>
      </c>
      <c r="C504">
        <v>85740146</v>
      </c>
      <c r="D504">
        <v>85199158</v>
      </c>
      <c r="E504">
        <v>1</v>
      </c>
      <c r="F504">
        <v>1</v>
      </c>
      <c r="G504">
        <v>1081</v>
      </c>
      <c r="H504">
        <v>3</v>
      </c>
      <c r="I504" t="s">
        <v>503</v>
      </c>
      <c r="J504" t="s">
        <v>504</v>
      </c>
      <c r="K504" t="s">
        <v>505</v>
      </c>
      <c r="L504">
        <v>1339</v>
      </c>
      <c r="N504">
        <v>1007</v>
      </c>
      <c r="O504" t="s">
        <v>506</v>
      </c>
      <c r="P504" t="s">
        <v>506</v>
      </c>
      <c r="Q504">
        <v>1</v>
      </c>
      <c r="W504">
        <v>0</v>
      </c>
      <c r="X504">
        <v>-1235260082</v>
      </c>
      <c r="Y504">
        <f>(AT504*1)</f>
        <v>4.3999999999999997E-2</v>
      </c>
      <c r="AA504">
        <v>5.98</v>
      </c>
      <c r="AB504">
        <v>0</v>
      </c>
      <c r="AC504">
        <v>0</v>
      </c>
      <c r="AD504">
        <v>0</v>
      </c>
      <c r="AE504">
        <v>5.82</v>
      </c>
      <c r="AF504">
        <v>0</v>
      </c>
      <c r="AG504">
        <v>0</v>
      </c>
      <c r="AH504">
        <v>0</v>
      </c>
      <c r="AI504">
        <v>1</v>
      </c>
      <c r="AJ504">
        <v>1</v>
      </c>
      <c r="AK504">
        <v>1</v>
      </c>
      <c r="AL504">
        <v>1</v>
      </c>
      <c r="AM504">
        <v>-2</v>
      </c>
      <c r="AN504">
        <v>0</v>
      </c>
      <c r="AO504">
        <v>1</v>
      </c>
      <c r="AP504">
        <v>1</v>
      </c>
      <c r="AQ504">
        <v>0</v>
      </c>
      <c r="AR504">
        <v>0</v>
      </c>
      <c r="AS504" t="s">
        <v>3</v>
      </c>
      <c r="AT504">
        <v>4.3999999999999997E-2</v>
      </c>
      <c r="AU504" t="s">
        <v>35</v>
      </c>
      <c r="AV504">
        <v>0</v>
      </c>
      <c r="AW504">
        <v>2</v>
      </c>
      <c r="AX504">
        <v>85740160</v>
      </c>
      <c r="AY504">
        <v>1</v>
      </c>
      <c r="AZ504">
        <v>0</v>
      </c>
      <c r="BA504">
        <v>522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v>0</v>
      </c>
      <c r="CX504">
        <f>ROUND(Y504*Source!I209,9)</f>
        <v>1.056</v>
      </c>
      <c r="CY504">
        <f>AA504</f>
        <v>5.98</v>
      </c>
      <c r="CZ504">
        <f>AE504</f>
        <v>5.82</v>
      </c>
      <c r="DA504">
        <f>AI504</f>
        <v>1</v>
      </c>
      <c r="DB504">
        <f>ROUND((ROUND(AT504*CZ504,2)*1),6)</f>
        <v>0.26</v>
      </c>
      <c r="DC504">
        <f>ROUND((ROUND(AT504*AG504,2)*1),6)</f>
        <v>0</v>
      </c>
      <c r="DD504" t="s">
        <v>3</v>
      </c>
      <c r="DE504" t="s">
        <v>3</v>
      </c>
      <c r="DF504">
        <f t="shared" si="211"/>
        <v>6.15</v>
      </c>
      <c r="DG504">
        <f t="shared" si="210"/>
        <v>0</v>
      </c>
      <c r="DH504">
        <f t="shared" si="209"/>
        <v>0</v>
      </c>
      <c r="DI504">
        <f t="shared" si="195"/>
        <v>0</v>
      </c>
      <c r="DJ504">
        <f>DF504</f>
        <v>6.15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">
      <c r="A505">
        <f>ROW(Source!A209)</f>
        <v>209</v>
      </c>
      <c r="B505">
        <v>85739205</v>
      </c>
      <c r="C505">
        <v>85740146</v>
      </c>
      <c r="D505">
        <v>85215672</v>
      </c>
      <c r="E505">
        <v>1</v>
      </c>
      <c r="F505">
        <v>1</v>
      </c>
      <c r="G505">
        <v>1081</v>
      </c>
      <c r="H505">
        <v>3</v>
      </c>
      <c r="I505" t="s">
        <v>405</v>
      </c>
      <c r="J505" t="s">
        <v>407</v>
      </c>
      <c r="K505" t="s">
        <v>406</v>
      </c>
      <c r="L505">
        <v>1354</v>
      </c>
      <c r="N505">
        <v>1010</v>
      </c>
      <c r="O505" t="s">
        <v>99</v>
      </c>
      <c r="P505" t="s">
        <v>99</v>
      </c>
      <c r="Q505">
        <v>1</v>
      </c>
      <c r="W505">
        <v>0</v>
      </c>
      <c r="X505">
        <v>814129051</v>
      </c>
      <c r="Y505">
        <f>(AT505*1)</f>
        <v>0.16666666999999999</v>
      </c>
      <c r="AA505">
        <v>296.99</v>
      </c>
      <c r="AB505">
        <v>0</v>
      </c>
      <c r="AC505">
        <v>0</v>
      </c>
      <c r="AD505">
        <v>0</v>
      </c>
      <c r="AE505">
        <v>296.99</v>
      </c>
      <c r="AF505">
        <v>0</v>
      </c>
      <c r="AG505">
        <v>0</v>
      </c>
      <c r="AH505">
        <v>0</v>
      </c>
      <c r="AI505">
        <v>1</v>
      </c>
      <c r="AJ505">
        <v>1</v>
      </c>
      <c r="AK505">
        <v>1</v>
      </c>
      <c r="AL505">
        <v>1</v>
      </c>
      <c r="AM505">
        <v>0</v>
      </c>
      <c r="AN505">
        <v>0</v>
      </c>
      <c r="AO505">
        <v>0</v>
      </c>
      <c r="AP505">
        <v>1</v>
      </c>
      <c r="AQ505">
        <v>0</v>
      </c>
      <c r="AR505">
        <v>0</v>
      </c>
      <c r="AS505" t="s">
        <v>3</v>
      </c>
      <c r="AT505">
        <v>0.16666666999999999</v>
      </c>
      <c r="AU505" t="s">
        <v>35</v>
      </c>
      <c r="AV505">
        <v>0</v>
      </c>
      <c r="AW505">
        <v>1</v>
      </c>
      <c r="AX505">
        <v>-1</v>
      </c>
      <c r="AY505">
        <v>0</v>
      </c>
      <c r="AZ505">
        <v>0</v>
      </c>
      <c r="BA505" t="s">
        <v>3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V505">
        <v>0</v>
      </c>
      <c r="CW505">
        <v>0</v>
      </c>
      <c r="CX505">
        <f>ROUND(Y505*Source!I209,9)</f>
        <v>4.0000000800000004</v>
      </c>
      <c r="CY505">
        <f>AA505</f>
        <v>296.99</v>
      </c>
      <c r="CZ505">
        <f>AE505</f>
        <v>296.99</v>
      </c>
      <c r="DA505">
        <f>AI505</f>
        <v>1</v>
      </c>
      <c r="DB505">
        <f>ROUND((ROUND(AT505*CZ505,2)*1),6)</f>
        <v>49.5</v>
      </c>
      <c r="DC505">
        <f>ROUND((ROUND(AT505*AG505,2)*1),6)</f>
        <v>0</v>
      </c>
      <c r="DD505" t="s">
        <v>3</v>
      </c>
      <c r="DE505" t="s">
        <v>3</v>
      </c>
      <c r="DF505">
        <f t="shared" si="211"/>
        <v>1187.96</v>
      </c>
      <c r="DG505">
        <f t="shared" si="210"/>
        <v>0</v>
      </c>
      <c r="DH505">
        <f t="shared" si="209"/>
        <v>0</v>
      </c>
      <c r="DI505">
        <f t="shared" si="195"/>
        <v>0</v>
      </c>
      <c r="DJ505">
        <f>DF505</f>
        <v>1187.96</v>
      </c>
      <c r="DK505">
        <v>0</v>
      </c>
      <c r="DL505" t="s">
        <v>3</v>
      </c>
      <c r="DM505">
        <v>0</v>
      </c>
      <c r="DN505" t="s">
        <v>3</v>
      </c>
      <c r="DO505">
        <v>0</v>
      </c>
    </row>
    <row r="506" spans="1:119" x14ac:dyDescent="0.2">
      <c r="A506">
        <f>ROW(Source!A209)</f>
        <v>209</v>
      </c>
      <c r="B506">
        <v>85739205</v>
      </c>
      <c r="C506">
        <v>85740146</v>
      </c>
      <c r="D506">
        <v>85215617</v>
      </c>
      <c r="E506">
        <v>1</v>
      </c>
      <c r="F506">
        <v>1</v>
      </c>
      <c r="G506">
        <v>1081</v>
      </c>
      <c r="H506">
        <v>3</v>
      </c>
      <c r="I506" t="s">
        <v>136</v>
      </c>
      <c r="J506" t="s">
        <v>138</v>
      </c>
      <c r="K506" t="s">
        <v>137</v>
      </c>
      <c r="L506">
        <v>1354</v>
      </c>
      <c r="N506">
        <v>1010</v>
      </c>
      <c r="O506" t="s">
        <v>99</v>
      </c>
      <c r="P506" t="s">
        <v>99</v>
      </c>
      <c r="Q506">
        <v>1</v>
      </c>
      <c r="W506">
        <v>0</v>
      </c>
      <c r="X506">
        <v>-1214401210</v>
      </c>
      <c r="Y506">
        <f>(AT506*1)</f>
        <v>0.83333332999999998</v>
      </c>
      <c r="AA506">
        <v>130.07</v>
      </c>
      <c r="AB506">
        <v>0</v>
      </c>
      <c r="AC506">
        <v>0</v>
      </c>
      <c r="AD506">
        <v>0</v>
      </c>
      <c r="AE506">
        <v>130.07</v>
      </c>
      <c r="AF506">
        <v>0</v>
      </c>
      <c r="AG506">
        <v>0</v>
      </c>
      <c r="AH506">
        <v>0</v>
      </c>
      <c r="AI506">
        <v>1</v>
      </c>
      <c r="AJ506">
        <v>1</v>
      </c>
      <c r="AK506">
        <v>1</v>
      </c>
      <c r="AL506">
        <v>1</v>
      </c>
      <c r="AM506">
        <v>0</v>
      </c>
      <c r="AN506">
        <v>0</v>
      </c>
      <c r="AO506">
        <v>0</v>
      </c>
      <c r="AP506">
        <v>1</v>
      </c>
      <c r="AQ506">
        <v>0</v>
      </c>
      <c r="AR506">
        <v>0</v>
      </c>
      <c r="AS506" t="s">
        <v>3</v>
      </c>
      <c r="AT506">
        <v>0.83333332999999998</v>
      </c>
      <c r="AU506" t="s">
        <v>35</v>
      </c>
      <c r="AV506">
        <v>0</v>
      </c>
      <c r="AW506">
        <v>1</v>
      </c>
      <c r="AX506">
        <v>-1</v>
      </c>
      <c r="AY506">
        <v>0</v>
      </c>
      <c r="AZ506">
        <v>0</v>
      </c>
      <c r="BA506" t="s">
        <v>3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v>0</v>
      </c>
      <c r="CX506">
        <f>ROUND(Y506*Source!I209,9)</f>
        <v>19.99999992</v>
      </c>
      <c r="CY506">
        <f>AA506</f>
        <v>130.07</v>
      </c>
      <c r="CZ506">
        <f>AE506</f>
        <v>130.07</v>
      </c>
      <c r="DA506">
        <f>AI506</f>
        <v>1</v>
      </c>
      <c r="DB506">
        <f>ROUND((ROUND(AT506*CZ506,2)*1),6)</f>
        <v>108.39</v>
      </c>
      <c r="DC506">
        <f>ROUND((ROUND(AT506*AG506,2)*1),6)</f>
        <v>0</v>
      </c>
      <c r="DD506" t="s">
        <v>3</v>
      </c>
      <c r="DE506" t="s">
        <v>3</v>
      </c>
      <c r="DF506">
        <f t="shared" si="211"/>
        <v>2601.4</v>
      </c>
      <c r="DG506">
        <f t="shared" si="210"/>
        <v>0</v>
      </c>
      <c r="DH506">
        <f t="shared" si="209"/>
        <v>0</v>
      </c>
      <c r="DI506">
        <f t="shared" si="195"/>
        <v>0</v>
      </c>
      <c r="DJ506">
        <f>DF506</f>
        <v>2601.4</v>
      </c>
      <c r="DK506">
        <v>0</v>
      </c>
      <c r="DL506" t="s">
        <v>3</v>
      </c>
      <c r="DM506">
        <v>0</v>
      </c>
      <c r="DN506" t="s">
        <v>3</v>
      </c>
      <c r="DO506">
        <v>0</v>
      </c>
    </row>
    <row r="507" spans="1:119" x14ac:dyDescent="0.2">
      <c r="A507">
        <f>ROW(Source!A210)</f>
        <v>210</v>
      </c>
      <c r="B507">
        <v>85739207</v>
      </c>
      <c r="C507">
        <v>85740146</v>
      </c>
      <c r="D507">
        <v>85164021</v>
      </c>
      <c r="E507">
        <v>1081</v>
      </c>
      <c r="F507">
        <v>1</v>
      </c>
      <c r="G507">
        <v>1081</v>
      </c>
      <c r="H507">
        <v>1</v>
      </c>
      <c r="I507" t="s">
        <v>472</v>
      </c>
      <c r="J507" t="s">
        <v>3</v>
      </c>
      <c r="K507" t="s">
        <v>473</v>
      </c>
      <c r="L507">
        <v>1191</v>
      </c>
      <c r="N507">
        <v>1013</v>
      </c>
      <c r="O507" t="s">
        <v>474</v>
      </c>
      <c r="P507" t="s">
        <v>474</v>
      </c>
      <c r="Q507">
        <v>1</v>
      </c>
      <c r="W507">
        <v>0</v>
      </c>
      <c r="X507">
        <v>476480486</v>
      </c>
      <c r="Y507">
        <f>(AT507*1.2)</f>
        <v>6.48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</v>
      </c>
      <c r="AJ507">
        <v>1</v>
      </c>
      <c r="AK507">
        <v>1</v>
      </c>
      <c r="AL507">
        <v>1</v>
      </c>
      <c r="AM507">
        <v>5</v>
      </c>
      <c r="AN507">
        <v>0</v>
      </c>
      <c r="AO507">
        <v>1</v>
      </c>
      <c r="AP507">
        <v>1</v>
      </c>
      <c r="AQ507">
        <v>0</v>
      </c>
      <c r="AR507">
        <v>0</v>
      </c>
      <c r="AS507" t="s">
        <v>3</v>
      </c>
      <c r="AT507">
        <v>5.4</v>
      </c>
      <c r="AU507" t="s">
        <v>36</v>
      </c>
      <c r="AV507">
        <v>1</v>
      </c>
      <c r="AW507">
        <v>2</v>
      </c>
      <c r="AX507">
        <v>85740155</v>
      </c>
      <c r="AY507">
        <v>1</v>
      </c>
      <c r="AZ507">
        <v>0</v>
      </c>
      <c r="BA507">
        <v>524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U507">
        <f>ROUND(AT507*Source!I210*AH507*AL507,2)</f>
        <v>0</v>
      </c>
      <c r="CV507">
        <f>ROUND(Y507*Source!I210,9)</f>
        <v>155.52000000000001</v>
      </c>
      <c r="CW507">
        <v>0</v>
      </c>
      <c r="CX507">
        <f>ROUND(Y507*Source!I210,9)</f>
        <v>155.52000000000001</v>
      </c>
      <c r="CY507">
        <f>AD507</f>
        <v>0</v>
      </c>
      <c r="CZ507">
        <f>AH507</f>
        <v>0</v>
      </c>
      <c r="DA507">
        <f>AL507</f>
        <v>1</v>
      </c>
      <c r="DB507">
        <f>ROUND((ROUND(AT507*CZ507,2)*1.2),6)</f>
        <v>0</v>
      </c>
      <c r="DC507">
        <f>ROUND((ROUND(AT507*AG507,2)*1.2),6)</f>
        <v>0</v>
      </c>
      <c r="DD507" t="s">
        <v>3</v>
      </c>
      <c r="DE507" t="s">
        <v>3</v>
      </c>
      <c r="DF507">
        <f t="shared" si="211"/>
        <v>0</v>
      </c>
      <c r="DG507">
        <f t="shared" si="210"/>
        <v>0</v>
      </c>
      <c r="DH507">
        <f t="shared" si="209"/>
        <v>0</v>
      </c>
      <c r="DI507">
        <f t="shared" si="195"/>
        <v>0</v>
      </c>
      <c r="DJ507">
        <f>DI507</f>
        <v>0</v>
      </c>
      <c r="DK507">
        <v>0</v>
      </c>
      <c r="DL507" t="s">
        <v>3</v>
      </c>
      <c r="DM507">
        <v>0</v>
      </c>
      <c r="DN507" t="s">
        <v>3</v>
      </c>
      <c r="DO507">
        <v>0</v>
      </c>
    </row>
    <row r="508" spans="1:119" x14ac:dyDescent="0.2">
      <c r="A508">
        <f>ROW(Source!A210)</f>
        <v>210</v>
      </c>
      <c r="B508">
        <v>85739207</v>
      </c>
      <c r="C508">
        <v>85740146</v>
      </c>
      <c r="D508">
        <v>85229633</v>
      </c>
      <c r="E508">
        <v>1</v>
      </c>
      <c r="F508">
        <v>1</v>
      </c>
      <c r="G508">
        <v>1081</v>
      </c>
      <c r="H508">
        <v>2</v>
      </c>
      <c r="I508" t="s">
        <v>475</v>
      </c>
      <c r="J508" t="s">
        <v>476</v>
      </c>
      <c r="K508" t="s">
        <v>477</v>
      </c>
      <c r="L508">
        <v>1368</v>
      </c>
      <c r="N508">
        <v>1011</v>
      </c>
      <c r="O508" t="s">
        <v>478</v>
      </c>
      <c r="P508" t="s">
        <v>478</v>
      </c>
      <c r="Q508">
        <v>1</v>
      </c>
      <c r="W508">
        <v>0</v>
      </c>
      <c r="X508">
        <v>1498588441</v>
      </c>
      <c r="Y508">
        <f>(AT508*1.2)</f>
        <v>1.08</v>
      </c>
      <c r="AA508">
        <v>0</v>
      </c>
      <c r="AB508">
        <v>102.11</v>
      </c>
      <c r="AC508">
        <v>0</v>
      </c>
      <c r="AD508">
        <v>0</v>
      </c>
      <c r="AE508">
        <v>0</v>
      </c>
      <c r="AF508">
        <v>7.11</v>
      </c>
      <c r="AG508">
        <v>0</v>
      </c>
      <c r="AH508">
        <v>0</v>
      </c>
      <c r="AI508">
        <v>1</v>
      </c>
      <c r="AJ508">
        <v>13.46</v>
      </c>
      <c r="AK508">
        <v>1</v>
      </c>
      <c r="AL508">
        <v>1</v>
      </c>
      <c r="AM508">
        <v>2</v>
      </c>
      <c r="AN508">
        <v>0</v>
      </c>
      <c r="AO508">
        <v>1</v>
      </c>
      <c r="AP508">
        <v>1</v>
      </c>
      <c r="AQ508">
        <v>0</v>
      </c>
      <c r="AR508">
        <v>0</v>
      </c>
      <c r="AS508" t="s">
        <v>3</v>
      </c>
      <c r="AT508">
        <v>0.9</v>
      </c>
      <c r="AU508" t="s">
        <v>36</v>
      </c>
      <c r="AV508">
        <v>0</v>
      </c>
      <c r="AW508">
        <v>2</v>
      </c>
      <c r="AX508">
        <v>85740156</v>
      </c>
      <c r="AY508">
        <v>1</v>
      </c>
      <c r="AZ508">
        <v>0</v>
      </c>
      <c r="BA508">
        <v>525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V508">
        <v>0</v>
      </c>
      <c r="CW508">
        <f>ROUND(Y508*Source!I210*DO508,9)</f>
        <v>0</v>
      </c>
      <c r="CX508">
        <f>ROUND(Y508*Source!I210,9)</f>
        <v>25.92</v>
      </c>
      <c r="CY508">
        <f>AB508</f>
        <v>102.11</v>
      </c>
      <c r="CZ508">
        <f>AF508</f>
        <v>7.11</v>
      </c>
      <c r="DA508">
        <f>AJ508</f>
        <v>13.46</v>
      </c>
      <c r="DB508">
        <f>ROUND((ROUND(AT508*CZ508,2)*1.2),6)</f>
        <v>7.68</v>
      </c>
      <c r="DC508">
        <f>ROUND((ROUND(AT508*AG508,2)*1.2),6)</f>
        <v>0</v>
      </c>
      <c r="DD508" t="s">
        <v>3</v>
      </c>
      <c r="DE508" t="s">
        <v>3</v>
      </c>
      <c r="DF508">
        <f t="shared" si="211"/>
        <v>0</v>
      </c>
      <c r="DG508">
        <f>ROUND(ROUND(AF508*AJ508,2)*CX508,2)</f>
        <v>2480.54</v>
      </c>
      <c r="DH508">
        <f t="shared" si="209"/>
        <v>0</v>
      </c>
      <c r="DI508">
        <f t="shared" si="195"/>
        <v>0</v>
      </c>
      <c r="DJ508">
        <f>DG508</f>
        <v>2480.54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">
      <c r="A509">
        <f>ROW(Source!A210)</f>
        <v>210</v>
      </c>
      <c r="B509">
        <v>85739207</v>
      </c>
      <c r="C509">
        <v>85740146</v>
      </c>
      <c r="D509">
        <v>85229932</v>
      </c>
      <c r="E509">
        <v>1</v>
      </c>
      <c r="F509">
        <v>1</v>
      </c>
      <c r="G509">
        <v>1081</v>
      </c>
      <c r="H509">
        <v>2</v>
      </c>
      <c r="I509" t="s">
        <v>482</v>
      </c>
      <c r="J509" t="s">
        <v>483</v>
      </c>
      <c r="K509" t="s">
        <v>484</v>
      </c>
      <c r="L509">
        <v>1368</v>
      </c>
      <c r="N509">
        <v>1011</v>
      </c>
      <c r="O509" t="s">
        <v>478</v>
      </c>
      <c r="P509" t="s">
        <v>478</v>
      </c>
      <c r="Q509">
        <v>1</v>
      </c>
      <c r="W509">
        <v>0</v>
      </c>
      <c r="X509">
        <v>874612079</v>
      </c>
      <c r="Y509">
        <f>(AT509*1.2)</f>
        <v>2.4E-2</v>
      </c>
      <c r="AA509">
        <v>0</v>
      </c>
      <c r="AB509">
        <v>1513.56</v>
      </c>
      <c r="AC509">
        <v>758.78</v>
      </c>
      <c r="AD509">
        <v>0</v>
      </c>
      <c r="AE509">
        <v>0</v>
      </c>
      <c r="AF509">
        <v>83.1</v>
      </c>
      <c r="AG509">
        <v>12.62</v>
      </c>
      <c r="AH509">
        <v>0</v>
      </c>
      <c r="AI509">
        <v>1</v>
      </c>
      <c r="AJ509">
        <v>17.07</v>
      </c>
      <c r="AK509">
        <v>56.35</v>
      </c>
      <c r="AL509">
        <v>1</v>
      </c>
      <c r="AM509">
        <v>2</v>
      </c>
      <c r="AN509">
        <v>0</v>
      </c>
      <c r="AO509">
        <v>1</v>
      </c>
      <c r="AP509">
        <v>1</v>
      </c>
      <c r="AQ509">
        <v>0</v>
      </c>
      <c r="AR509">
        <v>0</v>
      </c>
      <c r="AS509" t="s">
        <v>3</v>
      </c>
      <c r="AT509">
        <v>0.02</v>
      </c>
      <c r="AU509" t="s">
        <v>36</v>
      </c>
      <c r="AV509">
        <v>0</v>
      </c>
      <c r="AW509">
        <v>2</v>
      </c>
      <c r="AX509">
        <v>85740157</v>
      </c>
      <c r="AY509">
        <v>1</v>
      </c>
      <c r="AZ509">
        <v>0</v>
      </c>
      <c r="BA509">
        <v>526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V509">
        <v>0</v>
      </c>
      <c r="CW509">
        <f>ROUND(Y509*Source!I210*DO509,9)</f>
        <v>7.26912</v>
      </c>
      <c r="CX509">
        <f>ROUND(Y509*Source!I210,9)</f>
        <v>0.57599999999999996</v>
      </c>
      <c r="CY509">
        <f>AB509</f>
        <v>1513.56</v>
      </c>
      <c r="CZ509">
        <f>AF509</f>
        <v>83.1</v>
      </c>
      <c r="DA509">
        <f>AJ509</f>
        <v>17.07</v>
      </c>
      <c r="DB509">
        <f>ROUND((ROUND(AT509*CZ509,2)*1.2),6)</f>
        <v>1.992</v>
      </c>
      <c r="DC509">
        <f>ROUND((ROUND(AT509*AG509,2)*1.2),6)</f>
        <v>0.3</v>
      </c>
      <c r="DD509" t="s">
        <v>3</v>
      </c>
      <c r="DE509" t="s">
        <v>3</v>
      </c>
      <c r="DF509">
        <f t="shared" si="211"/>
        <v>0</v>
      </c>
      <c r="DG509">
        <f>ROUND(ROUND(AF509*AJ509,2)*CX509,2)</f>
        <v>817.07</v>
      </c>
      <c r="DH509">
        <f>ROUND(ROUND(AG509*AK509,2)*CX509,2)</f>
        <v>409.62</v>
      </c>
      <c r="DI509">
        <f t="shared" si="195"/>
        <v>0</v>
      </c>
      <c r="DJ509">
        <f>DG509</f>
        <v>817.07</v>
      </c>
      <c r="DK509">
        <v>0</v>
      </c>
      <c r="DL509" t="s">
        <v>485</v>
      </c>
      <c r="DM509">
        <v>0</v>
      </c>
      <c r="DN509" t="s">
        <v>474</v>
      </c>
      <c r="DO509">
        <v>12.62</v>
      </c>
    </row>
    <row r="510" spans="1:119" x14ac:dyDescent="0.2">
      <c r="A510">
        <f>ROW(Source!A210)</f>
        <v>210</v>
      </c>
      <c r="B510">
        <v>85739207</v>
      </c>
      <c r="C510">
        <v>85740146</v>
      </c>
      <c r="D510">
        <v>85200111</v>
      </c>
      <c r="E510">
        <v>1</v>
      </c>
      <c r="F510">
        <v>1</v>
      </c>
      <c r="G510">
        <v>1081</v>
      </c>
      <c r="H510">
        <v>3</v>
      </c>
      <c r="I510" t="s">
        <v>492</v>
      </c>
      <c r="J510" t="s">
        <v>493</v>
      </c>
      <c r="K510" t="s">
        <v>494</v>
      </c>
      <c r="L510">
        <v>1348</v>
      </c>
      <c r="N510">
        <v>1009</v>
      </c>
      <c r="O510" t="s">
        <v>266</v>
      </c>
      <c r="P510" t="s">
        <v>266</v>
      </c>
      <c r="Q510">
        <v>1000</v>
      </c>
      <c r="W510">
        <v>0</v>
      </c>
      <c r="X510">
        <v>205566664</v>
      </c>
      <c r="Y510">
        <f>(AT510*1)</f>
        <v>4.4000000000000002E-4</v>
      </c>
      <c r="AA510">
        <v>95081.54</v>
      </c>
      <c r="AB510">
        <v>0</v>
      </c>
      <c r="AC510">
        <v>0</v>
      </c>
      <c r="AD510">
        <v>0</v>
      </c>
      <c r="AE510">
        <v>9112.49</v>
      </c>
      <c r="AF510">
        <v>0</v>
      </c>
      <c r="AG510">
        <v>0</v>
      </c>
      <c r="AH510">
        <v>0</v>
      </c>
      <c r="AI510">
        <v>10.15</v>
      </c>
      <c r="AJ510">
        <v>1</v>
      </c>
      <c r="AK510">
        <v>1</v>
      </c>
      <c r="AL510">
        <v>1</v>
      </c>
      <c r="AM510">
        <v>2</v>
      </c>
      <c r="AN510">
        <v>0</v>
      </c>
      <c r="AO510">
        <v>1</v>
      </c>
      <c r="AP510">
        <v>1</v>
      </c>
      <c r="AQ510">
        <v>0</v>
      </c>
      <c r="AR510">
        <v>0</v>
      </c>
      <c r="AS510" t="s">
        <v>3</v>
      </c>
      <c r="AT510">
        <v>4.4000000000000002E-4</v>
      </c>
      <c r="AU510" t="s">
        <v>35</v>
      </c>
      <c r="AV510">
        <v>0</v>
      </c>
      <c r="AW510">
        <v>2</v>
      </c>
      <c r="AX510">
        <v>85740158</v>
      </c>
      <c r="AY510">
        <v>1</v>
      </c>
      <c r="AZ510">
        <v>0</v>
      </c>
      <c r="BA510">
        <v>527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v>0</v>
      </c>
      <c r="CX510">
        <f>ROUND(Y510*Source!I210,9)</f>
        <v>1.056E-2</v>
      </c>
      <c r="CY510">
        <f>AA510</f>
        <v>95081.54</v>
      </c>
      <c r="CZ510">
        <f>AE510</f>
        <v>9112.49</v>
      </c>
      <c r="DA510">
        <f>AI510</f>
        <v>10.15</v>
      </c>
      <c r="DB510">
        <f>ROUND((ROUND(AT510*CZ510,2)*1),6)</f>
        <v>4.01</v>
      </c>
      <c r="DC510">
        <f>ROUND((ROUND(AT510*AG510,2)*1),6)</f>
        <v>0</v>
      </c>
      <c r="DD510" t="s">
        <v>3</v>
      </c>
      <c r="DE510" t="s">
        <v>3</v>
      </c>
      <c r="DF510">
        <f>ROUND(ROUND(AE510*AI510,2)*CX510,2)</f>
        <v>976.71</v>
      </c>
      <c r="DG510">
        <f t="shared" ref="DG510:DG532" si="212">ROUND(ROUND(AF510,2)*CX510,2)</f>
        <v>0</v>
      </c>
      <c r="DH510">
        <f t="shared" ref="DH510:DH532" si="213">ROUND(ROUND(AG510,2)*CX510,2)</f>
        <v>0</v>
      </c>
      <c r="DI510">
        <f t="shared" si="195"/>
        <v>0</v>
      </c>
      <c r="DJ510">
        <f>DF510</f>
        <v>976.71</v>
      </c>
      <c r="DK510">
        <v>0</v>
      </c>
      <c r="DL510" t="s">
        <v>3</v>
      </c>
      <c r="DM510">
        <v>0</v>
      </c>
      <c r="DN510" t="s">
        <v>3</v>
      </c>
      <c r="DO510">
        <v>0</v>
      </c>
    </row>
    <row r="511" spans="1:119" x14ac:dyDescent="0.2">
      <c r="A511">
        <f>ROW(Source!A210)</f>
        <v>210</v>
      </c>
      <c r="B511">
        <v>85739207</v>
      </c>
      <c r="C511">
        <v>85740146</v>
      </c>
      <c r="D511">
        <v>85200784</v>
      </c>
      <c r="E511">
        <v>1</v>
      </c>
      <c r="F511">
        <v>1</v>
      </c>
      <c r="G511">
        <v>1081</v>
      </c>
      <c r="H511">
        <v>3</v>
      </c>
      <c r="I511" t="s">
        <v>499</v>
      </c>
      <c r="J511" t="s">
        <v>500</v>
      </c>
      <c r="K511" t="s">
        <v>501</v>
      </c>
      <c r="L511">
        <v>1346</v>
      </c>
      <c r="N511">
        <v>1009</v>
      </c>
      <c r="O511" t="s">
        <v>502</v>
      </c>
      <c r="P511" t="s">
        <v>502</v>
      </c>
      <c r="Q511">
        <v>1</v>
      </c>
      <c r="W511">
        <v>0</v>
      </c>
      <c r="X511">
        <v>-2132327540</v>
      </c>
      <c r="Y511">
        <f>(AT511*1)</f>
        <v>1.0999999999999999E-2</v>
      </c>
      <c r="AA511">
        <v>64.760000000000005</v>
      </c>
      <c r="AB511">
        <v>0</v>
      </c>
      <c r="AC511">
        <v>0</v>
      </c>
      <c r="AD511">
        <v>0</v>
      </c>
      <c r="AE511">
        <v>6.25</v>
      </c>
      <c r="AF511">
        <v>0</v>
      </c>
      <c r="AG511">
        <v>0</v>
      </c>
      <c r="AH511">
        <v>0</v>
      </c>
      <c r="AI511">
        <v>10.08</v>
      </c>
      <c r="AJ511">
        <v>1</v>
      </c>
      <c r="AK511">
        <v>1</v>
      </c>
      <c r="AL511">
        <v>1</v>
      </c>
      <c r="AM511">
        <v>2</v>
      </c>
      <c r="AN511">
        <v>0</v>
      </c>
      <c r="AO511">
        <v>1</v>
      </c>
      <c r="AP511">
        <v>1</v>
      </c>
      <c r="AQ511">
        <v>0</v>
      </c>
      <c r="AR511">
        <v>0</v>
      </c>
      <c r="AS511" t="s">
        <v>3</v>
      </c>
      <c r="AT511">
        <v>1.0999999999999999E-2</v>
      </c>
      <c r="AU511" t="s">
        <v>35</v>
      </c>
      <c r="AV511">
        <v>0</v>
      </c>
      <c r="AW511">
        <v>2</v>
      </c>
      <c r="AX511">
        <v>85740159</v>
      </c>
      <c r="AY511">
        <v>1</v>
      </c>
      <c r="AZ511">
        <v>0</v>
      </c>
      <c r="BA511">
        <v>528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V511">
        <v>0</v>
      </c>
      <c r="CW511">
        <v>0</v>
      </c>
      <c r="CX511">
        <f>ROUND(Y511*Source!I210,9)</f>
        <v>0.26400000000000001</v>
      </c>
      <c r="CY511">
        <f>AA511</f>
        <v>64.760000000000005</v>
      </c>
      <c r="CZ511">
        <f>AE511</f>
        <v>6.25</v>
      </c>
      <c r="DA511">
        <f>AI511</f>
        <v>10.08</v>
      </c>
      <c r="DB511">
        <f>ROUND((ROUND(AT511*CZ511,2)*1),6)</f>
        <v>7.0000000000000007E-2</v>
      </c>
      <c r="DC511">
        <f>ROUND((ROUND(AT511*AG511,2)*1),6)</f>
        <v>0</v>
      </c>
      <c r="DD511" t="s">
        <v>3</v>
      </c>
      <c r="DE511" t="s">
        <v>3</v>
      </c>
      <c r="DF511">
        <f>ROUND(ROUND(AE511*AI511,2)*CX511,2)</f>
        <v>16.63</v>
      </c>
      <c r="DG511">
        <f t="shared" si="212"/>
        <v>0</v>
      </c>
      <c r="DH511">
        <f t="shared" si="213"/>
        <v>0</v>
      </c>
      <c r="DI511">
        <f t="shared" si="195"/>
        <v>0</v>
      </c>
      <c r="DJ511">
        <f>DF511</f>
        <v>16.63</v>
      </c>
      <c r="DK511">
        <v>0</v>
      </c>
      <c r="DL511" t="s">
        <v>3</v>
      </c>
      <c r="DM511">
        <v>0</v>
      </c>
      <c r="DN511" t="s">
        <v>3</v>
      </c>
      <c r="DO511">
        <v>0</v>
      </c>
    </row>
    <row r="512" spans="1:119" x14ac:dyDescent="0.2">
      <c r="A512">
        <f>ROW(Source!A210)</f>
        <v>210</v>
      </c>
      <c r="B512">
        <v>85739207</v>
      </c>
      <c r="C512">
        <v>85740146</v>
      </c>
      <c r="D512">
        <v>85199158</v>
      </c>
      <c r="E512">
        <v>1</v>
      </c>
      <c r="F512">
        <v>1</v>
      </c>
      <c r="G512">
        <v>1081</v>
      </c>
      <c r="H512">
        <v>3</v>
      </c>
      <c r="I512" t="s">
        <v>503</v>
      </c>
      <c r="J512" t="s">
        <v>504</v>
      </c>
      <c r="K512" t="s">
        <v>505</v>
      </c>
      <c r="L512">
        <v>1339</v>
      </c>
      <c r="N512">
        <v>1007</v>
      </c>
      <c r="O512" t="s">
        <v>506</v>
      </c>
      <c r="P512" t="s">
        <v>506</v>
      </c>
      <c r="Q512">
        <v>1</v>
      </c>
      <c r="W512">
        <v>0</v>
      </c>
      <c r="X512">
        <v>-1235260082</v>
      </c>
      <c r="Y512">
        <f>(AT512*1)</f>
        <v>4.3999999999999997E-2</v>
      </c>
      <c r="AA512">
        <v>104.16</v>
      </c>
      <c r="AB512">
        <v>0</v>
      </c>
      <c r="AC512">
        <v>0</v>
      </c>
      <c r="AD512">
        <v>0</v>
      </c>
      <c r="AE512">
        <v>5.82</v>
      </c>
      <c r="AF512">
        <v>0</v>
      </c>
      <c r="AG512">
        <v>0</v>
      </c>
      <c r="AH512">
        <v>0</v>
      </c>
      <c r="AI512">
        <v>17.41</v>
      </c>
      <c r="AJ512">
        <v>1</v>
      </c>
      <c r="AK512">
        <v>1</v>
      </c>
      <c r="AL512">
        <v>1</v>
      </c>
      <c r="AM512">
        <v>2</v>
      </c>
      <c r="AN512">
        <v>0</v>
      </c>
      <c r="AO512">
        <v>1</v>
      </c>
      <c r="AP512">
        <v>1</v>
      </c>
      <c r="AQ512">
        <v>0</v>
      </c>
      <c r="AR512">
        <v>0</v>
      </c>
      <c r="AS512" t="s">
        <v>3</v>
      </c>
      <c r="AT512">
        <v>4.3999999999999997E-2</v>
      </c>
      <c r="AU512" t="s">
        <v>35</v>
      </c>
      <c r="AV512">
        <v>0</v>
      </c>
      <c r="AW512">
        <v>2</v>
      </c>
      <c r="AX512">
        <v>85740160</v>
      </c>
      <c r="AY512">
        <v>1</v>
      </c>
      <c r="AZ512">
        <v>0</v>
      </c>
      <c r="BA512">
        <v>529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V512">
        <v>0</v>
      </c>
      <c r="CW512">
        <v>0</v>
      </c>
      <c r="CX512">
        <f>ROUND(Y512*Source!I210,9)</f>
        <v>1.056</v>
      </c>
      <c r="CY512">
        <f>AA512</f>
        <v>104.16</v>
      </c>
      <c r="CZ512">
        <f>AE512</f>
        <v>5.82</v>
      </c>
      <c r="DA512">
        <f>AI512</f>
        <v>17.41</v>
      </c>
      <c r="DB512">
        <f>ROUND((ROUND(AT512*CZ512,2)*1),6)</f>
        <v>0.26</v>
      </c>
      <c r="DC512">
        <f>ROUND((ROUND(AT512*AG512,2)*1),6)</f>
        <v>0</v>
      </c>
      <c r="DD512" t="s">
        <v>3</v>
      </c>
      <c r="DE512" t="s">
        <v>3</v>
      </c>
      <c r="DF512">
        <f>ROUND(ROUND(AE512*AI512,2)*CX512,2)</f>
        <v>107</v>
      </c>
      <c r="DG512">
        <f t="shared" si="212"/>
        <v>0</v>
      </c>
      <c r="DH512">
        <f t="shared" si="213"/>
        <v>0</v>
      </c>
      <c r="DI512">
        <f t="shared" si="195"/>
        <v>0</v>
      </c>
      <c r="DJ512">
        <f>DF512</f>
        <v>107</v>
      </c>
      <c r="DK512">
        <v>0</v>
      </c>
      <c r="DL512" t="s">
        <v>3</v>
      </c>
      <c r="DM512">
        <v>0</v>
      </c>
      <c r="DN512" t="s">
        <v>3</v>
      </c>
      <c r="DO512">
        <v>0</v>
      </c>
    </row>
    <row r="513" spans="1:119" x14ac:dyDescent="0.2">
      <c r="A513">
        <f>ROW(Source!A210)</f>
        <v>210</v>
      </c>
      <c r="B513">
        <v>85739207</v>
      </c>
      <c r="C513">
        <v>85740146</v>
      </c>
      <c r="D513">
        <v>85215672</v>
      </c>
      <c r="E513">
        <v>1</v>
      </c>
      <c r="F513">
        <v>1</v>
      </c>
      <c r="G513">
        <v>1081</v>
      </c>
      <c r="H513">
        <v>3</v>
      </c>
      <c r="I513" t="s">
        <v>405</v>
      </c>
      <c r="J513" t="s">
        <v>407</v>
      </c>
      <c r="K513" t="s">
        <v>406</v>
      </c>
      <c r="L513">
        <v>1354</v>
      </c>
      <c r="N513">
        <v>1010</v>
      </c>
      <c r="O513" t="s">
        <v>99</v>
      </c>
      <c r="P513" t="s">
        <v>99</v>
      </c>
      <c r="Q513">
        <v>1</v>
      </c>
      <c r="W513">
        <v>0</v>
      </c>
      <c r="X513">
        <v>814129051</v>
      </c>
      <c r="Y513">
        <f>(AT513*1)</f>
        <v>0.16666666999999999</v>
      </c>
      <c r="AA513">
        <v>902.85</v>
      </c>
      <c r="AB513">
        <v>0</v>
      </c>
      <c r="AC513">
        <v>0</v>
      </c>
      <c r="AD513">
        <v>0</v>
      </c>
      <c r="AE513">
        <v>296.99</v>
      </c>
      <c r="AF513">
        <v>0</v>
      </c>
      <c r="AG513">
        <v>0</v>
      </c>
      <c r="AH513">
        <v>0</v>
      </c>
      <c r="AI513">
        <v>3.04</v>
      </c>
      <c r="AJ513">
        <v>1</v>
      </c>
      <c r="AK513">
        <v>1</v>
      </c>
      <c r="AL513">
        <v>1</v>
      </c>
      <c r="AM513">
        <v>0</v>
      </c>
      <c r="AN513">
        <v>0</v>
      </c>
      <c r="AO513">
        <v>0</v>
      </c>
      <c r="AP513">
        <v>1</v>
      </c>
      <c r="AQ513">
        <v>0</v>
      </c>
      <c r="AR513">
        <v>0</v>
      </c>
      <c r="AS513" t="s">
        <v>3</v>
      </c>
      <c r="AT513">
        <v>0.16666666999999999</v>
      </c>
      <c r="AU513" t="s">
        <v>35</v>
      </c>
      <c r="AV513">
        <v>0</v>
      </c>
      <c r="AW513">
        <v>1</v>
      </c>
      <c r="AX513">
        <v>-1</v>
      </c>
      <c r="AY513">
        <v>0</v>
      </c>
      <c r="AZ513">
        <v>0</v>
      </c>
      <c r="BA513" t="s">
        <v>3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V513">
        <v>0</v>
      </c>
      <c r="CW513">
        <v>0</v>
      </c>
      <c r="CX513">
        <f>ROUND(Y513*Source!I210,9)</f>
        <v>4.0000000800000004</v>
      </c>
      <c r="CY513">
        <f>AA513</f>
        <v>902.85</v>
      </c>
      <c r="CZ513">
        <f>AE513</f>
        <v>296.99</v>
      </c>
      <c r="DA513">
        <f>AI513</f>
        <v>3.04</v>
      </c>
      <c r="DB513">
        <f>ROUND((ROUND(AT513*CZ513,2)*1),6)</f>
        <v>49.5</v>
      </c>
      <c r="DC513">
        <f>ROUND((ROUND(AT513*AG513,2)*1),6)</f>
        <v>0</v>
      </c>
      <c r="DD513" t="s">
        <v>3</v>
      </c>
      <c r="DE513" t="s">
        <v>3</v>
      </c>
      <c r="DF513">
        <f>ROUND(ROUND(AE513*AI513,2)*CX513,2)</f>
        <v>3611.4</v>
      </c>
      <c r="DG513">
        <f t="shared" si="212"/>
        <v>0</v>
      </c>
      <c r="DH513">
        <f t="shared" si="213"/>
        <v>0</v>
      </c>
      <c r="DI513">
        <f t="shared" ref="DI513:DI576" si="214">ROUND(ROUND(AH513,2)*CX513,2)</f>
        <v>0</v>
      </c>
      <c r="DJ513">
        <f>DF513</f>
        <v>3611.4</v>
      </c>
      <c r="DK513">
        <v>0</v>
      </c>
      <c r="DL513" t="s">
        <v>3</v>
      </c>
      <c r="DM513">
        <v>0</v>
      </c>
      <c r="DN513" t="s">
        <v>3</v>
      </c>
      <c r="DO513">
        <v>0</v>
      </c>
    </row>
    <row r="514" spans="1:119" x14ac:dyDescent="0.2">
      <c r="A514">
        <f>ROW(Source!A210)</f>
        <v>210</v>
      </c>
      <c r="B514">
        <v>85739207</v>
      </c>
      <c r="C514">
        <v>85740146</v>
      </c>
      <c r="D514">
        <v>85215617</v>
      </c>
      <c r="E514">
        <v>1</v>
      </c>
      <c r="F514">
        <v>1</v>
      </c>
      <c r="G514">
        <v>1081</v>
      </c>
      <c r="H514">
        <v>3</v>
      </c>
      <c r="I514" t="s">
        <v>136</v>
      </c>
      <c r="J514" t="s">
        <v>138</v>
      </c>
      <c r="K514" t="s">
        <v>137</v>
      </c>
      <c r="L514">
        <v>1354</v>
      </c>
      <c r="N514">
        <v>1010</v>
      </c>
      <c r="O514" t="s">
        <v>99</v>
      </c>
      <c r="P514" t="s">
        <v>99</v>
      </c>
      <c r="Q514">
        <v>1</v>
      </c>
      <c r="W514">
        <v>0</v>
      </c>
      <c r="X514">
        <v>-1214401210</v>
      </c>
      <c r="Y514">
        <f>(AT514*1)</f>
        <v>0.83333332999999998</v>
      </c>
      <c r="AA514">
        <v>626.94000000000005</v>
      </c>
      <c r="AB514">
        <v>0</v>
      </c>
      <c r="AC514">
        <v>0</v>
      </c>
      <c r="AD514">
        <v>0</v>
      </c>
      <c r="AE514">
        <v>130.07</v>
      </c>
      <c r="AF514">
        <v>0</v>
      </c>
      <c r="AG514">
        <v>0</v>
      </c>
      <c r="AH514">
        <v>0</v>
      </c>
      <c r="AI514">
        <v>4.82</v>
      </c>
      <c r="AJ514">
        <v>1</v>
      </c>
      <c r="AK514">
        <v>1</v>
      </c>
      <c r="AL514">
        <v>1</v>
      </c>
      <c r="AM514">
        <v>0</v>
      </c>
      <c r="AN514">
        <v>0</v>
      </c>
      <c r="AO514">
        <v>0</v>
      </c>
      <c r="AP514">
        <v>1</v>
      </c>
      <c r="AQ514">
        <v>0</v>
      </c>
      <c r="AR514">
        <v>0</v>
      </c>
      <c r="AS514" t="s">
        <v>3</v>
      </c>
      <c r="AT514">
        <v>0.83333332999999998</v>
      </c>
      <c r="AU514" t="s">
        <v>35</v>
      </c>
      <c r="AV514">
        <v>0</v>
      </c>
      <c r="AW514">
        <v>1</v>
      </c>
      <c r="AX514">
        <v>-1</v>
      </c>
      <c r="AY514">
        <v>0</v>
      </c>
      <c r="AZ514">
        <v>0</v>
      </c>
      <c r="BA514" t="s">
        <v>3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V514">
        <v>0</v>
      </c>
      <c r="CW514">
        <v>0</v>
      </c>
      <c r="CX514">
        <f>ROUND(Y514*Source!I210,9)</f>
        <v>19.99999992</v>
      </c>
      <c r="CY514">
        <f>AA514</f>
        <v>626.94000000000005</v>
      </c>
      <c r="CZ514">
        <f>AE514</f>
        <v>130.07</v>
      </c>
      <c r="DA514">
        <f>AI514</f>
        <v>4.82</v>
      </c>
      <c r="DB514">
        <f>ROUND((ROUND(AT514*CZ514,2)*1),6)</f>
        <v>108.39</v>
      </c>
      <c r="DC514">
        <f>ROUND((ROUND(AT514*AG514,2)*1),6)</f>
        <v>0</v>
      </c>
      <c r="DD514" t="s">
        <v>3</v>
      </c>
      <c r="DE514" t="s">
        <v>3</v>
      </c>
      <c r="DF514">
        <f>ROUND(ROUND(AE514*AI514,2)*CX514,2)</f>
        <v>12538.8</v>
      </c>
      <c r="DG514">
        <f t="shared" si="212"/>
        <v>0</v>
      </c>
      <c r="DH514">
        <f t="shared" si="213"/>
        <v>0</v>
      </c>
      <c r="DI514">
        <f t="shared" si="214"/>
        <v>0</v>
      </c>
      <c r="DJ514">
        <f>DF514</f>
        <v>12538.8</v>
      </c>
      <c r="DK514">
        <v>0</v>
      </c>
      <c r="DL514" t="s">
        <v>3</v>
      </c>
      <c r="DM514">
        <v>0</v>
      </c>
      <c r="DN514" t="s">
        <v>3</v>
      </c>
      <c r="DO514">
        <v>0</v>
      </c>
    </row>
    <row r="515" spans="1:119" x14ac:dyDescent="0.2">
      <c r="A515">
        <f>ROW(Source!A215)</f>
        <v>215</v>
      </c>
      <c r="B515">
        <v>85739205</v>
      </c>
      <c r="C515">
        <v>85740074</v>
      </c>
      <c r="D515">
        <v>85164021</v>
      </c>
      <c r="E515">
        <v>1081</v>
      </c>
      <c r="F515">
        <v>1</v>
      </c>
      <c r="G515">
        <v>1081</v>
      </c>
      <c r="H515">
        <v>1</v>
      </c>
      <c r="I515" t="s">
        <v>472</v>
      </c>
      <c r="J515" t="s">
        <v>3</v>
      </c>
      <c r="K515" t="s">
        <v>473</v>
      </c>
      <c r="L515">
        <v>1191</v>
      </c>
      <c r="N515">
        <v>1013</v>
      </c>
      <c r="O515" t="s">
        <v>474</v>
      </c>
      <c r="P515" t="s">
        <v>474</v>
      </c>
      <c r="Q515">
        <v>1</v>
      </c>
      <c r="W515">
        <v>0</v>
      </c>
      <c r="X515">
        <v>476480486</v>
      </c>
      <c r="Y515">
        <f t="shared" ref="Y515:Y548" si="215">AT515</f>
        <v>1730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</v>
      </c>
      <c r="AJ515">
        <v>1</v>
      </c>
      <c r="AK515">
        <v>1</v>
      </c>
      <c r="AL515">
        <v>1</v>
      </c>
      <c r="AM515">
        <v>-2</v>
      </c>
      <c r="AN515">
        <v>0</v>
      </c>
      <c r="AO515">
        <v>1</v>
      </c>
      <c r="AP515">
        <v>1</v>
      </c>
      <c r="AQ515">
        <v>0</v>
      </c>
      <c r="AR515">
        <v>0</v>
      </c>
      <c r="AS515" t="s">
        <v>3</v>
      </c>
      <c r="AT515">
        <v>1730</v>
      </c>
      <c r="AU515" t="s">
        <v>3</v>
      </c>
      <c r="AV515">
        <v>1</v>
      </c>
      <c r="AW515">
        <v>2</v>
      </c>
      <c r="AX515">
        <v>85740091</v>
      </c>
      <c r="AY515">
        <v>1</v>
      </c>
      <c r="AZ515">
        <v>0</v>
      </c>
      <c r="BA515">
        <v>531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U515">
        <f>ROUND(AT515*Source!I215*AH515*AL515,2)</f>
        <v>0</v>
      </c>
      <c r="CV515">
        <f>ROUND(Y515*Source!I215,9)</f>
        <v>3287</v>
      </c>
      <c r="CW515">
        <v>0</v>
      </c>
      <c r="CX515">
        <f>ROUND(Y515*Source!I215,9)</f>
        <v>3287</v>
      </c>
      <c r="CY515">
        <f>AD515</f>
        <v>0</v>
      </c>
      <c r="CZ515">
        <f>AH515</f>
        <v>0</v>
      </c>
      <c r="DA515">
        <f>AL515</f>
        <v>1</v>
      </c>
      <c r="DB515">
        <f t="shared" ref="DB515:DB548" si="216">ROUND(ROUND(AT515*CZ515,2),6)</f>
        <v>0</v>
      </c>
      <c r="DC515">
        <f t="shared" ref="DC515:DC548" si="217">ROUND(ROUND(AT515*AG515,2),6)</f>
        <v>0</v>
      </c>
      <c r="DD515" t="s">
        <v>3</v>
      </c>
      <c r="DE515" t="s">
        <v>3</v>
      </c>
      <c r="DF515">
        <f t="shared" ref="DF515:DF537" si="218">ROUND(ROUND(AE515,2)*CX515,2)</f>
        <v>0</v>
      </c>
      <c r="DG515">
        <f t="shared" si="212"/>
        <v>0</v>
      </c>
      <c r="DH515">
        <f t="shared" si="213"/>
        <v>0</v>
      </c>
      <c r="DI515">
        <f t="shared" si="214"/>
        <v>0</v>
      </c>
      <c r="DJ515">
        <f>DI515</f>
        <v>0</v>
      </c>
      <c r="DK515">
        <v>0</v>
      </c>
      <c r="DL515" t="s">
        <v>3</v>
      </c>
      <c r="DM515">
        <v>0</v>
      </c>
      <c r="DN515" t="s">
        <v>3</v>
      </c>
      <c r="DO515">
        <v>0</v>
      </c>
    </row>
    <row r="516" spans="1:119" x14ac:dyDescent="0.2">
      <c r="A516">
        <f>ROW(Source!A215)</f>
        <v>215</v>
      </c>
      <c r="B516">
        <v>85739205</v>
      </c>
      <c r="C516">
        <v>85740074</v>
      </c>
      <c r="D516">
        <v>85229527</v>
      </c>
      <c r="E516">
        <v>1</v>
      </c>
      <c r="F516">
        <v>1</v>
      </c>
      <c r="G516">
        <v>1081</v>
      </c>
      <c r="H516">
        <v>2</v>
      </c>
      <c r="I516" t="s">
        <v>546</v>
      </c>
      <c r="J516" t="s">
        <v>547</v>
      </c>
      <c r="K516" t="s">
        <v>548</v>
      </c>
      <c r="L516">
        <v>1368</v>
      </c>
      <c r="N516">
        <v>1011</v>
      </c>
      <c r="O516" t="s">
        <v>478</v>
      </c>
      <c r="P516" t="s">
        <v>478</v>
      </c>
      <c r="Q516">
        <v>1</v>
      </c>
      <c r="W516">
        <v>0</v>
      </c>
      <c r="X516">
        <v>-1222619517</v>
      </c>
      <c r="Y516">
        <f t="shared" si="215"/>
        <v>13.5</v>
      </c>
      <c r="AA516">
        <v>0</v>
      </c>
      <c r="AB516">
        <v>51.29</v>
      </c>
      <c r="AC516">
        <v>13.47</v>
      </c>
      <c r="AD516">
        <v>0</v>
      </c>
      <c r="AE516">
        <v>0</v>
      </c>
      <c r="AF516">
        <v>48.07</v>
      </c>
      <c r="AG516">
        <v>12.62</v>
      </c>
      <c r="AH516">
        <v>0</v>
      </c>
      <c r="AI516">
        <v>1</v>
      </c>
      <c r="AJ516">
        <v>1</v>
      </c>
      <c r="AK516">
        <v>1</v>
      </c>
      <c r="AL516">
        <v>1</v>
      </c>
      <c r="AM516">
        <v>-2</v>
      </c>
      <c r="AN516">
        <v>0</v>
      </c>
      <c r="AO516">
        <v>1</v>
      </c>
      <c r="AP516">
        <v>1</v>
      </c>
      <c r="AQ516">
        <v>0</v>
      </c>
      <c r="AR516">
        <v>0</v>
      </c>
      <c r="AS516" t="s">
        <v>3</v>
      </c>
      <c r="AT516">
        <v>13.5</v>
      </c>
      <c r="AU516" t="s">
        <v>3</v>
      </c>
      <c r="AV516">
        <v>0</v>
      </c>
      <c r="AW516">
        <v>2</v>
      </c>
      <c r="AX516">
        <v>85740092</v>
      </c>
      <c r="AY516">
        <v>1</v>
      </c>
      <c r="AZ516">
        <v>0</v>
      </c>
      <c r="BA516">
        <v>532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f>ROUND(Y516*Source!I215*DO516,9)</f>
        <v>323.70299999999997</v>
      </c>
      <c r="CX516">
        <f>ROUND(Y516*Source!I215,9)</f>
        <v>25.65</v>
      </c>
      <c r="CY516">
        <f>AB516</f>
        <v>51.29</v>
      </c>
      <c r="CZ516">
        <f>AF516</f>
        <v>48.07</v>
      </c>
      <c r="DA516">
        <f>AJ516</f>
        <v>1</v>
      </c>
      <c r="DB516">
        <f t="shared" si="216"/>
        <v>648.95000000000005</v>
      </c>
      <c r="DC516">
        <f t="shared" si="217"/>
        <v>170.37</v>
      </c>
      <c r="DD516" t="s">
        <v>3</v>
      </c>
      <c r="DE516" t="s">
        <v>3</v>
      </c>
      <c r="DF516">
        <f t="shared" si="218"/>
        <v>0</v>
      </c>
      <c r="DG516">
        <f t="shared" si="212"/>
        <v>1233</v>
      </c>
      <c r="DH516">
        <f t="shared" si="213"/>
        <v>323.7</v>
      </c>
      <c r="DI516">
        <f t="shared" si="214"/>
        <v>0</v>
      </c>
      <c r="DJ516">
        <f>DG516</f>
        <v>1233</v>
      </c>
      <c r="DK516">
        <v>0</v>
      </c>
      <c r="DL516" t="s">
        <v>485</v>
      </c>
      <c r="DM516">
        <v>0</v>
      </c>
      <c r="DN516" t="s">
        <v>474</v>
      </c>
      <c r="DO516">
        <v>12.62</v>
      </c>
    </row>
    <row r="517" spans="1:119" x14ac:dyDescent="0.2">
      <c r="A517">
        <f>ROW(Source!A215)</f>
        <v>215</v>
      </c>
      <c r="B517">
        <v>85739205</v>
      </c>
      <c r="C517">
        <v>85740074</v>
      </c>
      <c r="D517">
        <v>85229564</v>
      </c>
      <c r="E517">
        <v>1</v>
      </c>
      <c r="F517">
        <v>1</v>
      </c>
      <c r="G517">
        <v>1081</v>
      </c>
      <c r="H517">
        <v>2</v>
      </c>
      <c r="I517" t="s">
        <v>549</v>
      </c>
      <c r="J517" t="s">
        <v>550</v>
      </c>
      <c r="K517" t="s">
        <v>551</v>
      </c>
      <c r="L517">
        <v>1368</v>
      </c>
      <c r="N517">
        <v>1011</v>
      </c>
      <c r="O517" t="s">
        <v>478</v>
      </c>
      <c r="P517" t="s">
        <v>478</v>
      </c>
      <c r="Q517">
        <v>1</v>
      </c>
      <c r="W517">
        <v>0</v>
      </c>
      <c r="X517">
        <v>210297649</v>
      </c>
      <c r="Y517">
        <f t="shared" si="215"/>
        <v>110</v>
      </c>
      <c r="AA517">
        <v>0</v>
      </c>
      <c r="AB517">
        <v>6.18</v>
      </c>
      <c r="AC517">
        <v>0</v>
      </c>
      <c r="AD517">
        <v>0</v>
      </c>
      <c r="AE517">
        <v>0</v>
      </c>
      <c r="AF517">
        <v>5.79</v>
      </c>
      <c r="AG517">
        <v>0</v>
      </c>
      <c r="AH517">
        <v>0</v>
      </c>
      <c r="AI517">
        <v>1</v>
      </c>
      <c r="AJ517">
        <v>1</v>
      </c>
      <c r="AK517">
        <v>1</v>
      </c>
      <c r="AL517">
        <v>1</v>
      </c>
      <c r="AM517">
        <v>-2</v>
      </c>
      <c r="AN517">
        <v>0</v>
      </c>
      <c r="AO517">
        <v>1</v>
      </c>
      <c r="AP517">
        <v>1</v>
      </c>
      <c r="AQ517">
        <v>0</v>
      </c>
      <c r="AR517">
        <v>0</v>
      </c>
      <c r="AS517" t="s">
        <v>3</v>
      </c>
      <c r="AT517">
        <v>110</v>
      </c>
      <c r="AU517" t="s">
        <v>3</v>
      </c>
      <c r="AV517">
        <v>0</v>
      </c>
      <c r="AW517">
        <v>2</v>
      </c>
      <c r="AX517">
        <v>85740093</v>
      </c>
      <c r="AY517">
        <v>1</v>
      </c>
      <c r="AZ517">
        <v>0</v>
      </c>
      <c r="BA517">
        <v>533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V517">
        <v>0</v>
      </c>
      <c r="CW517">
        <f>ROUND(Y517*Source!I215*DO517,9)</f>
        <v>0</v>
      </c>
      <c r="CX517">
        <f>ROUND(Y517*Source!I215,9)</f>
        <v>209</v>
      </c>
      <c r="CY517">
        <f>AB517</f>
        <v>6.18</v>
      </c>
      <c r="CZ517">
        <f>AF517</f>
        <v>5.79</v>
      </c>
      <c r="DA517">
        <f>AJ517</f>
        <v>1</v>
      </c>
      <c r="DB517">
        <f t="shared" si="216"/>
        <v>636.9</v>
      </c>
      <c r="DC517">
        <f t="shared" si="217"/>
        <v>0</v>
      </c>
      <c r="DD517" t="s">
        <v>3</v>
      </c>
      <c r="DE517" t="s">
        <v>3</v>
      </c>
      <c r="DF517">
        <f t="shared" si="218"/>
        <v>0</v>
      </c>
      <c r="DG517">
        <f t="shared" si="212"/>
        <v>1210.1099999999999</v>
      </c>
      <c r="DH517">
        <f t="shared" si="213"/>
        <v>0</v>
      </c>
      <c r="DI517">
        <f t="shared" si="214"/>
        <v>0</v>
      </c>
      <c r="DJ517">
        <f>DG517</f>
        <v>1210.1099999999999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">
      <c r="A518">
        <f>ROW(Source!A215)</f>
        <v>215</v>
      </c>
      <c r="B518">
        <v>85739205</v>
      </c>
      <c r="C518">
        <v>85740074</v>
      </c>
      <c r="D518">
        <v>85229633</v>
      </c>
      <c r="E518">
        <v>1</v>
      </c>
      <c r="F518">
        <v>1</v>
      </c>
      <c r="G518">
        <v>1081</v>
      </c>
      <c r="H518">
        <v>2</v>
      </c>
      <c r="I518" t="s">
        <v>475</v>
      </c>
      <c r="J518" t="s">
        <v>476</v>
      </c>
      <c r="K518" t="s">
        <v>477</v>
      </c>
      <c r="L518">
        <v>1368</v>
      </c>
      <c r="N518">
        <v>1011</v>
      </c>
      <c r="O518" t="s">
        <v>478</v>
      </c>
      <c r="P518" t="s">
        <v>478</v>
      </c>
      <c r="Q518">
        <v>1</v>
      </c>
      <c r="W518">
        <v>0</v>
      </c>
      <c r="X518">
        <v>1498588441</v>
      </c>
      <c r="Y518">
        <f t="shared" si="215"/>
        <v>114</v>
      </c>
      <c r="AA518">
        <v>0</v>
      </c>
      <c r="AB518">
        <v>7.59</v>
      </c>
      <c r="AC518">
        <v>0</v>
      </c>
      <c r="AD518">
        <v>0</v>
      </c>
      <c r="AE518">
        <v>0</v>
      </c>
      <c r="AF518">
        <v>7.11</v>
      </c>
      <c r="AG518">
        <v>0</v>
      </c>
      <c r="AH518">
        <v>0</v>
      </c>
      <c r="AI518">
        <v>1</v>
      </c>
      <c r="AJ518">
        <v>1</v>
      </c>
      <c r="AK518">
        <v>1</v>
      </c>
      <c r="AL518">
        <v>1</v>
      </c>
      <c r="AM518">
        <v>-2</v>
      </c>
      <c r="AN518">
        <v>0</v>
      </c>
      <c r="AO518">
        <v>1</v>
      </c>
      <c r="AP518">
        <v>1</v>
      </c>
      <c r="AQ518">
        <v>0</v>
      </c>
      <c r="AR518">
        <v>0</v>
      </c>
      <c r="AS518" t="s">
        <v>3</v>
      </c>
      <c r="AT518">
        <v>114</v>
      </c>
      <c r="AU518" t="s">
        <v>3</v>
      </c>
      <c r="AV518">
        <v>0</v>
      </c>
      <c r="AW518">
        <v>2</v>
      </c>
      <c r="AX518">
        <v>85740094</v>
      </c>
      <c r="AY518">
        <v>1</v>
      </c>
      <c r="AZ518">
        <v>0</v>
      </c>
      <c r="BA518">
        <v>534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V518">
        <v>0</v>
      </c>
      <c r="CW518">
        <f>ROUND(Y518*Source!I215*DO518,9)</f>
        <v>0</v>
      </c>
      <c r="CX518">
        <f>ROUND(Y518*Source!I215,9)</f>
        <v>216.6</v>
      </c>
      <c r="CY518">
        <f>AB518</f>
        <v>7.59</v>
      </c>
      <c r="CZ518">
        <f>AF518</f>
        <v>7.11</v>
      </c>
      <c r="DA518">
        <f>AJ518</f>
        <v>1</v>
      </c>
      <c r="DB518">
        <f t="shared" si="216"/>
        <v>810.54</v>
      </c>
      <c r="DC518">
        <f t="shared" si="217"/>
        <v>0</v>
      </c>
      <c r="DD518" t="s">
        <v>3</v>
      </c>
      <c r="DE518" t="s">
        <v>3</v>
      </c>
      <c r="DF518">
        <f t="shared" si="218"/>
        <v>0</v>
      </c>
      <c r="DG518">
        <f t="shared" si="212"/>
        <v>1540.03</v>
      </c>
      <c r="DH518">
        <f t="shared" si="213"/>
        <v>0</v>
      </c>
      <c r="DI518">
        <f t="shared" si="214"/>
        <v>0</v>
      </c>
      <c r="DJ518">
        <f>DG518</f>
        <v>1540.03</v>
      </c>
      <c r="DK518">
        <v>0</v>
      </c>
      <c r="DL518" t="s">
        <v>3</v>
      </c>
      <c r="DM518">
        <v>0</v>
      </c>
      <c r="DN518" t="s">
        <v>3</v>
      </c>
      <c r="DO518">
        <v>0</v>
      </c>
    </row>
    <row r="519" spans="1:119" x14ac:dyDescent="0.2">
      <c r="A519">
        <f>ROW(Source!A215)</f>
        <v>215</v>
      </c>
      <c r="B519">
        <v>85739205</v>
      </c>
      <c r="C519">
        <v>85740074</v>
      </c>
      <c r="D519">
        <v>85229932</v>
      </c>
      <c r="E519">
        <v>1</v>
      </c>
      <c r="F519">
        <v>1</v>
      </c>
      <c r="G519">
        <v>1081</v>
      </c>
      <c r="H519">
        <v>2</v>
      </c>
      <c r="I519" t="s">
        <v>482</v>
      </c>
      <c r="J519" t="s">
        <v>483</v>
      </c>
      <c r="K519" t="s">
        <v>484</v>
      </c>
      <c r="L519">
        <v>1368</v>
      </c>
      <c r="N519">
        <v>1011</v>
      </c>
      <c r="O519" t="s">
        <v>478</v>
      </c>
      <c r="P519" t="s">
        <v>478</v>
      </c>
      <c r="Q519">
        <v>1</v>
      </c>
      <c r="W519">
        <v>0</v>
      </c>
      <c r="X519">
        <v>874612079</v>
      </c>
      <c r="Y519">
        <f t="shared" si="215"/>
        <v>5.36</v>
      </c>
      <c r="AA519">
        <v>0</v>
      </c>
      <c r="AB519">
        <v>88.67</v>
      </c>
      <c r="AC519">
        <v>13.47</v>
      </c>
      <c r="AD519">
        <v>0</v>
      </c>
      <c r="AE519">
        <v>0</v>
      </c>
      <c r="AF519">
        <v>83.1</v>
      </c>
      <c r="AG519">
        <v>12.62</v>
      </c>
      <c r="AH519">
        <v>0</v>
      </c>
      <c r="AI519">
        <v>1</v>
      </c>
      <c r="AJ519">
        <v>1</v>
      </c>
      <c r="AK519">
        <v>1</v>
      </c>
      <c r="AL519">
        <v>1</v>
      </c>
      <c r="AM519">
        <v>-2</v>
      </c>
      <c r="AN519">
        <v>0</v>
      </c>
      <c r="AO519">
        <v>1</v>
      </c>
      <c r="AP519">
        <v>1</v>
      </c>
      <c r="AQ519">
        <v>0</v>
      </c>
      <c r="AR519">
        <v>0</v>
      </c>
      <c r="AS519" t="s">
        <v>3</v>
      </c>
      <c r="AT519">
        <v>5.36</v>
      </c>
      <c r="AU519" t="s">
        <v>3</v>
      </c>
      <c r="AV519">
        <v>0</v>
      </c>
      <c r="AW519">
        <v>2</v>
      </c>
      <c r="AX519">
        <v>85740095</v>
      </c>
      <c r="AY519">
        <v>1</v>
      </c>
      <c r="AZ519">
        <v>0</v>
      </c>
      <c r="BA519">
        <v>535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V519">
        <v>0</v>
      </c>
      <c r="CW519">
        <f>ROUND(Y519*Source!I215*DO519,9)</f>
        <v>128.52207999999999</v>
      </c>
      <c r="CX519">
        <f>ROUND(Y519*Source!I215,9)</f>
        <v>10.183999999999999</v>
      </c>
      <c r="CY519">
        <f>AB519</f>
        <v>88.67</v>
      </c>
      <c r="CZ519">
        <f>AF519</f>
        <v>83.1</v>
      </c>
      <c r="DA519">
        <f>AJ519</f>
        <v>1</v>
      </c>
      <c r="DB519">
        <f t="shared" si="216"/>
        <v>445.42</v>
      </c>
      <c r="DC519">
        <f t="shared" si="217"/>
        <v>67.64</v>
      </c>
      <c r="DD519" t="s">
        <v>3</v>
      </c>
      <c r="DE519" t="s">
        <v>3</v>
      </c>
      <c r="DF519">
        <f t="shared" si="218"/>
        <v>0</v>
      </c>
      <c r="DG519">
        <f t="shared" si="212"/>
        <v>846.29</v>
      </c>
      <c r="DH519">
        <f t="shared" si="213"/>
        <v>128.52000000000001</v>
      </c>
      <c r="DI519">
        <f t="shared" si="214"/>
        <v>0</v>
      </c>
      <c r="DJ519">
        <f>DG519</f>
        <v>846.29</v>
      </c>
      <c r="DK519">
        <v>0</v>
      </c>
      <c r="DL519" t="s">
        <v>485</v>
      </c>
      <c r="DM519">
        <v>0</v>
      </c>
      <c r="DN519" t="s">
        <v>474</v>
      </c>
      <c r="DO519">
        <v>12.62</v>
      </c>
    </row>
    <row r="520" spans="1:119" x14ac:dyDescent="0.2">
      <c r="A520">
        <f>ROW(Source!A215)</f>
        <v>215</v>
      </c>
      <c r="B520">
        <v>85739205</v>
      </c>
      <c r="C520">
        <v>85740074</v>
      </c>
      <c r="D520">
        <v>85229250</v>
      </c>
      <c r="E520">
        <v>1</v>
      </c>
      <c r="F520">
        <v>1</v>
      </c>
      <c r="G520">
        <v>1081</v>
      </c>
      <c r="H520">
        <v>2</v>
      </c>
      <c r="I520" t="s">
        <v>552</v>
      </c>
      <c r="J520" t="s">
        <v>553</v>
      </c>
      <c r="K520" t="s">
        <v>554</v>
      </c>
      <c r="L520">
        <v>1368</v>
      </c>
      <c r="N520">
        <v>1011</v>
      </c>
      <c r="O520" t="s">
        <v>478</v>
      </c>
      <c r="P520" t="s">
        <v>478</v>
      </c>
      <c r="Q520">
        <v>1</v>
      </c>
      <c r="W520">
        <v>0</v>
      </c>
      <c r="X520">
        <v>-1755828087</v>
      </c>
      <c r="Y520">
        <f t="shared" si="215"/>
        <v>4</v>
      </c>
      <c r="AA520">
        <v>0</v>
      </c>
      <c r="AB520">
        <v>3.39</v>
      </c>
      <c r="AC520">
        <v>0</v>
      </c>
      <c r="AD520">
        <v>0</v>
      </c>
      <c r="AE520">
        <v>0</v>
      </c>
      <c r="AF520">
        <v>3.18</v>
      </c>
      <c r="AG520">
        <v>0</v>
      </c>
      <c r="AH520">
        <v>0</v>
      </c>
      <c r="AI520">
        <v>1</v>
      </c>
      <c r="AJ520">
        <v>1</v>
      </c>
      <c r="AK520">
        <v>1</v>
      </c>
      <c r="AL520">
        <v>1</v>
      </c>
      <c r="AM520">
        <v>-2</v>
      </c>
      <c r="AN520">
        <v>0</v>
      </c>
      <c r="AO520">
        <v>1</v>
      </c>
      <c r="AP520">
        <v>1</v>
      </c>
      <c r="AQ520">
        <v>0</v>
      </c>
      <c r="AR520">
        <v>0</v>
      </c>
      <c r="AS520" t="s">
        <v>3</v>
      </c>
      <c r="AT520">
        <v>4</v>
      </c>
      <c r="AU520" t="s">
        <v>3</v>
      </c>
      <c r="AV520">
        <v>0</v>
      </c>
      <c r="AW520">
        <v>2</v>
      </c>
      <c r="AX520">
        <v>85740096</v>
      </c>
      <c r="AY520">
        <v>1</v>
      </c>
      <c r="AZ520">
        <v>0</v>
      </c>
      <c r="BA520">
        <v>536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V520">
        <v>0</v>
      </c>
      <c r="CW520">
        <f>ROUND(Y520*Source!I215*DO520,9)</f>
        <v>0</v>
      </c>
      <c r="CX520">
        <f>ROUND(Y520*Source!I215,9)</f>
        <v>7.6</v>
      </c>
      <c r="CY520">
        <f>AB520</f>
        <v>3.39</v>
      </c>
      <c r="CZ520">
        <f>AF520</f>
        <v>3.18</v>
      </c>
      <c r="DA520">
        <f>AJ520</f>
        <v>1</v>
      </c>
      <c r="DB520">
        <f t="shared" si="216"/>
        <v>12.72</v>
      </c>
      <c r="DC520">
        <f t="shared" si="217"/>
        <v>0</v>
      </c>
      <c r="DD520" t="s">
        <v>3</v>
      </c>
      <c r="DE520" t="s">
        <v>3</v>
      </c>
      <c r="DF520">
        <f t="shared" si="218"/>
        <v>0</v>
      </c>
      <c r="DG520">
        <f t="shared" si="212"/>
        <v>24.17</v>
      </c>
      <c r="DH520">
        <f t="shared" si="213"/>
        <v>0</v>
      </c>
      <c r="DI520">
        <f t="shared" si="214"/>
        <v>0</v>
      </c>
      <c r="DJ520">
        <f>DG520</f>
        <v>24.17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">
      <c r="A521">
        <f>ROW(Source!A215)</f>
        <v>215</v>
      </c>
      <c r="B521">
        <v>85739205</v>
      </c>
      <c r="C521">
        <v>85740074</v>
      </c>
      <c r="D521">
        <v>85198960</v>
      </c>
      <c r="E521">
        <v>1</v>
      </c>
      <c r="F521">
        <v>1</v>
      </c>
      <c r="G521">
        <v>1081</v>
      </c>
      <c r="H521">
        <v>3</v>
      </c>
      <c r="I521" t="s">
        <v>513</v>
      </c>
      <c r="J521" t="s">
        <v>514</v>
      </c>
      <c r="K521" t="s">
        <v>515</v>
      </c>
      <c r="L521">
        <v>1339</v>
      </c>
      <c r="N521">
        <v>1007</v>
      </c>
      <c r="O521" t="s">
        <v>506</v>
      </c>
      <c r="P521" t="s">
        <v>506</v>
      </c>
      <c r="Q521">
        <v>1</v>
      </c>
      <c r="W521">
        <v>0</v>
      </c>
      <c r="X521">
        <v>-1622585150</v>
      </c>
      <c r="Y521">
        <f t="shared" si="215"/>
        <v>30</v>
      </c>
      <c r="AA521">
        <v>7.27</v>
      </c>
      <c r="AB521">
        <v>0</v>
      </c>
      <c r="AC521">
        <v>0</v>
      </c>
      <c r="AD521">
        <v>0</v>
      </c>
      <c r="AE521">
        <v>7.07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1</v>
      </c>
      <c r="AL521">
        <v>1</v>
      </c>
      <c r="AM521">
        <v>-2</v>
      </c>
      <c r="AN521">
        <v>0</v>
      </c>
      <c r="AO521">
        <v>1</v>
      </c>
      <c r="AP521">
        <v>1</v>
      </c>
      <c r="AQ521">
        <v>0</v>
      </c>
      <c r="AR521">
        <v>0</v>
      </c>
      <c r="AS521" t="s">
        <v>3</v>
      </c>
      <c r="AT521">
        <v>30</v>
      </c>
      <c r="AU521" t="s">
        <v>3</v>
      </c>
      <c r="AV521">
        <v>0</v>
      </c>
      <c r="AW521">
        <v>2</v>
      </c>
      <c r="AX521">
        <v>85740097</v>
      </c>
      <c r="AY521">
        <v>1</v>
      </c>
      <c r="AZ521">
        <v>0</v>
      </c>
      <c r="BA521">
        <v>537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V521">
        <v>0</v>
      </c>
      <c r="CW521">
        <v>0</v>
      </c>
      <c r="CX521">
        <f>ROUND(Y521*Source!I215,9)</f>
        <v>57</v>
      </c>
      <c r="CY521">
        <f t="shared" ref="CY521:CY531" si="219">AA521</f>
        <v>7.27</v>
      </c>
      <c r="CZ521">
        <f t="shared" ref="CZ521:CZ531" si="220">AE521</f>
        <v>7.07</v>
      </c>
      <c r="DA521">
        <f t="shared" ref="DA521:DA531" si="221">AI521</f>
        <v>1</v>
      </c>
      <c r="DB521">
        <f t="shared" si="216"/>
        <v>212.1</v>
      </c>
      <c r="DC521">
        <f t="shared" si="217"/>
        <v>0</v>
      </c>
      <c r="DD521" t="s">
        <v>3</v>
      </c>
      <c r="DE521" t="s">
        <v>3</v>
      </c>
      <c r="DF521">
        <f t="shared" si="218"/>
        <v>402.99</v>
      </c>
      <c r="DG521">
        <f t="shared" si="212"/>
        <v>0</v>
      </c>
      <c r="DH521">
        <f t="shared" si="213"/>
        <v>0</v>
      </c>
      <c r="DI521">
        <f t="shared" si="214"/>
        <v>0</v>
      </c>
      <c r="DJ521">
        <f t="shared" ref="DJ521:DJ531" si="222">DF521</f>
        <v>402.99</v>
      </c>
      <c r="DK521">
        <v>0</v>
      </c>
      <c r="DL521" t="s">
        <v>3</v>
      </c>
      <c r="DM521">
        <v>0</v>
      </c>
      <c r="DN521" t="s">
        <v>3</v>
      </c>
      <c r="DO521">
        <v>0</v>
      </c>
    </row>
    <row r="522" spans="1:119" x14ac:dyDescent="0.2">
      <c r="A522">
        <f>ROW(Source!A215)</f>
        <v>215</v>
      </c>
      <c r="B522">
        <v>85739205</v>
      </c>
      <c r="C522">
        <v>85740074</v>
      </c>
      <c r="D522">
        <v>85200023</v>
      </c>
      <c r="E522">
        <v>1</v>
      </c>
      <c r="F522">
        <v>1</v>
      </c>
      <c r="G522">
        <v>1081</v>
      </c>
      <c r="H522">
        <v>3</v>
      </c>
      <c r="I522" t="s">
        <v>555</v>
      </c>
      <c r="J522" t="s">
        <v>556</v>
      </c>
      <c r="K522" t="s">
        <v>557</v>
      </c>
      <c r="L522">
        <v>1348</v>
      </c>
      <c r="N522">
        <v>1009</v>
      </c>
      <c r="O522" t="s">
        <v>266</v>
      </c>
      <c r="P522" t="s">
        <v>266</v>
      </c>
      <c r="Q522">
        <v>1000</v>
      </c>
      <c r="W522">
        <v>0</v>
      </c>
      <c r="X522">
        <v>63955816</v>
      </c>
      <c r="Y522">
        <f t="shared" si="215"/>
        <v>2.3599999999999999E-2</v>
      </c>
      <c r="AA522">
        <v>7387.02</v>
      </c>
      <c r="AB522">
        <v>0</v>
      </c>
      <c r="AC522">
        <v>0</v>
      </c>
      <c r="AD522">
        <v>0</v>
      </c>
      <c r="AE522">
        <v>7185.82</v>
      </c>
      <c r="AF522">
        <v>0</v>
      </c>
      <c r="AG522">
        <v>0</v>
      </c>
      <c r="AH522">
        <v>0</v>
      </c>
      <c r="AI522">
        <v>1</v>
      </c>
      <c r="AJ522">
        <v>1</v>
      </c>
      <c r="AK522">
        <v>1</v>
      </c>
      <c r="AL522">
        <v>1</v>
      </c>
      <c r="AM522">
        <v>-2</v>
      </c>
      <c r="AN522">
        <v>0</v>
      </c>
      <c r="AO522">
        <v>1</v>
      </c>
      <c r="AP522">
        <v>1</v>
      </c>
      <c r="AQ522">
        <v>0</v>
      </c>
      <c r="AR522">
        <v>0</v>
      </c>
      <c r="AS522" t="s">
        <v>3</v>
      </c>
      <c r="AT522">
        <v>2.3599999999999999E-2</v>
      </c>
      <c r="AU522" t="s">
        <v>3</v>
      </c>
      <c r="AV522">
        <v>0</v>
      </c>
      <c r="AW522">
        <v>2</v>
      </c>
      <c r="AX522">
        <v>85740098</v>
      </c>
      <c r="AY522">
        <v>1</v>
      </c>
      <c r="AZ522">
        <v>0</v>
      </c>
      <c r="BA522">
        <v>538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v>0</v>
      </c>
      <c r="CX522">
        <f>ROUND(Y522*Source!I215,9)</f>
        <v>4.4839999999999998E-2</v>
      </c>
      <c r="CY522">
        <f t="shared" si="219"/>
        <v>7387.02</v>
      </c>
      <c r="CZ522">
        <f t="shared" si="220"/>
        <v>7185.82</v>
      </c>
      <c r="DA522">
        <f t="shared" si="221"/>
        <v>1</v>
      </c>
      <c r="DB522">
        <f t="shared" si="216"/>
        <v>169.59</v>
      </c>
      <c r="DC522">
        <f t="shared" si="217"/>
        <v>0</v>
      </c>
      <c r="DD522" t="s">
        <v>3</v>
      </c>
      <c r="DE522" t="s">
        <v>3</v>
      </c>
      <c r="DF522">
        <f t="shared" si="218"/>
        <v>322.20999999999998</v>
      </c>
      <c r="DG522">
        <f t="shared" si="212"/>
        <v>0</v>
      </c>
      <c r="DH522">
        <f t="shared" si="213"/>
        <v>0</v>
      </c>
      <c r="DI522">
        <f t="shared" si="214"/>
        <v>0</v>
      </c>
      <c r="DJ522">
        <f t="shared" si="222"/>
        <v>322.20999999999998</v>
      </c>
      <c r="DK522">
        <v>0</v>
      </c>
      <c r="DL522" t="s">
        <v>3</v>
      </c>
      <c r="DM522">
        <v>0</v>
      </c>
      <c r="DN522" t="s">
        <v>3</v>
      </c>
      <c r="DO522">
        <v>0</v>
      </c>
    </row>
    <row r="523" spans="1:119" x14ac:dyDescent="0.2">
      <c r="A523">
        <f>ROW(Source!A215)</f>
        <v>215</v>
      </c>
      <c r="B523">
        <v>85739205</v>
      </c>
      <c r="C523">
        <v>85740074</v>
      </c>
      <c r="D523">
        <v>85200098</v>
      </c>
      <c r="E523">
        <v>1</v>
      </c>
      <c r="F523">
        <v>1</v>
      </c>
      <c r="G523">
        <v>1081</v>
      </c>
      <c r="H523">
        <v>3</v>
      </c>
      <c r="I523" t="s">
        <v>540</v>
      </c>
      <c r="J523" t="s">
        <v>541</v>
      </c>
      <c r="K523" t="s">
        <v>542</v>
      </c>
      <c r="L523">
        <v>1346</v>
      </c>
      <c r="N523">
        <v>1009</v>
      </c>
      <c r="O523" t="s">
        <v>502</v>
      </c>
      <c r="P523" t="s">
        <v>502</v>
      </c>
      <c r="Q523">
        <v>1</v>
      </c>
      <c r="W523">
        <v>0</v>
      </c>
      <c r="X523">
        <v>732400950</v>
      </c>
      <c r="Y523">
        <f t="shared" si="215"/>
        <v>11.6</v>
      </c>
      <c r="AA523">
        <v>21.59</v>
      </c>
      <c r="AB523">
        <v>0</v>
      </c>
      <c r="AC523">
        <v>0</v>
      </c>
      <c r="AD523">
        <v>0</v>
      </c>
      <c r="AE523">
        <v>21</v>
      </c>
      <c r="AF523">
        <v>0</v>
      </c>
      <c r="AG523">
        <v>0</v>
      </c>
      <c r="AH523">
        <v>0</v>
      </c>
      <c r="AI523">
        <v>1</v>
      </c>
      <c r="AJ523">
        <v>1</v>
      </c>
      <c r="AK523">
        <v>1</v>
      </c>
      <c r="AL523">
        <v>1</v>
      </c>
      <c r="AM523">
        <v>-2</v>
      </c>
      <c r="AN523">
        <v>0</v>
      </c>
      <c r="AO523">
        <v>1</v>
      </c>
      <c r="AP523">
        <v>1</v>
      </c>
      <c r="AQ523">
        <v>0</v>
      </c>
      <c r="AR523">
        <v>0</v>
      </c>
      <c r="AS523" t="s">
        <v>3</v>
      </c>
      <c r="AT523">
        <v>11.6</v>
      </c>
      <c r="AU523" t="s">
        <v>3</v>
      </c>
      <c r="AV523">
        <v>0</v>
      </c>
      <c r="AW523">
        <v>2</v>
      </c>
      <c r="AX523">
        <v>85740099</v>
      </c>
      <c r="AY523">
        <v>1</v>
      </c>
      <c r="AZ523">
        <v>0</v>
      </c>
      <c r="BA523">
        <v>539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V523">
        <v>0</v>
      </c>
      <c r="CW523">
        <v>0</v>
      </c>
      <c r="CX523">
        <f>ROUND(Y523*Source!I215,9)</f>
        <v>22.04</v>
      </c>
      <c r="CY523">
        <f t="shared" si="219"/>
        <v>21.59</v>
      </c>
      <c r="CZ523">
        <f t="shared" si="220"/>
        <v>21</v>
      </c>
      <c r="DA523">
        <f t="shared" si="221"/>
        <v>1</v>
      </c>
      <c r="DB523">
        <f t="shared" si="216"/>
        <v>243.6</v>
      </c>
      <c r="DC523">
        <f t="shared" si="217"/>
        <v>0</v>
      </c>
      <c r="DD523" t="s">
        <v>3</v>
      </c>
      <c r="DE523" t="s">
        <v>3</v>
      </c>
      <c r="DF523">
        <f t="shared" si="218"/>
        <v>462.84</v>
      </c>
      <c r="DG523">
        <f t="shared" si="212"/>
        <v>0</v>
      </c>
      <c r="DH523">
        <f t="shared" si="213"/>
        <v>0</v>
      </c>
      <c r="DI523">
        <f t="shared" si="214"/>
        <v>0</v>
      </c>
      <c r="DJ523">
        <f t="shared" si="222"/>
        <v>462.84</v>
      </c>
      <c r="DK523">
        <v>0</v>
      </c>
      <c r="DL523" t="s">
        <v>3</v>
      </c>
      <c r="DM523">
        <v>0</v>
      </c>
      <c r="DN523" t="s">
        <v>3</v>
      </c>
      <c r="DO523">
        <v>0</v>
      </c>
    </row>
    <row r="524" spans="1:119" x14ac:dyDescent="0.2">
      <c r="A524">
        <f>ROW(Source!A215)</f>
        <v>215</v>
      </c>
      <c r="B524">
        <v>85739205</v>
      </c>
      <c r="C524">
        <v>85740074</v>
      </c>
      <c r="D524">
        <v>85200296</v>
      </c>
      <c r="E524">
        <v>1</v>
      </c>
      <c r="F524">
        <v>1</v>
      </c>
      <c r="G524">
        <v>1081</v>
      </c>
      <c r="H524">
        <v>3</v>
      </c>
      <c r="I524" t="s">
        <v>558</v>
      </c>
      <c r="J524" t="s">
        <v>559</v>
      </c>
      <c r="K524" t="s">
        <v>560</v>
      </c>
      <c r="L524">
        <v>1355</v>
      </c>
      <c r="N524">
        <v>1010</v>
      </c>
      <c r="O524" t="s">
        <v>240</v>
      </c>
      <c r="P524" t="s">
        <v>240</v>
      </c>
      <c r="Q524">
        <v>100</v>
      </c>
      <c r="W524">
        <v>0</v>
      </c>
      <c r="X524">
        <v>1567739421</v>
      </c>
      <c r="Y524">
        <f t="shared" si="215"/>
        <v>3.6</v>
      </c>
      <c r="AA524">
        <v>510.7</v>
      </c>
      <c r="AB524">
        <v>0</v>
      </c>
      <c r="AC524">
        <v>0</v>
      </c>
      <c r="AD524">
        <v>0</v>
      </c>
      <c r="AE524">
        <v>496.79</v>
      </c>
      <c r="AF524">
        <v>0</v>
      </c>
      <c r="AG524">
        <v>0</v>
      </c>
      <c r="AH524">
        <v>0</v>
      </c>
      <c r="AI524">
        <v>1</v>
      </c>
      <c r="AJ524">
        <v>1</v>
      </c>
      <c r="AK524">
        <v>1</v>
      </c>
      <c r="AL524">
        <v>1</v>
      </c>
      <c r="AM524">
        <v>-2</v>
      </c>
      <c r="AN524">
        <v>0</v>
      </c>
      <c r="AO524">
        <v>1</v>
      </c>
      <c r="AP524">
        <v>1</v>
      </c>
      <c r="AQ524">
        <v>0</v>
      </c>
      <c r="AR524">
        <v>0</v>
      </c>
      <c r="AS524" t="s">
        <v>3</v>
      </c>
      <c r="AT524">
        <v>3.6</v>
      </c>
      <c r="AU524" t="s">
        <v>3</v>
      </c>
      <c r="AV524">
        <v>0</v>
      </c>
      <c r="AW524">
        <v>2</v>
      </c>
      <c r="AX524">
        <v>85740100</v>
      </c>
      <c r="AY524">
        <v>1</v>
      </c>
      <c r="AZ524">
        <v>0</v>
      </c>
      <c r="BA524">
        <v>540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V524">
        <v>0</v>
      </c>
      <c r="CW524">
        <v>0</v>
      </c>
      <c r="CX524">
        <f>ROUND(Y524*Source!I215,9)</f>
        <v>6.84</v>
      </c>
      <c r="CY524">
        <f t="shared" si="219"/>
        <v>510.7</v>
      </c>
      <c r="CZ524">
        <f t="shared" si="220"/>
        <v>496.79</v>
      </c>
      <c r="DA524">
        <f t="shared" si="221"/>
        <v>1</v>
      </c>
      <c r="DB524">
        <f t="shared" si="216"/>
        <v>1788.44</v>
      </c>
      <c r="DC524">
        <f t="shared" si="217"/>
        <v>0</v>
      </c>
      <c r="DD524" t="s">
        <v>3</v>
      </c>
      <c r="DE524" t="s">
        <v>3</v>
      </c>
      <c r="DF524">
        <f t="shared" si="218"/>
        <v>3398.04</v>
      </c>
      <c r="DG524">
        <f t="shared" si="212"/>
        <v>0</v>
      </c>
      <c r="DH524">
        <f t="shared" si="213"/>
        <v>0</v>
      </c>
      <c r="DI524">
        <f t="shared" si="214"/>
        <v>0</v>
      </c>
      <c r="DJ524">
        <f t="shared" si="222"/>
        <v>3398.04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">
      <c r="A525">
        <f>ROW(Source!A215)</f>
        <v>215</v>
      </c>
      <c r="B525">
        <v>85739205</v>
      </c>
      <c r="C525">
        <v>85740074</v>
      </c>
      <c r="D525">
        <v>85200297</v>
      </c>
      <c r="E525">
        <v>1</v>
      </c>
      <c r="F525">
        <v>1</v>
      </c>
      <c r="G525">
        <v>1081</v>
      </c>
      <c r="H525">
        <v>3</v>
      </c>
      <c r="I525" t="s">
        <v>561</v>
      </c>
      <c r="J525" t="s">
        <v>562</v>
      </c>
      <c r="K525" t="s">
        <v>563</v>
      </c>
      <c r="L525">
        <v>1355</v>
      </c>
      <c r="N525">
        <v>1010</v>
      </c>
      <c r="O525" t="s">
        <v>240</v>
      </c>
      <c r="P525" t="s">
        <v>240</v>
      </c>
      <c r="Q525">
        <v>100</v>
      </c>
      <c r="W525">
        <v>0</v>
      </c>
      <c r="X525">
        <v>-96727844</v>
      </c>
      <c r="Y525">
        <f t="shared" si="215"/>
        <v>3.6</v>
      </c>
      <c r="AA525">
        <v>250.58</v>
      </c>
      <c r="AB525">
        <v>0</v>
      </c>
      <c r="AC525">
        <v>0</v>
      </c>
      <c r="AD525">
        <v>0</v>
      </c>
      <c r="AE525">
        <v>243.75</v>
      </c>
      <c r="AF525">
        <v>0</v>
      </c>
      <c r="AG525">
        <v>0</v>
      </c>
      <c r="AH525">
        <v>0</v>
      </c>
      <c r="AI525">
        <v>1</v>
      </c>
      <c r="AJ525">
        <v>1</v>
      </c>
      <c r="AK525">
        <v>1</v>
      </c>
      <c r="AL525">
        <v>1</v>
      </c>
      <c r="AM525">
        <v>-2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3.6</v>
      </c>
      <c r="AU525" t="s">
        <v>3</v>
      </c>
      <c r="AV525">
        <v>0</v>
      </c>
      <c r="AW525">
        <v>2</v>
      </c>
      <c r="AX525">
        <v>85740101</v>
      </c>
      <c r="AY525">
        <v>1</v>
      </c>
      <c r="AZ525">
        <v>0</v>
      </c>
      <c r="BA525">
        <v>541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V525">
        <v>0</v>
      </c>
      <c r="CW525">
        <v>0</v>
      </c>
      <c r="CX525">
        <f>ROUND(Y525*Source!I215,9)</f>
        <v>6.84</v>
      </c>
      <c r="CY525">
        <f t="shared" si="219"/>
        <v>250.58</v>
      </c>
      <c r="CZ525">
        <f t="shared" si="220"/>
        <v>243.75</v>
      </c>
      <c r="DA525">
        <f t="shared" si="221"/>
        <v>1</v>
      </c>
      <c r="DB525">
        <f t="shared" si="216"/>
        <v>877.5</v>
      </c>
      <c r="DC525">
        <f t="shared" si="217"/>
        <v>0</v>
      </c>
      <c r="DD525" t="s">
        <v>3</v>
      </c>
      <c r="DE525" t="s">
        <v>3</v>
      </c>
      <c r="DF525">
        <f t="shared" si="218"/>
        <v>1667.25</v>
      </c>
      <c r="DG525">
        <f t="shared" si="212"/>
        <v>0</v>
      </c>
      <c r="DH525">
        <f t="shared" si="213"/>
        <v>0</v>
      </c>
      <c r="DI525">
        <f t="shared" si="214"/>
        <v>0</v>
      </c>
      <c r="DJ525">
        <f t="shared" si="222"/>
        <v>1667.25</v>
      </c>
      <c r="DK525">
        <v>0</v>
      </c>
      <c r="DL525" t="s">
        <v>3</v>
      </c>
      <c r="DM525">
        <v>0</v>
      </c>
      <c r="DN525" t="s">
        <v>3</v>
      </c>
      <c r="DO525">
        <v>0</v>
      </c>
    </row>
    <row r="526" spans="1:119" x14ac:dyDescent="0.2">
      <c r="A526">
        <f>ROW(Source!A215)</f>
        <v>215</v>
      </c>
      <c r="B526">
        <v>85739205</v>
      </c>
      <c r="C526">
        <v>85740074</v>
      </c>
      <c r="D526">
        <v>85198892</v>
      </c>
      <c r="E526">
        <v>1</v>
      </c>
      <c r="F526">
        <v>1</v>
      </c>
      <c r="G526">
        <v>1081</v>
      </c>
      <c r="H526">
        <v>3</v>
      </c>
      <c r="I526" t="s">
        <v>543</v>
      </c>
      <c r="J526" t="s">
        <v>544</v>
      </c>
      <c r="K526" t="s">
        <v>545</v>
      </c>
      <c r="L526">
        <v>1339</v>
      </c>
      <c r="N526">
        <v>1007</v>
      </c>
      <c r="O526" t="s">
        <v>506</v>
      </c>
      <c r="P526" t="s">
        <v>506</v>
      </c>
      <c r="Q526">
        <v>1</v>
      </c>
      <c r="W526">
        <v>0</v>
      </c>
      <c r="X526">
        <v>-676034668</v>
      </c>
      <c r="Y526">
        <f t="shared" si="215"/>
        <v>9</v>
      </c>
      <c r="AA526">
        <v>54.92</v>
      </c>
      <c r="AB526">
        <v>0</v>
      </c>
      <c r="AC526">
        <v>0</v>
      </c>
      <c r="AD526">
        <v>0</v>
      </c>
      <c r="AE526">
        <v>53.42</v>
      </c>
      <c r="AF526">
        <v>0</v>
      </c>
      <c r="AG526">
        <v>0</v>
      </c>
      <c r="AH526">
        <v>0</v>
      </c>
      <c r="AI526">
        <v>1</v>
      </c>
      <c r="AJ526">
        <v>1</v>
      </c>
      <c r="AK526">
        <v>1</v>
      </c>
      <c r="AL526">
        <v>1</v>
      </c>
      <c r="AM526">
        <v>-2</v>
      </c>
      <c r="AN526">
        <v>0</v>
      </c>
      <c r="AO526">
        <v>1</v>
      </c>
      <c r="AP526">
        <v>1</v>
      </c>
      <c r="AQ526">
        <v>0</v>
      </c>
      <c r="AR526">
        <v>0</v>
      </c>
      <c r="AS526" t="s">
        <v>3</v>
      </c>
      <c r="AT526">
        <v>9</v>
      </c>
      <c r="AU526" t="s">
        <v>3</v>
      </c>
      <c r="AV526">
        <v>0</v>
      </c>
      <c r="AW526">
        <v>2</v>
      </c>
      <c r="AX526">
        <v>85740102</v>
      </c>
      <c r="AY526">
        <v>1</v>
      </c>
      <c r="AZ526">
        <v>0</v>
      </c>
      <c r="BA526">
        <v>542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v>0</v>
      </c>
      <c r="CX526">
        <f>ROUND(Y526*Source!I215,9)</f>
        <v>17.100000000000001</v>
      </c>
      <c r="CY526">
        <f t="shared" si="219"/>
        <v>54.92</v>
      </c>
      <c r="CZ526">
        <f t="shared" si="220"/>
        <v>53.42</v>
      </c>
      <c r="DA526">
        <f t="shared" si="221"/>
        <v>1</v>
      </c>
      <c r="DB526">
        <f t="shared" si="216"/>
        <v>480.78</v>
      </c>
      <c r="DC526">
        <f t="shared" si="217"/>
        <v>0</v>
      </c>
      <c r="DD526" t="s">
        <v>3</v>
      </c>
      <c r="DE526" t="s">
        <v>3</v>
      </c>
      <c r="DF526">
        <f t="shared" si="218"/>
        <v>913.48</v>
      </c>
      <c r="DG526">
        <f t="shared" si="212"/>
        <v>0</v>
      </c>
      <c r="DH526">
        <f t="shared" si="213"/>
        <v>0</v>
      </c>
      <c r="DI526">
        <f t="shared" si="214"/>
        <v>0</v>
      </c>
      <c r="DJ526">
        <f t="shared" si="222"/>
        <v>913.48</v>
      </c>
      <c r="DK526">
        <v>0</v>
      </c>
      <c r="DL526" t="s">
        <v>3</v>
      </c>
      <c r="DM526">
        <v>0</v>
      </c>
      <c r="DN526" t="s">
        <v>3</v>
      </c>
      <c r="DO526">
        <v>0</v>
      </c>
    </row>
    <row r="527" spans="1:119" x14ac:dyDescent="0.2">
      <c r="A527">
        <f>ROW(Source!A215)</f>
        <v>215</v>
      </c>
      <c r="B527">
        <v>85739205</v>
      </c>
      <c r="C527">
        <v>85740074</v>
      </c>
      <c r="D527">
        <v>85199158</v>
      </c>
      <c r="E527">
        <v>1</v>
      </c>
      <c r="F527">
        <v>1</v>
      </c>
      <c r="G527">
        <v>1081</v>
      </c>
      <c r="H527">
        <v>3</v>
      </c>
      <c r="I527" t="s">
        <v>503</v>
      </c>
      <c r="J527" t="s">
        <v>504</v>
      </c>
      <c r="K527" t="s">
        <v>505</v>
      </c>
      <c r="L527">
        <v>1339</v>
      </c>
      <c r="N527">
        <v>1007</v>
      </c>
      <c r="O527" t="s">
        <v>506</v>
      </c>
      <c r="P527" t="s">
        <v>506</v>
      </c>
      <c r="Q527">
        <v>1</v>
      </c>
      <c r="W527">
        <v>0</v>
      </c>
      <c r="X527">
        <v>-1235260082</v>
      </c>
      <c r="Y527">
        <f t="shared" si="215"/>
        <v>11.6</v>
      </c>
      <c r="AA527">
        <v>5.98</v>
      </c>
      <c r="AB527">
        <v>0</v>
      </c>
      <c r="AC527">
        <v>0</v>
      </c>
      <c r="AD527">
        <v>0</v>
      </c>
      <c r="AE527">
        <v>5.82</v>
      </c>
      <c r="AF527">
        <v>0</v>
      </c>
      <c r="AG527">
        <v>0</v>
      </c>
      <c r="AH527">
        <v>0</v>
      </c>
      <c r="AI527">
        <v>1</v>
      </c>
      <c r="AJ527">
        <v>1</v>
      </c>
      <c r="AK527">
        <v>1</v>
      </c>
      <c r="AL527">
        <v>1</v>
      </c>
      <c r="AM527">
        <v>-2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11.6</v>
      </c>
      <c r="AU527" t="s">
        <v>3</v>
      </c>
      <c r="AV527">
        <v>0</v>
      </c>
      <c r="AW527">
        <v>2</v>
      </c>
      <c r="AX527">
        <v>85740103</v>
      </c>
      <c r="AY527">
        <v>1</v>
      </c>
      <c r="AZ527">
        <v>0</v>
      </c>
      <c r="BA527">
        <v>543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V527">
        <v>0</v>
      </c>
      <c r="CW527">
        <v>0</v>
      </c>
      <c r="CX527">
        <f>ROUND(Y527*Source!I215,9)</f>
        <v>22.04</v>
      </c>
      <c r="CY527">
        <f t="shared" si="219"/>
        <v>5.98</v>
      </c>
      <c r="CZ527">
        <f t="shared" si="220"/>
        <v>5.82</v>
      </c>
      <c r="DA527">
        <f t="shared" si="221"/>
        <v>1</v>
      </c>
      <c r="DB527">
        <f t="shared" si="216"/>
        <v>67.510000000000005</v>
      </c>
      <c r="DC527">
        <f t="shared" si="217"/>
        <v>0</v>
      </c>
      <c r="DD527" t="s">
        <v>3</v>
      </c>
      <c r="DE527" t="s">
        <v>3</v>
      </c>
      <c r="DF527">
        <f t="shared" si="218"/>
        <v>128.27000000000001</v>
      </c>
      <c r="DG527">
        <f t="shared" si="212"/>
        <v>0</v>
      </c>
      <c r="DH527">
        <f t="shared" si="213"/>
        <v>0</v>
      </c>
      <c r="DI527">
        <f t="shared" si="214"/>
        <v>0</v>
      </c>
      <c r="DJ527">
        <f t="shared" si="222"/>
        <v>128.27000000000001</v>
      </c>
      <c r="DK527">
        <v>0</v>
      </c>
      <c r="DL527" t="s">
        <v>3</v>
      </c>
      <c r="DM527">
        <v>0</v>
      </c>
      <c r="DN527" t="s">
        <v>3</v>
      </c>
      <c r="DO527">
        <v>0</v>
      </c>
    </row>
    <row r="528" spans="1:119" x14ac:dyDescent="0.2">
      <c r="A528">
        <f>ROW(Source!A215)</f>
        <v>215</v>
      </c>
      <c r="B528">
        <v>85739205</v>
      </c>
      <c r="C528">
        <v>85740074</v>
      </c>
      <c r="D528">
        <v>85211458</v>
      </c>
      <c r="E528">
        <v>1</v>
      </c>
      <c r="F528">
        <v>1</v>
      </c>
      <c r="G528">
        <v>1081</v>
      </c>
      <c r="H528">
        <v>3</v>
      </c>
      <c r="I528" t="s">
        <v>209</v>
      </c>
      <c r="J528" t="s">
        <v>211</v>
      </c>
      <c r="K528" t="s">
        <v>210</v>
      </c>
      <c r="L528">
        <v>1301</v>
      </c>
      <c r="N528">
        <v>1003</v>
      </c>
      <c r="O528" t="s">
        <v>179</v>
      </c>
      <c r="P528" t="s">
        <v>179</v>
      </c>
      <c r="Q528">
        <v>1</v>
      </c>
      <c r="W528">
        <v>0</v>
      </c>
      <c r="X528">
        <v>-2048145394</v>
      </c>
      <c r="Y528">
        <f t="shared" si="215"/>
        <v>105.7894737</v>
      </c>
      <c r="AA528">
        <v>41.57</v>
      </c>
      <c r="AB528">
        <v>0</v>
      </c>
      <c r="AC528">
        <v>0</v>
      </c>
      <c r="AD528">
        <v>0</v>
      </c>
      <c r="AE528">
        <v>41.57</v>
      </c>
      <c r="AF528">
        <v>0</v>
      </c>
      <c r="AG528">
        <v>0</v>
      </c>
      <c r="AH528">
        <v>0</v>
      </c>
      <c r="AI528">
        <v>1</v>
      </c>
      <c r="AJ528">
        <v>1</v>
      </c>
      <c r="AK528">
        <v>1</v>
      </c>
      <c r="AL528">
        <v>1</v>
      </c>
      <c r="AM528">
        <v>0</v>
      </c>
      <c r="AN528">
        <v>0</v>
      </c>
      <c r="AO528">
        <v>0</v>
      </c>
      <c r="AP528">
        <v>1</v>
      </c>
      <c r="AQ528">
        <v>0</v>
      </c>
      <c r="AR528">
        <v>0</v>
      </c>
      <c r="AS528" t="s">
        <v>3</v>
      </c>
      <c r="AT528">
        <v>105.7894737</v>
      </c>
      <c r="AU528" t="s">
        <v>3</v>
      </c>
      <c r="AV528">
        <v>0</v>
      </c>
      <c r="AW528">
        <v>1</v>
      </c>
      <c r="AX528">
        <v>-1</v>
      </c>
      <c r="AY528">
        <v>0</v>
      </c>
      <c r="AZ528">
        <v>0</v>
      </c>
      <c r="BA528" t="s">
        <v>3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v>0</v>
      </c>
      <c r="CX528">
        <f>ROUND(Y528*Source!I215,9)</f>
        <v>201.00000003</v>
      </c>
      <c r="CY528">
        <f t="shared" si="219"/>
        <v>41.57</v>
      </c>
      <c r="CZ528">
        <f t="shared" si="220"/>
        <v>41.57</v>
      </c>
      <c r="DA528">
        <f t="shared" si="221"/>
        <v>1</v>
      </c>
      <c r="DB528">
        <f t="shared" si="216"/>
        <v>4397.67</v>
      </c>
      <c r="DC528">
        <f t="shared" si="217"/>
        <v>0</v>
      </c>
      <c r="DD528" t="s">
        <v>3</v>
      </c>
      <c r="DE528" t="s">
        <v>3</v>
      </c>
      <c r="DF528">
        <f t="shared" si="218"/>
        <v>8355.57</v>
      </c>
      <c r="DG528">
        <f t="shared" si="212"/>
        <v>0</v>
      </c>
      <c r="DH528">
        <f t="shared" si="213"/>
        <v>0</v>
      </c>
      <c r="DI528">
        <f t="shared" si="214"/>
        <v>0</v>
      </c>
      <c r="DJ528">
        <f t="shared" si="222"/>
        <v>8355.57</v>
      </c>
      <c r="DK528">
        <v>0</v>
      </c>
      <c r="DL528" t="s">
        <v>3</v>
      </c>
      <c r="DM528">
        <v>0</v>
      </c>
      <c r="DN528" t="s">
        <v>3</v>
      </c>
      <c r="DO528">
        <v>0</v>
      </c>
    </row>
    <row r="529" spans="1:119" x14ac:dyDescent="0.2">
      <c r="A529">
        <f>ROW(Source!A215)</f>
        <v>215</v>
      </c>
      <c r="B529">
        <v>85739205</v>
      </c>
      <c r="C529">
        <v>85740074</v>
      </c>
      <c r="D529">
        <v>85211459</v>
      </c>
      <c r="E529">
        <v>1</v>
      </c>
      <c r="F529">
        <v>1</v>
      </c>
      <c r="G529">
        <v>1081</v>
      </c>
      <c r="H529">
        <v>3</v>
      </c>
      <c r="I529" t="s">
        <v>206</v>
      </c>
      <c r="J529" t="s">
        <v>208</v>
      </c>
      <c r="K529" t="s">
        <v>207</v>
      </c>
      <c r="L529">
        <v>1301</v>
      </c>
      <c r="N529">
        <v>1003</v>
      </c>
      <c r="O529" t="s">
        <v>179</v>
      </c>
      <c r="P529" t="s">
        <v>179</v>
      </c>
      <c r="Q529">
        <v>1</v>
      </c>
      <c r="W529">
        <v>0</v>
      </c>
      <c r="X529">
        <v>-173671470</v>
      </c>
      <c r="Y529">
        <f t="shared" si="215"/>
        <v>476.05263159999998</v>
      </c>
      <c r="AA529">
        <v>51.28</v>
      </c>
      <c r="AB529">
        <v>0</v>
      </c>
      <c r="AC529">
        <v>0</v>
      </c>
      <c r="AD529">
        <v>0</v>
      </c>
      <c r="AE529">
        <v>51.28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1</v>
      </c>
      <c r="AL529">
        <v>1</v>
      </c>
      <c r="AM529">
        <v>0</v>
      </c>
      <c r="AN529">
        <v>0</v>
      </c>
      <c r="AO529">
        <v>0</v>
      </c>
      <c r="AP529">
        <v>1</v>
      </c>
      <c r="AQ529">
        <v>0</v>
      </c>
      <c r="AR529">
        <v>0</v>
      </c>
      <c r="AS529" t="s">
        <v>3</v>
      </c>
      <c r="AT529">
        <v>476.05263159999998</v>
      </c>
      <c r="AU529" t="s">
        <v>3</v>
      </c>
      <c r="AV529">
        <v>0</v>
      </c>
      <c r="AW529">
        <v>1</v>
      </c>
      <c r="AX529">
        <v>-1</v>
      </c>
      <c r="AY529">
        <v>0</v>
      </c>
      <c r="AZ529">
        <v>0</v>
      </c>
      <c r="BA529" t="s">
        <v>3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V529">
        <v>0</v>
      </c>
      <c r="CW529">
        <v>0</v>
      </c>
      <c r="CX529">
        <f>ROUND(Y529*Source!I215,9)</f>
        <v>904.50000004000003</v>
      </c>
      <c r="CY529">
        <f t="shared" si="219"/>
        <v>51.28</v>
      </c>
      <c r="CZ529">
        <f t="shared" si="220"/>
        <v>51.28</v>
      </c>
      <c r="DA529">
        <f t="shared" si="221"/>
        <v>1</v>
      </c>
      <c r="DB529">
        <f t="shared" si="216"/>
        <v>24411.98</v>
      </c>
      <c r="DC529">
        <f t="shared" si="217"/>
        <v>0</v>
      </c>
      <c r="DD529" t="s">
        <v>3</v>
      </c>
      <c r="DE529" t="s">
        <v>3</v>
      </c>
      <c r="DF529">
        <f t="shared" si="218"/>
        <v>46382.76</v>
      </c>
      <c r="DG529">
        <f t="shared" si="212"/>
        <v>0</v>
      </c>
      <c r="DH529">
        <f t="shared" si="213"/>
        <v>0</v>
      </c>
      <c r="DI529">
        <f t="shared" si="214"/>
        <v>0</v>
      </c>
      <c r="DJ529">
        <f t="shared" si="222"/>
        <v>46382.76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">
      <c r="A530">
        <f>ROW(Source!A215)</f>
        <v>215</v>
      </c>
      <c r="B530">
        <v>85739205</v>
      </c>
      <c r="C530">
        <v>85740074</v>
      </c>
      <c r="D530">
        <v>85211460</v>
      </c>
      <c r="E530">
        <v>1</v>
      </c>
      <c r="F530">
        <v>1</v>
      </c>
      <c r="G530">
        <v>1081</v>
      </c>
      <c r="H530">
        <v>3</v>
      </c>
      <c r="I530" t="s">
        <v>408</v>
      </c>
      <c r="J530" t="s">
        <v>410</v>
      </c>
      <c r="K530" t="s">
        <v>409</v>
      </c>
      <c r="L530">
        <v>1301</v>
      </c>
      <c r="N530">
        <v>1003</v>
      </c>
      <c r="O530" t="s">
        <v>179</v>
      </c>
      <c r="P530" t="s">
        <v>179</v>
      </c>
      <c r="Q530">
        <v>1</v>
      </c>
      <c r="W530">
        <v>0</v>
      </c>
      <c r="X530">
        <v>-2119850974</v>
      </c>
      <c r="Y530">
        <f t="shared" si="215"/>
        <v>423.15789469999999</v>
      </c>
      <c r="AA530">
        <v>61.58</v>
      </c>
      <c r="AB530">
        <v>0</v>
      </c>
      <c r="AC530">
        <v>0</v>
      </c>
      <c r="AD530">
        <v>0</v>
      </c>
      <c r="AE530">
        <v>61.58</v>
      </c>
      <c r="AF530">
        <v>0</v>
      </c>
      <c r="AG530">
        <v>0</v>
      </c>
      <c r="AH530">
        <v>0</v>
      </c>
      <c r="AI530">
        <v>1</v>
      </c>
      <c r="AJ530">
        <v>1</v>
      </c>
      <c r="AK530">
        <v>1</v>
      </c>
      <c r="AL530">
        <v>1</v>
      </c>
      <c r="AM530">
        <v>0</v>
      </c>
      <c r="AN530">
        <v>0</v>
      </c>
      <c r="AO530">
        <v>0</v>
      </c>
      <c r="AP530">
        <v>1</v>
      </c>
      <c r="AQ530">
        <v>0</v>
      </c>
      <c r="AR530">
        <v>0</v>
      </c>
      <c r="AS530" t="s">
        <v>3</v>
      </c>
      <c r="AT530">
        <v>423.15789469999999</v>
      </c>
      <c r="AU530" t="s">
        <v>3</v>
      </c>
      <c r="AV530">
        <v>0</v>
      </c>
      <c r="AW530">
        <v>1</v>
      </c>
      <c r="AX530">
        <v>-1</v>
      </c>
      <c r="AY530">
        <v>0</v>
      </c>
      <c r="AZ530">
        <v>0</v>
      </c>
      <c r="BA530" t="s">
        <v>3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v>0</v>
      </c>
      <c r="CX530">
        <f>ROUND(Y530*Source!I215,9)</f>
        <v>803.99999992999994</v>
      </c>
      <c r="CY530">
        <f t="shared" si="219"/>
        <v>61.58</v>
      </c>
      <c r="CZ530">
        <f t="shared" si="220"/>
        <v>61.58</v>
      </c>
      <c r="DA530">
        <f t="shared" si="221"/>
        <v>1</v>
      </c>
      <c r="DB530">
        <f t="shared" si="216"/>
        <v>26058.06</v>
      </c>
      <c r="DC530">
        <f t="shared" si="217"/>
        <v>0</v>
      </c>
      <c r="DD530" t="s">
        <v>3</v>
      </c>
      <c r="DE530" t="s">
        <v>3</v>
      </c>
      <c r="DF530">
        <f t="shared" si="218"/>
        <v>49510.32</v>
      </c>
      <c r="DG530">
        <f t="shared" si="212"/>
        <v>0</v>
      </c>
      <c r="DH530">
        <f t="shared" si="213"/>
        <v>0</v>
      </c>
      <c r="DI530">
        <f t="shared" si="214"/>
        <v>0</v>
      </c>
      <c r="DJ530">
        <f t="shared" si="222"/>
        <v>49510.32</v>
      </c>
      <c r="DK530">
        <v>0</v>
      </c>
      <c r="DL530" t="s">
        <v>3</v>
      </c>
      <c r="DM530">
        <v>0</v>
      </c>
      <c r="DN530" t="s">
        <v>3</v>
      </c>
      <c r="DO530">
        <v>0</v>
      </c>
    </row>
    <row r="531" spans="1:119" x14ac:dyDescent="0.2">
      <c r="A531">
        <f>ROW(Source!A215)</f>
        <v>215</v>
      </c>
      <c r="B531">
        <v>85739205</v>
      </c>
      <c r="C531">
        <v>85740074</v>
      </c>
      <c r="D531">
        <v>85221547</v>
      </c>
      <c r="E531">
        <v>1</v>
      </c>
      <c r="F531">
        <v>1</v>
      </c>
      <c r="G531">
        <v>1081</v>
      </c>
      <c r="H531">
        <v>3</v>
      </c>
      <c r="I531" t="s">
        <v>564</v>
      </c>
      <c r="J531" t="s">
        <v>565</v>
      </c>
      <c r="K531" t="s">
        <v>566</v>
      </c>
      <c r="L531">
        <v>1354</v>
      </c>
      <c r="N531">
        <v>1010</v>
      </c>
      <c r="O531" t="s">
        <v>99</v>
      </c>
      <c r="P531" t="s">
        <v>99</v>
      </c>
      <c r="Q531">
        <v>1</v>
      </c>
      <c r="W531">
        <v>0</v>
      </c>
      <c r="X531">
        <v>483106430</v>
      </c>
      <c r="Y531">
        <f t="shared" si="215"/>
        <v>360</v>
      </c>
      <c r="AA531">
        <v>14.68</v>
      </c>
      <c r="AB531">
        <v>0</v>
      </c>
      <c r="AC531">
        <v>0</v>
      </c>
      <c r="AD531">
        <v>0</v>
      </c>
      <c r="AE531">
        <v>14.28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1</v>
      </c>
      <c r="AL531">
        <v>1</v>
      </c>
      <c r="AM531">
        <v>-2</v>
      </c>
      <c r="AN531">
        <v>0</v>
      </c>
      <c r="AO531">
        <v>1</v>
      </c>
      <c r="AP531">
        <v>1</v>
      </c>
      <c r="AQ531">
        <v>0</v>
      </c>
      <c r="AR531">
        <v>0</v>
      </c>
      <c r="AS531" t="s">
        <v>3</v>
      </c>
      <c r="AT531">
        <v>360</v>
      </c>
      <c r="AU531" t="s">
        <v>3</v>
      </c>
      <c r="AV531">
        <v>0</v>
      </c>
      <c r="AW531">
        <v>2</v>
      </c>
      <c r="AX531">
        <v>85740104</v>
      </c>
      <c r="AY531">
        <v>1</v>
      </c>
      <c r="AZ531">
        <v>0</v>
      </c>
      <c r="BA531">
        <v>544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V531">
        <v>0</v>
      </c>
      <c r="CW531">
        <v>0</v>
      </c>
      <c r="CX531">
        <f>ROUND(Y531*Source!I215,9)</f>
        <v>684</v>
      </c>
      <c r="CY531">
        <f t="shared" si="219"/>
        <v>14.68</v>
      </c>
      <c r="CZ531">
        <f t="shared" si="220"/>
        <v>14.28</v>
      </c>
      <c r="DA531">
        <f t="shared" si="221"/>
        <v>1</v>
      </c>
      <c r="DB531">
        <f t="shared" si="216"/>
        <v>5140.8</v>
      </c>
      <c r="DC531">
        <f t="shared" si="217"/>
        <v>0</v>
      </c>
      <c r="DD531" t="s">
        <v>3</v>
      </c>
      <c r="DE531" t="s">
        <v>3</v>
      </c>
      <c r="DF531">
        <f t="shared" si="218"/>
        <v>9767.52</v>
      </c>
      <c r="DG531">
        <f t="shared" si="212"/>
        <v>0</v>
      </c>
      <c r="DH531">
        <f t="shared" si="213"/>
        <v>0</v>
      </c>
      <c r="DI531">
        <f t="shared" si="214"/>
        <v>0</v>
      </c>
      <c r="DJ531">
        <f t="shared" si="222"/>
        <v>9767.52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">
      <c r="A532">
        <f>ROW(Source!A216)</f>
        <v>216</v>
      </c>
      <c r="B532">
        <v>85739207</v>
      </c>
      <c r="C532">
        <v>85740074</v>
      </c>
      <c r="D532">
        <v>85164021</v>
      </c>
      <c r="E532">
        <v>1081</v>
      </c>
      <c r="F532">
        <v>1</v>
      </c>
      <c r="G532">
        <v>1081</v>
      </c>
      <c r="H532">
        <v>1</v>
      </c>
      <c r="I532" t="s">
        <v>472</v>
      </c>
      <c r="J532" t="s">
        <v>3</v>
      </c>
      <c r="K532" t="s">
        <v>473</v>
      </c>
      <c r="L532">
        <v>1191</v>
      </c>
      <c r="N532">
        <v>1013</v>
      </c>
      <c r="O532" t="s">
        <v>474</v>
      </c>
      <c r="P532" t="s">
        <v>474</v>
      </c>
      <c r="Q532">
        <v>1</v>
      </c>
      <c r="W532">
        <v>0</v>
      </c>
      <c r="X532">
        <v>476480486</v>
      </c>
      <c r="Y532">
        <f t="shared" si="215"/>
        <v>1730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1</v>
      </c>
      <c r="AK532">
        <v>1</v>
      </c>
      <c r="AL532">
        <v>1</v>
      </c>
      <c r="AM532">
        <v>5</v>
      </c>
      <c r="AN532">
        <v>0</v>
      </c>
      <c r="AO532">
        <v>1</v>
      </c>
      <c r="AP532">
        <v>1</v>
      </c>
      <c r="AQ532">
        <v>0</v>
      </c>
      <c r="AR532">
        <v>0</v>
      </c>
      <c r="AS532" t="s">
        <v>3</v>
      </c>
      <c r="AT532">
        <v>1730</v>
      </c>
      <c r="AU532" t="s">
        <v>3</v>
      </c>
      <c r="AV532">
        <v>1</v>
      </c>
      <c r="AW532">
        <v>2</v>
      </c>
      <c r="AX532">
        <v>85740091</v>
      </c>
      <c r="AY532">
        <v>1</v>
      </c>
      <c r="AZ532">
        <v>0</v>
      </c>
      <c r="BA532">
        <v>546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U532">
        <f>ROUND(AT532*Source!I216*AH532*AL532,2)</f>
        <v>0</v>
      </c>
      <c r="CV532">
        <f>ROUND(Y532*Source!I216,9)</f>
        <v>3287</v>
      </c>
      <c r="CW532">
        <v>0</v>
      </c>
      <c r="CX532">
        <f>ROUND(Y532*Source!I216,9)</f>
        <v>3287</v>
      </c>
      <c r="CY532">
        <f>AD532</f>
        <v>0</v>
      </c>
      <c r="CZ532">
        <f>AH532</f>
        <v>0</v>
      </c>
      <c r="DA532">
        <f>AL532</f>
        <v>1</v>
      </c>
      <c r="DB532">
        <f t="shared" si="216"/>
        <v>0</v>
      </c>
      <c r="DC532">
        <f t="shared" si="217"/>
        <v>0</v>
      </c>
      <c r="DD532" t="s">
        <v>3</v>
      </c>
      <c r="DE532" t="s">
        <v>3</v>
      </c>
      <c r="DF532">
        <f t="shared" si="218"/>
        <v>0</v>
      </c>
      <c r="DG532">
        <f t="shared" si="212"/>
        <v>0</v>
      </c>
      <c r="DH532">
        <f t="shared" si="213"/>
        <v>0</v>
      </c>
      <c r="DI532">
        <f t="shared" si="214"/>
        <v>0</v>
      </c>
      <c r="DJ532">
        <f>DI532</f>
        <v>0</v>
      </c>
      <c r="DK532">
        <v>0</v>
      </c>
      <c r="DL532" t="s">
        <v>3</v>
      </c>
      <c r="DM532">
        <v>0</v>
      </c>
      <c r="DN532" t="s">
        <v>3</v>
      </c>
      <c r="DO532">
        <v>0</v>
      </c>
    </row>
    <row r="533" spans="1:119" x14ac:dyDescent="0.2">
      <c r="A533">
        <f>ROW(Source!A216)</f>
        <v>216</v>
      </c>
      <c r="B533">
        <v>85739207</v>
      </c>
      <c r="C533">
        <v>85740074</v>
      </c>
      <c r="D533">
        <v>85229527</v>
      </c>
      <c r="E533">
        <v>1</v>
      </c>
      <c r="F533">
        <v>1</v>
      </c>
      <c r="G533">
        <v>1081</v>
      </c>
      <c r="H533">
        <v>2</v>
      </c>
      <c r="I533" t="s">
        <v>546</v>
      </c>
      <c r="J533" t="s">
        <v>547</v>
      </c>
      <c r="K533" t="s">
        <v>548</v>
      </c>
      <c r="L533">
        <v>1368</v>
      </c>
      <c r="N533">
        <v>1011</v>
      </c>
      <c r="O533" t="s">
        <v>478</v>
      </c>
      <c r="P533" t="s">
        <v>478</v>
      </c>
      <c r="Q533">
        <v>1</v>
      </c>
      <c r="W533">
        <v>0</v>
      </c>
      <c r="X533">
        <v>-1222619517</v>
      </c>
      <c r="Y533">
        <f t="shared" si="215"/>
        <v>13.5</v>
      </c>
      <c r="AA533">
        <v>0</v>
      </c>
      <c r="AB533">
        <v>1209.95</v>
      </c>
      <c r="AC533">
        <v>758.78</v>
      </c>
      <c r="AD533">
        <v>0</v>
      </c>
      <c r="AE533">
        <v>0</v>
      </c>
      <c r="AF533">
        <v>48.07</v>
      </c>
      <c r="AG533">
        <v>12.62</v>
      </c>
      <c r="AH533">
        <v>0</v>
      </c>
      <c r="AI533">
        <v>1</v>
      </c>
      <c r="AJ533">
        <v>23.59</v>
      </c>
      <c r="AK533">
        <v>56.35</v>
      </c>
      <c r="AL533">
        <v>1</v>
      </c>
      <c r="AM533">
        <v>2</v>
      </c>
      <c r="AN533">
        <v>0</v>
      </c>
      <c r="AO533">
        <v>1</v>
      </c>
      <c r="AP533">
        <v>1</v>
      </c>
      <c r="AQ533">
        <v>0</v>
      </c>
      <c r="AR533">
        <v>0</v>
      </c>
      <c r="AS533" t="s">
        <v>3</v>
      </c>
      <c r="AT533">
        <v>13.5</v>
      </c>
      <c r="AU533" t="s">
        <v>3</v>
      </c>
      <c r="AV533">
        <v>0</v>
      </c>
      <c r="AW533">
        <v>2</v>
      </c>
      <c r="AX533">
        <v>85740092</v>
      </c>
      <c r="AY533">
        <v>1</v>
      </c>
      <c r="AZ533">
        <v>0</v>
      </c>
      <c r="BA533">
        <v>547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f>ROUND(Y533*Source!I216*DO533,9)</f>
        <v>323.70299999999997</v>
      </c>
      <c r="CX533">
        <f>ROUND(Y533*Source!I216,9)</f>
        <v>25.65</v>
      </c>
      <c r="CY533">
        <f>AB533</f>
        <v>1209.95</v>
      </c>
      <c r="CZ533">
        <f>AF533</f>
        <v>48.07</v>
      </c>
      <c r="DA533">
        <f>AJ533</f>
        <v>23.59</v>
      </c>
      <c r="DB533">
        <f t="shared" si="216"/>
        <v>648.95000000000005</v>
      </c>
      <c r="DC533">
        <f t="shared" si="217"/>
        <v>170.37</v>
      </c>
      <c r="DD533" t="s">
        <v>3</v>
      </c>
      <c r="DE533" t="s">
        <v>3</v>
      </c>
      <c r="DF533">
        <f t="shared" si="218"/>
        <v>0</v>
      </c>
      <c r="DG533">
        <f>ROUND(ROUND(AF533*AJ533,2)*CX533,2)</f>
        <v>29086.33</v>
      </c>
      <c r="DH533">
        <f>ROUND(ROUND(AG533*AK533,2)*CX533,2)</f>
        <v>18240.740000000002</v>
      </c>
      <c r="DI533">
        <f t="shared" si="214"/>
        <v>0</v>
      </c>
      <c r="DJ533">
        <f>DG533</f>
        <v>29086.33</v>
      </c>
      <c r="DK533">
        <v>0</v>
      </c>
      <c r="DL533" t="s">
        <v>485</v>
      </c>
      <c r="DM533">
        <v>0</v>
      </c>
      <c r="DN533" t="s">
        <v>474</v>
      </c>
      <c r="DO533">
        <v>12.62</v>
      </c>
    </row>
    <row r="534" spans="1:119" x14ac:dyDescent="0.2">
      <c r="A534">
        <f>ROW(Source!A216)</f>
        <v>216</v>
      </c>
      <c r="B534">
        <v>85739207</v>
      </c>
      <c r="C534">
        <v>85740074</v>
      </c>
      <c r="D534">
        <v>85229564</v>
      </c>
      <c r="E534">
        <v>1</v>
      </c>
      <c r="F534">
        <v>1</v>
      </c>
      <c r="G534">
        <v>1081</v>
      </c>
      <c r="H534">
        <v>2</v>
      </c>
      <c r="I534" t="s">
        <v>549</v>
      </c>
      <c r="J534" t="s">
        <v>550</v>
      </c>
      <c r="K534" t="s">
        <v>551</v>
      </c>
      <c r="L534">
        <v>1368</v>
      </c>
      <c r="N534">
        <v>1011</v>
      </c>
      <c r="O534" t="s">
        <v>478</v>
      </c>
      <c r="P534" t="s">
        <v>478</v>
      </c>
      <c r="Q534">
        <v>1</v>
      </c>
      <c r="W534">
        <v>0</v>
      </c>
      <c r="X534">
        <v>210297649</v>
      </c>
      <c r="Y534">
        <f t="shared" si="215"/>
        <v>110</v>
      </c>
      <c r="AA534">
        <v>0</v>
      </c>
      <c r="AB534">
        <v>65.790000000000006</v>
      </c>
      <c r="AC534">
        <v>0</v>
      </c>
      <c r="AD534">
        <v>0</v>
      </c>
      <c r="AE534">
        <v>0</v>
      </c>
      <c r="AF534">
        <v>5.79</v>
      </c>
      <c r="AG534">
        <v>0</v>
      </c>
      <c r="AH534">
        <v>0</v>
      </c>
      <c r="AI534">
        <v>1</v>
      </c>
      <c r="AJ534">
        <v>10.65</v>
      </c>
      <c r="AK534">
        <v>1</v>
      </c>
      <c r="AL534">
        <v>1</v>
      </c>
      <c r="AM534">
        <v>2</v>
      </c>
      <c r="AN534">
        <v>0</v>
      </c>
      <c r="AO534">
        <v>1</v>
      </c>
      <c r="AP534">
        <v>1</v>
      </c>
      <c r="AQ534">
        <v>0</v>
      </c>
      <c r="AR534">
        <v>0</v>
      </c>
      <c r="AS534" t="s">
        <v>3</v>
      </c>
      <c r="AT534">
        <v>110</v>
      </c>
      <c r="AU534" t="s">
        <v>3</v>
      </c>
      <c r="AV534">
        <v>0</v>
      </c>
      <c r="AW534">
        <v>2</v>
      </c>
      <c r="AX534">
        <v>85740093</v>
      </c>
      <c r="AY534">
        <v>1</v>
      </c>
      <c r="AZ534">
        <v>0</v>
      </c>
      <c r="BA534">
        <v>548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V534">
        <v>0</v>
      </c>
      <c r="CW534">
        <f>ROUND(Y534*Source!I216*DO534,9)</f>
        <v>0</v>
      </c>
      <c r="CX534">
        <f>ROUND(Y534*Source!I216,9)</f>
        <v>209</v>
      </c>
      <c r="CY534">
        <f>AB534</f>
        <v>65.790000000000006</v>
      </c>
      <c r="CZ534">
        <f>AF534</f>
        <v>5.79</v>
      </c>
      <c r="DA534">
        <f>AJ534</f>
        <v>10.65</v>
      </c>
      <c r="DB534">
        <f t="shared" si="216"/>
        <v>636.9</v>
      </c>
      <c r="DC534">
        <f t="shared" si="217"/>
        <v>0</v>
      </c>
      <c r="DD534" t="s">
        <v>3</v>
      </c>
      <c r="DE534" t="s">
        <v>3</v>
      </c>
      <c r="DF534">
        <f t="shared" si="218"/>
        <v>0</v>
      </c>
      <c r="DG534">
        <f>ROUND(ROUND(AF534*AJ534,2)*CX534,2)</f>
        <v>12886.94</v>
      </c>
      <c r="DH534">
        <f>ROUND(ROUND(AG534,2)*CX534,2)</f>
        <v>0</v>
      </c>
      <c r="DI534">
        <f t="shared" si="214"/>
        <v>0</v>
      </c>
      <c r="DJ534">
        <f>DG534</f>
        <v>12886.94</v>
      </c>
      <c r="DK534">
        <v>0</v>
      </c>
      <c r="DL534" t="s">
        <v>3</v>
      </c>
      <c r="DM534">
        <v>0</v>
      </c>
      <c r="DN534" t="s">
        <v>3</v>
      </c>
      <c r="DO534">
        <v>0</v>
      </c>
    </row>
    <row r="535" spans="1:119" x14ac:dyDescent="0.2">
      <c r="A535">
        <f>ROW(Source!A216)</f>
        <v>216</v>
      </c>
      <c r="B535">
        <v>85739207</v>
      </c>
      <c r="C535">
        <v>85740074</v>
      </c>
      <c r="D535">
        <v>85229633</v>
      </c>
      <c r="E535">
        <v>1</v>
      </c>
      <c r="F535">
        <v>1</v>
      </c>
      <c r="G535">
        <v>1081</v>
      </c>
      <c r="H535">
        <v>2</v>
      </c>
      <c r="I535" t="s">
        <v>475</v>
      </c>
      <c r="J535" t="s">
        <v>476</v>
      </c>
      <c r="K535" t="s">
        <v>477</v>
      </c>
      <c r="L535">
        <v>1368</v>
      </c>
      <c r="N535">
        <v>1011</v>
      </c>
      <c r="O535" t="s">
        <v>478</v>
      </c>
      <c r="P535" t="s">
        <v>478</v>
      </c>
      <c r="Q535">
        <v>1</v>
      </c>
      <c r="W535">
        <v>0</v>
      </c>
      <c r="X535">
        <v>1498588441</v>
      </c>
      <c r="Y535">
        <f t="shared" si="215"/>
        <v>114</v>
      </c>
      <c r="AA535">
        <v>0</v>
      </c>
      <c r="AB535">
        <v>102.11</v>
      </c>
      <c r="AC535">
        <v>0</v>
      </c>
      <c r="AD535">
        <v>0</v>
      </c>
      <c r="AE535">
        <v>0</v>
      </c>
      <c r="AF535">
        <v>7.11</v>
      </c>
      <c r="AG535">
        <v>0</v>
      </c>
      <c r="AH535">
        <v>0</v>
      </c>
      <c r="AI535">
        <v>1</v>
      </c>
      <c r="AJ535">
        <v>13.46</v>
      </c>
      <c r="AK535">
        <v>1</v>
      </c>
      <c r="AL535">
        <v>1</v>
      </c>
      <c r="AM535">
        <v>2</v>
      </c>
      <c r="AN535">
        <v>0</v>
      </c>
      <c r="AO535">
        <v>1</v>
      </c>
      <c r="AP535">
        <v>1</v>
      </c>
      <c r="AQ535">
        <v>0</v>
      </c>
      <c r="AR535">
        <v>0</v>
      </c>
      <c r="AS535" t="s">
        <v>3</v>
      </c>
      <c r="AT535">
        <v>114</v>
      </c>
      <c r="AU535" t="s">
        <v>3</v>
      </c>
      <c r="AV535">
        <v>0</v>
      </c>
      <c r="AW535">
        <v>2</v>
      </c>
      <c r="AX535">
        <v>85740094</v>
      </c>
      <c r="AY535">
        <v>1</v>
      </c>
      <c r="AZ535">
        <v>0</v>
      </c>
      <c r="BA535">
        <v>549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f>ROUND(Y535*Source!I216*DO535,9)</f>
        <v>0</v>
      </c>
      <c r="CX535">
        <f>ROUND(Y535*Source!I216,9)</f>
        <v>216.6</v>
      </c>
      <c r="CY535">
        <f>AB535</f>
        <v>102.11</v>
      </c>
      <c r="CZ535">
        <f>AF535</f>
        <v>7.11</v>
      </c>
      <c r="DA535">
        <f>AJ535</f>
        <v>13.46</v>
      </c>
      <c r="DB535">
        <f t="shared" si="216"/>
        <v>810.54</v>
      </c>
      <c r="DC535">
        <f t="shared" si="217"/>
        <v>0</v>
      </c>
      <c r="DD535" t="s">
        <v>3</v>
      </c>
      <c r="DE535" t="s">
        <v>3</v>
      </c>
      <c r="DF535">
        <f t="shared" si="218"/>
        <v>0</v>
      </c>
      <c r="DG535">
        <f>ROUND(ROUND(AF535*AJ535,2)*CX535,2)</f>
        <v>20728.62</v>
      </c>
      <c r="DH535">
        <f>ROUND(ROUND(AG535,2)*CX535,2)</f>
        <v>0</v>
      </c>
      <c r="DI535">
        <f t="shared" si="214"/>
        <v>0</v>
      </c>
      <c r="DJ535">
        <f>DG535</f>
        <v>20728.62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">
      <c r="A536">
        <f>ROW(Source!A216)</f>
        <v>216</v>
      </c>
      <c r="B536">
        <v>85739207</v>
      </c>
      <c r="C536">
        <v>85740074</v>
      </c>
      <c r="D536">
        <v>85229932</v>
      </c>
      <c r="E536">
        <v>1</v>
      </c>
      <c r="F536">
        <v>1</v>
      </c>
      <c r="G536">
        <v>1081</v>
      </c>
      <c r="H536">
        <v>2</v>
      </c>
      <c r="I536" t="s">
        <v>482</v>
      </c>
      <c r="J536" t="s">
        <v>483</v>
      </c>
      <c r="K536" t="s">
        <v>484</v>
      </c>
      <c r="L536">
        <v>1368</v>
      </c>
      <c r="N536">
        <v>1011</v>
      </c>
      <c r="O536" t="s">
        <v>478</v>
      </c>
      <c r="P536" t="s">
        <v>478</v>
      </c>
      <c r="Q536">
        <v>1</v>
      </c>
      <c r="W536">
        <v>0</v>
      </c>
      <c r="X536">
        <v>874612079</v>
      </c>
      <c r="Y536">
        <f t="shared" si="215"/>
        <v>5.36</v>
      </c>
      <c r="AA536">
        <v>0</v>
      </c>
      <c r="AB536">
        <v>1513.56</v>
      </c>
      <c r="AC536">
        <v>758.78</v>
      </c>
      <c r="AD536">
        <v>0</v>
      </c>
      <c r="AE536">
        <v>0</v>
      </c>
      <c r="AF536">
        <v>83.1</v>
      </c>
      <c r="AG536">
        <v>12.62</v>
      </c>
      <c r="AH536">
        <v>0</v>
      </c>
      <c r="AI536">
        <v>1</v>
      </c>
      <c r="AJ536">
        <v>17.07</v>
      </c>
      <c r="AK536">
        <v>56.35</v>
      </c>
      <c r="AL536">
        <v>1</v>
      </c>
      <c r="AM536">
        <v>2</v>
      </c>
      <c r="AN536">
        <v>0</v>
      </c>
      <c r="AO536">
        <v>1</v>
      </c>
      <c r="AP536">
        <v>1</v>
      </c>
      <c r="AQ536">
        <v>0</v>
      </c>
      <c r="AR536">
        <v>0</v>
      </c>
      <c r="AS536" t="s">
        <v>3</v>
      </c>
      <c r="AT536">
        <v>5.36</v>
      </c>
      <c r="AU536" t="s">
        <v>3</v>
      </c>
      <c r="AV536">
        <v>0</v>
      </c>
      <c r="AW536">
        <v>2</v>
      </c>
      <c r="AX536">
        <v>85740095</v>
      </c>
      <c r="AY536">
        <v>1</v>
      </c>
      <c r="AZ536">
        <v>0</v>
      </c>
      <c r="BA536">
        <v>550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V536">
        <v>0</v>
      </c>
      <c r="CW536">
        <f>ROUND(Y536*Source!I216*DO536,9)</f>
        <v>128.52207999999999</v>
      </c>
      <c r="CX536">
        <f>ROUND(Y536*Source!I216,9)</f>
        <v>10.183999999999999</v>
      </c>
      <c r="CY536">
        <f>AB536</f>
        <v>1513.56</v>
      </c>
      <c r="CZ536">
        <f>AF536</f>
        <v>83.1</v>
      </c>
      <c r="DA536">
        <f>AJ536</f>
        <v>17.07</v>
      </c>
      <c r="DB536">
        <f t="shared" si="216"/>
        <v>445.42</v>
      </c>
      <c r="DC536">
        <f t="shared" si="217"/>
        <v>67.64</v>
      </c>
      <c r="DD536" t="s">
        <v>3</v>
      </c>
      <c r="DE536" t="s">
        <v>3</v>
      </c>
      <c r="DF536">
        <f t="shared" si="218"/>
        <v>0</v>
      </c>
      <c r="DG536">
        <f>ROUND(ROUND(AF536*AJ536,2)*CX536,2)</f>
        <v>14446.21</v>
      </c>
      <c r="DH536">
        <f>ROUND(ROUND(AG536*AK536,2)*CX536,2)</f>
        <v>7242.25</v>
      </c>
      <c r="DI536">
        <f t="shared" si="214"/>
        <v>0</v>
      </c>
      <c r="DJ536">
        <f>DG536</f>
        <v>14446.21</v>
      </c>
      <c r="DK536">
        <v>0</v>
      </c>
      <c r="DL536" t="s">
        <v>485</v>
      </c>
      <c r="DM536">
        <v>0</v>
      </c>
      <c r="DN536" t="s">
        <v>474</v>
      </c>
      <c r="DO536">
        <v>12.62</v>
      </c>
    </row>
    <row r="537" spans="1:119" x14ac:dyDescent="0.2">
      <c r="A537">
        <f>ROW(Source!A216)</f>
        <v>216</v>
      </c>
      <c r="B537">
        <v>85739207</v>
      </c>
      <c r="C537">
        <v>85740074</v>
      </c>
      <c r="D537">
        <v>85229250</v>
      </c>
      <c r="E537">
        <v>1</v>
      </c>
      <c r="F537">
        <v>1</v>
      </c>
      <c r="G537">
        <v>1081</v>
      </c>
      <c r="H537">
        <v>2</v>
      </c>
      <c r="I537" t="s">
        <v>552</v>
      </c>
      <c r="J537" t="s">
        <v>553</v>
      </c>
      <c r="K537" t="s">
        <v>554</v>
      </c>
      <c r="L537">
        <v>1368</v>
      </c>
      <c r="N537">
        <v>1011</v>
      </c>
      <c r="O537" t="s">
        <v>478</v>
      </c>
      <c r="P537" t="s">
        <v>478</v>
      </c>
      <c r="Q537">
        <v>1</v>
      </c>
      <c r="W537">
        <v>0</v>
      </c>
      <c r="X537">
        <v>-1755828087</v>
      </c>
      <c r="Y537">
        <f t="shared" si="215"/>
        <v>4</v>
      </c>
      <c r="AA537">
        <v>0</v>
      </c>
      <c r="AB537">
        <v>34.85</v>
      </c>
      <c r="AC537">
        <v>0</v>
      </c>
      <c r="AD537">
        <v>0</v>
      </c>
      <c r="AE537">
        <v>0</v>
      </c>
      <c r="AF537">
        <v>3.18</v>
      </c>
      <c r="AG537">
        <v>0</v>
      </c>
      <c r="AH537">
        <v>0</v>
      </c>
      <c r="AI537">
        <v>1</v>
      </c>
      <c r="AJ537">
        <v>10.27</v>
      </c>
      <c r="AK537">
        <v>1</v>
      </c>
      <c r="AL537">
        <v>1</v>
      </c>
      <c r="AM537">
        <v>2</v>
      </c>
      <c r="AN537">
        <v>0</v>
      </c>
      <c r="AO537">
        <v>1</v>
      </c>
      <c r="AP537">
        <v>1</v>
      </c>
      <c r="AQ537">
        <v>0</v>
      </c>
      <c r="AR537">
        <v>0</v>
      </c>
      <c r="AS537" t="s">
        <v>3</v>
      </c>
      <c r="AT537">
        <v>4</v>
      </c>
      <c r="AU537" t="s">
        <v>3</v>
      </c>
      <c r="AV537">
        <v>0</v>
      </c>
      <c r="AW537">
        <v>2</v>
      </c>
      <c r="AX537">
        <v>85740096</v>
      </c>
      <c r="AY537">
        <v>1</v>
      </c>
      <c r="AZ537">
        <v>0</v>
      </c>
      <c r="BA537">
        <v>551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V537">
        <v>0</v>
      </c>
      <c r="CW537">
        <f>ROUND(Y537*Source!I216*DO537,9)</f>
        <v>0</v>
      </c>
      <c r="CX537">
        <f>ROUND(Y537*Source!I216,9)</f>
        <v>7.6</v>
      </c>
      <c r="CY537">
        <f>AB537</f>
        <v>34.85</v>
      </c>
      <c r="CZ537">
        <f>AF537</f>
        <v>3.18</v>
      </c>
      <c r="DA537">
        <f>AJ537</f>
        <v>10.27</v>
      </c>
      <c r="DB537">
        <f t="shared" si="216"/>
        <v>12.72</v>
      </c>
      <c r="DC537">
        <f t="shared" si="217"/>
        <v>0</v>
      </c>
      <c r="DD537" t="s">
        <v>3</v>
      </c>
      <c r="DE537" t="s">
        <v>3</v>
      </c>
      <c r="DF537">
        <f t="shared" si="218"/>
        <v>0</v>
      </c>
      <c r="DG537">
        <f>ROUND(ROUND(AF537*AJ537,2)*CX537,2)</f>
        <v>248.22</v>
      </c>
      <c r="DH537">
        <f t="shared" ref="DH537:DH566" si="223">ROUND(ROUND(AG537,2)*CX537,2)</f>
        <v>0</v>
      </c>
      <c r="DI537">
        <f t="shared" si="214"/>
        <v>0</v>
      </c>
      <c r="DJ537">
        <f>DG537</f>
        <v>248.22</v>
      </c>
      <c r="DK537">
        <v>0</v>
      </c>
      <c r="DL537" t="s">
        <v>3</v>
      </c>
      <c r="DM537">
        <v>0</v>
      </c>
      <c r="DN537" t="s">
        <v>3</v>
      </c>
      <c r="DO537">
        <v>0</v>
      </c>
    </row>
    <row r="538" spans="1:119" x14ac:dyDescent="0.2">
      <c r="A538">
        <f>ROW(Source!A216)</f>
        <v>216</v>
      </c>
      <c r="B538">
        <v>85739207</v>
      </c>
      <c r="C538">
        <v>85740074</v>
      </c>
      <c r="D538">
        <v>85198960</v>
      </c>
      <c r="E538">
        <v>1</v>
      </c>
      <c r="F538">
        <v>1</v>
      </c>
      <c r="G538">
        <v>1081</v>
      </c>
      <c r="H538">
        <v>3</v>
      </c>
      <c r="I538" t="s">
        <v>513</v>
      </c>
      <c r="J538" t="s">
        <v>514</v>
      </c>
      <c r="K538" t="s">
        <v>515</v>
      </c>
      <c r="L538">
        <v>1339</v>
      </c>
      <c r="N538">
        <v>1007</v>
      </c>
      <c r="O538" t="s">
        <v>506</v>
      </c>
      <c r="P538" t="s">
        <v>506</v>
      </c>
      <c r="Q538">
        <v>1</v>
      </c>
      <c r="W538">
        <v>0</v>
      </c>
      <c r="X538">
        <v>-1622585150</v>
      </c>
      <c r="Y538">
        <f t="shared" si="215"/>
        <v>30</v>
      </c>
      <c r="AA538">
        <v>56.33</v>
      </c>
      <c r="AB538">
        <v>0</v>
      </c>
      <c r="AC538">
        <v>0</v>
      </c>
      <c r="AD538">
        <v>0</v>
      </c>
      <c r="AE538">
        <v>7.07</v>
      </c>
      <c r="AF538">
        <v>0</v>
      </c>
      <c r="AG538">
        <v>0</v>
      </c>
      <c r="AH538">
        <v>0</v>
      </c>
      <c r="AI538">
        <v>7.75</v>
      </c>
      <c r="AJ538">
        <v>1</v>
      </c>
      <c r="AK538">
        <v>1</v>
      </c>
      <c r="AL538">
        <v>1</v>
      </c>
      <c r="AM538">
        <v>2</v>
      </c>
      <c r="AN538">
        <v>0</v>
      </c>
      <c r="AO538">
        <v>1</v>
      </c>
      <c r="AP538">
        <v>1</v>
      </c>
      <c r="AQ538">
        <v>0</v>
      </c>
      <c r="AR538">
        <v>0</v>
      </c>
      <c r="AS538" t="s">
        <v>3</v>
      </c>
      <c r="AT538">
        <v>30</v>
      </c>
      <c r="AU538" t="s">
        <v>3</v>
      </c>
      <c r="AV538">
        <v>0</v>
      </c>
      <c r="AW538">
        <v>2</v>
      </c>
      <c r="AX538">
        <v>85740097</v>
      </c>
      <c r="AY538">
        <v>1</v>
      </c>
      <c r="AZ538">
        <v>0</v>
      </c>
      <c r="BA538">
        <v>552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V538">
        <v>0</v>
      </c>
      <c r="CW538">
        <v>0</v>
      </c>
      <c r="CX538">
        <f>ROUND(Y538*Source!I216,9)</f>
        <v>57</v>
      </c>
      <c r="CY538">
        <f t="shared" ref="CY538:CY548" si="224">AA538</f>
        <v>56.33</v>
      </c>
      <c r="CZ538">
        <f t="shared" ref="CZ538:CZ548" si="225">AE538</f>
        <v>7.07</v>
      </c>
      <c r="DA538">
        <f t="shared" ref="DA538:DA548" si="226">AI538</f>
        <v>7.75</v>
      </c>
      <c r="DB538">
        <f t="shared" si="216"/>
        <v>212.1</v>
      </c>
      <c r="DC538">
        <f t="shared" si="217"/>
        <v>0</v>
      </c>
      <c r="DD538" t="s">
        <v>3</v>
      </c>
      <c r="DE538" t="s">
        <v>3</v>
      </c>
      <c r="DF538">
        <f t="shared" ref="DF538:DF548" si="227">ROUND(ROUND(AE538*AI538,2)*CX538,2)</f>
        <v>3123.03</v>
      </c>
      <c r="DG538">
        <f t="shared" ref="DG538:DG566" si="228">ROUND(ROUND(AF538,2)*CX538,2)</f>
        <v>0</v>
      </c>
      <c r="DH538">
        <f t="shared" si="223"/>
        <v>0</v>
      </c>
      <c r="DI538">
        <f t="shared" si="214"/>
        <v>0</v>
      </c>
      <c r="DJ538">
        <f t="shared" ref="DJ538:DJ548" si="229">DF538</f>
        <v>3123.03</v>
      </c>
      <c r="DK538">
        <v>0</v>
      </c>
      <c r="DL538" t="s">
        <v>3</v>
      </c>
      <c r="DM538">
        <v>0</v>
      </c>
      <c r="DN538" t="s">
        <v>3</v>
      </c>
      <c r="DO538">
        <v>0</v>
      </c>
    </row>
    <row r="539" spans="1:119" x14ac:dyDescent="0.2">
      <c r="A539">
        <f>ROW(Source!A216)</f>
        <v>216</v>
      </c>
      <c r="B539">
        <v>85739207</v>
      </c>
      <c r="C539">
        <v>85740074</v>
      </c>
      <c r="D539">
        <v>85200023</v>
      </c>
      <c r="E539">
        <v>1</v>
      </c>
      <c r="F539">
        <v>1</v>
      </c>
      <c r="G539">
        <v>1081</v>
      </c>
      <c r="H539">
        <v>3</v>
      </c>
      <c r="I539" t="s">
        <v>555</v>
      </c>
      <c r="J539" t="s">
        <v>556</v>
      </c>
      <c r="K539" t="s">
        <v>557</v>
      </c>
      <c r="L539">
        <v>1348</v>
      </c>
      <c r="N539">
        <v>1009</v>
      </c>
      <c r="O539" t="s">
        <v>266</v>
      </c>
      <c r="P539" t="s">
        <v>266</v>
      </c>
      <c r="Q539">
        <v>1000</v>
      </c>
      <c r="W539">
        <v>0</v>
      </c>
      <c r="X539">
        <v>63955816</v>
      </c>
      <c r="Y539">
        <f t="shared" si="215"/>
        <v>2.3599999999999999E-2</v>
      </c>
      <c r="AA539">
        <v>99503.2</v>
      </c>
      <c r="AB539">
        <v>0</v>
      </c>
      <c r="AC539">
        <v>0</v>
      </c>
      <c r="AD539">
        <v>0</v>
      </c>
      <c r="AE539">
        <v>7185.82</v>
      </c>
      <c r="AF539">
        <v>0</v>
      </c>
      <c r="AG539">
        <v>0</v>
      </c>
      <c r="AH539">
        <v>0</v>
      </c>
      <c r="AI539">
        <v>13.47</v>
      </c>
      <c r="AJ539">
        <v>1</v>
      </c>
      <c r="AK539">
        <v>1</v>
      </c>
      <c r="AL539">
        <v>1</v>
      </c>
      <c r="AM539">
        <v>2</v>
      </c>
      <c r="AN539">
        <v>0</v>
      </c>
      <c r="AO539">
        <v>1</v>
      </c>
      <c r="AP539">
        <v>1</v>
      </c>
      <c r="AQ539">
        <v>0</v>
      </c>
      <c r="AR539">
        <v>0</v>
      </c>
      <c r="AS539" t="s">
        <v>3</v>
      </c>
      <c r="AT539">
        <v>2.3599999999999999E-2</v>
      </c>
      <c r="AU539" t="s">
        <v>3</v>
      </c>
      <c r="AV539">
        <v>0</v>
      </c>
      <c r="AW539">
        <v>2</v>
      </c>
      <c r="AX539">
        <v>85740098</v>
      </c>
      <c r="AY539">
        <v>1</v>
      </c>
      <c r="AZ539">
        <v>0</v>
      </c>
      <c r="BA539">
        <v>553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V539">
        <v>0</v>
      </c>
      <c r="CW539">
        <v>0</v>
      </c>
      <c r="CX539">
        <f>ROUND(Y539*Source!I216,9)</f>
        <v>4.4839999999999998E-2</v>
      </c>
      <c r="CY539">
        <f t="shared" si="224"/>
        <v>99503.2</v>
      </c>
      <c r="CZ539">
        <f t="shared" si="225"/>
        <v>7185.82</v>
      </c>
      <c r="DA539">
        <f t="shared" si="226"/>
        <v>13.47</v>
      </c>
      <c r="DB539">
        <f t="shared" si="216"/>
        <v>169.59</v>
      </c>
      <c r="DC539">
        <f t="shared" si="217"/>
        <v>0</v>
      </c>
      <c r="DD539" t="s">
        <v>3</v>
      </c>
      <c r="DE539" t="s">
        <v>3</v>
      </c>
      <c r="DF539">
        <f t="shared" si="227"/>
        <v>4340.2</v>
      </c>
      <c r="DG539">
        <f t="shared" si="228"/>
        <v>0</v>
      </c>
      <c r="DH539">
        <f t="shared" si="223"/>
        <v>0</v>
      </c>
      <c r="DI539">
        <f t="shared" si="214"/>
        <v>0</v>
      </c>
      <c r="DJ539">
        <f t="shared" si="229"/>
        <v>4340.2</v>
      </c>
      <c r="DK539">
        <v>0</v>
      </c>
      <c r="DL539" t="s">
        <v>3</v>
      </c>
      <c r="DM539">
        <v>0</v>
      </c>
      <c r="DN539" t="s">
        <v>3</v>
      </c>
      <c r="DO539">
        <v>0</v>
      </c>
    </row>
    <row r="540" spans="1:119" x14ac:dyDescent="0.2">
      <c r="A540">
        <f>ROW(Source!A216)</f>
        <v>216</v>
      </c>
      <c r="B540">
        <v>85739207</v>
      </c>
      <c r="C540">
        <v>85740074</v>
      </c>
      <c r="D540">
        <v>85200098</v>
      </c>
      <c r="E540">
        <v>1</v>
      </c>
      <c r="F540">
        <v>1</v>
      </c>
      <c r="G540">
        <v>1081</v>
      </c>
      <c r="H540">
        <v>3</v>
      </c>
      <c r="I540" t="s">
        <v>540</v>
      </c>
      <c r="J540" t="s">
        <v>541</v>
      </c>
      <c r="K540" t="s">
        <v>542</v>
      </c>
      <c r="L540">
        <v>1346</v>
      </c>
      <c r="N540">
        <v>1009</v>
      </c>
      <c r="O540" t="s">
        <v>502</v>
      </c>
      <c r="P540" t="s">
        <v>502</v>
      </c>
      <c r="Q540">
        <v>1</v>
      </c>
      <c r="W540">
        <v>0</v>
      </c>
      <c r="X540">
        <v>732400950</v>
      </c>
      <c r="Y540">
        <f t="shared" si="215"/>
        <v>11.6</v>
      </c>
      <c r="AA540">
        <v>94.12</v>
      </c>
      <c r="AB540">
        <v>0</v>
      </c>
      <c r="AC540">
        <v>0</v>
      </c>
      <c r="AD540">
        <v>0</v>
      </c>
      <c r="AE540">
        <v>21</v>
      </c>
      <c r="AF540">
        <v>0</v>
      </c>
      <c r="AG540">
        <v>0</v>
      </c>
      <c r="AH540">
        <v>0</v>
      </c>
      <c r="AI540">
        <v>4.3600000000000003</v>
      </c>
      <c r="AJ540">
        <v>1</v>
      </c>
      <c r="AK540">
        <v>1</v>
      </c>
      <c r="AL540">
        <v>1</v>
      </c>
      <c r="AM540">
        <v>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11.6</v>
      </c>
      <c r="AU540" t="s">
        <v>3</v>
      </c>
      <c r="AV540">
        <v>0</v>
      </c>
      <c r="AW540">
        <v>2</v>
      </c>
      <c r="AX540">
        <v>85740099</v>
      </c>
      <c r="AY540">
        <v>1</v>
      </c>
      <c r="AZ540">
        <v>0</v>
      </c>
      <c r="BA540">
        <v>554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V540">
        <v>0</v>
      </c>
      <c r="CW540">
        <v>0</v>
      </c>
      <c r="CX540">
        <f>ROUND(Y540*Source!I216,9)</f>
        <v>22.04</v>
      </c>
      <c r="CY540">
        <f t="shared" si="224"/>
        <v>94.12</v>
      </c>
      <c r="CZ540">
        <f t="shared" si="225"/>
        <v>21</v>
      </c>
      <c r="DA540">
        <f t="shared" si="226"/>
        <v>4.3600000000000003</v>
      </c>
      <c r="DB540">
        <f t="shared" si="216"/>
        <v>243.6</v>
      </c>
      <c r="DC540">
        <f t="shared" si="217"/>
        <v>0</v>
      </c>
      <c r="DD540" t="s">
        <v>3</v>
      </c>
      <c r="DE540" t="s">
        <v>3</v>
      </c>
      <c r="DF540">
        <f t="shared" si="227"/>
        <v>2017.98</v>
      </c>
      <c r="DG540">
        <f t="shared" si="228"/>
        <v>0</v>
      </c>
      <c r="DH540">
        <f t="shared" si="223"/>
        <v>0</v>
      </c>
      <c r="DI540">
        <f t="shared" si="214"/>
        <v>0</v>
      </c>
      <c r="DJ540">
        <f t="shared" si="229"/>
        <v>2017.98</v>
      </c>
      <c r="DK540">
        <v>0</v>
      </c>
      <c r="DL540" t="s">
        <v>3</v>
      </c>
      <c r="DM540">
        <v>0</v>
      </c>
      <c r="DN540" t="s">
        <v>3</v>
      </c>
      <c r="DO540">
        <v>0</v>
      </c>
    </row>
    <row r="541" spans="1:119" x14ac:dyDescent="0.2">
      <c r="A541">
        <f>ROW(Source!A216)</f>
        <v>216</v>
      </c>
      <c r="B541">
        <v>85739207</v>
      </c>
      <c r="C541">
        <v>85740074</v>
      </c>
      <c r="D541">
        <v>85200296</v>
      </c>
      <c r="E541">
        <v>1</v>
      </c>
      <c r="F541">
        <v>1</v>
      </c>
      <c r="G541">
        <v>1081</v>
      </c>
      <c r="H541">
        <v>3</v>
      </c>
      <c r="I541" t="s">
        <v>558</v>
      </c>
      <c r="J541" t="s">
        <v>559</v>
      </c>
      <c r="K541" t="s">
        <v>560</v>
      </c>
      <c r="L541">
        <v>1355</v>
      </c>
      <c r="N541">
        <v>1010</v>
      </c>
      <c r="O541" t="s">
        <v>240</v>
      </c>
      <c r="P541" t="s">
        <v>240</v>
      </c>
      <c r="Q541">
        <v>100</v>
      </c>
      <c r="W541">
        <v>0</v>
      </c>
      <c r="X541">
        <v>1567739421</v>
      </c>
      <c r="Y541">
        <f t="shared" si="215"/>
        <v>3.6</v>
      </c>
      <c r="AA541">
        <v>480.06</v>
      </c>
      <c r="AB541">
        <v>0</v>
      </c>
      <c r="AC541">
        <v>0</v>
      </c>
      <c r="AD541">
        <v>0</v>
      </c>
      <c r="AE541">
        <v>496.79</v>
      </c>
      <c r="AF541">
        <v>0</v>
      </c>
      <c r="AG541">
        <v>0</v>
      </c>
      <c r="AH541">
        <v>0</v>
      </c>
      <c r="AI541">
        <v>0.94</v>
      </c>
      <c r="AJ541">
        <v>1</v>
      </c>
      <c r="AK541">
        <v>1</v>
      </c>
      <c r="AL541">
        <v>1</v>
      </c>
      <c r="AM541">
        <v>2</v>
      </c>
      <c r="AN541">
        <v>0</v>
      </c>
      <c r="AO541">
        <v>1</v>
      </c>
      <c r="AP541">
        <v>1</v>
      </c>
      <c r="AQ541">
        <v>0</v>
      </c>
      <c r="AR541">
        <v>0</v>
      </c>
      <c r="AS541" t="s">
        <v>3</v>
      </c>
      <c r="AT541">
        <v>3.6</v>
      </c>
      <c r="AU541" t="s">
        <v>3</v>
      </c>
      <c r="AV541">
        <v>0</v>
      </c>
      <c r="AW541">
        <v>2</v>
      </c>
      <c r="AX541">
        <v>85740100</v>
      </c>
      <c r="AY541">
        <v>1</v>
      </c>
      <c r="AZ541">
        <v>0</v>
      </c>
      <c r="BA541">
        <v>555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v>0</v>
      </c>
      <c r="CX541">
        <f>ROUND(Y541*Source!I216,9)</f>
        <v>6.84</v>
      </c>
      <c r="CY541">
        <f t="shared" si="224"/>
        <v>480.06</v>
      </c>
      <c r="CZ541">
        <f t="shared" si="225"/>
        <v>496.79</v>
      </c>
      <c r="DA541">
        <f t="shared" si="226"/>
        <v>0.94</v>
      </c>
      <c r="DB541">
        <f t="shared" si="216"/>
        <v>1788.44</v>
      </c>
      <c r="DC541">
        <f t="shared" si="217"/>
        <v>0</v>
      </c>
      <c r="DD541" t="s">
        <v>3</v>
      </c>
      <c r="DE541" t="s">
        <v>3</v>
      </c>
      <c r="DF541">
        <f t="shared" si="227"/>
        <v>3194.14</v>
      </c>
      <c r="DG541">
        <f t="shared" si="228"/>
        <v>0</v>
      </c>
      <c r="DH541">
        <f t="shared" si="223"/>
        <v>0</v>
      </c>
      <c r="DI541">
        <f t="shared" si="214"/>
        <v>0</v>
      </c>
      <c r="DJ541">
        <f t="shared" si="229"/>
        <v>3194.14</v>
      </c>
      <c r="DK541">
        <v>0</v>
      </c>
      <c r="DL541" t="s">
        <v>3</v>
      </c>
      <c r="DM541">
        <v>0</v>
      </c>
      <c r="DN541" t="s">
        <v>3</v>
      </c>
      <c r="DO541">
        <v>0</v>
      </c>
    </row>
    <row r="542" spans="1:119" x14ac:dyDescent="0.2">
      <c r="A542">
        <f>ROW(Source!A216)</f>
        <v>216</v>
      </c>
      <c r="B542">
        <v>85739207</v>
      </c>
      <c r="C542">
        <v>85740074</v>
      </c>
      <c r="D542">
        <v>85200297</v>
      </c>
      <c r="E542">
        <v>1</v>
      </c>
      <c r="F542">
        <v>1</v>
      </c>
      <c r="G542">
        <v>1081</v>
      </c>
      <c r="H542">
        <v>3</v>
      </c>
      <c r="I542" t="s">
        <v>561</v>
      </c>
      <c r="J542" t="s">
        <v>562</v>
      </c>
      <c r="K542" t="s">
        <v>563</v>
      </c>
      <c r="L542">
        <v>1355</v>
      </c>
      <c r="N542">
        <v>1010</v>
      </c>
      <c r="O542" t="s">
        <v>240</v>
      </c>
      <c r="P542" t="s">
        <v>240</v>
      </c>
      <c r="Q542">
        <v>100</v>
      </c>
      <c r="W542">
        <v>0</v>
      </c>
      <c r="X542">
        <v>-96727844</v>
      </c>
      <c r="Y542">
        <f t="shared" si="215"/>
        <v>3.6</v>
      </c>
      <c r="AA542">
        <v>578.83000000000004</v>
      </c>
      <c r="AB542">
        <v>0</v>
      </c>
      <c r="AC542">
        <v>0</v>
      </c>
      <c r="AD542">
        <v>0</v>
      </c>
      <c r="AE542">
        <v>243.75</v>
      </c>
      <c r="AF542">
        <v>0</v>
      </c>
      <c r="AG542">
        <v>0</v>
      </c>
      <c r="AH542">
        <v>0</v>
      </c>
      <c r="AI542">
        <v>2.31</v>
      </c>
      <c r="AJ542">
        <v>1</v>
      </c>
      <c r="AK542">
        <v>1</v>
      </c>
      <c r="AL542">
        <v>1</v>
      </c>
      <c r="AM542">
        <v>2</v>
      </c>
      <c r="AN542">
        <v>0</v>
      </c>
      <c r="AO542">
        <v>1</v>
      </c>
      <c r="AP542">
        <v>1</v>
      </c>
      <c r="AQ542">
        <v>0</v>
      </c>
      <c r="AR542">
        <v>0</v>
      </c>
      <c r="AS542" t="s">
        <v>3</v>
      </c>
      <c r="AT542">
        <v>3.6</v>
      </c>
      <c r="AU542" t="s">
        <v>3</v>
      </c>
      <c r="AV542">
        <v>0</v>
      </c>
      <c r="AW542">
        <v>2</v>
      </c>
      <c r="AX542">
        <v>85740101</v>
      </c>
      <c r="AY542">
        <v>1</v>
      </c>
      <c r="AZ542">
        <v>0</v>
      </c>
      <c r="BA542">
        <v>556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V542">
        <v>0</v>
      </c>
      <c r="CW542">
        <v>0</v>
      </c>
      <c r="CX542">
        <f>ROUND(Y542*Source!I216,9)</f>
        <v>6.84</v>
      </c>
      <c r="CY542">
        <f t="shared" si="224"/>
        <v>578.83000000000004</v>
      </c>
      <c r="CZ542">
        <f t="shared" si="225"/>
        <v>243.75</v>
      </c>
      <c r="DA542">
        <f t="shared" si="226"/>
        <v>2.31</v>
      </c>
      <c r="DB542">
        <f t="shared" si="216"/>
        <v>877.5</v>
      </c>
      <c r="DC542">
        <f t="shared" si="217"/>
        <v>0</v>
      </c>
      <c r="DD542" t="s">
        <v>3</v>
      </c>
      <c r="DE542" t="s">
        <v>3</v>
      </c>
      <c r="DF542">
        <f t="shared" si="227"/>
        <v>3851.33</v>
      </c>
      <c r="DG542">
        <f t="shared" si="228"/>
        <v>0</v>
      </c>
      <c r="DH542">
        <f t="shared" si="223"/>
        <v>0</v>
      </c>
      <c r="DI542">
        <f t="shared" si="214"/>
        <v>0</v>
      </c>
      <c r="DJ542">
        <f t="shared" si="229"/>
        <v>3851.33</v>
      </c>
      <c r="DK542">
        <v>0</v>
      </c>
      <c r="DL542" t="s">
        <v>3</v>
      </c>
      <c r="DM542">
        <v>0</v>
      </c>
      <c r="DN542" t="s">
        <v>3</v>
      </c>
      <c r="DO542">
        <v>0</v>
      </c>
    </row>
    <row r="543" spans="1:119" x14ac:dyDescent="0.2">
      <c r="A543">
        <f>ROW(Source!A216)</f>
        <v>216</v>
      </c>
      <c r="B543">
        <v>85739207</v>
      </c>
      <c r="C543">
        <v>85740074</v>
      </c>
      <c r="D543">
        <v>85198892</v>
      </c>
      <c r="E543">
        <v>1</v>
      </c>
      <c r="F543">
        <v>1</v>
      </c>
      <c r="G543">
        <v>1081</v>
      </c>
      <c r="H543">
        <v>3</v>
      </c>
      <c r="I543" t="s">
        <v>543</v>
      </c>
      <c r="J543" t="s">
        <v>544</v>
      </c>
      <c r="K543" t="s">
        <v>545</v>
      </c>
      <c r="L543">
        <v>1339</v>
      </c>
      <c r="N543">
        <v>1007</v>
      </c>
      <c r="O543" t="s">
        <v>506</v>
      </c>
      <c r="P543" t="s">
        <v>506</v>
      </c>
      <c r="Q543">
        <v>1</v>
      </c>
      <c r="W543">
        <v>0</v>
      </c>
      <c r="X543">
        <v>-676034668</v>
      </c>
      <c r="Y543">
        <f t="shared" si="215"/>
        <v>9</v>
      </c>
      <c r="AA543">
        <v>781.45</v>
      </c>
      <c r="AB543">
        <v>0</v>
      </c>
      <c r="AC543">
        <v>0</v>
      </c>
      <c r="AD543">
        <v>0</v>
      </c>
      <c r="AE543">
        <v>53.42</v>
      </c>
      <c r="AF543">
        <v>0</v>
      </c>
      <c r="AG543">
        <v>0</v>
      </c>
      <c r="AH543">
        <v>0</v>
      </c>
      <c r="AI543">
        <v>14.23</v>
      </c>
      <c r="AJ543">
        <v>1</v>
      </c>
      <c r="AK543">
        <v>1</v>
      </c>
      <c r="AL543">
        <v>1</v>
      </c>
      <c r="AM543">
        <v>2</v>
      </c>
      <c r="AN543">
        <v>0</v>
      </c>
      <c r="AO543">
        <v>1</v>
      </c>
      <c r="AP543">
        <v>1</v>
      </c>
      <c r="AQ543">
        <v>0</v>
      </c>
      <c r="AR543">
        <v>0</v>
      </c>
      <c r="AS543" t="s">
        <v>3</v>
      </c>
      <c r="AT543">
        <v>9</v>
      </c>
      <c r="AU543" t="s">
        <v>3</v>
      </c>
      <c r="AV543">
        <v>0</v>
      </c>
      <c r="AW543">
        <v>2</v>
      </c>
      <c r="AX543">
        <v>85740102</v>
      </c>
      <c r="AY543">
        <v>1</v>
      </c>
      <c r="AZ543">
        <v>0</v>
      </c>
      <c r="BA543">
        <v>557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V543">
        <v>0</v>
      </c>
      <c r="CW543">
        <v>0</v>
      </c>
      <c r="CX543">
        <f>ROUND(Y543*Source!I216,9)</f>
        <v>17.100000000000001</v>
      </c>
      <c r="CY543">
        <f t="shared" si="224"/>
        <v>781.45</v>
      </c>
      <c r="CZ543">
        <f t="shared" si="225"/>
        <v>53.42</v>
      </c>
      <c r="DA543">
        <f t="shared" si="226"/>
        <v>14.23</v>
      </c>
      <c r="DB543">
        <f t="shared" si="216"/>
        <v>480.78</v>
      </c>
      <c r="DC543">
        <f t="shared" si="217"/>
        <v>0</v>
      </c>
      <c r="DD543" t="s">
        <v>3</v>
      </c>
      <c r="DE543" t="s">
        <v>3</v>
      </c>
      <c r="DF543">
        <f t="shared" si="227"/>
        <v>12998.91</v>
      </c>
      <c r="DG543">
        <f t="shared" si="228"/>
        <v>0</v>
      </c>
      <c r="DH543">
        <f t="shared" si="223"/>
        <v>0</v>
      </c>
      <c r="DI543">
        <f t="shared" si="214"/>
        <v>0</v>
      </c>
      <c r="DJ543">
        <f t="shared" si="229"/>
        <v>12998.91</v>
      </c>
      <c r="DK543">
        <v>0</v>
      </c>
      <c r="DL543" t="s">
        <v>3</v>
      </c>
      <c r="DM543">
        <v>0</v>
      </c>
      <c r="DN543" t="s">
        <v>3</v>
      </c>
      <c r="DO543">
        <v>0</v>
      </c>
    </row>
    <row r="544" spans="1:119" x14ac:dyDescent="0.2">
      <c r="A544">
        <f>ROW(Source!A216)</f>
        <v>216</v>
      </c>
      <c r="B544">
        <v>85739207</v>
      </c>
      <c r="C544">
        <v>85740074</v>
      </c>
      <c r="D544">
        <v>85199158</v>
      </c>
      <c r="E544">
        <v>1</v>
      </c>
      <c r="F544">
        <v>1</v>
      </c>
      <c r="G544">
        <v>1081</v>
      </c>
      <c r="H544">
        <v>3</v>
      </c>
      <c r="I544" t="s">
        <v>503</v>
      </c>
      <c r="J544" t="s">
        <v>504</v>
      </c>
      <c r="K544" t="s">
        <v>505</v>
      </c>
      <c r="L544">
        <v>1339</v>
      </c>
      <c r="N544">
        <v>1007</v>
      </c>
      <c r="O544" t="s">
        <v>506</v>
      </c>
      <c r="P544" t="s">
        <v>506</v>
      </c>
      <c r="Q544">
        <v>1</v>
      </c>
      <c r="W544">
        <v>0</v>
      </c>
      <c r="X544">
        <v>-1235260082</v>
      </c>
      <c r="Y544">
        <f t="shared" si="215"/>
        <v>11.6</v>
      </c>
      <c r="AA544">
        <v>104.16</v>
      </c>
      <c r="AB544">
        <v>0</v>
      </c>
      <c r="AC544">
        <v>0</v>
      </c>
      <c r="AD544">
        <v>0</v>
      </c>
      <c r="AE544">
        <v>5.82</v>
      </c>
      <c r="AF544">
        <v>0</v>
      </c>
      <c r="AG544">
        <v>0</v>
      </c>
      <c r="AH544">
        <v>0</v>
      </c>
      <c r="AI544">
        <v>17.41</v>
      </c>
      <c r="AJ544">
        <v>1</v>
      </c>
      <c r="AK544">
        <v>1</v>
      </c>
      <c r="AL544">
        <v>1</v>
      </c>
      <c r="AM544">
        <v>2</v>
      </c>
      <c r="AN544">
        <v>0</v>
      </c>
      <c r="AO544">
        <v>1</v>
      </c>
      <c r="AP544">
        <v>1</v>
      </c>
      <c r="AQ544">
        <v>0</v>
      </c>
      <c r="AR544">
        <v>0</v>
      </c>
      <c r="AS544" t="s">
        <v>3</v>
      </c>
      <c r="AT544">
        <v>11.6</v>
      </c>
      <c r="AU544" t="s">
        <v>3</v>
      </c>
      <c r="AV544">
        <v>0</v>
      </c>
      <c r="AW544">
        <v>2</v>
      </c>
      <c r="AX544">
        <v>85740103</v>
      </c>
      <c r="AY544">
        <v>1</v>
      </c>
      <c r="AZ544">
        <v>0</v>
      </c>
      <c r="BA544">
        <v>558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v>0</v>
      </c>
      <c r="CX544">
        <f>ROUND(Y544*Source!I216,9)</f>
        <v>22.04</v>
      </c>
      <c r="CY544">
        <f t="shared" si="224"/>
        <v>104.16</v>
      </c>
      <c r="CZ544">
        <f t="shared" si="225"/>
        <v>5.82</v>
      </c>
      <c r="DA544">
        <f t="shared" si="226"/>
        <v>17.41</v>
      </c>
      <c r="DB544">
        <f t="shared" si="216"/>
        <v>67.510000000000005</v>
      </c>
      <c r="DC544">
        <f t="shared" si="217"/>
        <v>0</v>
      </c>
      <c r="DD544" t="s">
        <v>3</v>
      </c>
      <c r="DE544" t="s">
        <v>3</v>
      </c>
      <c r="DF544">
        <f t="shared" si="227"/>
        <v>2233.31</v>
      </c>
      <c r="DG544">
        <f t="shared" si="228"/>
        <v>0</v>
      </c>
      <c r="DH544">
        <f t="shared" si="223"/>
        <v>0</v>
      </c>
      <c r="DI544">
        <f t="shared" si="214"/>
        <v>0</v>
      </c>
      <c r="DJ544">
        <f t="shared" si="229"/>
        <v>2233.31</v>
      </c>
      <c r="DK544">
        <v>0</v>
      </c>
      <c r="DL544" t="s">
        <v>3</v>
      </c>
      <c r="DM544">
        <v>0</v>
      </c>
      <c r="DN544" t="s">
        <v>3</v>
      </c>
      <c r="DO544">
        <v>0</v>
      </c>
    </row>
    <row r="545" spans="1:119" x14ac:dyDescent="0.2">
      <c r="A545">
        <f>ROW(Source!A216)</f>
        <v>216</v>
      </c>
      <c r="B545">
        <v>85739207</v>
      </c>
      <c r="C545">
        <v>85740074</v>
      </c>
      <c r="D545">
        <v>85211458</v>
      </c>
      <c r="E545">
        <v>1</v>
      </c>
      <c r="F545">
        <v>1</v>
      </c>
      <c r="G545">
        <v>1081</v>
      </c>
      <c r="H545">
        <v>3</v>
      </c>
      <c r="I545" t="s">
        <v>209</v>
      </c>
      <c r="J545" t="s">
        <v>211</v>
      </c>
      <c r="K545" t="s">
        <v>210</v>
      </c>
      <c r="L545">
        <v>1301</v>
      </c>
      <c r="N545">
        <v>1003</v>
      </c>
      <c r="O545" t="s">
        <v>179</v>
      </c>
      <c r="P545" t="s">
        <v>179</v>
      </c>
      <c r="Q545">
        <v>1</v>
      </c>
      <c r="W545">
        <v>0</v>
      </c>
      <c r="X545">
        <v>-2048145394</v>
      </c>
      <c r="Y545">
        <f t="shared" si="215"/>
        <v>105.7894737</v>
      </c>
      <c r="AA545">
        <v>687.98</v>
      </c>
      <c r="AB545">
        <v>0</v>
      </c>
      <c r="AC545">
        <v>0</v>
      </c>
      <c r="AD545">
        <v>0</v>
      </c>
      <c r="AE545">
        <v>41.57</v>
      </c>
      <c r="AF545">
        <v>0</v>
      </c>
      <c r="AG545">
        <v>0</v>
      </c>
      <c r="AH545">
        <v>0</v>
      </c>
      <c r="AI545">
        <v>16.55</v>
      </c>
      <c r="AJ545">
        <v>1</v>
      </c>
      <c r="AK545">
        <v>1</v>
      </c>
      <c r="AL545">
        <v>1</v>
      </c>
      <c r="AM545">
        <v>0</v>
      </c>
      <c r="AN545">
        <v>0</v>
      </c>
      <c r="AO545">
        <v>0</v>
      </c>
      <c r="AP545">
        <v>1</v>
      </c>
      <c r="AQ545">
        <v>0</v>
      </c>
      <c r="AR545">
        <v>0</v>
      </c>
      <c r="AS545" t="s">
        <v>3</v>
      </c>
      <c r="AT545">
        <v>105.7894737</v>
      </c>
      <c r="AU545" t="s">
        <v>3</v>
      </c>
      <c r="AV545">
        <v>0</v>
      </c>
      <c r="AW545">
        <v>1</v>
      </c>
      <c r="AX545">
        <v>-1</v>
      </c>
      <c r="AY545">
        <v>0</v>
      </c>
      <c r="AZ545">
        <v>0</v>
      </c>
      <c r="BA545" t="s">
        <v>3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V545">
        <v>0</v>
      </c>
      <c r="CW545">
        <v>0</v>
      </c>
      <c r="CX545">
        <f>ROUND(Y545*Source!I216,9)</f>
        <v>201.00000003</v>
      </c>
      <c r="CY545">
        <f t="shared" si="224"/>
        <v>687.98</v>
      </c>
      <c r="CZ545">
        <f t="shared" si="225"/>
        <v>41.57</v>
      </c>
      <c r="DA545">
        <f t="shared" si="226"/>
        <v>16.55</v>
      </c>
      <c r="DB545">
        <f t="shared" si="216"/>
        <v>4397.67</v>
      </c>
      <c r="DC545">
        <f t="shared" si="217"/>
        <v>0</v>
      </c>
      <c r="DD545" t="s">
        <v>3</v>
      </c>
      <c r="DE545" t="s">
        <v>3</v>
      </c>
      <c r="DF545">
        <f t="shared" si="227"/>
        <v>138283.98000000001</v>
      </c>
      <c r="DG545">
        <f t="shared" si="228"/>
        <v>0</v>
      </c>
      <c r="DH545">
        <f t="shared" si="223"/>
        <v>0</v>
      </c>
      <c r="DI545">
        <f t="shared" si="214"/>
        <v>0</v>
      </c>
      <c r="DJ545">
        <f t="shared" si="229"/>
        <v>138283.98000000001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">
      <c r="A546">
        <f>ROW(Source!A216)</f>
        <v>216</v>
      </c>
      <c r="B546">
        <v>85739207</v>
      </c>
      <c r="C546">
        <v>85740074</v>
      </c>
      <c r="D546">
        <v>85211459</v>
      </c>
      <c r="E546">
        <v>1</v>
      </c>
      <c r="F546">
        <v>1</v>
      </c>
      <c r="G546">
        <v>1081</v>
      </c>
      <c r="H546">
        <v>3</v>
      </c>
      <c r="I546" t="s">
        <v>206</v>
      </c>
      <c r="J546" t="s">
        <v>208</v>
      </c>
      <c r="K546" t="s">
        <v>207</v>
      </c>
      <c r="L546">
        <v>1301</v>
      </c>
      <c r="N546">
        <v>1003</v>
      </c>
      <c r="O546" t="s">
        <v>179</v>
      </c>
      <c r="P546" t="s">
        <v>179</v>
      </c>
      <c r="Q546">
        <v>1</v>
      </c>
      <c r="W546">
        <v>0</v>
      </c>
      <c r="X546">
        <v>-173671470</v>
      </c>
      <c r="Y546">
        <f t="shared" si="215"/>
        <v>476.05263159999998</v>
      </c>
      <c r="AA546">
        <v>1062.52</v>
      </c>
      <c r="AB546">
        <v>0</v>
      </c>
      <c r="AC546">
        <v>0</v>
      </c>
      <c r="AD546">
        <v>0</v>
      </c>
      <c r="AE546">
        <v>51.28</v>
      </c>
      <c r="AF546">
        <v>0</v>
      </c>
      <c r="AG546">
        <v>0</v>
      </c>
      <c r="AH546">
        <v>0</v>
      </c>
      <c r="AI546">
        <v>20.72</v>
      </c>
      <c r="AJ546">
        <v>1</v>
      </c>
      <c r="AK546">
        <v>1</v>
      </c>
      <c r="AL546">
        <v>1</v>
      </c>
      <c r="AM546">
        <v>0</v>
      </c>
      <c r="AN546">
        <v>0</v>
      </c>
      <c r="AO546">
        <v>0</v>
      </c>
      <c r="AP546">
        <v>1</v>
      </c>
      <c r="AQ546">
        <v>0</v>
      </c>
      <c r="AR546">
        <v>0</v>
      </c>
      <c r="AS546" t="s">
        <v>3</v>
      </c>
      <c r="AT546">
        <v>476.05263159999998</v>
      </c>
      <c r="AU546" t="s">
        <v>3</v>
      </c>
      <c r="AV546">
        <v>0</v>
      </c>
      <c r="AW546">
        <v>1</v>
      </c>
      <c r="AX546">
        <v>-1</v>
      </c>
      <c r="AY546">
        <v>0</v>
      </c>
      <c r="AZ546">
        <v>0</v>
      </c>
      <c r="BA546" t="s">
        <v>3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V546">
        <v>0</v>
      </c>
      <c r="CW546">
        <v>0</v>
      </c>
      <c r="CX546">
        <f>ROUND(Y546*Source!I216,9)</f>
        <v>904.50000004000003</v>
      </c>
      <c r="CY546">
        <f t="shared" si="224"/>
        <v>1062.52</v>
      </c>
      <c r="CZ546">
        <f t="shared" si="225"/>
        <v>51.28</v>
      </c>
      <c r="DA546">
        <f t="shared" si="226"/>
        <v>20.72</v>
      </c>
      <c r="DB546">
        <f t="shared" si="216"/>
        <v>24411.98</v>
      </c>
      <c r="DC546">
        <f t="shared" si="217"/>
        <v>0</v>
      </c>
      <c r="DD546" t="s">
        <v>3</v>
      </c>
      <c r="DE546" t="s">
        <v>3</v>
      </c>
      <c r="DF546">
        <f t="shared" si="227"/>
        <v>961049.34</v>
      </c>
      <c r="DG546">
        <f t="shared" si="228"/>
        <v>0</v>
      </c>
      <c r="DH546">
        <f t="shared" si="223"/>
        <v>0</v>
      </c>
      <c r="DI546">
        <f t="shared" si="214"/>
        <v>0</v>
      </c>
      <c r="DJ546">
        <f t="shared" si="229"/>
        <v>961049.34</v>
      </c>
      <c r="DK546">
        <v>0</v>
      </c>
      <c r="DL546" t="s">
        <v>3</v>
      </c>
      <c r="DM546">
        <v>0</v>
      </c>
      <c r="DN546" t="s">
        <v>3</v>
      </c>
      <c r="DO546">
        <v>0</v>
      </c>
    </row>
    <row r="547" spans="1:119" x14ac:dyDescent="0.2">
      <c r="A547">
        <f>ROW(Source!A216)</f>
        <v>216</v>
      </c>
      <c r="B547">
        <v>85739207</v>
      </c>
      <c r="C547">
        <v>85740074</v>
      </c>
      <c r="D547">
        <v>85211460</v>
      </c>
      <c r="E547">
        <v>1</v>
      </c>
      <c r="F547">
        <v>1</v>
      </c>
      <c r="G547">
        <v>1081</v>
      </c>
      <c r="H547">
        <v>3</v>
      </c>
      <c r="I547" t="s">
        <v>408</v>
      </c>
      <c r="J547" t="s">
        <v>410</v>
      </c>
      <c r="K547" t="s">
        <v>409</v>
      </c>
      <c r="L547">
        <v>1301</v>
      </c>
      <c r="N547">
        <v>1003</v>
      </c>
      <c r="O547" t="s">
        <v>179</v>
      </c>
      <c r="P547" t="s">
        <v>179</v>
      </c>
      <c r="Q547">
        <v>1</v>
      </c>
      <c r="W547">
        <v>0</v>
      </c>
      <c r="X547">
        <v>-2119850974</v>
      </c>
      <c r="Y547">
        <f t="shared" si="215"/>
        <v>423.15789469999999</v>
      </c>
      <c r="AA547">
        <v>732.19</v>
      </c>
      <c r="AB547">
        <v>0</v>
      </c>
      <c r="AC547">
        <v>0</v>
      </c>
      <c r="AD547">
        <v>0</v>
      </c>
      <c r="AE547">
        <v>61.58</v>
      </c>
      <c r="AF547">
        <v>0</v>
      </c>
      <c r="AG547">
        <v>0</v>
      </c>
      <c r="AH547">
        <v>0</v>
      </c>
      <c r="AI547">
        <v>11.89</v>
      </c>
      <c r="AJ547">
        <v>1</v>
      </c>
      <c r="AK547">
        <v>1</v>
      </c>
      <c r="AL547">
        <v>1</v>
      </c>
      <c r="AM547">
        <v>0</v>
      </c>
      <c r="AN547">
        <v>0</v>
      </c>
      <c r="AO547">
        <v>0</v>
      </c>
      <c r="AP547">
        <v>1</v>
      </c>
      <c r="AQ547">
        <v>0</v>
      </c>
      <c r="AR547">
        <v>0</v>
      </c>
      <c r="AS547" t="s">
        <v>3</v>
      </c>
      <c r="AT547">
        <v>423.15789469999999</v>
      </c>
      <c r="AU547" t="s">
        <v>3</v>
      </c>
      <c r="AV547">
        <v>0</v>
      </c>
      <c r="AW547">
        <v>1</v>
      </c>
      <c r="AX547">
        <v>-1</v>
      </c>
      <c r="AY547">
        <v>0</v>
      </c>
      <c r="AZ547">
        <v>0</v>
      </c>
      <c r="BA547" t="s">
        <v>3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V547">
        <v>0</v>
      </c>
      <c r="CW547">
        <v>0</v>
      </c>
      <c r="CX547">
        <f>ROUND(Y547*Source!I216,9)</f>
        <v>803.99999992999994</v>
      </c>
      <c r="CY547">
        <f t="shared" si="224"/>
        <v>732.19</v>
      </c>
      <c r="CZ547">
        <f t="shared" si="225"/>
        <v>61.58</v>
      </c>
      <c r="DA547">
        <f t="shared" si="226"/>
        <v>11.89</v>
      </c>
      <c r="DB547">
        <f t="shared" si="216"/>
        <v>26058.06</v>
      </c>
      <c r="DC547">
        <f t="shared" si="217"/>
        <v>0</v>
      </c>
      <c r="DD547" t="s">
        <v>3</v>
      </c>
      <c r="DE547" t="s">
        <v>3</v>
      </c>
      <c r="DF547">
        <f t="shared" si="227"/>
        <v>588680.76</v>
      </c>
      <c r="DG547">
        <f t="shared" si="228"/>
        <v>0</v>
      </c>
      <c r="DH547">
        <f t="shared" si="223"/>
        <v>0</v>
      </c>
      <c r="DI547">
        <f t="shared" si="214"/>
        <v>0</v>
      </c>
      <c r="DJ547">
        <f t="shared" si="229"/>
        <v>588680.76</v>
      </c>
      <c r="DK547">
        <v>0</v>
      </c>
      <c r="DL547" t="s">
        <v>3</v>
      </c>
      <c r="DM547">
        <v>0</v>
      </c>
      <c r="DN547" t="s">
        <v>3</v>
      </c>
      <c r="DO547">
        <v>0</v>
      </c>
    </row>
    <row r="548" spans="1:119" x14ac:dyDescent="0.2">
      <c r="A548">
        <f>ROW(Source!A216)</f>
        <v>216</v>
      </c>
      <c r="B548">
        <v>85739207</v>
      </c>
      <c r="C548">
        <v>85740074</v>
      </c>
      <c r="D548">
        <v>85221547</v>
      </c>
      <c r="E548">
        <v>1</v>
      </c>
      <c r="F548">
        <v>1</v>
      </c>
      <c r="G548">
        <v>1081</v>
      </c>
      <c r="H548">
        <v>3</v>
      </c>
      <c r="I548" t="s">
        <v>564</v>
      </c>
      <c r="J548" t="s">
        <v>565</v>
      </c>
      <c r="K548" t="s">
        <v>566</v>
      </c>
      <c r="L548">
        <v>1354</v>
      </c>
      <c r="N548">
        <v>1010</v>
      </c>
      <c r="O548" t="s">
        <v>99</v>
      </c>
      <c r="P548" t="s">
        <v>99</v>
      </c>
      <c r="Q548">
        <v>1</v>
      </c>
      <c r="W548">
        <v>0</v>
      </c>
      <c r="X548">
        <v>483106430</v>
      </c>
      <c r="Y548">
        <f t="shared" si="215"/>
        <v>360</v>
      </c>
      <c r="AA548">
        <v>17.47</v>
      </c>
      <c r="AB548">
        <v>0</v>
      </c>
      <c r="AC548">
        <v>0</v>
      </c>
      <c r="AD548">
        <v>0</v>
      </c>
      <c r="AE548">
        <v>14.28</v>
      </c>
      <c r="AF548">
        <v>0</v>
      </c>
      <c r="AG548">
        <v>0</v>
      </c>
      <c r="AH548">
        <v>0</v>
      </c>
      <c r="AI548">
        <v>1.19</v>
      </c>
      <c r="AJ548">
        <v>1</v>
      </c>
      <c r="AK548">
        <v>1</v>
      </c>
      <c r="AL548">
        <v>1</v>
      </c>
      <c r="AM548">
        <v>2</v>
      </c>
      <c r="AN548">
        <v>0</v>
      </c>
      <c r="AO548">
        <v>1</v>
      </c>
      <c r="AP548">
        <v>1</v>
      </c>
      <c r="AQ548">
        <v>0</v>
      </c>
      <c r="AR548">
        <v>0</v>
      </c>
      <c r="AS548" t="s">
        <v>3</v>
      </c>
      <c r="AT548">
        <v>360</v>
      </c>
      <c r="AU548" t="s">
        <v>3</v>
      </c>
      <c r="AV548">
        <v>0</v>
      </c>
      <c r="AW548">
        <v>2</v>
      </c>
      <c r="AX548">
        <v>85740104</v>
      </c>
      <c r="AY548">
        <v>1</v>
      </c>
      <c r="AZ548">
        <v>0</v>
      </c>
      <c r="BA548">
        <v>559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V548">
        <v>0</v>
      </c>
      <c r="CW548">
        <v>0</v>
      </c>
      <c r="CX548">
        <f>ROUND(Y548*Source!I216,9)</f>
        <v>684</v>
      </c>
      <c r="CY548">
        <f t="shared" si="224"/>
        <v>17.47</v>
      </c>
      <c r="CZ548">
        <f t="shared" si="225"/>
        <v>14.28</v>
      </c>
      <c r="DA548">
        <f t="shared" si="226"/>
        <v>1.19</v>
      </c>
      <c r="DB548">
        <f t="shared" si="216"/>
        <v>5140.8</v>
      </c>
      <c r="DC548">
        <f t="shared" si="217"/>
        <v>0</v>
      </c>
      <c r="DD548" t="s">
        <v>3</v>
      </c>
      <c r="DE548" t="s">
        <v>3</v>
      </c>
      <c r="DF548">
        <f t="shared" si="227"/>
        <v>11621.16</v>
      </c>
      <c r="DG548">
        <f t="shared" si="228"/>
        <v>0</v>
      </c>
      <c r="DH548">
        <f t="shared" si="223"/>
        <v>0</v>
      </c>
      <c r="DI548">
        <f t="shared" si="214"/>
        <v>0</v>
      </c>
      <c r="DJ548">
        <f t="shared" si="229"/>
        <v>11621.16</v>
      </c>
      <c r="DK548">
        <v>0</v>
      </c>
      <c r="DL548" t="s">
        <v>3</v>
      </c>
      <c r="DM548">
        <v>0</v>
      </c>
      <c r="DN548" t="s">
        <v>3</v>
      </c>
      <c r="DO548">
        <v>0</v>
      </c>
    </row>
    <row r="549" spans="1:119" x14ac:dyDescent="0.2">
      <c r="A549">
        <f>ROW(Source!A223)</f>
        <v>223</v>
      </c>
      <c r="B549">
        <v>85739205</v>
      </c>
      <c r="C549">
        <v>85740108</v>
      </c>
      <c r="D549">
        <v>85164021</v>
      </c>
      <c r="E549">
        <v>1081</v>
      </c>
      <c r="F549">
        <v>1</v>
      </c>
      <c r="G549">
        <v>1081</v>
      </c>
      <c r="H549">
        <v>1</v>
      </c>
      <c r="I549" t="s">
        <v>472</v>
      </c>
      <c r="J549" t="s">
        <v>3</v>
      </c>
      <c r="K549" t="s">
        <v>473</v>
      </c>
      <c r="L549">
        <v>1191</v>
      </c>
      <c r="N549">
        <v>1013</v>
      </c>
      <c r="O549" t="s">
        <v>474</v>
      </c>
      <c r="P549" t="s">
        <v>474</v>
      </c>
      <c r="Q549">
        <v>1</v>
      </c>
      <c r="W549">
        <v>0</v>
      </c>
      <c r="X549">
        <v>476480486</v>
      </c>
      <c r="Y549">
        <f t="shared" ref="Y549:Y554" si="230">(AT549*1.2)</f>
        <v>166.79999999999998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</v>
      </c>
      <c r="AJ549">
        <v>1</v>
      </c>
      <c r="AK549">
        <v>1</v>
      </c>
      <c r="AL549">
        <v>1</v>
      </c>
      <c r="AM549">
        <v>-2</v>
      </c>
      <c r="AN549">
        <v>0</v>
      </c>
      <c r="AO549">
        <v>1</v>
      </c>
      <c r="AP549">
        <v>1</v>
      </c>
      <c r="AQ549">
        <v>0</v>
      </c>
      <c r="AR549">
        <v>0</v>
      </c>
      <c r="AS549" t="s">
        <v>3</v>
      </c>
      <c r="AT549">
        <v>139</v>
      </c>
      <c r="AU549" t="s">
        <v>36</v>
      </c>
      <c r="AV549">
        <v>1</v>
      </c>
      <c r="AW549">
        <v>2</v>
      </c>
      <c r="AX549">
        <v>85740125</v>
      </c>
      <c r="AY549">
        <v>1</v>
      </c>
      <c r="AZ549">
        <v>0</v>
      </c>
      <c r="BA549">
        <v>561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U549">
        <f>ROUND(AT549*Source!I223*AH549*AL549,2)</f>
        <v>0</v>
      </c>
      <c r="CV549">
        <f>ROUND(Y549*Source!I223,9)</f>
        <v>3169.2</v>
      </c>
      <c r="CW549">
        <v>0</v>
      </c>
      <c r="CX549">
        <f>ROUND(Y549*Source!I223,9)</f>
        <v>3169.2</v>
      </c>
      <c r="CY549">
        <f>AD549</f>
        <v>0</v>
      </c>
      <c r="CZ549">
        <f>AH549</f>
        <v>0</v>
      </c>
      <c r="DA549">
        <f>AL549</f>
        <v>1</v>
      </c>
      <c r="DB549">
        <f t="shared" ref="DB549:DB554" si="231">ROUND((ROUND(AT549*CZ549,2)*1.2),6)</f>
        <v>0</v>
      </c>
      <c r="DC549">
        <f t="shared" ref="DC549:DC554" si="232">ROUND((ROUND(AT549*AG549,2)*1.2),6)</f>
        <v>0</v>
      </c>
      <c r="DD549" t="s">
        <v>3</v>
      </c>
      <c r="DE549" t="s">
        <v>3</v>
      </c>
      <c r="DF549">
        <f t="shared" ref="DF549:DF571" si="233">ROUND(ROUND(AE549,2)*CX549,2)</f>
        <v>0</v>
      </c>
      <c r="DG549">
        <f t="shared" si="228"/>
        <v>0</v>
      </c>
      <c r="DH549">
        <f t="shared" si="223"/>
        <v>0</v>
      </c>
      <c r="DI549">
        <f t="shared" si="214"/>
        <v>0</v>
      </c>
      <c r="DJ549">
        <f>DI549</f>
        <v>0</v>
      </c>
      <c r="DK549">
        <v>0</v>
      </c>
      <c r="DL549" t="s">
        <v>3</v>
      </c>
      <c r="DM549">
        <v>0</v>
      </c>
      <c r="DN549" t="s">
        <v>3</v>
      </c>
      <c r="DO549">
        <v>0</v>
      </c>
    </row>
    <row r="550" spans="1:119" x14ac:dyDescent="0.2">
      <c r="A550">
        <f>ROW(Source!A223)</f>
        <v>223</v>
      </c>
      <c r="B550">
        <v>85739205</v>
      </c>
      <c r="C550">
        <v>85740108</v>
      </c>
      <c r="D550">
        <v>85229527</v>
      </c>
      <c r="E550">
        <v>1</v>
      </c>
      <c r="F550">
        <v>1</v>
      </c>
      <c r="G550">
        <v>1081</v>
      </c>
      <c r="H550">
        <v>2</v>
      </c>
      <c r="I550" t="s">
        <v>546</v>
      </c>
      <c r="J550" t="s">
        <v>547</v>
      </c>
      <c r="K550" t="s">
        <v>548</v>
      </c>
      <c r="L550">
        <v>1368</v>
      </c>
      <c r="N550">
        <v>1011</v>
      </c>
      <c r="O550" t="s">
        <v>478</v>
      </c>
      <c r="P550" t="s">
        <v>478</v>
      </c>
      <c r="Q550">
        <v>1</v>
      </c>
      <c r="W550">
        <v>0</v>
      </c>
      <c r="X550">
        <v>-1222619517</v>
      </c>
      <c r="Y550">
        <f t="shared" si="230"/>
        <v>9</v>
      </c>
      <c r="AA550">
        <v>0</v>
      </c>
      <c r="AB550">
        <v>51.29</v>
      </c>
      <c r="AC550">
        <v>13.47</v>
      </c>
      <c r="AD550">
        <v>0</v>
      </c>
      <c r="AE550">
        <v>0</v>
      </c>
      <c r="AF550">
        <v>48.07</v>
      </c>
      <c r="AG550">
        <v>12.62</v>
      </c>
      <c r="AH550">
        <v>0</v>
      </c>
      <c r="AI550">
        <v>1</v>
      </c>
      <c r="AJ550">
        <v>1</v>
      </c>
      <c r="AK550">
        <v>1</v>
      </c>
      <c r="AL550">
        <v>1</v>
      </c>
      <c r="AM550">
        <v>-2</v>
      </c>
      <c r="AN550">
        <v>0</v>
      </c>
      <c r="AO550">
        <v>1</v>
      </c>
      <c r="AP550">
        <v>1</v>
      </c>
      <c r="AQ550">
        <v>0</v>
      </c>
      <c r="AR550">
        <v>0</v>
      </c>
      <c r="AS550" t="s">
        <v>3</v>
      </c>
      <c r="AT550">
        <v>7.5</v>
      </c>
      <c r="AU550" t="s">
        <v>36</v>
      </c>
      <c r="AV550">
        <v>0</v>
      </c>
      <c r="AW550">
        <v>2</v>
      </c>
      <c r="AX550">
        <v>85740126</v>
      </c>
      <c r="AY550">
        <v>1</v>
      </c>
      <c r="AZ550">
        <v>0</v>
      </c>
      <c r="BA550">
        <v>562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V550">
        <v>0</v>
      </c>
      <c r="CW550">
        <f>ROUND(Y550*Source!I223*DO550,9)</f>
        <v>2158.02</v>
      </c>
      <c r="CX550">
        <f>ROUND(Y550*Source!I223,9)</f>
        <v>171</v>
      </c>
      <c r="CY550">
        <f>AB550</f>
        <v>51.29</v>
      </c>
      <c r="CZ550">
        <f>AF550</f>
        <v>48.07</v>
      </c>
      <c r="DA550">
        <f>AJ550</f>
        <v>1</v>
      </c>
      <c r="DB550">
        <f t="shared" si="231"/>
        <v>432.63600000000002</v>
      </c>
      <c r="DC550">
        <f t="shared" si="232"/>
        <v>113.58</v>
      </c>
      <c r="DD550" t="s">
        <v>3</v>
      </c>
      <c r="DE550" t="s">
        <v>3</v>
      </c>
      <c r="DF550">
        <f t="shared" si="233"/>
        <v>0</v>
      </c>
      <c r="DG550">
        <f t="shared" si="228"/>
        <v>8219.9699999999993</v>
      </c>
      <c r="DH550">
        <f t="shared" si="223"/>
        <v>2158.02</v>
      </c>
      <c r="DI550">
        <f t="shared" si="214"/>
        <v>0</v>
      </c>
      <c r="DJ550">
        <f>DG550</f>
        <v>8219.9699999999993</v>
      </c>
      <c r="DK550">
        <v>0</v>
      </c>
      <c r="DL550" t="s">
        <v>485</v>
      </c>
      <c r="DM550">
        <v>0</v>
      </c>
      <c r="DN550" t="s">
        <v>474</v>
      </c>
      <c r="DO550">
        <v>12.62</v>
      </c>
    </row>
    <row r="551" spans="1:119" x14ac:dyDescent="0.2">
      <c r="A551">
        <f>ROW(Source!A223)</f>
        <v>223</v>
      </c>
      <c r="B551">
        <v>85739205</v>
      </c>
      <c r="C551">
        <v>85740108</v>
      </c>
      <c r="D551">
        <v>85229564</v>
      </c>
      <c r="E551">
        <v>1</v>
      </c>
      <c r="F551">
        <v>1</v>
      </c>
      <c r="G551">
        <v>1081</v>
      </c>
      <c r="H551">
        <v>2</v>
      </c>
      <c r="I551" t="s">
        <v>549</v>
      </c>
      <c r="J551" t="s">
        <v>550</v>
      </c>
      <c r="K551" t="s">
        <v>551</v>
      </c>
      <c r="L551">
        <v>1368</v>
      </c>
      <c r="N551">
        <v>1011</v>
      </c>
      <c r="O551" t="s">
        <v>478</v>
      </c>
      <c r="P551" t="s">
        <v>478</v>
      </c>
      <c r="Q551">
        <v>1</v>
      </c>
      <c r="W551">
        <v>0</v>
      </c>
      <c r="X551">
        <v>210297649</v>
      </c>
      <c r="Y551">
        <f t="shared" si="230"/>
        <v>8.4</v>
      </c>
      <c r="AA551">
        <v>0</v>
      </c>
      <c r="AB551">
        <v>6.18</v>
      </c>
      <c r="AC551">
        <v>0</v>
      </c>
      <c r="AD551">
        <v>0</v>
      </c>
      <c r="AE551">
        <v>0</v>
      </c>
      <c r="AF551">
        <v>5.79</v>
      </c>
      <c r="AG551">
        <v>0</v>
      </c>
      <c r="AH551">
        <v>0</v>
      </c>
      <c r="AI551">
        <v>1</v>
      </c>
      <c r="AJ551">
        <v>1</v>
      </c>
      <c r="AK551">
        <v>1</v>
      </c>
      <c r="AL551">
        <v>1</v>
      </c>
      <c r="AM551">
        <v>-2</v>
      </c>
      <c r="AN551">
        <v>0</v>
      </c>
      <c r="AO551">
        <v>1</v>
      </c>
      <c r="AP551">
        <v>1</v>
      </c>
      <c r="AQ551">
        <v>0</v>
      </c>
      <c r="AR551">
        <v>0</v>
      </c>
      <c r="AS551" t="s">
        <v>3</v>
      </c>
      <c r="AT551">
        <v>7</v>
      </c>
      <c r="AU551" t="s">
        <v>36</v>
      </c>
      <c r="AV551">
        <v>0</v>
      </c>
      <c r="AW551">
        <v>2</v>
      </c>
      <c r="AX551">
        <v>85740127</v>
      </c>
      <c r="AY551">
        <v>1</v>
      </c>
      <c r="AZ551">
        <v>0</v>
      </c>
      <c r="BA551">
        <v>563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V551">
        <v>0</v>
      </c>
      <c r="CW551">
        <f>ROUND(Y551*Source!I223*DO551,9)</f>
        <v>0</v>
      </c>
      <c r="CX551">
        <f>ROUND(Y551*Source!I223,9)</f>
        <v>159.6</v>
      </c>
      <c r="CY551">
        <f>AB551</f>
        <v>6.18</v>
      </c>
      <c r="CZ551">
        <f>AF551</f>
        <v>5.79</v>
      </c>
      <c r="DA551">
        <f>AJ551</f>
        <v>1</v>
      </c>
      <c r="DB551">
        <f t="shared" si="231"/>
        <v>48.636000000000003</v>
      </c>
      <c r="DC551">
        <f t="shared" si="232"/>
        <v>0</v>
      </c>
      <c r="DD551" t="s">
        <v>3</v>
      </c>
      <c r="DE551" t="s">
        <v>3</v>
      </c>
      <c r="DF551">
        <f t="shared" si="233"/>
        <v>0</v>
      </c>
      <c r="DG551">
        <f t="shared" si="228"/>
        <v>924.08</v>
      </c>
      <c r="DH551">
        <f t="shared" si="223"/>
        <v>0</v>
      </c>
      <c r="DI551">
        <f t="shared" si="214"/>
        <v>0</v>
      </c>
      <c r="DJ551">
        <f>DG551</f>
        <v>924.08</v>
      </c>
      <c r="DK551">
        <v>0</v>
      </c>
      <c r="DL551" t="s">
        <v>3</v>
      </c>
      <c r="DM551">
        <v>0</v>
      </c>
      <c r="DN551" t="s">
        <v>3</v>
      </c>
      <c r="DO551">
        <v>0</v>
      </c>
    </row>
    <row r="552" spans="1:119" x14ac:dyDescent="0.2">
      <c r="A552">
        <f>ROW(Source!A223)</f>
        <v>223</v>
      </c>
      <c r="B552">
        <v>85739205</v>
      </c>
      <c r="C552">
        <v>85740108</v>
      </c>
      <c r="D552">
        <v>85229633</v>
      </c>
      <c r="E552">
        <v>1</v>
      </c>
      <c r="F552">
        <v>1</v>
      </c>
      <c r="G552">
        <v>1081</v>
      </c>
      <c r="H552">
        <v>2</v>
      </c>
      <c r="I552" t="s">
        <v>475</v>
      </c>
      <c r="J552" t="s">
        <v>476</v>
      </c>
      <c r="K552" t="s">
        <v>477</v>
      </c>
      <c r="L552">
        <v>1368</v>
      </c>
      <c r="N552">
        <v>1011</v>
      </c>
      <c r="O552" t="s">
        <v>478</v>
      </c>
      <c r="P552" t="s">
        <v>478</v>
      </c>
      <c r="Q552">
        <v>1</v>
      </c>
      <c r="W552">
        <v>0</v>
      </c>
      <c r="X552">
        <v>1498588441</v>
      </c>
      <c r="Y552">
        <f t="shared" si="230"/>
        <v>11.183999999999999</v>
      </c>
      <c r="AA552">
        <v>0</v>
      </c>
      <c r="AB552">
        <v>7.59</v>
      </c>
      <c r="AC552">
        <v>0</v>
      </c>
      <c r="AD552">
        <v>0</v>
      </c>
      <c r="AE552">
        <v>0</v>
      </c>
      <c r="AF552">
        <v>7.11</v>
      </c>
      <c r="AG552">
        <v>0</v>
      </c>
      <c r="AH552">
        <v>0</v>
      </c>
      <c r="AI552">
        <v>1</v>
      </c>
      <c r="AJ552">
        <v>1</v>
      </c>
      <c r="AK552">
        <v>1</v>
      </c>
      <c r="AL552">
        <v>1</v>
      </c>
      <c r="AM552">
        <v>-2</v>
      </c>
      <c r="AN552">
        <v>0</v>
      </c>
      <c r="AO552">
        <v>1</v>
      </c>
      <c r="AP552">
        <v>1</v>
      </c>
      <c r="AQ552">
        <v>0</v>
      </c>
      <c r="AR552">
        <v>0</v>
      </c>
      <c r="AS552" t="s">
        <v>3</v>
      </c>
      <c r="AT552">
        <v>9.32</v>
      </c>
      <c r="AU552" t="s">
        <v>36</v>
      </c>
      <c r="AV552">
        <v>0</v>
      </c>
      <c r="AW552">
        <v>2</v>
      </c>
      <c r="AX552">
        <v>85740128</v>
      </c>
      <c r="AY552">
        <v>1</v>
      </c>
      <c r="AZ552">
        <v>0</v>
      </c>
      <c r="BA552">
        <v>564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f>ROUND(Y552*Source!I223*DO552,9)</f>
        <v>0</v>
      </c>
      <c r="CX552">
        <f>ROUND(Y552*Source!I223,9)</f>
        <v>212.49600000000001</v>
      </c>
      <c r="CY552">
        <f>AB552</f>
        <v>7.59</v>
      </c>
      <c r="CZ552">
        <f>AF552</f>
        <v>7.11</v>
      </c>
      <c r="DA552">
        <f>AJ552</f>
        <v>1</v>
      </c>
      <c r="DB552">
        <f t="shared" si="231"/>
        <v>79.524000000000001</v>
      </c>
      <c r="DC552">
        <f t="shared" si="232"/>
        <v>0</v>
      </c>
      <c r="DD552" t="s">
        <v>3</v>
      </c>
      <c r="DE552" t="s">
        <v>3</v>
      </c>
      <c r="DF552">
        <f t="shared" si="233"/>
        <v>0</v>
      </c>
      <c r="DG552">
        <f t="shared" si="228"/>
        <v>1510.85</v>
      </c>
      <c r="DH552">
        <f t="shared" si="223"/>
        <v>0</v>
      </c>
      <c r="DI552">
        <f t="shared" si="214"/>
        <v>0</v>
      </c>
      <c r="DJ552">
        <f>DG552</f>
        <v>1510.85</v>
      </c>
      <c r="DK552">
        <v>0</v>
      </c>
      <c r="DL552" t="s">
        <v>3</v>
      </c>
      <c r="DM552">
        <v>0</v>
      </c>
      <c r="DN552" t="s">
        <v>3</v>
      </c>
      <c r="DO552">
        <v>0</v>
      </c>
    </row>
    <row r="553" spans="1:119" x14ac:dyDescent="0.2">
      <c r="A553">
        <f>ROW(Source!A223)</f>
        <v>223</v>
      </c>
      <c r="B553">
        <v>85739205</v>
      </c>
      <c r="C553">
        <v>85740108</v>
      </c>
      <c r="D553">
        <v>85229932</v>
      </c>
      <c r="E553">
        <v>1</v>
      </c>
      <c r="F553">
        <v>1</v>
      </c>
      <c r="G553">
        <v>1081</v>
      </c>
      <c r="H553">
        <v>2</v>
      </c>
      <c r="I553" t="s">
        <v>482</v>
      </c>
      <c r="J553" t="s">
        <v>483</v>
      </c>
      <c r="K553" t="s">
        <v>484</v>
      </c>
      <c r="L553">
        <v>1368</v>
      </c>
      <c r="N553">
        <v>1011</v>
      </c>
      <c r="O553" t="s">
        <v>478</v>
      </c>
      <c r="P553" t="s">
        <v>478</v>
      </c>
      <c r="Q553">
        <v>1</v>
      </c>
      <c r="W553">
        <v>0</v>
      </c>
      <c r="X553">
        <v>874612079</v>
      </c>
      <c r="Y553">
        <f t="shared" si="230"/>
        <v>0.64800000000000002</v>
      </c>
      <c r="AA553">
        <v>0</v>
      </c>
      <c r="AB553">
        <v>88.67</v>
      </c>
      <c r="AC553">
        <v>13.47</v>
      </c>
      <c r="AD553">
        <v>0</v>
      </c>
      <c r="AE553">
        <v>0</v>
      </c>
      <c r="AF553">
        <v>83.1</v>
      </c>
      <c r="AG553">
        <v>12.62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-2</v>
      </c>
      <c r="AN553">
        <v>0</v>
      </c>
      <c r="AO553">
        <v>1</v>
      </c>
      <c r="AP553">
        <v>1</v>
      </c>
      <c r="AQ553">
        <v>0</v>
      </c>
      <c r="AR553">
        <v>0</v>
      </c>
      <c r="AS553" t="s">
        <v>3</v>
      </c>
      <c r="AT553">
        <v>0.54</v>
      </c>
      <c r="AU553" t="s">
        <v>36</v>
      </c>
      <c r="AV553">
        <v>0</v>
      </c>
      <c r="AW553">
        <v>2</v>
      </c>
      <c r="AX553">
        <v>85740129</v>
      </c>
      <c r="AY553">
        <v>1</v>
      </c>
      <c r="AZ553">
        <v>0</v>
      </c>
      <c r="BA553">
        <v>565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V553">
        <v>0</v>
      </c>
      <c r="CW553">
        <f>ROUND(Y553*Source!I223*DO553,9)</f>
        <v>155.37744000000001</v>
      </c>
      <c r="CX553">
        <f>ROUND(Y553*Source!I223,9)</f>
        <v>12.311999999999999</v>
      </c>
      <c r="CY553">
        <f>AB553</f>
        <v>88.67</v>
      </c>
      <c r="CZ553">
        <f>AF553</f>
        <v>83.1</v>
      </c>
      <c r="DA553">
        <f>AJ553</f>
        <v>1</v>
      </c>
      <c r="DB553">
        <f t="shared" si="231"/>
        <v>53.844000000000001</v>
      </c>
      <c r="DC553">
        <f t="shared" si="232"/>
        <v>8.1720000000000006</v>
      </c>
      <c r="DD553" t="s">
        <v>3</v>
      </c>
      <c r="DE553" t="s">
        <v>3</v>
      </c>
      <c r="DF553">
        <f t="shared" si="233"/>
        <v>0</v>
      </c>
      <c r="DG553">
        <f t="shared" si="228"/>
        <v>1023.13</v>
      </c>
      <c r="DH553">
        <f t="shared" si="223"/>
        <v>155.38</v>
      </c>
      <c r="DI553">
        <f t="shared" si="214"/>
        <v>0</v>
      </c>
      <c r="DJ553">
        <f>DG553</f>
        <v>1023.13</v>
      </c>
      <c r="DK553">
        <v>0</v>
      </c>
      <c r="DL553" t="s">
        <v>485</v>
      </c>
      <c r="DM553">
        <v>0</v>
      </c>
      <c r="DN553" t="s">
        <v>474</v>
      </c>
      <c r="DO553">
        <v>12.62</v>
      </c>
    </row>
    <row r="554" spans="1:119" x14ac:dyDescent="0.2">
      <c r="A554">
        <f>ROW(Source!A223)</f>
        <v>223</v>
      </c>
      <c r="B554">
        <v>85739205</v>
      </c>
      <c r="C554">
        <v>85740108</v>
      </c>
      <c r="D554">
        <v>85229250</v>
      </c>
      <c r="E554">
        <v>1</v>
      </c>
      <c r="F554">
        <v>1</v>
      </c>
      <c r="G554">
        <v>1081</v>
      </c>
      <c r="H554">
        <v>2</v>
      </c>
      <c r="I554" t="s">
        <v>552</v>
      </c>
      <c r="J554" t="s">
        <v>553</v>
      </c>
      <c r="K554" t="s">
        <v>554</v>
      </c>
      <c r="L554">
        <v>1368</v>
      </c>
      <c r="N554">
        <v>1011</v>
      </c>
      <c r="O554" t="s">
        <v>478</v>
      </c>
      <c r="P554" t="s">
        <v>478</v>
      </c>
      <c r="Q554">
        <v>1</v>
      </c>
      <c r="W554">
        <v>0</v>
      </c>
      <c r="X554">
        <v>-1755828087</v>
      </c>
      <c r="Y554">
        <f t="shared" si="230"/>
        <v>0.48</v>
      </c>
      <c r="AA554">
        <v>0</v>
      </c>
      <c r="AB554">
        <v>3.39</v>
      </c>
      <c r="AC554">
        <v>0</v>
      </c>
      <c r="AD554">
        <v>0</v>
      </c>
      <c r="AE554">
        <v>0</v>
      </c>
      <c r="AF554">
        <v>3.18</v>
      </c>
      <c r="AG554">
        <v>0</v>
      </c>
      <c r="AH554">
        <v>0</v>
      </c>
      <c r="AI554">
        <v>1</v>
      </c>
      <c r="AJ554">
        <v>1</v>
      </c>
      <c r="AK554">
        <v>1</v>
      </c>
      <c r="AL554">
        <v>1</v>
      </c>
      <c r="AM554">
        <v>-2</v>
      </c>
      <c r="AN554">
        <v>0</v>
      </c>
      <c r="AO554">
        <v>1</v>
      </c>
      <c r="AP554">
        <v>1</v>
      </c>
      <c r="AQ554">
        <v>0</v>
      </c>
      <c r="AR554">
        <v>0</v>
      </c>
      <c r="AS554" t="s">
        <v>3</v>
      </c>
      <c r="AT554">
        <v>0.4</v>
      </c>
      <c r="AU554" t="s">
        <v>36</v>
      </c>
      <c r="AV554">
        <v>0</v>
      </c>
      <c r="AW554">
        <v>2</v>
      </c>
      <c r="AX554">
        <v>85740130</v>
      </c>
      <c r="AY554">
        <v>1</v>
      </c>
      <c r="AZ554">
        <v>0</v>
      </c>
      <c r="BA554">
        <v>566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V554">
        <v>0</v>
      </c>
      <c r="CW554">
        <f>ROUND(Y554*Source!I223*DO554,9)</f>
        <v>0</v>
      </c>
      <c r="CX554">
        <f>ROUND(Y554*Source!I223,9)</f>
        <v>9.1199999999999992</v>
      </c>
      <c r="CY554">
        <f>AB554</f>
        <v>3.39</v>
      </c>
      <c r="CZ554">
        <f>AF554</f>
        <v>3.18</v>
      </c>
      <c r="DA554">
        <f>AJ554</f>
        <v>1</v>
      </c>
      <c r="DB554">
        <f t="shared" si="231"/>
        <v>1.524</v>
      </c>
      <c r="DC554">
        <f t="shared" si="232"/>
        <v>0</v>
      </c>
      <c r="DD554" t="s">
        <v>3</v>
      </c>
      <c r="DE554" t="s">
        <v>3</v>
      </c>
      <c r="DF554">
        <f t="shared" si="233"/>
        <v>0</v>
      </c>
      <c r="DG554">
        <f t="shared" si="228"/>
        <v>29</v>
      </c>
      <c r="DH554">
        <f t="shared" si="223"/>
        <v>0</v>
      </c>
      <c r="DI554">
        <f t="shared" si="214"/>
        <v>0</v>
      </c>
      <c r="DJ554">
        <f>DG554</f>
        <v>29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">
      <c r="A555">
        <f>ROW(Source!A223)</f>
        <v>223</v>
      </c>
      <c r="B555">
        <v>85739205</v>
      </c>
      <c r="C555">
        <v>85740108</v>
      </c>
      <c r="D555">
        <v>85198960</v>
      </c>
      <c r="E555">
        <v>1</v>
      </c>
      <c r="F555">
        <v>1</v>
      </c>
      <c r="G555">
        <v>1081</v>
      </c>
      <c r="H555">
        <v>3</v>
      </c>
      <c r="I555" t="s">
        <v>513</v>
      </c>
      <c r="J555" t="s">
        <v>514</v>
      </c>
      <c r="K555" t="s">
        <v>515</v>
      </c>
      <c r="L555">
        <v>1339</v>
      </c>
      <c r="N555">
        <v>1007</v>
      </c>
      <c r="O555" t="s">
        <v>506</v>
      </c>
      <c r="P555" t="s">
        <v>506</v>
      </c>
      <c r="Q555">
        <v>1</v>
      </c>
      <c r="W555">
        <v>0</v>
      </c>
      <c r="X555">
        <v>-1622585150</v>
      </c>
      <c r="Y555">
        <f t="shared" ref="Y555:Y565" si="234">(AT555*1)</f>
        <v>3</v>
      </c>
      <c r="AA555">
        <v>7.27</v>
      </c>
      <c r="AB555">
        <v>0</v>
      </c>
      <c r="AC555">
        <v>0</v>
      </c>
      <c r="AD555">
        <v>0</v>
      </c>
      <c r="AE555">
        <v>7.07</v>
      </c>
      <c r="AF555">
        <v>0</v>
      </c>
      <c r="AG555">
        <v>0</v>
      </c>
      <c r="AH555">
        <v>0</v>
      </c>
      <c r="AI555">
        <v>1</v>
      </c>
      <c r="AJ555">
        <v>1</v>
      </c>
      <c r="AK555">
        <v>1</v>
      </c>
      <c r="AL555">
        <v>1</v>
      </c>
      <c r="AM555">
        <v>-2</v>
      </c>
      <c r="AN555">
        <v>0</v>
      </c>
      <c r="AO555">
        <v>1</v>
      </c>
      <c r="AP555">
        <v>1</v>
      </c>
      <c r="AQ555">
        <v>0</v>
      </c>
      <c r="AR555">
        <v>0</v>
      </c>
      <c r="AS555" t="s">
        <v>3</v>
      </c>
      <c r="AT555">
        <v>3</v>
      </c>
      <c r="AU555" t="s">
        <v>35</v>
      </c>
      <c r="AV555">
        <v>0</v>
      </c>
      <c r="AW555">
        <v>2</v>
      </c>
      <c r="AX555">
        <v>85740131</v>
      </c>
      <c r="AY555">
        <v>1</v>
      </c>
      <c r="AZ555">
        <v>0</v>
      </c>
      <c r="BA555">
        <v>567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V555">
        <v>0</v>
      </c>
      <c r="CW555">
        <v>0</v>
      </c>
      <c r="CX555">
        <f>ROUND(Y555*Source!I223,9)</f>
        <v>57</v>
      </c>
      <c r="CY555">
        <f t="shared" ref="CY555:CY565" si="235">AA555</f>
        <v>7.27</v>
      </c>
      <c r="CZ555">
        <f t="shared" ref="CZ555:CZ565" si="236">AE555</f>
        <v>7.07</v>
      </c>
      <c r="DA555">
        <f t="shared" ref="DA555:DA565" si="237">AI555</f>
        <v>1</v>
      </c>
      <c r="DB555">
        <f t="shared" ref="DB555:DB565" si="238">ROUND((ROUND(AT555*CZ555,2)*1),6)</f>
        <v>21.21</v>
      </c>
      <c r="DC555">
        <f t="shared" ref="DC555:DC565" si="239">ROUND((ROUND(AT555*AG555,2)*1),6)</f>
        <v>0</v>
      </c>
      <c r="DD555" t="s">
        <v>3</v>
      </c>
      <c r="DE555" t="s">
        <v>3</v>
      </c>
      <c r="DF555">
        <f t="shared" si="233"/>
        <v>402.99</v>
      </c>
      <c r="DG555">
        <f t="shared" si="228"/>
        <v>0</v>
      </c>
      <c r="DH555">
        <f t="shared" si="223"/>
        <v>0</v>
      </c>
      <c r="DI555">
        <f t="shared" si="214"/>
        <v>0</v>
      </c>
      <c r="DJ555">
        <f t="shared" ref="DJ555:DJ565" si="240">DF555</f>
        <v>402.99</v>
      </c>
      <c r="DK555">
        <v>0</v>
      </c>
      <c r="DL555" t="s">
        <v>3</v>
      </c>
      <c r="DM555">
        <v>0</v>
      </c>
      <c r="DN555" t="s">
        <v>3</v>
      </c>
      <c r="DO555">
        <v>0</v>
      </c>
    </row>
    <row r="556" spans="1:119" x14ac:dyDescent="0.2">
      <c r="A556">
        <f>ROW(Source!A223)</f>
        <v>223</v>
      </c>
      <c r="B556">
        <v>85739205</v>
      </c>
      <c r="C556">
        <v>85740108</v>
      </c>
      <c r="D556">
        <v>85200023</v>
      </c>
      <c r="E556">
        <v>1</v>
      </c>
      <c r="F556">
        <v>1</v>
      </c>
      <c r="G556">
        <v>1081</v>
      </c>
      <c r="H556">
        <v>3</v>
      </c>
      <c r="I556" t="s">
        <v>555</v>
      </c>
      <c r="J556" t="s">
        <v>556</v>
      </c>
      <c r="K556" t="s">
        <v>557</v>
      </c>
      <c r="L556">
        <v>1348</v>
      </c>
      <c r="N556">
        <v>1009</v>
      </c>
      <c r="O556" t="s">
        <v>266</v>
      </c>
      <c r="P556" t="s">
        <v>266</v>
      </c>
      <c r="Q556">
        <v>1000</v>
      </c>
      <c r="W556">
        <v>0</v>
      </c>
      <c r="X556">
        <v>63955816</v>
      </c>
      <c r="Y556">
        <f t="shared" si="234"/>
        <v>1.56E-3</v>
      </c>
      <c r="AA556">
        <v>7387.02</v>
      </c>
      <c r="AB556">
        <v>0</v>
      </c>
      <c r="AC556">
        <v>0</v>
      </c>
      <c r="AD556">
        <v>0</v>
      </c>
      <c r="AE556">
        <v>7185.82</v>
      </c>
      <c r="AF556">
        <v>0</v>
      </c>
      <c r="AG556">
        <v>0</v>
      </c>
      <c r="AH556">
        <v>0</v>
      </c>
      <c r="AI556">
        <v>1</v>
      </c>
      <c r="AJ556">
        <v>1</v>
      </c>
      <c r="AK556">
        <v>1</v>
      </c>
      <c r="AL556">
        <v>1</v>
      </c>
      <c r="AM556">
        <v>-2</v>
      </c>
      <c r="AN556">
        <v>0</v>
      </c>
      <c r="AO556">
        <v>1</v>
      </c>
      <c r="AP556">
        <v>1</v>
      </c>
      <c r="AQ556">
        <v>0</v>
      </c>
      <c r="AR556">
        <v>0</v>
      </c>
      <c r="AS556" t="s">
        <v>3</v>
      </c>
      <c r="AT556">
        <v>1.56E-3</v>
      </c>
      <c r="AU556" t="s">
        <v>35</v>
      </c>
      <c r="AV556">
        <v>0</v>
      </c>
      <c r="AW556">
        <v>2</v>
      </c>
      <c r="AX556">
        <v>85740132</v>
      </c>
      <c r="AY556">
        <v>1</v>
      </c>
      <c r="AZ556">
        <v>0</v>
      </c>
      <c r="BA556">
        <v>568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V556">
        <v>0</v>
      </c>
      <c r="CW556">
        <v>0</v>
      </c>
      <c r="CX556">
        <f>ROUND(Y556*Source!I223,9)</f>
        <v>2.964E-2</v>
      </c>
      <c r="CY556">
        <f t="shared" si="235"/>
        <v>7387.02</v>
      </c>
      <c r="CZ556">
        <f t="shared" si="236"/>
        <v>7185.82</v>
      </c>
      <c r="DA556">
        <f t="shared" si="237"/>
        <v>1</v>
      </c>
      <c r="DB556">
        <f t="shared" si="238"/>
        <v>11.21</v>
      </c>
      <c r="DC556">
        <f t="shared" si="239"/>
        <v>0</v>
      </c>
      <c r="DD556" t="s">
        <v>3</v>
      </c>
      <c r="DE556" t="s">
        <v>3</v>
      </c>
      <c r="DF556">
        <f t="shared" si="233"/>
        <v>212.99</v>
      </c>
      <c r="DG556">
        <f t="shared" si="228"/>
        <v>0</v>
      </c>
      <c r="DH556">
        <f t="shared" si="223"/>
        <v>0</v>
      </c>
      <c r="DI556">
        <f t="shared" si="214"/>
        <v>0</v>
      </c>
      <c r="DJ556">
        <f t="shared" si="240"/>
        <v>212.99</v>
      </c>
      <c r="DK556">
        <v>0</v>
      </c>
      <c r="DL556" t="s">
        <v>3</v>
      </c>
      <c r="DM556">
        <v>0</v>
      </c>
      <c r="DN556" t="s">
        <v>3</v>
      </c>
      <c r="DO556">
        <v>0</v>
      </c>
    </row>
    <row r="557" spans="1:119" x14ac:dyDescent="0.2">
      <c r="A557">
        <f>ROW(Source!A223)</f>
        <v>223</v>
      </c>
      <c r="B557">
        <v>85739205</v>
      </c>
      <c r="C557">
        <v>85740108</v>
      </c>
      <c r="D557">
        <v>85200098</v>
      </c>
      <c r="E557">
        <v>1</v>
      </c>
      <c r="F557">
        <v>1</v>
      </c>
      <c r="G557">
        <v>1081</v>
      </c>
      <c r="H557">
        <v>3</v>
      </c>
      <c r="I557" t="s">
        <v>540</v>
      </c>
      <c r="J557" t="s">
        <v>541</v>
      </c>
      <c r="K557" t="s">
        <v>542</v>
      </c>
      <c r="L557">
        <v>1346</v>
      </c>
      <c r="N557">
        <v>1009</v>
      </c>
      <c r="O557" t="s">
        <v>502</v>
      </c>
      <c r="P557" t="s">
        <v>502</v>
      </c>
      <c r="Q557">
        <v>1</v>
      </c>
      <c r="W557">
        <v>0</v>
      </c>
      <c r="X557">
        <v>732400950</v>
      </c>
      <c r="Y557">
        <f t="shared" si="234"/>
        <v>0.76</v>
      </c>
      <c r="AA557">
        <v>21.59</v>
      </c>
      <c r="AB557">
        <v>0</v>
      </c>
      <c r="AC557">
        <v>0</v>
      </c>
      <c r="AD557">
        <v>0</v>
      </c>
      <c r="AE557">
        <v>21</v>
      </c>
      <c r="AF557">
        <v>0</v>
      </c>
      <c r="AG557">
        <v>0</v>
      </c>
      <c r="AH557">
        <v>0</v>
      </c>
      <c r="AI557">
        <v>1</v>
      </c>
      <c r="AJ557">
        <v>1</v>
      </c>
      <c r="AK557">
        <v>1</v>
      </c>
      <c r="AL557">
        <v>1</v>
      </c>
      <c r="AM557">
        <v>-2</v>
      </c>
      <c r="AN557">
        <v>0</v>
      </c>
      <c r="AO557">
        <v>1</v>
      </c>
      <c r="AP557">
        <v>1</v>
      </c>
      <c r="AQ557">
        <v>0</v>
      </c>
      <c r="AR557">
        <v>0</v>
      </c>
      <c r="AS557" t="s">
        <v>3</v>
      </c>
      <c r="AT557">
        <v>0.76</v>
      </c>
      <c r="AU557" t="s">
        <v>35</v>
      </c>
      <c r="AV557">
        <v>0</v>
      </c>
      <c r="AW557">
        <v>2</v>
      </c>
      <c r="AX557">
        <v>85740133</v>
      </c>
      <c r="AY557">
        <v>1</v>
      </c>
      <c r="AZ557">
        <v>0</v>
      </c>
      <c r="BA557">
        <v>569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V557">
        <v>0</v>
      </c>
      <c r="CW557">
        <v>0</v>
      </c>
      <c r="CX557">
        <f>ROUND(Y557*Source!I223,9)</f>
        <v>14.44</v>
      </c>
      <c r="CY557">
        <f t="shared" si="235"/>
        <v>21.59</v>
      </c>
      <c r="CZ557">
        <f t="shared" si="236"/>
        <v>21</v>
      </c>
      <c r="DA557">
        <f t="shared" si="237"/>
        <v>1</v>
      </c>
      <c r="DB557">
        <f t="shared" si="238"/>
        <v>15.96</v>
      </c>
      <c r="DC557">
        <f t="shared" si="239"/>
        <v>0</v>
      </c>
      <c r="DD557" t="s">
        <v>3</v>
      </c>
      <c r="DE557" t="s">
        <v>3</v>
      </c>
      <c r="DF557">
        <f t="shared" si="233"/>
        <v>303.24</v>
      </c>
      <c r="DG557">
        <f t="shared" si="228"/>
        <v>0</v>
      </c>
      <c r="DH557">
        <f t="shared" si="223"/>
        <v>0</v>
      </c>
      <c r="DI557">
        <f t="shared" si="214"/>
        <v>0</v>
      </c>
      <c r="DJ557">
        <f t="shared" si="240"/>
        <v>303.24</v>
      </c>
      <c r="DK557">
        <v>0</v>
      </c>
      <c r="DL557" t="s">
        <v>3</v>
      </c>
      <c r="DM557">
        <v>0</v>
      </c>
      <c r="DN557" t="s">
        <v>3</v>
      </c>
      <c r="DO557">
        <v>0</v>
      </c>
    </row>
    <row r="558" spans="1:119" x14ac:dyDescent="0.2">
      <c r="A558">
        <f>ROW(Source!A223)</f>
        <v>223</v>
      </c>
      <c r="B558">
        <v>85739205</v>
      </c>
      <c r="C558">
        <v>85740108</v>
      </c>
      <c r="D558">
        <v>85200296</v>
      </c>
      <c r="E558">
        <v>1</v>
      </c>
      <c r="F558">
        <v>1</v>
      </c>
      <c r="G558">
        <v>1081</v>
      </c>
      <c r="H558">
        <v>3</v>
      </c>
      <c r="I558" t="s">
        <v>558</v>
      </c>
      <c r="J558" t="s">
        <v>559</v>
      </c>
      <c r="K558" t="s">
        <v>560</v>
      </c>
      <c r="L558">
        <v>1355</v>
      </c>
      <c r="N558">
        <v>1010</v>
      </c>
      <c r="O558" t="s">
        <v>240</v>
      </c>
      <c r="P558" t="s">
        <v>240</v>
      </c>
      <c r="Q558">
        <v>100</v>
      </c>
      <c r="W558">
        <v>0</v>
      </c>
      <c r="X558">
        <v>1567739421</v>
      </c>
      <c r="Y558">
        <f t="shared" si="234"/>
        <v>0.36</v>
      </c>
      <c r="AA558">
        <v>510.7</v>
      </c>
      <c r="AB558">
        <v>0</v>
      </c>
      <c r="AC558">
        <v>0</v>
      </c>
      <c r="AD558">
        <v>0</v>
      </c>
      <c r="AE558">
        <v>496.79</v>
      </c>
      <c r="AF558">
        <v>0</v>
      </c>
      <c r="AG558">
        <v>0</v>
      </c>
      <c r="AH558">
        <v>0</v>
      </c>
      <c r="AI558">
        <v>1</v>
      </c>
      <c r="AJ558">
        <v>1</v>
      </c>
      <c r="AK558">
        <v>1</v>
      </c>
      <c r="AL558">
        <v>1</v>
      </c>
      <c r="AM558">
        <v>-2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3</v>
      </c>
      <c r="AT558">
        <v>0.36</v>
      </c>
      <c r="AU558" t="s">
        <v>35</v>
      </c>
      <c r="AV558">
        <v>0</v>
      </c>
      <c r="AW558">
        <v>2</v>
      </c>
      <c r="AX558">
        <v>85740134</v>
      </c>
      <c r="AY558">
        <v>1</v>
      </c>
      <c r="AZ558">
        <v>0</v>
      </c>
      <c r="BA558">
        <v>570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V558">
        <v>0</v>
      </c>
      <c r="CW558">
        <v>0</v>
      </c>
      <c r="CX558">
        <f>ROUND(Y558*Source!I223,9)</f>
        <v>6.84</v>
      </c>
      <c r="CY558">
        <f t="shared" si="235"/>
        <v>510.7</v>
      </c>
      <c r="CZ558">
        <f t="shared" si="236"/>
        <v>496.79</v>
      </c>
      <c r="DA558">
        <f t="shared" si="237"/>
        <v>1</v>
      </c>
      <c r="DB558">
        <f t="shared" si="238"/>
        <v>178.84</v>
      </c>
      <c r="DC558">
        <f t="shared" si="239"/>
        <v>0</v>
      </c>
      <c r="DD558" t="s">
        <v>3</v>
      </c>
      <c r="DE558" t="s">
        <v>3</v>
      </c>
      <c r="DF558">
        <f t="shared" si="233"/>
        <v>3398.04</v>
      </c>
      <c r="DG558">
        <f t="shared" si="228"/>
        <v>0</v>
      </c>
      <c r="DH558">
        <f t="shared" si="223"/>
        <v>0</v>
      </c>
      <c r="DI558">
        <f t="shared" si="214"/>
        <v>0</v>
      </c>
      <c r="DJ558">
        <f t="shared" si="240"/>
        <v>3398.04</v>
      </c>
      <c r="DK558">
        <v>0</v>
      </c>
      <c r="DL558" t="s">
        <v>3</v>
      </c>
      <c r="DM558">
        <v>0</v>
      </c>
      <c r="DN558" t="s">
        <v>3</v>
      </c>
      <c r="DO558">
        <v>0</v>
      </c>
    </row>
    <row r="559" spans="1:119" x14ac:dyDescent="0.2">
      <c r="A559">
        <f>ROW(Source!A223)</f>
        <v>223</v>
      </c>
      <c r="B559">
        <v>85739205</v>
      </c>
      <c r="C559">
        <v>85740108</v>
      </c>
      <c r="D559">
        <v>85200297</v>
      </c>
      <c r="E559">
        <v>1</v>
      </c>
      <c r="F559">
        <v>1</v>
      </c>
      <c r="G559">
        <v>1081</v>
      </c>
      <c r="H559">
        <v>3</v>
      </c>
      <c r="I559" t="s">
        <v>561</v>
      </c>
      <c r="J559" t="s">
        <v>562</v>
      </c>
      <c r="K559" t="s">
        <v>563</v>
      </c>
      <c r="L559">
        <v>1355</v>
      </c>
      <c r="N559">
        <v>1010</v>
      </c>
      <c r="O559" t="s">
        <v>240</v>
      </c>
      <c r="P559" t="s">
        <v>240</v>
      </c>
      <c r="Q559">
        <v>100</v>
      </c>
      <c r="W559">
        <v>0</v>
      </c>
      <c r="X559">
        <v>-96727844</v>
      </c>
      <c r="Y559">
        <f t="shared" si="234"/>
        <v>0.36</v>
      </c>
      <c r="AA559">
        <v>250.58</v>
      </c>
      <c r="AB559">
        <v>0</v>
      </c>
      <c r="AC559">
        <v>0</v>
      </c>
      <c r="AD559">
        <v>0</v>
      </c>
      <c r="AE559">
        <v>243.75</v>
      </c>
      <c r="AF559">
        <v>0</v>
      </c>
      <c r="AG559">
        <v>0</v>
      </c>
      <c r="AH559">
        <v>0</v>
      </c>
      <c r="AI559">
        <v>1</v>
      </c>
      <c r="AJ559">
        <v>1</v>
      </c>
      <c r="AK559">
        <v>1</v>
      </c>
      <c r="AL559">
        <v>1</v>
      </c>
      <c r="AM559">
        <v>-2</v>
      </c>
      <c r="AN559">
        <v>0</v>
      </c>
      <c r="AO559">
        <v>1</v>
      </c>
      <c r="AP559">
        <v>1</v>
      </c>
      <c r="AQ559">
        <v>0</v>
      </c>
      <c r="AR559">
        <v>0</v>
      </c>
      <c r="AS559" t="s">
        <v>3</v>
      </c>
      <c r="AT559">
        <v>0.36</v>
      </c>
      <c r="AU559" t="s">
        <v>35</v>
      </c>
      <c r="AV559">
        <v>0</v>
      </c>
      <c r="AW559">
        <v>2</v>
      </c>
      <c r="AX559">
        <v>85740135</v>
      </c>
      <c r="AY559">
        <v>1</v>
      </c>
      <c r="AZ559">
        <v>0</v>
      </c>
      <c r="BA559">
        <v>571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V559">
        <v>0</v>
      </c>
      <c r="CW559">
        <v>0</v>
      </c>
      <c r="CX559">
        <f>ROUND(Y559*Source!I223,9)</f>
        <v>6.84</v>
      </c>
      <c r="CY559">
        <f t="shared" si="235"/>
        <v>250.58</v>
      </c>
      <c r="CZ559">
        <f t="shared" si="236"/>
        <v>243.75</v>
      </c>
      <c r="DA559">
        <f t="shared" si="237"/>
        <v>1</v>
      </c>
      <c r="DB559">
        <f t="shared" si="238"/>
        <v>87.75</v>
      </c>
      <c r="DC559">
        <f t="shared" si="239"/>
        <v>0</v>
      </c>
      <c r="DD559" t="s">
        <v>3</v>
      </c>
      <c r="DE559" t="s">
        <v>3</v>
      </c>
      <c r="DF559">
        <f t="shared" si="233"/>
        <v>1667.25</v>
      </c>
      <c r="DG559">
        <f t="shared" si="228"/>
        <v>0</v>
      </c>
      <c r="DH559">
        <f t="shared" si="223"/>
        <v>0</v>
      </c>
      <c r="DI559">
        <f t="shared" si="214"/>
        <v>0</v>
      </c>
      <c r="DJ559">
        <f t="shared" si="240"/>
        <v>1667.25</v>
      </c>
      <c r="DK559">
        <v>0</v>
      </c>
      <c r="DL559" t="s">
        <v>3</v>
      </c>
      <c r="DM559">
        <v>0</v>
      </c>
      <c r="DN559" t="s">
        <v>3</v>
      </c>
      <c r="DO559">
        <v>0</v>
      </c>
    </row>
    <row r="560" spans="1:119" x14ac:dyDescent="0.2">
      <c r="A560">
        <f>ROW(Source!A223)</f>
        <v>223</v>
      </c>
      <c r="B560">
        <v>85739205</v>
      </c>
      <c r="C560">
        <v>85740108</v>
      </c>
      <c r="D560">
        <v>85198892</v>
      </c>
      <c r="E560">
        <v>1</v>
      </c>
      <c r="F560">
        <v>1</v>
      </c>
      <c r="G560">
        <v>1081</v>
      </c>
      <c r="H560">
        <v>3</v>
      </c>
      <c r="I560" t="s">
        <v>543</v>
      </c>
      <c r="J560" t="s">
        <v>544</v>
      </c>
      <c r="K560" t="s">
        <v>545</v>
      </c>
      <c r="L560">
        <v>1339</v>
      </c>
      <c r="N560">
        <v>1007</v>
      </c>
      <c r="O560" t="s">
        <v>506</v>
      </c>
      <c r="P560" t="s">
        <v>506</v>
      </c>
      <c r="Q560">
        <v>1</v>
      </c>
      <c r="W560">
        <v>0</v>
      </c>
      <c r="X560">
        <v>-676034668</v>
      </c>
      <c r="Y560">
        <f t="shared" si="234"/>
        <v>0.59</v>
      </c>
      <c r="AA560">
        <v>54.92</v>
      </c>
      <c r="AB560">
        <v>0</v>
      </c>
      <c r="AC560">
        <v>0</v>
      </c>
      <c r="AD560">
        <v>0</v>
      </c>
      <c r="AE560">
        <v>53.42</v>
      </c>
      <c r="AF560">
        <v>0</v>
      </c>
      <c r="AG560">
        <v>0</v>
      </c>
      <c r="AH560">
        <v>0</v>
      </c>
      <c r="AI560">
        <v>1</v>
      </c>
      <c r="AJ560">
        <v>1</v>
      </c>
      <c r="AK560">
        <v>1</v>
      </c>
      <c r="AL560">
        <v>1</v>
      </c>
      <c r="AM560">
        <v>-2</v>
      </c>
      <c r="AN560">
        <v>0</v>
      </c>
      <c r="AO560">
        <v>1</v>
      </c>
      <c r="AP560">
        <v>1</v>
      </c>
      <c r="AQ560">
        <v>0</v>
      </c>
      <c r="AR560">
        <v>0</v>
      </c>
      <c r="AS560" t="s">
        <v>3</v>
      </c>
      <c r="AT560">
        <v>0.59</v>
      </c>
      <c r="AU560" t="s">
        <v>35</v>
      </c>
      <c r="AV560">
        <v>0</v>
      </c>
      <c r="AW560">
        <v>2</v>
      </c>
      <c r="AX560">
        <v>85740136</v>
      </c>
      <c r="AY560">
        <v>1</v>
      </c>
      <c r="AZ560">
        <v>0</v>
      </c>
      <c r="BA560">
        <v>572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v>0</v>
      </c>
      <c r="CX560">
        <f>ROUND(Y560*Source!I223,9)</f>
        <v>11.21</v>
      </c>
      <c r="CY560">
        <f t="shared" si="235"/>
        <v>54.92</v>
      </c>
      <c r="CZ560">
        <f t="shared" si="236"/>
        <v>53.42</v>
      </c>
      <c r="DA560">
        <f t="shared" si="237"/>
        <v>1</v>
      </c>
      <c r="DB560">
        <f t="shared" si="238"/>
        <v>31.52</v>
      </c>
      <c r="DC560">
        <f t="shared" si="239"/>
        <v>0</v>
      </c>
      <c r="DD560" t="s">
        <v>3</v>
      </c>
      <c r="DE560" t="s">
        <v>3</v>
      </c>
      <c r="DF560">
        <f t="shared" si="233"/>
        <v>598.84</v>
      </c>
      <c r="DG560">
        <f t="shared" si="228"/>
        <v>0</v>
      </c>
      <c r="DH560">
        <f t="shared" si="223"/>
        <v>0</v>
      </c>
      <c r="DI560">
        <f t="shared" si="214"/>
        <v>0</v>
      </c>
      <c r="DJ560">
        <f t="shared" si="240"/>
        <v>598.84</v>
      </c>
      <c r="DK560">
        <v>0</v>
      </c>
      <c r="DL560" t="s">
        <v>3</v>
      </c>
      <c r="DM560">
        <v>0</v>
      </c>
      <c r="DN560" t="s">
        <v>3</v>
      </c>
      <c r="DO560">
        <v>0</v>
      </c>
    </row>
    <row r="561" spans="1:119" x14ac:dyDescent="0.2">
      <c r="A561">
        <f>ROW(Source!A223)</f>
        <v>223</v>
      </c>
      <c r="B561">
        <v>85739205</v>
      </c>
      <c r="C561">
        <v>85740108</v>
      </c>
      <c r="D561">
        <v>85199158</v>
      </c>
      <c r="E561">
        <v>1</v>
      </c>
      <c r="F561">
        <v>1</v>
      </c>
      <c r="G561">
        <v>1081</v>
      </c>
      <c r="H561">
        <v>3</v>
      </c>
      <c r="I561" t="s">
        <v>503</v>
      </c>
      <c r="J561" t="s">
        <v>504</v>
      </c>
      <c r="K561" t="s">
        <v>505</v>
      </c>
      <c r="L561">
        <v>1339</v>
      </c>
      <c r="N561">
        <v>1007</v>
      </c>
      <c r="O561" t="s">
        <v>506</v>
      </c>
      <c r="P561" t="s">
        <v>506</v>
      </c>
      <c r="Q561">
        <v>1</v>
      </c>
      <c r="W561">
        <v>0</v>
      </c>
      <c r="X561">
        <v>-1235260082</v>
      </c>
      <c r="Y561">
        <f t="shared" si="234"/>
        <v>0.76</v>
      </c>
      <c r="AA561">
        <v>5.98</v>
      </c>
      <c r="AB561">
        <v>0</v>
      </c>
      <c r="AC561">
        <v>0</v>
      </c>
      <c r="AD561">
        <v>0</v>
      </c>
      <c r="AE561">
        <v>5.82</v>
      </c>
      <c r="AF561">
        <v>0</v>
      </c>
      <c r="AG561">
        <v>0</v>
      </c>
      <c r="AH561">
        <v>0</v>
      </c>
      <c r="AI561">
        <v>1</v>
      </c>
      <c r="AJ561">
        <v>1</v>
      </c>
      <c r="AK561">
        <v>1</v>
      </c>
      <c r="AL561">
        <v>1</v>
      </c>
      <c r="AM561">
        <v>-2</v>
      </c>
      <c r="AN561">
        <v>0</v>
      </c>
      <c r="AO561">
        <v>1</v>
      </c>
      <c r="AP561">
        <v>1</v>
      </c>
      <c r="AQ561">
        <v>0</v>
      </c>
      <c r="AR561">
        <v>0</v>
      </c>
      <c r="AS561" t="s">
        <v>3</v>
      </c>
      <c r="AT561">
        <v>0.76</v>
      </c>
      <c r="AU561" t="s">
        <v>35</v>
      </c>
      <c r="AV561">
        <v>0</v>
      </c>
      <c r="AW561">
        <v>2</v>
      </c>
      <c r="AX561">
        <v>85740137</v>
      </c>
      <c r="AY561">
        <v>1</v>
      </c>
      <c r="AZ561">
        <v>0</v>
      </c>
      <c r="BA561">
        <v>573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v>0</v>
      </c>
      <c r="CX561">
        <f>ROUND(Y561*Source!I223,9)</f>
        <v>14.44</v>
      </c>
      <c r="CY561">
        <f t="shared" si="235"/>
        <v>5.98</v>
      </c>
      <c r="CZ561">
        <f t="shared" si="236"/>
        <v>5.82</v>
      </c>
      <c r="DA561">
        <f t="shared" si="237"/>
        <v>1</v>
      </c>
      <c r="DB561">
        <f t="shared" si="238"/>
        <v>4.42</v>
      </c>
      <c r="DC561">
        <f t="shared" si="239"/>
        <v>0</v>
      </c>
      <c r="DD561" t="s">
        <v>3</v>
      </c>
      <c r="DE561" t="s">
        <v>3</v>
      </c>
      <c r="DF561">
        <f t="shared" si="233"/>
        <v>84.04</v>
      </c>
      <c r="DG561">
        <f t="shared" si="228"/>
        <v>0</v>
      </c>
      <c r="DH561">
        <f t="shared" si="223"/>
        <v>0</v>
      </c>
      <c r="DI561">
        <f t="shared" si="214"/>
        <v>0</v>
      </c>
      <c r="DJ561">
        <f t="shared" si="240"/>
        <v>84.04</v>
      </c>
      <c r="DK561">
        <v>0</v>
      </c>
      <c r="DL561" t="s">
        <v>3</v>
      </c>
      <c r="DM561">
        <v>0</v>
      </c>
      <c r="DN561" t="s">
        <v>3</v>
      </c>
      <c r="DO561">
        <v>0</v>
      </c>
    </row>
    <row r="562" spans="1:119" x14ac:dyDescent="0.2">
      <c r="A562">
        <f>ROW(Source!A223)</f>
        <v>223</v>
      </c>
      <c r="B562">
        <v>85739205</v>
      </c>
      <c r="C562">
        <v>85740108</v>
      </c>
      <c r="D562">
        <v>85211457</v>
      </c>
      <c r="E562">
        <v>1</v>
      </c>
      <c r="F562">
        <v>1</v>
      </c>
      <c r="G562">
        <v>1081</v>
      </c>
      <c r="H562">
        <v>3</v>
      </c>
      <c r="I562" t="s">
        <v>415</v>
      </c>
      <c r="J562" t="s">
        <v>417</v>
      </c>
      <c r="K562" t="s">
        <v>416</v>
      </c>
      <c r="L562">
        <v>1301</v>
      </c>
      <c r="N562">
        <v>1003</v>
      </c>
      <c r="O562" t="s">
        <v>179</v>
      </c>
      <c r="P562" t="s">
        <v>179</v>
      </c>
      <c r="Q562">
        <v>1</v>
      </c>
      <c r="W562">
        <v>0</v>
      </c>
      <c r="X562">
        <v>935342670</v>
      </c>
      <c r="Y562">
        <f t="shared" si="234"/>
        <v>10.57894737</v>
      </c>
      <c r="AA562">
        <v>31.41</v>
      </c>
      <c r="AB562">
        <v>0</v>
      </c>
      <c r="AC562">
        <v>0</v>
      </c>
      <c r="AD562">
        <v>0</v>
      </c>
      <c r="AE562">
        <v>31.41</v>
      </c>
      <c r="AF562">
        <v>0</v>
      </c>
      <c r="AG562">
        <v>0</v>
      </c>
      <c r="AH562">
        <v>0</v>
      </c>
      <c r="AI562">
        <v>1</v>
      </c>
      <c r="AJ562">
        <v>1</v>
      </c>
      <c r="AK562">
        <v>1</v>
      </c>
      <c r="AL562">
        <v>1</v>
      </c>
      <c r="AM562">
        <v>0</v>
      </c>
      <c r="AN562">
        <v>0</v>
      </c>
      <c r="AO562">
        <v>0</v>
      </c>
      <c r="AP562">
        <v>1</v>
      </c>
      <c r="AQ562">
        <v>0</v>
      </c>
      <c r="AR562">
        <v>0</v>
      </c>
      <c r="AS562" t="s">
        <v>3</v>
      </c>
      <c r="AT562">
        <v>10.57894737</v>
      </c>
      <c r="AU562" t="s">
        <v>35</v>
      </c>
      <c r="AV562">
        <v>0</v>
      </c>
      <c r="AW562">
        <v>1</v>
      </c>
      <c r="AX562">
        <v>-1</v>
      </c>
      <c r="AY562">
        <v>0</v>
      </c>
      <c r="AZ562">
        <v>0</v>
      </c>
      <c r="BA562" t="s">
        <v>3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ROUND(Y562*Source!I223,9)</f>
        <v>201.00000003</v>
      </c>
      <c r="CY562">
        <f t="shared" si="235"/>
        <v>31.41</v>
      </c>
      <c r="CZ562">
        <f t="shared" si="236"/>
        <v>31.41</v>
      </c>
      <c r="DA562">
        <f t="shared" si="237"/>
        <v>1</v>
      </c>
      <c r="DB562">
        <f t="shared" si="238"/>
        <v>332.28</v>
      </c>
      <c r="DC562">
        <f t="shared" si="239"/>
        <v>0</v>
      </c>
      <c r="DD562" t="s">
        <v>3</v>
      </c>
      <c r="DE562" t="s">
        <v>3</v>
      </c>
      <c r="DF562">
        <f t="shared" si="233"/>
        <v>6313.41</v>
      </c>
      <c r="DG562">
        <f t="shared" si="228"/>
        <v>0</v>
      </c>
      <c r="DH562">
        <f t="shared" si="223"/>
        <v>0</v>
      </c>
      <c r="DI562">
        <f t="shared" si="214"/>
        <v>0</v>
      </c>
      <c r="DJ562">
        <f t="shared" si="240"/>
        <v>6313.41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">
      <c r="A563">
        <f>ROW(Source!A223)</f>
        <v>223</v>
      </c>
      <c r="B563">
        <v>85739205</v>
      </c>
      <c r="C563">
        <v>85740108</v>
      </c>
      <c r="D563">
        <v>85211459</v>
      </c>
      <c r="E563">
        <v>1</v>
      </c>
      <c r="F563">
        <v>1</v>
      </c>
      <c r="G563">
        <v>1081</v>
      </c>
      <c r="H563">
        <v>3</v>
      </c>
      <c r="I563" t="s">
        <v>206</v>
      </c>
      <c r="J563" t="s">
        <v>208</v>
      </c>
      <c r="K563" t="s">
        <v>207</v>
      </c>
      <c r="L563">
        <v>1301</v>
      </c>
      <c r="N563">
        <v>1003</v>
      </c>
      <c r="O563" t="s">
        <v>179</v>
      </c>
      <c r="P563" t="s">
        <v>179</v>
      </c>
      <c r="Q563">
        <v>1</v>
      </c>
      <c r="W563">
        <v>0</v>
      </c>
      <c r="X563">
        <v>-173671470</v>
      </c>
      <c r="Y563">
        <f t="shared" si="234"/>
        <v>47.60526316</v>
      </c>
      <c r="AA563">
        <v>51.28</v>
      </c>
      <c r="AB563">
        <v>0</v>
      </c>
      <c r="AC563">
        <v>0</v>
      </c>
      <c r="AD563">
        <v>0</v>
      </c>
      <c r="AE563">
        <v>51.28</v>
      </c>
      <c r="AF563">
        <v>0</v>
      </c>
      <c r="AG563">
        <v>0</v>
      </c>
      <c r="AH563">
        <v>0</v>
      </c>
      <c r="AI563">
        <v>1</v>
      </c>
      <c r="AJ563">
        <v>1</v>
      </c>
      <c r="AK563">
        <v>1</v>
      </c>
      <c r="AL563">
        <v>1</v>
      </c>
      <c r="AM563">
        <v>0</v>
      </c>
      <c r="AN563">
        <v>0</v>
      </c>
      <c r="AO563">
        <v>0</v>
      </c>
      <c r="AP563">
        <v>1</v>
      </c>
      <c r="AQ563">
        <v>0</v>
      </c>
      <c r="AR563">
        <v>0</v>
      </c>
      <c r="AS563" t="s">
        <v>3</v>
      </c>
      <c r="AT563">
        <v>47.60526316</v>
      </c>
      <c r="AU563" t="s">
        <v>35</v>
      </c>
      <c r="AV563">
        <v>0</v>
      </c>
      <c r="AW563">
        <v>1</v>
      </c>
      <c r="AX563">
        <v>-1</v>
      </c>
      <c r="AY563">
        <v>0</v>
      </c>
      <c r="AZ563">
        <v>0</v>
      </c>
      <c r="BA563" t="s">
        <v>3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V563">
        <v>0</v>
      </c>
      <c r="CW563">
        <v>0</v>
      </c>
      <c r="CX563">
        <f>ROUND(Y563*Source!I223,9)</f>
        <v>904.50000004000003</v>
      </c>
      <c r="CY563">
        <f t="shared" si="235"/>
        <v>51.28</v>
      </c>
      <c r="CZ563">
        <f t="shared" si="236"/>
        <v>51.28</v>
      </c>
      <c r="DA563">
        <f t="shared" si="237"/>
        <v>1</v>
      </c>
      <c r="DB563">
        <f t="shared" si="238"/>
        <v>2441.1999999999998</v>
      </c>
      <c r="DC563">
        <f t="shared" si="239"/>
        <v>0</v>
      </c>
      <c r="DD563" t="s">
        <v>3</v>
      </c>
      <c r="DE563" t="s">
        <v>3</v>
      </c>
      <c r="DF563">
        <f t="shared" si="233"/>
        <v>46382.76</v>
      </c>
      <c r="DG563">
        <f t="shared" si="228"/>
        <v>0</v>
      </c>
      <c r="DH563">
        <f t="shared" si="223"/>
        <v>0</v>
      </c>
      <c r="DI563">
        <f t="shared" si="214"/>
        <v>0</v>
      </c>
      <c r="DJ563">
        <f t="shared" si="240"/>
        <v>46382.76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">
      <c r="A564">
        <f>ROW(Source!A223)</f>
        <v>223</v>
      </c>
      <c r="B564">
        <v>85739205</v>
      </c>
      <c r="C564">
        <v>85740108</v>
      </c>
      <c r="D564">
        <v>85211460</v>
      </c>
      <c r="E564">
        <v>1</v>
      </c>
      <c r="F564">
        <v>1</v>
      </c>
      <c r="G564">
        <v>1081</v>
      </c>
      <c r="H564">
        <v>3</v>
      </c>
      <c r="I564" t="s">
        <v>408</v>
      </c>
      <c r="J564" t="s">
        <v>410</v>
      </c>
      <c r="K564" t="s">
        <v>409</v>
      </c>
      <c r="L564">
        <v>1301</v>
      </c>
      <c r="N564">
        <v>1003</v>
      </c>
      <c r="O564" t="s">
        <v>179</v>
      </c>
      <c r="P564" t="s">
        <v>179</v>
      </c>
      <c r="Q564">
        <v>1</v>
      </c>
      <c r="W564">
        <v>0</v>
      </c>
      <c r="X564">
        <v>-2119850974</v>
      </c>
      <c r="Y564">
        <f t="shared" si="234"/>
        <v>42.315789469999999</v>
      </c>
      <c r="AA564">
        <v>61.58</v>
      </c>
      <c r="AB564">
        <v>0</v>
      </c>
      <c r="AC564">
        <v>0</v>
      </c>
      <c r="AD564">
        <v>0</v>
      </c>
      <c r="AE564">
        <v>61.58</v>
      </c>
      <c r="AF564">
        <v>0</v>
      </c>
      <c r="AG564">
        <v>0</v>
      </c>
      <c r="AH564">
        <v>0</v>
      </c>
      <c r="AI564">
        <v>1</v>
      </c>
      <c r="AJ564">
        <v>1</v>
      </c>
      <c r="AK564">
        <v>1</v>
      </c>
      <c r="AL564">
        <v>1</v>
      </c>
      <c r="AM564">
        <v>0</v>
      </c>
      <c r="AN564">
        <v>0</v>
      </c>
      <c r="AO564">
        <v>0</v>
      </c>
      <c r="AP564">
        <v>1</v>
      </c>
      <c r="AQ564">
        <v>0</v>
      </c>
      <c r="AR564">
        <v>0</v>
      </c>
      <c r="AS564" t="s">
        <v>3</v>
      </c>
      <c r="AT564">
        <v>42.315789469999999</v>
      </c>
      <c r="AU564" t="s">
        <v>35</v>
      </c>
      <c r="AV564">
        <v>0</v>
      </c>
      <c r="AW564">
        <v>1</v>
      </c>
      <c r="AX564">
        <v>-1</v>
      </c>
      <c r="AY564">
        <v>0</v>
      </c>
      <c r="AZ564">
        <v>0</v>
      </c>
      <c r="BA564" t="s">
        <v>3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V564">
        <v>0</v>
      </c>
      <c r="CW564">
        <v>0</v>
      </c>
      <c r="CX564">
        <f>ROUND(Y564*Source!I223,9)</f>
        <v>803.99999992999994</v>
      </c>
      <c r="CY564">
        <f t="shared" si="235"/>
        <v>61.58</v>
      </c>
      <c r="CZ564">
        <f t="shared" si="236"/>
        <v>61.58</v>
      </c>
      <c r="DA564">
        <f t="shared" si="237"/>
        <v>1</v>
      </c>
      <c r="DB564">
        <f t="shared" si="238"/>
        <v>2605.81</v>
      </c>
      <c r="DC564">
        <f t="shared" si="239"/>
        <v>0</v>
      </c>
      <c r="DD564" t="s">
        <v>3</v>
      </c>
      <c r="DE564" t="s">
        <v>3</v>
      </c>
      <c r="DF564">
        <f t="shared" si="233"/>
        <v>49510.32</v>
      </c>
      <c r="DG564">
        <f t="shared" si="228"/>
        <v>0</v>
      </c>
      <c r="DH564">
        <f t="shared" si="223"/>
        <v>0</v>
      </c>
      <c r="DI564">
        <f t="shared" si="214"/>
        <v>0</v>
      </c>
      <c r="DJ564">
        <f t="shared" si="240"/>
        <v>49510.32</v>
      </c>
      <c r="DK564">
        <v>0</v>
      </c>
      <c r="DL564" t="s">
        <v>3</v>
      </c>
      <c r="DM564">
        <v>0</v>
      </c>
      <c r="DN564" t="s">
        <v>3</v>
      </c>
      <c r="DO564">
        <v>0</v>
      </c>
    </row>
    <row r="565" spans="1:119" x14ac:dyDescent="0.2">
      <c r="A565">
        <f>ROW(Source!A223)</f>
        <v>223</v>
      </c>
      <c r="B565">
        <v>85739205</v>
      </c>
      <c r="C565">
        <v>85740108</v>
      </c>
      <c r="D565">
        <v>85221547</v>
      </c>
      <c r="E565">
        <v>1</v>
      </c>
      <c r="F565">
        <v>1</v>
      </c>
      <c r="G565">
        <v>1081</v>
      </c>
      <c r="H565">
        <v>3</v>
      </c>
      <c r="I565" t="s">
        <v>564</v>
      </c>
      <c r="J565" t="s">
        <v>565</v>
      </c>
      <c r="K565" t="s">
        <v>566</v>
      </c>
      <c r="L565">
        <v>1354</v>
      </c>
      <c r="N565">
        <v>1010</v>
      </c>
      <c r="O565" t="s">
        <v>99</v>
      </c>
      <c r="P565" t="s">
        <v>99</v>
      </c>
      <c r="Q565">
        <v>1</v>
      </c>
      <c r="W565">
        <v>0</v>
      </c>
      <c r="X565">
        <v>483106430</v>
      </c>
      <c r="Y565">
        <f t="shared" si="234"/>
        <v>36</v>
      </c>
      <c r="AA565">
        <v>14.68</v>
      </c>
      <c r="AB565">
        <v>0</v>
      </c>
      <c r="AC565">
        <v>0</v>
      </c>
      <c r="AD565">
        <v>0</v>
      </c>
      <c r="AE565">
        <v>14.28</v>
      </c>
      <c r="AF565">
        <v>0</v>
      </c>
      <c r="AG565">
        <v>0</v>
      </c>
      <c r="AH565">
        <v>0</v>
      </c>
      <c r="AI565">
        <v>1</v>
      </c>
      <c r="AJ565">
        <v>1</v>
      </c>
      <c r="AK565">
        <v>1</v>
      </c>
      <c r="AL565">
        <v>1</v>
      </c>
      <c r="AM565">
        <v>-2</v>
      </c>
      <c r="AN565">
        <v>0</v>
      </c>
      <c r="AO565">
        <v>1</v>
      </c>
      <c r="AP565">
        <v>1</v>
      </c>
      <c r="AQ565">
        <v>0</v>
      </c>
      <c r="AR565">
        <v>0</v>
      </c>
      <c r="AS565" t="s">
        <v>3</v>
      </c>
      <c r="AT565">
        <v>36</v>
      </c>
      <c r="AU565" t="s">
        <v>35</v>
      </c>
      <c r="AV565">
        <v>0</v>
      </c>
      <c r="AW565">
        <v>2</v>
      </c>
      <c r="AX565">
        <v>85740138</v>
      </c>
      <c r="AY565">
        <v>1</v>
      </c>
      <c r="AZ565">
        <v>0</v>
      </c>
      <c r="BA565">
        <v>574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V565">
        <v>0</v>
      </c>
      <c r="CW565">
        <v>0</v>
      </c>
      <c r="CX565">
        <f>ROUND(Y565*Source!I223,9)</f>
        <v>684</v>
      </c>
      <c r="CY565">
        <f t="shared" si="235"/>
        <v>14.68</v>
      </c>
      <c r="CZ565">
        <f t="shared" si="236"/>
        <v>14.28</v>
      </c>
      <c r="DA565">
        <f t="shared" si="237"/>
        <v>1</v>
      </c>
      <c r="DB565">
        <f t="shared" si="238"/>
        <v>514.08000000000004</v>
      </c>
      <c r="DC565">
        <f t="shared" si="239"/>
        <v>0</v>
      </c>
      <c r="DD565" t="s">
        <v>3</v>
      </c>
      <c r="DE565" t="s">
        <v>3</v>
      </c>
      <c r="DF565">
        <f t="shared" si="233"/>
        <v>9767.52</v>
      </c>
      <c r="DG565">
        <f t="shared" si="228"/>
        <v>0</v>
      </c>
      <c r="DH565">
        <f t="shared" si="223"/>
        <v>0</v>
      </c>
      <c r="DI565">
        <f t="shared" si="214"/>
        <v>0</v>
      </c>
      <c r="DJ565">
        <f t="shared" si="240"/>
        <v>9767.52</v>
      </c>
      <c r="DK565">
        <v>0</v>
      </c>
      <c r="DL565" t="s">
        <v>3</v>
      </c>
      <c r="DM565">
        <v>0</v>
      </c>
      <c r="DN565" t="s">
        <v>3</v>
      </c>
      <c r="DO565">
        <v>0</v>
      </c>
    </row>
    <row r="566" spans="1:119" x14ac:dyDescent="0.2">
      <c r="A566">
        <f>ROW(Source!A224)</f>
        <v>224</v>
      </c>
      <c r="B566">
        <v>85739207</v>
      </c>
      <c r="C566">
        <v>85740108</v>
      </c>
      <c r="D566">
        <v>85164021</v>
      </c>
      <c r="E566">
        <v>1081</v>
      </c>
      <c r="F566">
        <v>1</v>
      </c>
      <c r="G566">
        <v>1081</v>
      </c>
      <c r="H566">
        <v>1</v>
      </c>
      <c r="I566" t="s">
        <v>472</v>
      </c>
      <c r="J566" t="s">
        <v>3</v>
      </c>
      <c r="K566" t="s">
        <v>473</v>
      </c>
      <c r="L566">
        <v>1191</v>
      </c>
      <c r="N566">
        <v>1013</v>
      </c>
      <c r="O566" t="s">
        <v>474</v>
      </c>
      <c r="P566" t="s">
        <v>474</v>
      </c>
      <c r="Q566">
        <v>1</v>
      </c>
      <c r="W566">
        <v>0</v>
      </c>
      <c r="X566">
        <v>476480486</v>
      </c>
      <c r="Y566">
        <f t="shared" ref="Y566:Y571" si="241">(AT566*1.2)</f>
        <v>166.79999999999998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</v>
      </c>
      <c r="AJ566">
        <v>1</v>
      </c>
      <c r="AK566">
        <v>1</v>
      </c>
      <c r="AL566">
        <v>1</v>
      </c>
      <c r="AM566">
        <v>5</v>
      </c>
      <c r="AN566">
        <v>0</v>
      </c>
      <c r="AO566">
        <v>1</v>
      </c>
      <c r="AP566">
        <v>1</v>
      </c>
      <c r="AQ566">
        <v>0</v>
      </c>
      <c r="AR566">
        <v>0</v>
      </c>
      <c r="AS566" t="s">
        <v>3</v>
      </c>
      <c r="AT566">
        <v>139</v>
      </c>
      <c r="AU566" t="s">
        <v>36</v>
      </c>
      <c r="AV566">
        <v>1</v>
      </c>
      <c r="AW566">
        <v>2</v>
      </c>
      <c r="AX566">
        <v>85740125</v>
      </c>
      <c r="AY566">
        <v>1</v>
      </c>
      <c r="AZ566">
        <v>0</v>
      </c>
      <c r="BA566">
        <v>576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U566">
        <f>ROUND(AT566*Source!I224*AH566*AL566,2)</f>
        <v>0</v>
      </c>
      <c r="CV566">
        <f>ROUND(Y566*Source!I224,9)</f>
        <v>3169.2</v>
      </c>
      <c r="CW566">
        <v>0</v>
      </c>
      <c r="CX566">
        <f>ROUND(Y566*Source!I224,9)</f>
        <v>3169.2</v>
      </c>
      <c r="CY566">
        <f>AD566</f>
        <v>0</v>
      </c>
      <c r="CZ566">
        <f>AH566</f>
        <v>0</v>
      </c>
      <c r="DA566">
        <f>AL566</f>
        <v>1</v>
      </c>
      <c r="DB566">
        <f t="shared" ref="DB566:DB571" si="242">ROUND((ROUND(AT566*CZ566,2)*1.2),6)</f>
        <v>0</v>
      </c>
      <c r="DC566">
        <f t="shared" ref="DC566:DC571" si="243">ROUND((ROUND(AT566*AG566,2)*1.2),6)</f>
        <v>0</v>
      </c>
      <c r="DD566" t="s">
        <v>3</v>
      </c>
      <c r="DE566" t="s">
        <v>3</v>
      </c>
      <c r="DF566">
        <f t="shared" si="233"/>
        <v>0</v>
      </c>
      <c r="DG566">
        <f t="shared" si="228"/>
        <v>0</v>
      </c>
      <c r="DH566">
        <f t="shared" si="223"/>
        <v>0</v>
      </c>
      <c r="DI566">
        <f t="shared" si="214"/>
        <v>0</v>
      </c>
      <c r="DJ566">
        <f>DI566</f>
        <v>0</v>
      </c>
      <c r="DK566">
        <v>0</v>
      </c>
      <c r="DL566" t="s">
        <v>3</v>
      </c>
      <c r="DM566">
        <v>0</v>
      </c>
      <c r="DN566" t="s">
        <v>3</v>
      </c>
      <c r="DO566">
        <v>0</v>
      </c>
    </row>
    <row r="567" spans="1:119" x14ac:dyDescent="0.2">
      <c r="A567">
        <f>ROW(Source!A224)</f>
        <v>224</v>
      </c>
      <c r="B567">
        <v>85739207</v>
      </c>
      <c r="C567">
        <v>85740108</v>
      </c>
      <c r="D567">
        <v>85229527</v>
      </c>
      <c r="E567">
        <v>1</v>
      </c>
      <c r="F567">
        <v>1</v>
      </c>
      <c r="G567">
        <v>1081</v>
      </c>
      <c r="H567">
        <v>2</v>
      </c>
      <c r="I567" t="s">
        <v>546</v>
      </c>
      <c r="J567" t="s">
        <v>547</v>
      </c>
      <c r="K567" t="s">
        <v>548</v>
      </c>
      <c r="L567">
        <v>1368</v>
      </c>
      <c r="N567">
        <v>1011</v>
      </c>
      <c r="O567" t="s">
        <v>478</v>
      </c>
      <c r="P567" t="s">
        <v>478</v>
      </c>
      <c r="Q567">
        <v>1</v>
      </c>
      <c r="W567">
        <v>0</v>
      </c>
      <c r="X567">
        <v>-1222619517</v>
      </c>
      <c r="Y567">
        <f t="shared" si="241"/>
        <v>9</v>
      </c>
      <c r="AA567">
        <v>0</v>
      </c>
      <c r="AB567">
        <v>1209.95</v>
      </c>
      <c r="AC567">
        <v>758.78</v>
      </c>
      <c r="AD567">
        <v>0</v>
      </c>
      <c r="AE567">
        <v>0</v>
      </c>
      <c r="AF567">
        <v>48.07</v>
      </c>
      <c r="AG567">
        <v>12.62</v>
      </c>
      <c r="AH567">
        <v>0</v>
      </c>
      <c r="AI567">
        <v>1</v>
      </c>
      <c r="AJ567">
        <v>23.59</v>
      </c>
      <c r="AK567">
        <v>56.35</v>
      </c>
      <c r="AL567">
        <v>1</v>
      </c>
      <c r="AM567">
        <v>2</v>
      </c>
      <c r="AN567">
        <v>0</v>
      </c>
      <c r="AO567">
        <v>1</v>
      </c>
      <c r="AP567">
        <v>1</v>
      </c>
      <c r="AQ567">
        <v>0</v>
      </c>
      <c r="AR567">
        <v>0</v>
      </c>
      <c r="AS567" t="s">
        <v>3</v>
      </c>
      <c r="AT567">
        <v>7.5</v>
      </c>
      <c r="AU567" t="s">
        <v>36</v>
      </c>
      <c r="AV567">
        <v>0</v>
      </c>
      <c r="AW567">
        <v>2</v>
      </c>
      <c r="AX567">
        <v>85740126</v>
      </c>
      <c r="AY567">
        <v>1</v>
      </c>
      <c r="AZ567">
        <v>0</v>
      </c>
      <c r="BA567">
        <v>577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V567">
        <v>0</v>
      </c>
      <c r="CW567">
        <f>ROUND(Y567*Source!I224*DO567,9)</f>
        <v>2158.02</v>
      </c>
      <c r="CX567">
        <f>ROUND(Y567*Source!I224,9)</f>
        <v>171</v>
      </c>
      <c r="CY567">
        <f>AB567</f>
        <v>1209.95</v>
      </c>
      <c r="CZ567">
        <f>AF567</f>
        <v>48.07</v>
      </c>
      <c r="DA567">
        <f>AJ567</f>
        <v>23.59</v>
      </c>
      <c r="DB567">
        <f t="shared" si="242"/>
        <v>432.63600000000002</v>
      </c>
      <c r="DC567">
        <f t="shared" si="243"/>
        <v>113.58</v>
      </c>
      <c r="DD567" t="s">
        <v>3</v>
      </c>
      <c r="DE567" t="s">
        <v>3</v>
      </c>
      <c r="DF567">
        <f t="shared" si="233"/>
        <v>0</v>
      </c>
      <c r="DG567">
        <f>ROUND(ROUND(AF567*AJ567,2)*CX567,2)</f>
        <v>193908.87</v>
      </c>
      <c r="DH567">
        <f>ROUND(ROUND(AG567*AK567,2)*CX567,2)</f>
        <v>121604.94</v>
      </c>
      <c r="DI567">
        <f t="shared" si="214"/>
        <v>0</v>
      </c>
      <c r="DJ567">
        <f>DG567</f>
        <v>193908.87</v>
      </c>
      <c r="DK567">
        <v>0</v>
      </c>
      <c r="DL567" t="s">
        <v>485</v>
      </c>
      <c r="DM567">
        <v>0</v>
      </c>
      <c r="DN567" t="s">
        <v>474</v>
      </c>
      <c r="DO567">
        <v>12.62</v>
      </c>
    </row>
    <row r="568" spans="1:119" x14ac:dyDescent="0.2">
      <c r="A568">
        <f>ROW(Source!A224)</f>
        <v>224</v>
      </c>
      <c r="B568">
        <v>85739207</v>
      </c>
      <c r="C568">
        <v>85740108</v>
      </c>
      <c r="D568">
        <v>85229564</v>
      </c>
      <c r="E568">
        <v>1</v>
      </c>
      <c r="F568">
        <v>1</v>
      </c>
      <c r="G568">
        <v>1081</v>
      </c>
      <c r="H568">
        <v>2</v>
      </c>
      <c r="I568" t="s">
        <v>549</v>
      </c>
      <c r="J568" t="s">
        <v>550</v>
      </c>
      <c r="K568" t="s">
        <v>551</v>
      </c>
      <c r="L568">
        <v>1368</v>
      </c>
      <c r="N568">
        <v>1011</v>
      </c>
      <c r="O568" t="s">
        <v>478</v>
      </c>
      <c r="P568" t="s">
        <v>478</v>
      </c>
      <c r="Q568">
        <v>1</v>
      </c>
      <c r="W568">
        <v>0</v>
      </c>
      <c r="X568">
        <v>210297649</v>
      </c>
      <c r="Y568">
        <f t="shared" si="241"/>
        <v>8.4</v>
      </c>
      <c r="AA568">
        <v>0</v>
      </c>
      <c r="AB568">
        <v>65.790000000000006</v>
      </c>
      <c r="AC568">
        <v>0</v>
      </c>
      <c r="AD568">
        <v>0</v>
      </c>
      <c r="AE568">
        <v>0</v>
      </c>
      <c r="AF568">
        <v>5.79</v>
      </c>
      <c r="AG568">
        <v>0</v>
      </c>
      <c r="AH568">
        <v>0</v>
      </c>
      <c r="AI568">
        <v>1</v>
      </c>
      <c r="AJ568">
        <v>10.65</v>
      </c>
      <c r="AK568">
        <v>1</v>
      </c>
      <c r="AL568">
        <v>1</v>
      </c>
      <c r="AM568">
        <v>2</v>
      </c>
      <c r="AN568">
        <v>0</v>
      </c>
      <c r="AO568">
        <v>1</v>
      </c>
      <c r="AP568">
        <v>1</v>
      </c>
      <c r="AQ568">
        <v>0</v>
      </c>
      <c r="AR568">
        <v>0</v>
      </c>
      <c r="AS568" t="s">
        <v>3</v>
      </c>
      <c r="AT568">
        <v>7</v>
      </c>
      <c r="AU568" t="s">
        <v>36</v>
      </c>
      <c r="AV568">
        <v>0</v>
      </c>
      <c r="AW568">
        <v>2</v>
      </c>
      <c r="AX568">
        <v>85740127</v>
      </c>
      <c r="AY568">
        <v>1</v>
      </c>
      <c r="AZ568">
        <v>0</v>
      </c>
      <c r="BA568">
        <v>578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f>ROUND(Y568*Source!I224*DO568,9)</f>
        <v>0</v>
      </c>
      <c r="CX568">
        <f>ROUND(Y568*Source!I224,9)</f>
        <v>159.6</v>
      </c>
      <c r="CY568">
        <f>AB568</f>
        <v>65.790000000000006</v>
      </c>
      <c r="CZ568">
        <f>AF568</f>
        <v>5.79</v>
      </c>
      <c r="DA568">
        <f>AJ568</f>
        <v>10.65</v>
      </c>
      <c r="DB568">
        <f t="shared" si="242"/>
        <v>48.636000000000003</v>
      </c>
      <c r="DC568">
        <f t="shared" si="243"/>
        <v>0</v>
      </c>
      <c r="DD568" t="s">
        <v>3</v>
      </c>
      <c r="DE568" t="s">
        <v>3</v>
      </c>
      <c r="DF568">
        <f t="shared" si="233"/>
        <v>0</v>
      </c>
      <c r="DG568">
        <f>ROUND(ROUND(AF568*AJ568,2)*CX568,2)</f>
        <v>9840.94</v>
      </c>
      <c r="DH568">
        <f>ROUND(ROUND(AG568,2)*CX568,2)</f>
        <v>0</v>
      </c>
      <c r="DI568">
        <f t="shared" si="214"/>
        <v>0</v>
      </c>
      <c r="DJ568">
        <f>DG568</f>
        <v>9840.94</v>
      </c>
      <c r="DK568">
        <v>0</v>
      </c>
      <c r="DL568" t="s">
        <v>3</v>
      </c>
      <c r="DM568">
        <v>0</v>
      </c>
      <c r="DN568" t="s">
        <v>3</v>
      </c>
      <c r="DO568">
        <v>0</v>
      </c>
    </row>
    <row r="569" spans="1:119" x14ac:dyDescent="0.2">
      <c r="A569">
        <f>ROW(Source!A224)</f>
        <v>224</v>
      </c>
      <c r="B569">
        <v>85739207</v>
      </c>
      <c r="C569">
        <v>85740108</v>
      </c>
      <c r="D569">
        <v>85229633</v>
      </c>
      <c r="E569">
        <v>1</v>
      </c>
      <c r="F569">
        <v>1</v>
      </c>
      <c r="G569">
        <v>1081</v>
      </c>
      <c r="H569">
        <v>2</v>
      </c>
      <c r="I569" t="s">
        <v>475</v>
      </c>
      <c r="J569" t="s">
        <v>476</v>
      </c>
      <c r="K569" t="s">
        <v>477</v>
      </c>
      <c r="L569">
        <v>1368</v>
      </c>
      <c r="N569">
        <v>1011</v>
      </c>
      <c r="O569" t="s">
        <v>478</v>
      </c>
      <c r="P569" t="s">
        <v>478</v>
      </c>
      <c r="Q569">
        <v>1</v>
      </c>
      <c r="W569">
        <v>0</v>
      </c>
      <c r="X569">
        <v>1498588441</v>
      </c>
      <c r="Y569">
        <f t="shared" si="241"/>
        <v>11.183999999999999</v>
      </c>
      <c r="AA569">
        <v>0</v>
      </c>
      <c r="AB569">
        <v>102.11</v>
      </c>
      <c r="AC569">
        <v>0</v>
      </c>
      <c r="AD569">
        <v>0</v>
      </c>
      <c r="AE569">
        <v>0</v>
      </c>
      <c r="AF569">
        <v>7.11</v>
      </c>
      <c r="AG569">
        <v>0</v>
      </c>
      <c r="AH569">
        <v>0</v>
      </c>
      <c r="AI569">
        <v>1</v>
      </c>
      <c r="AJ569">
        <v>13.46</v>
      </c>
      <c r="AK569">
        <v>1</v>
      </c>
      <c r="AL569">
        <v>1</v>
      </c>
      <c r="AM569">
        <v>2</v>
      </c>
      <c r="AN569">
        <v>0</v>
      </c>
      <c r="AO569">
        <v>1</v>
      </c>
      <c r="AP569">
        <v>1</v>
      </c>
      <c r="AQ569">
        <v>0</v>
      </c>
      <c r="AR569">
        <v>0</v>
      </c>
      <c r="AS569" t="s">
        <v>3</v>
      </c>
      <c r="AT569">
        <v>9.32</v>
      </c>
      <c r="AU569" t="s">
        <v>36</v>
      </c>
      <c r="AV569">
        <v>0</v>
      </c>
      <c r="AW569">
        <v>2</v>
      </c>
      <c r="AX569">
        <v>85740128</v>
      </c>
      <c r="AY569">
        <v>1</v>
      </c>
      <c r="AZ569">
        <v>0</v>
      </c>
      <c r="BA569">
        <v>579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V569">
        <v>0</v>
      </c>
      <c r="CW569">
        <f>ROUND(Y569*Source!I224*DO569,9)</f>
        <v>0</v>
      </c>
      <c r="CX569">
        <f>ROUND(Y569*Source!I224,9)</f>
        <v>212.49600000000001</v>
      </c>
      <c r="CY569">
        <f>AB569</f>
        <v>102.11</v>
      </c>
      <c r="CZ569">
        <f>AF569</f>
        <v>7.11</v>
      </c>
      <c r="DA569">
        <f>AJ569</f>
        <v>13.46</v>
      </c>
      <c r="DB569">
        <f t="shared" si="242"/>
        <v>79.524000000000001</v>
      </c>
      <c r="DC569">
        <f t="shared" si="243"/>
        <v>0</v>
      </c>
      <c r="DD569" t="s">
        <v>3</v>
      </c>
      <c r="DE569" t="s">
        <v>3</v>
      </c>
      <c r="DF569">
        <f t="shared" si="233"/>
        <v>0</v>
      </c>
      <c r="DG569">
        <f>ROUND(ROUND(AF569*AJ569,2)*CX569,2)</f>
        <v>20335.87</v>
      </c>
      <c r="DH569">
        <f>ROUND(ROUND(AG569,2)*CX569,2)</f>
        <v>0</v>
      </c>
      <c r="DI569">
        <f t="shared" si="214"/>
        <v>0</v>
      </c>
      <c r="DJ569">
        <f>DG569</f>
        <v>20335.87</v>
      </c>
      <c r="DK569">
        <v>0</v>
      </c>
      <c r="DL569" t="s">
        <v>3</v>
      </c>
      <c r="DM569">
        <v>0</v>
      </c>
      <c r="DN569" t="s">
        <v>3</v>
      </c>
      <c r="DO569">
        <v>0</v>
      </c>
    </row>
    <row r="570" spans="1:119" x14ac:dyDescent="0.2">
      <c r="A570">
        <f>ROW(Source!A224)</f>
        <v>224</v>
      </c>
      <c r="B570">
        <v>85739207</v>
      </c>
      <c r="C570">
        <v>85740108</v>
      </c>
      <c r="D570">
        <v>85229932</v>
      </c>
      <c r="E570">
        <v>1</v>
      </c>
      <c r="F570">
        <v>1</v>
      </c>
      <c r="G570">
        <v>1081</v>
      </c>
      <c r="H570">
        <v>2</v>
      </c>
      <c r="I570" t="s">
        <v>482</v>
      </c>
      <c r="J570" t="s">
        <v>483</v>
      </c>
      <c r="K570" t="s">
        <v>484</v>
      </c>
      <c r="L570">
        <v>1368</v>
      </c>
      <c r="N570">
        <v>1011</v>
      </c>
      <c r="O570" t="s">
        <v>478</v>
      </c>
      <c r="P570" t="s">
        <v>478</v>
      </c>
      <c r="Q570">
        <v>1</v>
      </c>
      <c r="W570">
        <v>0</v>
      </c>
      <c r="X570">
        <v>874612079</v>
      </c>
      <c r="Y570">
        <f t="shared" si="241"/>
        <v>0.64800000000000002</v>
      </c>
      <c r="AA570">
        <v>0</v>
      </c>
      <c r="AB570">
        <v>1513.56</v>
      </c>
      <c r="AC570">
        <v>758.78</v>
      </c>
      <c r="AD570">
        <v>0</v>
      </c>
      <c r="AE570">
        <v>0</v>
      </c>
      <c r="AF570">
        <v>83.1</v>
      </c>
      <c r="AG570">
        <v>12.62</v>
      </c>
      <c r="AH570">
        <v>0</v>
      </c>
      <c r="AI570">
        <v>1</v>
      </c>
      <c r="AJ570">
        <v>17.07</v>
      </c>
      <c r="AK570">
        <v>56.35</v>
      </c>
      <c r="AL570">
        <v>1</v>
      </c>
      <c r="AM570">
        <v>2</v>
      </c>
      <c r="AN570">
        <v>0</v>
      </c>
      <c r="AO570">
        <v>1</v>
      </c>
      <c r="AP570">
        <v>1</v>
      </c>
      <c r="AQ570">
        <v>0</v>
      </c>
      <c r="AR570">
        <v>0</v>
      </c>
      <c r="AS570" t="s">
        <v>3</v>
      </c>
      <c r="AT570">
        <v>0.54</v>
      </c>
      <c r="AU570" t="s">
        <v>36</v>
      </c>
      <c r="AV570">
        <v>0</v>
      </c>
      <c r="AW570">
        <v>2</v>
      </c>
      <c r="AX570">
        <v>85740129</v>
      </c>
      <c r="AY570">
        <v>1</v>
      </c>
      <c r="AZ570">
        <v>0</v>
      </c>
      <c r="BA570">
        <v>580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V570">
        <v>0</v>
      </c>
      <c r="CW570">
        <f>ROUND(Y570*Source!I224*DO570,9)</f>
        <v>155.37744000000001</v>
      </c>
      <c r="CX570">
        <f>ROUND(Y570*Source!I224,9)</f>
        <v>12.311999999999999</v>
      </c>
      <c r="CY570">
        <f>AB570</f>
        <v>1513.56</v>
      </c>
      <c r="CZ570">
        <f>AF570</f>
        <v>83.1</v>
      </c>
      <c r="DA570">
        <f>AJ570</f>
        <v>17.07</v>
      </c>
      <c r="DB570">
        <f t="shared" si="242"/>
        <v>53.844000000000001</v>
      </c>
      <c r="DC570">
        <f t="shared" si="243"/>
        <v>8.1720000000000006</v>
      </c>
      <c r="DD570" t="s">
        <v>3</v>
      </c>
      <c r="DE570" t="s">
        <v>3</v>
      </c>
      <c r="DF570">
        <f t="shared" si="233"/>
        <v>0</v>
      </c>
      <c r="DG570">
        <f>ROUND(ROUND(AF570*AJ570,2)*CX570,2)</f>
        <v>17464.82</v>
      </c>
      <c r="DH570">
        <f>ROUND(ROUND(AG570*AK570,2)*CX570,2)</f>
        <v>8755.56</v>
      </c>
      <c r="DI570">
        <f t="shared" si="214"/>
        <v>0</v>
      </c>
      <c r="DJ570">
        <f>DG570</f>
        <v>17464.82</v>
      </c>
      <c r="DK570">
        <v>0</v>
      </c>
      <c r="DL570" t="s">
        <v>485</v>
      </c>
      <c r="DM570">
        <v>0</v>
      </c>
      <c r="DN570" t="s">
        <v>474</v>
      </c>
      <c r="DO570">
        <v>12.62</v>
      </c>
    </row>
    <row r="571" spans="1:119" x14ac:dyDescent="0.2">
      <c r="A571">
        <f>ROW(Source!A224)</f>
        <v>224</v>
      </c>
      <c r="B571">
        <v>85739207</v>
      </c>
      <c r="C571">
        <v>85740108</v>
      </c>
      <c r="D571">
        <v>85229250</v>
      </c>
      <c r="E571">
        <v>1</v>
      </c>
      <c r="F571">
        <v>1</v>
      </c>
      <c r="G571">
        <v>1081</v>
      </c>
      <c r="H571">
        <v>2</v>
      </c>
      <c r="I571" t="s">
        <v>552</v>
      </c>
      <c r="J571" t="s">
        <v>553</v>
      </c>
      <c r="K571" t="s">
        <v>554</v>
      </c>
      <c r="L571">
        <v>1368</v>
      </c>
      <c r="N571">
        <v>1011</v>
      </c>
      <c r="O571" t="s">
        <v>478</v>
      </c>
      <c r="P571" t="s">
        <v>478</v>
      </c>
      <c r="Q571">
        <v>1</v>
      </c>
      <c r="W571">
        <v>0</v>
      </c>
      <c r="X571">
        <v>-1755828087</v>
      </c>
      <c r="Y571">
        <f t="shared" si="241"/>
        <v>0.48</v>
      </c>
      <c r="AA571">
        <v>0</v>
      </c>
      <c r="AB571">
        <v>34.85</v>
      </c>
      <c r="AC571">
        <v>0</v>
      </c>
      <c r="AD571">
        <v>0</v>
      </c>
      <c r="AE571">
        <v>0</v>
      </c>
      <c r="AF571">
        <v>3.18</v>
      </c>
      <c r="AG571">
        <v>0</v>
      </c>
      <c r="AH571">
        <v>0</v>
      </c>
      <c r="AI571">
        <v>1</v>
      </c>
      <c r="AJ571">
        <v>10.27</v>
      </c>
      <c r="AK571">
        <v>1</v>
      </c>
      <c r="AL571">
        <v>1</v>
      </c>
      <c r="AM571">
        <v>2</v>
      </c>
      <c r="AN571">
        <v>0</v>
      </c>
      <c r="AO571">
        <v>1</v>
      </c>
      <c r="AP571">
        <v>1</v>
      </c>
      <c r="AQ571">
        <v>0</v>
      </c>
      <c r="AR571">
        <v>0</v>
      </c>
      <c r="AS571" t="s">
        <v>3</v>
      </c>
      <c r="AT571">
        <v>0.4</v>
      </c>
      <c r="AU571" t="s">
        <v>36</v>
      </c>
      <c r="AV571">
        <v>0</v>
      </c>
      <c r="AW571">
        <v>2</v>
      </c>
      <c r="AX571">
        <v>85740130</v>
      </c>
      <c r="AY571">
        <v>1</v>
      </c>
      <c r="AZ571">
        <v>0</v>
      </c>
      <c r="BA571">
        <v>581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V571">
        <v>0</v>
      </c>
      <c r="CW571">
        <f>ROUND(Y571*Source!I224*DO571,9)</f>
        <v>0</v>
      </c>
      <c r="CX571">
        <f>ROUND(Y571*Source!I224,9)</f>
        <v>9.1199999999999992</v>
      </c>
      <c r="CY571">
        <f>AB571</f>
        <v>34.85</v>
      </c>
      <c r="CZ571">
        <f>AF571</f>
        <v>3.18</v>
      </c>
      <c r="DA571">
        <f>AJ571</f>
        <v>10.27</v>
      </c>
      <c r="DB571">
        <f t="shared" si="242"/>
        <v>1.524</v>
      </c>
      <c r="DC571">
        <f t="shared" si="243"/>
        <v>0</v>
      </c>
      <c r="DD571" t="s">
        <v>3</v>
      </c>
      <c r="DE571" t="s">
        <v>3</v>
      </c>
      <c r="DF571">
        <f t="shared" si="233"/>
        <v>0</v>
      </c>
      <c r="DG571">
        <f>ROUND(ROUND(AF571*AJ571,2)*CX571,2)</f>
        <v>297.86</v>
      </c>
      <c r="DH571">
        <f t="shared" ref="DH571:DH595" si="244">ROUND(ROUND(AG571,2)*CX571,2)</f>
        <v>0</v>
      </c>
      <c r="DI571">
        <f t="shared" si="214"/>
        <v>0</v>
      </c>
      <c r="DJ571">
        <f>DG571</f>
        <v>297.86</v>
      </c>
      <c r="DK571">
        <v>0</v>
      </c>
      <c r="DL571" t="s">
        <v>3</v>
      </c>
      <c r="DM571">
        <v>0</v>
      </c>
      <c r="DN571" t="s">
        <v>3</v>
      </c>
      <c r="DO571">
        <v>0</v>
      </c>
    </row>
    <row r="572" spans="1:119" x14ac:dyDescent="0.2">
      <c r="A572">
        <f>ROW(Source!A224)</f>
        <v>224</v>
      </c>
      <c r="B572">
        <v>85739207</v>
      </c>
      <c r="C572">
        <v>85740108</v>
      </c>
      <c r="D572">
        <v>85198960</v>
      </c>
      <c r="E572">
        <v>1</v>
      </c>
      <c r="F572">
        <v>1</v>
      </c>
      <c r="G572">
        <v>1081</v>
      </c>
      <c r="H572">
        <v>3</v>
      </c>
      <c r="I572" t="s">
        <v>513</v>
      </c>
      <c r="J572" t="s">
        <v>514</v>
      </c>
      <c r="K572" t="s">
        <v>515</v>
      </c>
      <c r="L572">
        <v>1339</v>
      </c>
      <c r="N572">
        <v>1007</v>
      </c>
      <c r="O572" t="s">
        <v>506</v>
      </c>
      <c r="P572" t="s">
        <v>506</v>
      </c>
      <c r="Q572">
        <v>1</v>
      </c>
      <c r="W572">
        <v>0</v>
      </c>
      <c r="X572">
        <v>-1622585150</v>
      </c>
      <c r="Y572">
        <f t="shared" ref="Y572:Y582" si="245">(AT572*1)</f>
        <v>3</v>
      </c>
      <c r="AA572">
        <v>56.33</v>
      </c>
      <c r="AB572">
        <v>0</v>
      </c>
      <c r="AC572">
        <v>0</v>
      </c>
      <c r="AD572">
        <v>0</v>
      </c>
      <c r="AE572">
        <v>7.07</v>
      </c>
      <c r="AF572">
        <v>0</v>
      </c>
      <c r="AG572">
        <v>0</v>
      </c>
      <c r="AH572">
        <v>0</v>
      </c>
      <c r="AI572">
        <v>7.75</v>
      </c>
      <c r="AJ572">
        <v>1</v>
      </c>
      <c r="AK572">
        <v>1</v>
      </c>
      <c r="AL572">
        <v>1</v>
      </c>
      <c r="AM572">
        <v>2</v>
      </c>
      <c r="AN572">
        <v>0</v>
      </c>
      <c r="AO572">
        <v>1</v>
      </c>
      <c r="AP572">
        <v>1</v>
      </c>
      <c r="AQ572">
        <v>0</v>
      </c>
      <c r="AR572">
        <v>0</v>
      </c>
      <c r="AS572" t="s">
        <v>3</v>
      </c>
      <c r="AT572">
        <v>3</v>
      </c>
      <c r="AU572" t="s">
        <v>35</v>
      </c>
      <c r="AV572">
        <v>0</v>
      </c>
      <c r="AW572">
        <v>2</v>
      </c>
      <c r="AX572">
        <v>85740131</v>
      </c>
      <c r="AY572">
        <v>1</v>
      </c>
      <c r="AZ572">
        <v>0</v>
      </c>
      <c r="BA572">
        <v>582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V572">
        <v>0</v>
      </c>
      <c r="CW572">
        <v>0</v>
      </c>
      <c r="CX572">
        <f>ROUND(Y572*Source!I224,9)</f>
        <v>57</v>
      </c>
      <c r="CY572">
        <f t="shared" ref="CY572:CY582" si="246">AA572</f>
        <v>56.33</v>
      </c>
      <c r="CZ572">
        <f t="shared" ref="CZ572:CZ582" si="247">AE572</f>
        <v>7.07</v>
      </c>
      <c r="DA572">
        <f t="shared" ref="DA572:DA582" si="248">AI572</f>
        <v>7.75</v>
      </c>
      <c r="DB572">
        <f t="shared" ref="DB572:DB582" si="249">ROUND((ROUND(AT572*CZ572,2)*1),6)</f>
        <v>21.21</v>
      </c>
      <c r="DC572">
        <f t="shared" ref="DC572:DC582" si="250">ROUND((ROUND(AT572*AG572,2)*1),6)</f>
        <v>0</v>
      </c>
      <c r="DD572" t="s">
        <v>3</v>
      </c>
      <c r="DE572" t="s">
        <v>3</v>
      </c>
      <c r="DF572">
        <f t="shared" ref="DF572:DF582" si="251">ROUND(ROUND(AE572*AI572,2)*CX572,2)</f>
        <v>3123.03</v>
      </c>
      <c r="DG572">
        <f t="shared" ref="DG572:DG595" si="252">ROUND(ROUND(AF572,2)*CX572,2)</f>
        <v>0</v>
      </c>
      <c r="DH572">
        <f t="shared" si="244"/>
        <v>0</v>
      </c>
      <c r="DI572">
        <f t="shared" si="214"/>
        <v>0</v>
      </c>
      <c r="DJ572">
        <f t="shared" ref="DJ572:DJ582" si="253">DF572</f>
        <v>3123.03</v>
      </c>
      <c r="DK572">
        <v>0</v>
      </c>
      <c r="DL572" t="s">
        <v>3</v>
      </c>
      <c r="DM572">
        <v>0</v>
      </c>
      <c r="DN572" t="s">
        <v>3</v>
      </c>
      <c r="DO572">
        <v>0</v>
      </c>
    </row>
    <row r="573" spans="1:119" x14ac:dyDescent="0.2">
      <c r="A573">
        <f>ROW(Source!A224)</f>
        <v>224</v>
      </c>
      <c r="B573">
        <v>85739207</v>
      </c>
      <c r="C573">
        <v>85740108</v>
      </c>
      <c r="D573">
        <v>85200023</v>
      </c>
      <c r="E573">
        <v>1</v>
      </c>
      <c r="F573">
        <v>1</v>
      </c>
      <c r="G573">
        <v>1081</v>
      </c>
      <c r="H573">
        <v>3</v>
      </c>
      <c r="I573" t="s">
        <v>555</v>
      </c>
      <c r="J573" t="s">
        <v>556</v>
      </c>
      <c r="K573" t="s">
        <v>557</v>
      </c>
      <c r="L573">
        <v>1348</v>
      </c>
      <c r="N573">
        <v>1009</v>
      </c>
      <c r="O573" t="s">
        <v>266</v>
      </c>
      <c r="P573" t="s">
        <v>266</v>
      </c>
      <c r="Q573">
        <v>1000</v>
      </c>
      <c r="W573">
        <v>0</v>
      </c>
      <c r="X573">
        <v>63955816</v>
      </c>
      <c r="Y573">
        <f t="shared" si="245"/>
        <v>1.56E-3</v>
      </c>
      <c r="AA573">
        <v>99503.2</v>
      </c>
      <c r="AB573">
        <v>0</v>
      </c>
      <c r="AC573">
        <v>0</v>
      </c>
      <c r="AD573">
        <v>0</v>
      </c>
      <c r="AE573">
        <v>7185.82</v>
      </c>
      <c r="AF573">
        <v>0</v>
      </c>
      <c r="AG573">
        <v>0</v>
      </c>
      <c r="AH573">
        <v>0</v>
      </c>
      <c r="AI573">
        <v>13.47</v>
      </c>
      <c r="AJ573">
        <v>1</v>
      </c>
      <c r="AK573">
        <v>1</v>
      </c>
      <c r="AL573">
        <v>1</v>
      </c>
      <c r="AM573">
        <v>2</v>
      </c>
      <c r="AN573">
        <v>0</v>
      </c>
      <c r="AO573">
        <v>1</v>
      </c>
      <c r="AP573">
        <v>1</v>
      </c>
      <c r="AQ573">
        <v>0</v>
      </c>
      <c r="AR573">
        <v>0</v>
      </c>
      <c r="AS573" t="s">
        <v>3</v>
      </c>
      <c r="AT573">
        <v>1.56E-3</v>
      </c>
      <c r="AU573" t="s">
        <v>35</v>
      </c>
      <c r="AV573">
        <v>0</v>
      </c>
      <c r="AW573">
        <v>2</v>
      </c>
      <c r="AX573">
        <v>85740132</v>
      </c>
      <c r="AY573">
        <v>1</v>
      </c>
      <c r="AZ573">
        <v>0</v>
      </c>
      <c r="BA573">
        <v>583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V573">
        <v>0</v>
      </c>
      <c r="CW573">
        <v>0</v>
      </c>
      <c r="CX573">
        <f>ROUND(Y573*Source!I224,9)</f>
        <v>2.964E-2</v>
      </c>
      <c r="CY573">
        <f t="shared" si="246"/>
        <v>99503.2</v>
      </c>
      <c r="CZ573">
        <f t="shared" si="247"/>
        <v>7185.82</v>
      </c>
      <c r="DA573">
        <f t="shared" si="248"/>
        <v>13.47</v>
      </c>
      <c r="DB573">
        <f t="shared" si="249"/>
        <v>11.21</v>
      </c>
      <c r="DC573">
        <f t="shared" si="250"/>
        <v>0</v>
      </c>
      <c r="DD573" t="s">
        <v>3</v>
      </c>
      <c r="DE573" t="s">
        <v>3</v>
      </c>
      <c r="DF573">
        <f t="shared" si="251"/>
        <v>2868.94</v>
      </c>
      <c r="DG573">
        <f t="shared" si="252"/>
        <v>0</v>
      </c>
      <c r="DH573">
        <f t="shared" si="244"/>
        <v>0</v>
      </c>
      <c r="DI573">
        <f t="shared" si="214"/>
        <v>0</v>
      </c>
      <c r="DJ573">
        <f t="shared" si="253"/>
        <v>2868.94</v>
      </c>
      <c r="DK573">
        <v>0</v>
      </c>
      <c r="DL573" t="s">
        <v>3</v>
      </c>
      <c r="DM573">
        <v>0</v>
      </c>
      <c r="DN573" t="s">
        <v>3</v>
      </c>
      <c r="DO573">
        <v>0</v>
      </c>
    </row>
    <row r="574" spans="1:119" x14ac:dyDescent="0.2">
      <c r="A574">
        <f>ROW(Source!A224)</f>
        <v>224</v>
      </c>
      <c r="B574">
        <v>85739207</v>
      </c>
      <c r="C574">
        <v>85740108</v>
      </c>
      <c r="D574">
        <v>85200098</v>
      </c>
      <c r="E574">
        <v>1</v>
      </c>
      <c r="F574">
        <v>1</v>
      </c>
      <c r="G574">
        <v>1081</v>
      </c>
      <c r="H574">
        <v>3</v>
      </c>
      <c r="I574" t="s">
        <v>540</v>
      </c>
      <c r="J574" t="s">
        <v>541</v>
      </c>
      <c r="K574" t="s">
        <v>542</v>
      </c>
      <c r="L574">
        <v>1346</v>
      </c>
      <c r="N574">
        <v>1009</v>
      </c>
      <c r="O574" t="s">
        <v>502</v>
      </c>
      <c r="P574" t="s">
        <v>502</v>
      </c>
      <c r="Q574">
        <v>1</v>
      </c>
      <c r="W574">
        <v>0</v>
      </c>
      <c r="X574">
        <v>732400950</v>
      </c>
      <c r="Y574">
        <f t="shared" si="245"/>
        <v>0.76</v>
      </c>
      <c r="AA574">
        <v>94.12</v>
      </c>
      <c r="AB574">
        <v>0</v>
      </c>
      <c r="AC574">
        <v>0</v>
      </c>
      <c r="AD574">
        <v>0</v>
      </c>
      <c r="AE574">
        <v>21</v>
      </c>
      <c r="AF574">
        <v>0</v>
      </c>
      <c r="AG574">
        <v>0</v>
      </c>
      <c r="AH574">
        <v>0</v>
      </c>
      <c r="AI574">
        <v>4.3600000000000003</v>
      </c>
      <c r="AJ574">
        <v>1</v>
      </c>
      <c r="AK574">
        <v>1</v>
      </c>
      <c r="AL574">
        <v>1</v>
      </c>
      <c r="AM574">
        <v>2</v>
      </c>
      <c r="AN574">
        <v>0</v>
      </c>
      <c r="AO574">
        <v>1</v>
      </c>
      <c r="AP574">
        <v>1</v>
      </c>
      <c r="AQ574">
        <v>0</v>
      </c>
      <c r="AR574">
        <v>0</v>
      </c>
      <c r="AS574" t="s">
        <v>3</v>
      </c>
      <c r="AT574">
        <v>0.76</v>
      </c>
      <c r="AU574" t="s">
        <v>35</v>
      </c>
      <c r="AV574">
        <v>0</v>
      </c>
      <c r="AW574">
        <v>2</v>
      </c>
      <c r="AX574">
        <v>85740133</v>
      </c>
      <c r="AY574">
        <v>1</v>
      </c>
      <c r="AZ574">
        <v>0</v>
      </c>
      <c r="BA574">
        <v>584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V574">
        <v>0</v>
      </c>
      <c r="CW574">
        <v>0</v>
      </c>
      <c r="CX574">
        <f>ROUND(Y574*Source!I224,9)</f>
        <v>14.44</v>
      </c>
      <c r="CY574">
        <f t="shared" si="246"/>
        <v>94.12</v>
      </c>
      <c r="CZ574">
        <f t="shared" si="247"/>
        <v>21</v>
      </c>
      <c r="DA574">
        <f t="shared" si="248"/>
        <v>4.3600000000000003</v>
      </c>
      <c r="DB574">
        <f t="shared" si="249"/>
        <v>15.96</v>
      </c>
      <c r="DC574">
        <f t="shared" si="250"/>
        <v>0</v>
      </c>
      <c r="DD574" t="s">
        <v>3</v>
      </c>
      <c r="DE574" t="s">
        <v>3</v>
      </c>
      <c r="DF574">
        <f t="shared" si="251"/>
        <v>1322.13</v>
      </c>
      <c r="DG574">
        <f t="shared" si="252"/>
        <v>0</v>
      </c>
      <c r="DH574">
        <f t="shared" si="244"/>
        <v>0</v>
      </c>
      <c r="DI574">
        <f t="shared" si="214"/>
        <v>0</v>
      </c>
      <c r="DJ574">
        <f t="shared" si="253"/>
        <v>1322.13</v>
      </c>
      <c r="DK574">
        <v>0</v>
      </c>
      <c r="DL574" t="s">
        <v>3</v>
      </c>
      <c r="DM574">
        <v>0</v>
      </c>
      <c r="DN574" t="s">
        <v>3</v>
      </c>
      <c r="DO574">
        <v>0</v>
      </c>
    </row>
    <row r="575" spans="1:119" x14ac:dyDescent="0.2">
      <c r="A575">
        <f>ROW(Source!A224)</f>
        <v>224</v>
      </c>
      <c r="B575">
        <v>85739207</v>
      </c>
      <c r="C575">
        <v>85740108</v>
      </c>
      <c r="D575">
        <v>85200296</v>
      </c>
      <c r="E575">
        <v>1</v>
      </c>
      <c r="F575">
        <v>1</v>
      </c>
      <c r="G575">
        <v>1081</v>
      </c>
      <c r="H575">
        <v>3</v>
      </c>
      <c r="I575" t="s">
        <v>558</v>
      </c>
      <c r="J575" t="s">
        <v>559</v>
      </c>
      <c r="K575" t="s">
        <v>560</v>
      </c>
      <c r="L575">
        <v>1355</v>
      </c>
      <c r="N575">
        <v>1010</v>
      </c>
      <c r="O575" t="s">
        <v>240</v>
      </c>
      <c r="P575" t="s">
        <v>240</v>
      </c>
      <c r="Q575">
        <v>100</v>
      </c>
      <c r="W575">
        <v>0</v>
      </c>
      <c r="X575">
        <v>1567739421</v>
      </c>
      <c r="Y575">
        <f t="shared" si="245"/>
        <v>0.36</v>
      </c>
      <c r="AA575">
        <v>480.06</v>
      </c>
      <c r="AB575">
        <v>0</v>
      </c>
      <c r="AC575">
        <v>0</v>
      </c>
      <c r="AD575">
        <v>0</v>
      </c>
      <c r="AE575">
        <v>496.79</v>
      </c>
      <c r="AF575">
        <v>0</v>
      </c>
      <c r="AG575">
        <v>0</v>
      </c>
      <c r="AH575">
        <v>0</v>
      </c>
      <c r="AI575">
        <v>0.94</v>
      </c>
      <c r="AJ575">
        <v>1</v>
      </c>
      <c r="AK575">
        <v>1</v>
      </c>
      <c r="AL575">
        <v>1</v>
      </c>
      <c r="AM575">
        <v>2</v>
      </c>
      <c r="AN575">
        <v>0</v>
      </c>
      <c r="AO575">
        <v>1</v>
      </c>
      <c r="AP575">
        <v>1</v>
      </c>
      <c r="AQ575">
        <v>0</v>
      </c>
      <c r="AR575">
        <v>0</v>
      </c>
      <c r="AS575" t="s">
        <v>3</v>
      </c>
      <c r="AT575">
        <v>0.36</v>
      </c>
      <c r="AU575" t="s">
        <v>35</v>
      </c>
      <c r="AV575">
        <v>0</v>
      </c>
      <c r="AW575">
        <v>2</v>
      </c>
      <c r="AX575">
        <v>85740134</v>
      </c>
      <c r="AY575">
        <v>1</v>
      </c>
      <c r="AZ575">
        <v>0</v>
      </c>
      <c r="BA575">
        <v>585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V575">
        <v>0</v>
      </c>
      <c r="CW575">
        <v>0</v>
      </c>
      <c r="CX575">
        <f>ROUND(Y575*Source!I224,9)</f>
        <v>6.84</v>
      </c>
      <c r="CY575">
        <f t="shared" si="246"/>
        <v>480.06</v>
      </c>
      <c r="CZ575">
        <f t="shared" si="247"/>
        <v>496.79</v>
      </c>
      <c r="DA575">
        <f t="shared" si="248"/>
        <v>0.94</v>
      </c>
      <c r="DB575">
        <f t="shared" si="249"/>
        <v>178.84</v>
      </c>
      <c r="DC575">
        <f t="shared" si="250"/>
        <v>0</v>
      </c>
      <c r="DD575" t="s">
        <v>3</v>
      </c>
      <c r="DE575" t="s">
        <v>3</v>
      </c>
      <c r="DF575">
        <f t="shared" si="251"/>
        <v>3194.14</v>
      </c>
      <c r="DG575">
        <f t="shared" si="252"/>
        <v>0</v>
      </c>
      <c r="DH575">
        <f t="shared" si="244"/>
        <v>0</v>
      </c>
      <c r="DI575">
        <f t="shared" si="214"/>
        <v>0</v>
      </c>
      <c r="DJ575">
        <f t="shared" si="253"/>
        <v>3194.14</v>
      </c>
      <c r="DK575">
        <v>0</v>
      </c>
      <c r="DL575" t="s">
        <v>3</v>
      </c>
      <c r="DM575">
        <v>0</v>
      </c>
      <c r="DN575" t="s">
        <v>3</v>
      </c>
      <c r="DO575">
        <v>0</v>
      </c>
    </row>
    <row r="576" spans="1:119" x14ac:dyDescent="0.2">
      <c r="A576">
        <f>ROW(Source!A224)</f>
        <v>224</v>
      </c>
      <c r="B576">
        <v>85739207</v>
      </c>
      <c r="C576">
        <v>85740108</v>
      </c>
      <c r="D576">
        <v>85200297</v>
      </c>
      <c r="E576">
        <v>1</v>
      </c>
      <c r="F576">
        <v>1</v>
      </c>
      <c r="G576">
        <v>1081</v>
      </c>
      <c r="H576">
        <v>3</v>
      </c>
      <c r="I576" t="s">
        <v>561</v>
      </c>
      <c r="J576" t="s">
        <v>562</v>
      </c>
      <c r="K576" t="s">
        <v>563</v>
      </c>
      <c r="L576">
        <v>1355</v>
      </c>
      <c r="N576">
        <v>1010</v>
      </c>
      <c r="O576" t="s">
        <v>240</v>
      </c>
      <c r="P576" t="s">
        <v>240</v>
      </c>
      <c r="Q576">
        <v>100</v>
      </c>
      <c r="W576">
        <v>0</v>
      </c>
      <c r="X576">
        <v>-96727844</v>
      </c>
      <c r="Y576">
        <f t="shared" si="245"/>
        <v>0.36</v>
      </c>
      <c r="AA576">
        <v>578.83000000000004</v>
      </c>
      <c r="AB576">
        <v>0</v>
      </c>
      <c r="AC576">
        <v>0</v>
      </c>
      <c r="AD576">
        <v>0</v>
      </c>
      <c r="AE576">
        <v>243.75</v>
      </c>
      <c r="AF576">
        <v>0</v>
      </c>
      <c r="AG576">
        <v>0</v>
      </c>
      <c r="AH576">
        <v>0</v>
      </c>
      <c r="AI576">
        <v>2.31</v>
      </c>
      <c r="AJ576">
        <v>1</v>
      </c>
      <c r="AK576">
        <v>1</v>
      </c>
      <c r="AL576">
        <v>1</v>
      </c>
      <c r="AM576">
        <v>2</v>
      </c>
      <c r="AN576">
        <v>0</v>
      </c>
      <c r="AO576">
        <v>1</v>
      </c>
      <c r="AP576">
        <v>1</v>
      </c>
      <c r="AQ576">
        <v>0</v>
      </c>
      <c r="AR576">
        <v>0</v>
      </c>
      <c r="AS576" t="s">
        <v>3</v>
      </c>
      <c r="AT576">
        <v>0.36</v>
      </c>
      <c r="AU576" t="s">
        <v>35</v>
      </c>
      <c r="AV576">
        <v>0</v>
      </c>
      <c r="AW576">
        <v>2</v>
      </c>
      <c r="AX576">
        <v>85740135</v>
      </c>
      <c r="AY576">
        <v>1</v>
      </c>
      <c r="AZ576">
        <v>0</v>
      </c>
      <c r="BA576">
        <v>586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V576">
        <v>0</v>
      </c>
      <c r="CW576">
        <v>0</v>
      </c>
      <c r="CX576">
        <f>ROUND(Y576*Source!I224,9)</f>
        <v>6.84</v>
      </c>
      <c r="CY576">
        <f t="shared" si="246"/>
        <v>578.83000000000004</v>
      </c>
      <c r="CZ576">
        <f t="shared" si="247"/>
        <v>243.75</v>
      </c>
      <c r="DA576">
        <f t="shared" si="248"/>
        <v>2.31</v>
      </c>
      <c r="DB576">
        <f t="shared" si="249"/>
        <v>87.75</v>
      </c>
      <c r="DC576">
        <f t="shared" si="250"/>
        <v>0</v>
      </c>
      <c r="DD576" t="s">
        <v>3</v>
      </c>
      <c r="DE576" t="s">
        <v>3</v>
      </c>
      <c r="DF576">
        <f t="shared" si="251"/>
        <v>3851.33</v>
      </c>
      <c r="DG576">
        <f t="shared" si="252"/>
        <v>0</v>
      </c>
      <c r="DH576">
        <f t="shared" si="244"/>
        <v>0</v>
      </c>
      <c r="DI576">
        <f t="shared" si="214"/>
        <v>0</v>
      </c>
      <c r="DJ576">
        <f t="shared" si="253"/>
        <v>3851.33</v>
      </c>
      <c r="DK576">
        <v>0</v>
      </c>
      <c r="DL576" t="s">
        <v>3</v>
      </c>
      <c r="DM576">
        <v>0</v>
      </c>
      <c r="DN576" t="s">
        <v>3</v>
      </c>
      <c r="DO576">
        <v>0</v>
      </c>
    </row>
    <row r="577" spans="1:119" x14ac:dyDescent="0.2">
      <c r="A577">
        <f>ROW(Source!A224)</f>
        <v>224</v>
      </c>
      <c r="B577">
        <v>85739207</v>
      </c>
      <c r="C577">
        <v>85740108</v>
      </c>
      <c r="D577">
        <v>85198892</v>
      </c>
      <c r="E577">
        <v>1</v>
      </c>
      <c r="F577">
        <v>1</v>
      </c>
      <c r="G577">
        <v>1081</v>
      </c>
      <c r="H577">
        <v>3</v>
      </c>
      <c r="I577" t="s">
        <v>543</v>
      </c>
      <c r="J577" t="s">
        <v>544</v>
      </c>
      <c r="K577" t="s">
        <v>545</v>
      </c>
      <c r="L577">
        <v>1339</v>
      </c>
      <c r="N577">
        <v>1007</v>
      </c>
      <c r="O577" t="s">
        <v>506</v>
      </c>
      <c r="P577" t="s">
        <v>506</v>
      </c>
      <c r="Q577">
        <v>1</v>
      </c>
      <c r="W577">
        <v>0</v>
      </c>
      <c r="X577">
        <v>-676034668</v>
      </c>
      <c r="Y577">
        <f t="shared" si="245"/>
        <v>0.59</v>
      </c>
      <c r="AA577">
        <v>781.45</v>
      </c>
      <c r="AB577">
        <v>0</v>
      </c>
      <c r="AC577">
        <v>0</v>
      </c>
      <c r="AD577">
        <v>0</v>
      </c>
      <c r="AE577">
        <v>53.42</v>
      </c>
      <c r="AF577">
        <v>0</v>
      </c>
      <c r="AG577">
        <v>0</v>
      </c>
      <c r="AH577">
        <v>0</v>
      </c>
      <c r="AI577">
        <v>14.23</v>
      </c>
      <c r="AJ577">
        <v>1</v>
      </c>
      <c r="AK577">
        <v>1</v>
      </c>
      <c r="AL577">
        <v>1</v>
      </c>
      <c r="AM577">
        <v>2</v>
      </c>
      <c r="AN577">
        <v>0</v>
      </c>
      <c r="AO577">
        <v>1</v>
      </c>
      <c r="AP577">
        <v>1</v>
      </c>
      <c r="AQ577">
        <v>0</v>
      </c>
      <c r="AR577">
        <v>0</v>
      </c>
      <c r="AS577" t="s">
        <v>3</v>
      </c>
      <c r="AT577">
        <v>0.59</v>
      </c>
      <c r="AU577" t="s">
        <v>35</v>
      </c>
      <c r="AV577">
        <v>0</v>
      </c>
      <c r="AW577">
        <v>2</v>
      </c>
      <c r="AX577">
        <v>85740136</v>
      </c>
      <c r="AY577">
        <v>1</v>
      </c>
      <c r="AZ577">
        <v>0</v>
      </c>
      <c r="BA577">
        <v>587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V577">
        <v>0</v>
      </c>
      <c r="CW577">
        <v>0</v>
      </c>
      <c r="CX577">
        <f>ROUND(Y577*Source!I224,9)</f>
        <v>11.21</v>
      </c>
      <c r="CY577">
        <f t="shared" si="246"/>
        <v>781.45</v>
      </c>
      <c r="CZ577">
        <f t="shared" si="247"/>
        <v>53.42</v>
      </c>
      <c r="DA577">
        <f t="shared" si="248"/>
        <v>14.23</v>
      </c>
      <c r="DB577">
        <f t="shared" si="249"/>
        <v>31.52</v>
      </c>
      <c r="DC577">
        <f t="shared" si="250"/>
        <v>0</v>
      </c>
      <c r="DD577" t="s">
        <v>3</v>
      </c>
      <c r="DE577" t="s">
        <v>3</v>
      </c>
      <c r="DF577">
        <f t="shared" si="251"/>
        <v>8521.51</v>
      </c>
      <c r="DG577">
        <f t="shared" si="252"/>
        <v>0</v>
      </c>
      <c r="DH577">
        <f t="shared" si="244"/>
        <v>0</v>
      </c>
      <c r="DI577">
        <f t="shared" ref="DI577:DI644" si="254">ROUND(ROUND(AH577,2)*CX577,2)</f>
        <v>0</v>
      </c>
      <c r="DJ577">
        <f t="shared" si="253"/>
        <v>8521.51</v>
      </c>
      <c r="DK577">
        <v>0</v>
      </c>
      <c r="DL577" t="s">
        <v>3</v>
      </c>
      <c r="DM577">
        <v>0</v>
      </c>
      <c r="DN577" t="s">
        <v>3</v>
      </c>
      <c r="DO577">
        <v>0</v>
      </c>
    </row>
    <row r="578" spans="1:119" x14ac:dyDescent="0.2">
      <c r="A578">
        <f>ROW(Source!A224)</f>
        <v>224</v>
      </c>
      <c r="B578">
        <v>85739207</v>
      </c>
      <c r="C578">
        <v>85740108</v>
      </c>
      <c r="D578">
        <v>85199158</v>
      </c>
      <c r="E578">
        <v>1</v>
      </c>
      <c r="F578">
        <v>1</v>
      </c>
      <c r="G578">
        <v>1081</v>
      </c>
      <c r="H578">
        <v>3</v>
      </c>
      <c r="I578" t="s">
        <v>503</v>
      </c>
      <c r="J578" t="s">
        <v>504</v>
      </c>
      <c r="K578" t="s">
        <v>505</v>
      </c>
      <c r="L578">
        <v>1339</v>
      </c>
      <c r="N578">
        <v>1007</v>
      </c>
      <c r="O578" t="s">
        <v>506</v>
      </c>
      <c r="P578" t="s">
        <v>506</v>
      </c>
      <c r="Q578">
        <v>1</v>
      </c>
      <c r="W578">
        <v>0</v>
      </c>
      <c r="X578">
        <v>-1235260082</v>
      </c>
      <c r="Y578">
        <f t="shared" si="245"/>
        <v>0.76</v>
      </c>
      <c r="AA578">
        <v>104.16</v>
      </c>
      <c r="AB578">
        <v>0</v>
      </c>
      <c r="AC578">
        <v>0</v>
      </c>
      <c r="AD578">
        <v>0</v>
      </c>
      <c r="AE578">
        <v>5.82</v>
      </c>
      <c r="AF578">
        <v>0</v>
      </c>
      <c r="AG578">
        <v>0</v>
      </c>
      <c r="AH578">
        <v>0</v>
      </c>
      <c r="AI578">
        <v>17.41</v>
      </c>
      <c r="AJ578">
        <v>1</v>
      </c>
      <c r="AK578">
        <v>1</v>
      </c>
      <c r="AL578">
        <v>1</v>
      </c>
      <c r="AM578">
        <v>2</v>
      </c>
      <c r="AN578">
        <v>0</v>
      </c>
      <c r="AO578">
        <v>1</v>
      </c>
      <c r="AP578">
        <v>1</v>
      </c>
      <c r="AQ578">
        <v>0</v>
      </c>
      <c r="AR578">
        <v>0</v>
      </c>
      <c r="AS578" t="s">
        <v>3</v>
      </c>
      <c r="AT578">
        <v>0.76</v>
      </c>
      <c r="AU578" t="s">
        <v>35</v>
      </c>
      <c r="AV578">
        <v>0</v>
      </c>
      <c r="AW578">
        <v>2</v>
      </c>
      <c r="AX578">
        <v>85740137</v>
      </c>
      <c r="AY578">
        <v>1</v>
      </c>
      <c r="AZ578">
        <v>0</v>
      </c>
      <c r="BA578">
        <v>588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V578">
        <v>0</v>
      </c>
      <c r="CW578">
        <v>0</v>
      </c>
      <c r="CX578">
        <f>ROUND(Y578*Source!I224,9)</f>
        <v>14.44</v>
      </c>
      <c r="CY578">
        <f t="shared" si="246"/>
        <v>104.16</v>
      </c>
      <c r="CZ578">
        <f t="shared" si="247"/>
        <v>5.82</v>
      </c>
      <c r="DA578">
        <f t="shared" si="248"/>
        <v>17.41</v>
      </c>
      <c r="DB578">
        <f t="shared" si="249"/>
        <v>4.42</v>
      </c>
      <c r="DC578">
        <f t="shared" si="250"/>
        <v>0</v>
      </c>
      <c r="DD578" t="s">
        <v>3</v>
      </c>
      <c r="DE578" t="s">
        <v>3</v>
      </c>
      <c r="DF578">
        <f t="shared" si="251"/>
        <v>1463.21</v>
      </c>
      <c r="DG578">
        <f t="shared" si="252"/>
        <v>0</v>
      </c>
      <c r="DH578">
        <f t="shared" si="244"/>
        <v>0</v>
      </c>
      <c r="DI578">
        <f t="shared" si="254"/>
        <v>0</v>
      </c>
      <c r="DJ578">
        <f t="shared" si="253"/>
        <v>1463.21</v>
      </c>
      <c r="DK578">
        <v>0</v>
      </c>
      <c r="DL578" t="s">
        <v>3</v>
      </c>
      <c r="DM578">
        <v>0</v>
      </c>
      <c r="DN578" t="s">
        <v>3</v>
      </c>
      <c r="DO578">
        <v>0</v>
      </c>
    </row>
    <row r="579" spans="1:119" x14ac:dyDescent="0.2">
      <c r="A579">
        <f>ROW(Source!A224)</f>
        <v>224</v>
      </c>
      <c r="B579">
        <v>85739207</v>
      </c>
      <c r="C579">
        <v>85740108</v>
      </c>
      <c r="D579">
        <v>85211457</v>
      </c>
      <c r="E579">
        <v>1</v>
      </c>
      <c r="F579">
        <v>1</v>
      </c>
      <c r="G579">
        <v>1081</v>
      </c>
      <c r="H579">
        <v>3</v>
      </c>
      <c r="I579" t="s">
        <v>415</v>
      </c>
      <c r="J579" t="s">
        <v>417</v>
      </c>
      <c r="K579" t="s">
        <v>416</v>
      </c>
      <c r="L579">
        <v>1301</v>
      </c>
      <c r="N579">
        <v>1003</v>
      </c>
      <c r="O579" t="s">
        <v>179</v>
      </c>
      <c r="P579" t="s">
        <v>179</v>
      </c>
      <c r="Q579">
        <v>1</v>
      </c>
      <c r="W579">
        <v>0</v>
      </c>
      <c r="X579">
        <v>935342670</v>
      </c>
      <c r="Y579">
        <f t="shared" si="245"/>
        <v>10.57894737</v>
      </c>
      <c r="AA579">
        <v>581.4</v>
      </c>
      <c r="AB579">
        <v>0</v>
      </c>
      <c r="AC579">
        <v>0</v>
      </c>
      <c r="AD579">
        <v>0</v>
      </c>
      <c r="AE579">
        <v>31.41</v>
      </c>
      <c r="AF579">
        <v>0</v>
      </c>
      <c r="AG579">
        <v>0</v>
      </c>
      <c r="AH579">
        <v>0</v>
      </c>
      <c r="AI579">
        <v>18.510000000000002</v>
      </c>
      <c r="AJ579">
        <v>1</v>
      </c>
      <c r="AK579">
        <v>1</v>
      </c>
      <c r="AL579">
        <v>1</v>
      </c>
      <c r="AM579">
        <v>0</v>
      </c>
      <c r="AN579">
        <v>0</v>
      </c>
      <c r="AO579">
        <v>0</v>
      </c>
      <c r="AP579">
        <v>1</v>
      </c>
      <c r="AQ579">
        <v>0</v>
      </c>
      <c r="AR579">
        <v>0</v>
      </c>
      <c r="AS579" t="s">
        <v>3</v>
      </c>
      <c r="AT579">
        <v>10.57894737</v>
      </c>
      <c r="AU579" t="s">
        <v>35</v>
      </c>
      <c r="AV579">
        <v>0</v>
      </c>
      <c r="AW579">
        <v>1</v>
      </c>
      <c r="AX579">
        <v>-1</v>
      </c>
      <c r="AY579">
        <v>0</v>
      </c>
      <c r="AZ579">
        <v>0</v>
      </c>
      <c r="BA579" t="s">
        <v>3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V579">
        <v>0</v>
      </c>
      <c r="CW579">
        <v>0</v>
      </c>
      <c r="CX579">
        <f>ROUND(Y579*Source!I224,9)</f>
        <v>201.00000003</v>
      </c>
      <c r="CY579">
        <f t="shared" si="246"/>
        <v>581.4</v>
      </c>
      <c r="CZ579">
        <f t="shared" si="247"/>
        <v>31.41</v>
      </c>
      <c r="DA579">
        <f t="shared" si="248"/>
        <v>18.510000000000002</v>
      </c>
      <c r="DB579">
        <f t="shared" si="249"/>
        <v>332.28</v>
      </c>
      <c r="DC579">
        <f t="shared" si="250"/>
        <v>0</v>
      </c>
      <c r="DD579" t="s">
        <v>3</v>
      </c>
      <c r="DE579" t="s">
        <v>3</v>
      </c>
      <c r="DF579">
        <f t="shared" si="251"/>
        <v>116861.4</v>
      </c>
      <c r="DG579">
        <f t="shared" si="252"/>
        <v>0</v>
      </c>
      <c r="DH579">
        <f t="shared" si="244"/>
        <v>0</v>
      </c>
      <c r="DI579">
        <f t="shared" si="254"/>
        <v>0</v>
      </c>
      <c r="DJ579">
        <f t="shared" si="253"/>
        <v>116861.4</v>
      </c>
      <c r="DK579">
        <v>0</v>
      </c>
      <c r="DL579" t="s">
        <v>3</v>
      </c>
      <c r="DM579">
        <v>0</v>
      </c>
      <c r="DN579" t="s">
        <v>3</v>
      </c>
      <c r="DO579">
        <v>0</v>
      </c>
    </row>
    <row r="580" spans="1:119" x14ac:dyDescent="0.2">
      <c r="A580">
        <f>ROW(Source!A224)</f>
        <v>224</v>
      </c>
      <c r="B580">
        <v>85739207</v>
      </c>
      <c r="C580">
        <v>85740108</v>
      </c>
      <c r="D580">
        <v>85211459</v>
      </c>
      <c r="E580">
        <v>1</v>
      </c>
      <c r="F580">
        <v>1</v>
      </c>
      <c r="G580">
        <v>1081</v>
      </c>
      <c r="H580">
        <v>3</v>
      </c>
      <c r="I580" t="s">
        <v>206</v>
      </c>
      <c r="J580" t="s">
        <v>208</v>
      </c>
      <c r="K580" t="s">
        <v>207</v>
      </c>
      <c r="L580">
        <v>1301</v>
      </c>
      <c r="N580">
        <v>1003</v>
      </c>
      <c r="O580" t="s">
        <v>179</v>
      </c>
      <c r="P580" t="s">
        <v>179</v>
      </c>
      <c r="Q580">
        <v>1</v>
      </c>
      <c r="W580">
        <v>0</v>
      </c>
      <c r="X580">
        <v>-173671470</v>
      </c>
      <c r="Y580">
        <f t="shared" si="245"/>
        <v>47.60526316</v>
      </c>
      <c r="AA580">
        <v>1062.52</v>
      </c>
      <c r="AB580">
        <v>0</v>
      </c>
      <c r="AC580">
        <v>0</v>
      </c>
      <c r="AD580">
        <v>0</v>
      </c>
      <c r="AE580">
        <v>51.28</v>
      </c>
      <c r="AF580">
        <v>0</v>
      </c>
      <c r="AG580">
        <v>0</v>
      </c>
      <c r="AH580">
        <v>0</v>
      </c>
      <c r="AI580">
        <v>20.72</v>
      </c>
      <c r="AJ580">
        <v>1</v>
      </c>
      <c r="AK580">
        <v>1</v>
      </c>
      <c r="AL580">
        <v>1</v>
      </c>
      <c r="AM580">
        <v>0</v>
      </c>
      <c r="AN580">
        <v>0</v>
      </c>
      <c r="AO580">
        <v>0</v>
      </c>
      <c r="AP580">
        <v>1</v>
      </c>
      <c r="AQ580">
        <v>0</v>
      </c>
      <c r="AR580">
        <v>0</v>
      </c>
      <c r="AS580" t="s">
        <v>3</v>
      </c>
      <c r="AT580">
        <v>47.60526316</v>
      </c>
      <c r="AU580" t="s">
        <v>35</v>
      </c>
      <c r="AV580">
        <v>0</v>
      </c>
      <c r="AW580">
        <v>1</v>
      </c>
      <c r="AX580">
        <v>-1</v>
      </c>
      <c r="AY580">
        <v>0</v>
      </c>
      <c r="AZ580">
        <v>0</v>
      </c>
      <c r="BA580" t="s">
        <v>3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V580">
        <v>0</v>
      </c>
      <c r="CW580">
        <v>0</v>
      </c>
      <c r="CX580">
        <f>ROUND(Y580*Source!I224,9)</f>
        <v>904.50000004000003</v>
      </c>
      <c r="CY580">
        <f t="shared" si="246"/>
        <v>1062.52</v>
      </c>
      <c r="CZ580">
        <f t="shared" si="247"/>
        <v>51.28</v>
      </c>
      <c r="DA580">
        <f t="shared" si="248"/>
        <v>20.72</v>
      </c>
      <c r="DB580">
        <f t="shared" si="249"/>
        <v>2441.1999999999998</v>
      </c>
      <c r="DC580">
        <f t="shared" si="250"/>
        <v>0</v>
      </c>
      <c r="DD580" t="s">
        <v>3</v>
      </c>
      <c r="DE580" t="s">
        <v>3</v>
      </c>
      <c r="DF580">
        <f t="shared" si="251"/>
        <v>961049.34</v>
      </c>
      <c r="DG580">
        <f t="shared" si="252"/>
        <v>0</v>
      </c>
      <c r="DH580">
        <f t="shared" si="244"/>
        <v>0</v>
      </c>
      <c r="DI580">
        <f t="shared" si="254"/>
        <v>0</v>
      </c>
      <c r="DJ580">
        <f t="shared" si="253"/>
        <v>961049.34</v>
      </c>
      <c r="DK580">
        <v>0</v>
      </c>
      <c r="DL580" t="s">
        <v>3</v>
      </c>
      <c r="DM580">
        <v>0</v>
      </c>
      <c r="DN580" t="s">
        <v>3</v>
      </c>
      <c r="DO580">
        <v>0</v>
      </c>
    </row>
    <row r="581" spans="1:119" x14ac:dyDescent="0.2">
      <c r="A581">
        <f>ROW(Source!A224)</f>
        <v>224</v>
      </c>
      <c r="B581">
        <v>85739207</v>
      </c>
      <c r="C581">
        <v>85740108</v>
      </c>
      <c r="D581">
        <v>85211460</v>
      </c>
      <c r="E581">
        <v>1</v>
      </c>
      <c r="F581">
        <v>1</v>
      </c>
      <c r="G581">
        <v>1081</v>
      </c>
      <c r="H581">
        <v>3</v>
      </c>
      <c r="I581" t="s">
        <v>408</v>
      </c>
      <c r="J581" t="s">
        <v>410</v>
      </c>
      <c r="K581" t="s">
        <v>409</v>
      </c>
      <c r="L581">
        <v>1301</v>
      </c>
      <c r="N581">
        <v>1003</v>
      </c>
      <c r="O581" t="s">
        <v>179</v>
      </c>
      <c r="P581" t="s">
        <v>179</v>
      </c>
      <c r="Q581">
        <v>1</v>
      </c>
      <c r="W581">
        <v>0</v>
      </c>
      <c r="X581">
        <v>-2119850974</v>
      </c>
      <c r="Y581">
        <f t="shared" si="245"/>
        <v>42.315789469999999</v>
      </c>
      <c r="AA581">
        <v>732.19</v>
      </c>
      <c r="AB581">
        <v>0</v>
      </c>
      <c r="AC581">
        <v>0</v>
      </c>
      <c r="AD581">
        <v>0</v>
      </c>
      <c r="AE581">
        <v>61.58</v>
      </c>
      <c r="AF581">
        <v>0</v>
      </c>
      <c r="AG581">
        <v>0</v>
      </c>
      <c r="AH581">
        <v>0</v>
      </c>
      <c r="AI581">
        <v>11.89</v>
      </c>
      <c r="AJ581">
        <v>1</v>
      </c>
      <c r="AK581">
        <v>1</v>
      </c>
      <c r="AL581">
        <v>1</v>
      </c>
      <c r="AM581">
        <v>0</v>
      </c>
      <c r="AN581">
        <v>0</v>
      </c>
      <c r="AO581">
        <v>0</v>
      </c>
      <c r="AP581">
        <v>1</v>
      </c>
      <c r="AQ581">
        <v>0</v>
      </c>
      <c r="AR581">
        <v>0</v>
      </c>
      <c r="AS581" t="s">
        <v>3</v>
      </c>
      <c r="AT581">
        <v>42.315789469999999</v>
      </c>
      <c r="AU581" t="s">
        <v>35</v>
      </c>
      <c r="AV581">
        <v>0</v>
      </c>
      <c r="AW581">
        <v>1</v>
      </c>
      <c r="AX581">
        <v>-1</v>
      </c>
      <c r="AY581">
        <v>0</v>
      </c>
      <c r="AZ581">
        <v>0</v>
      </c>
      <c r="BA581" t="s">
        <v>3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V581">
        <v>0</v>
      </c>
      <c r="CW581">
        <v>0</v>
      </c>
      <c r="CX581">
        <f>ROUND(Y581*Source!I224,9)</f>
        <v>803.99999992999994</v>
      </c>
      <c r="CY581">
        <f t="shared" si="246"/>
        <v>732.19</v>
      </c>
      <c r="CZ581">
        <f t="shared" si="247"/>
        <v>61.58</v>
      </c>
      <c r="DA581">
        <f t="shared" si="248"/>
        <v>11.89</v>
      </c>
      <c r="DB581">
        <f t="shared" si="249"/>
        <v>2605.81</v>
      </c>
      <c r="DC581">
        <f t="shared" si="250"/>
        <v>0</v>
      </c>
      <c r="DD581" t="s">
        <v>3</v>
      </c>
      <c r="DE581" t="s">
        <v>3</v>
      </c>
      <c r="DF581">
        <f t="shared" si="251"/>
        <v>588680.76</v>
      </c>
      <c r="DG581">
        <f t="shared" si="252"/>
        <v>0</v>
      </c>
      <c r="DH581">
        <f t="shared" si="244"/>
        <v>0</v>
      </c>
      <c r="DI581">
        <f t="shared" si="254"/>
        <v>0</v>
      </c>
      <c r="DJ581">
        <f t="shared" si="253"/>
        <v>588680.76</v>
      </c>
      <c r="DK581">
        <v>0</v>
      </c>
      <c r="DL581" t="s">
        <v>3</v>
      </c>
      <c r="DM581">
        <v>0</v>
      </c>
      <c r="DN581" t="s">
        <v>3</v>
      </c>
      <c r="DO581">
        <v>0</v>
      </c>
    </row>
    <row r="582" spans="1:119" x14ac:dyDescent="0.2">
      <c r="A582">
        <f>ROW(Source!A224)</f>
        <v>224</v>
      </c>
      <c r="B582">
        <v>85739207</v>
      </c>
      <c r="C582">
        <v>85740108</v>
      </c>
      <c r="D582">
        <v>85221547</v>
      </c>
      <c r="E582">
        <v>1</v>
      </c>
      <c r="F582">
        <v>1</v>
      </c>
      <c r="G582">
        <v>1081</v>
      </c>
      <c r="H582">
        <v>3</v>
      </c>
      <c r="I582" t="s">
        <v>564</v>
      </c>
      <c r="J582" t="s">
        <v>565</v>
      </c>
      <c r="K582" t="s">
        <v>566</v>
      </c>
      <c r="L582">
        <v>1354</v>
      </c>
      <c r="N582">
        <v>1010</v>
      </c>
      <c r="O582" t="s">
        <v>99</v>
      </c>
      <c r="P582" t="s">
        <v>99</v>
      </c>
      <c r="Q582">
        <v>1</v>
      </c>
      <c r="W582">
        <v>0</v>
      </c>
      <c r="X582">
        <v>483106430</v>
      </c>
      <c r="Y582">
        <f t="shared" si="245"/>
        <v>36</v>
      </c>
      <c r="AA582">
        <v>17.47</v>
      </c>
      <c r="AB582">
        <v>0</v>
      </c>
      <c r="AC582">
        <v>0</v>
      </c>
      <c r="AD582">
        <v>0</v>
      </c>
      <c r="AE582">
        <v>14.28</v>
      </c>
      <c r="AF582">
        <v>0</v>
      </c>
      <c r="AG582">
        <v>0</v>
      </c>
      <c r="AH582">
        <v>0</v>
      </c>
      <c r="AI582">
        <v>1.19</v>
      </c>
      <c r="AJ582">
        <v>1</v>
      </c>
      <c r="AK582">
        <v>1</v>
      </c>
      <c r="AL582">
        <v>1</v>
      </c>
      <c r="AM582">
        <v>2</v>
      </c>
      <c r="AN582">
        <v>0</v>
      </c>
      <c r="AO582">
        <v>1</v>
      </c>
      <c r="AP582">
        <v>1</v>
      </c>
      <c r="AQ582">
        <v>0</v>
      </c>
      <c r="AR582">
        <v>0</v>
      </c>
      <c r="AS582" t="s">
        <v>3</v>
      </c>
      <c r="AT582">
        <v>36</v>
      </c>
      <c r="AU582" t="s">
        <v>35</v>
      </c>
      <c r="AV582">
        <v>0</v>
      </c>
      <c r="AW582">
        <v>2</v>
      </c>
      <c r="AX582">
        <v>85740138</v>
      </c>
      <c r="AY582">
        <v>1</v>
      </c>
      <c r="AZ582">
        <v>0</v>
      </c>
      <c r="BA582">
        <v>589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V582">
        <v>0</v>
      </c>
      <c r="CW582">
        <v>0</v>
      </c>
      <c r="CX582">
        <f>ROUND(Y582*Source!I224,9)</f>
        <v>684</v>
      </c>
      <c r="CY582">
        <f t="shared" si="246"/>
        <v>17.47</v>
      </c>
      <c r="CZ582">
        <f t="shared" si="247"/>
        <v>14.28</v>
      </c>
      <c r="DA582">
        <f t="shared" si="248"/>
        <v>1.19</v>
      </c>
      <c r="DB582">
        <f t="shared" si="249"/>
        <v>514.08000000000004</v>
      </c>
      <c r="DC582">
        <f t="shared" si="250"/>
        <v>0</v>
      </c>
      <c r="DD582" t="s">
        <v>3</v>
      </c>
      <c r="DE582" t="s">
        <v>3</v>
      </c>
      <c r="DF582">
        <f t="shared" si="251"/>
        <v>11621.16</v>
      </c>
      <c r="DG582">
        <f t="shared" si="252"/>
        <v>0</v>
      </c>
      <c r="DH582">
        <f t="shared" si="244"/>
        <v>0</v>
      </c>
      <c r="DI582">
        <f t="shared" si="254"/>
        <v>0</v>
      </c>
      <c r="DJ582">
        <f t="shared" si="253"/>
        <v>11621.16</v>
      </c>
      <c r="DK582">
        <v>0</v>
      </c>
      <c r="DL582" t="s">
        <v>3</v>
      </c>
      <c r="DM582">
        <v>0</v>
      </c>
      <c r="DN582" t="s">
        <v>3</v>
      </c>
      <c r="DO582">
        <v>0</v>
      </c>
    </row>
    <row r="583" spans="1:119" x14ac:dyDescent="0.2">
      <c r="A583">
        <f>ROW(Source!A231)</f>
        <v>231</v>
      </c>
      <c r="B583">
        <v>85739205</v>
      </c>
      <c r="C583">
        <v>85740046</v>
      </c>
      <c r="D583">
        <v>85164021</v>
      </c>
      <c r="E583">
        <v>1081</v>
      </c>
      <c r="F583">
        <v>1</v>
      </c>
      <c r="G583">
        <v>1081</v>
      </c>
      <c r="H583">
        <v>1</v>
      </c>
      <c r="I583" t="s">
        <v>472</v>
      </c>
      <c r="J583" t="s">
        <v>3</v>
      </c>
      <c r="K583" t="s">
        <v>473</v>
      </c>
      <c r="L583">
        <v>1191</v>
      </c>
      <c r="N583">
        <v>1013</v>
      </c>
      <c r="O583" t="s">
        <v>474</v>
      </c>
      <c r="P583" t="s">
        <v>474</v>
      </c>
      <c r="Q583">
        <v>1</v>
      </c>
      <c r="W583">
        <v>0</v>
      </c>
      <c r="X583">
        <v>476480486</v>
      </c>
      <c r="Y583">
        <f>(AT583*1.2)</f>
        <v>134.4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1</v>
      </c>
      <c r="AK583">
        <v>1</v>
      </c>
      <c r="AL583">
        <v>1</v>
      </c>
      <c r="AM583">
        <v>-2</v>
      </c>
      <c r="AN583">
        <v>0</v>
      </c>
      <c r="AO583">
        <v>1</v>
      </c>
      <c r="AP583">
        <v>1</v>
      </c>
      <c r="AQ583">
        <v>0</v>
      </c>
      <c r="AR583">
        <v>0</v>
      </c>
      <c r="AS583" t="s">
        <v>3</v>
      </c>
      <c r="AT583">
        <v>112</v>
      </c>
      <c r="AU583" t="s">
        <v>36</v>
      </c>
      <c r="AV583">
        <v>1</v>
      </c>
      <c r="AW583">
        <v>2</v>
      </c>
      <c r="AX583">
        <v>85740165</v>
      </c>
      <c r="AY583">
        <v>1</v>
      </c>
      <c r="AZ583">
        <v>0</v>
      </c>
      <c r="BA583">
        <v>591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U583">
        <f>ROUND(AT583*Source!I231*AH583*AL583,2)</f>
        <v>0</v>
      </c>
      <c r="CV583">
        <f>ROUND(Y583*Source!I231,9)</f>
        <v>221.76</v>
      </c>
      <c r="CW583">
        <v>0</v>
      </c>
      <c r="CX583">
        <f>ROUND(Y583*Source!I231,9)</f>
        <v>221.76</v>
      </c>
      <c r="CY583">
        <f>AD583</f>
        <v>0</v>
      </c>
      <c r="CZ583">
        <f>AH583</f>
        <v>0</v>
      </c>
      <c r="DA583">
        <f>AL583</f>
        <v>1</v>
      </c>
      <c r="DB583">
        <f>ROUND((ROUND(AT583*CZ583,2)*1.2),6)</f>
        <v>0</v>
      </c>
      <c r="DC583">
        <f>ROUND((ROUND(AT583*AG583,2)*1.2),6)</f>
        <v>0</v>
      </c>
      <c r="DD583" t="s">
        <v>3</v>
      </c>
      <c r="DE583" t="s">
        <v>3</v>
      </c>
      <c r="DF583">
        <f>ROUND(ROUND(AE583,2)*CX583,2)</f>
        <v>0</v>
      </c>
      <c r="DG583">
        <f t="shared" si="252"/>
        <v>0</v>
      </c>
      <c r="DH583">
        <f t="shared" si="244"/>
        <v>0</v>
      </c>
      <c r="DI583">
        <f t="shared" si="254"/>
        <v>0</v>
      </c>
      <c r="DJ583">
        <f>DI583</f>
        <v>0</v>
      </c>
      <c r="DK583">
        <v>0</v>
      </c>
      <c r="DL583" t="s">
        <v>3</v>
      </c>
      <c r="DM583">
        <v>0</v>
      </c>
      <c r="DN583" t="s">
        <v>3</v>
      </c>
      <c r="DO583">
        <v>0</v>
      </c>
    </row>
    <row r="584" spans="1:119" x14ac:dyDescent="0.2">
      <c r="A584">
        <f>ROW(Source!A231)</f>
        <v>231</v>
      </c>
      <c r="B584">
        <v>85739205</v>
      </c>
      <c r="C584">
        <v>85740046</v>
      </c>
      <c r="D584">
        <v>85199635</v>
      </c>
      <c r="E584">
        <v>1</v>
      </c>
      <c r="F584">
        <v>1</v>
      </c>
      <c r="G584">
        <v>1081</v>
      </c>
      <c r="H584">
        <v>3</v>
      </c>
      <c r="I584" t="s">
        <v>618</v>
      </c>
      <c r="J584" t="s">
        <v>619</v>
      </c>
      <c r="K584" t="s">
        <v>620</v>
      </c>
      <c r="L584">
        <v>1348</v>
      </c>
      <c r="N584">
        <v>1009</v>
      </c>
      <c r="O584" t="s">
        <v>266</v>
      </c>
      <c r="P584" t="s">
        <v>266</v>
      </c>
      <c r="Q584">
        <v>1000</v>
      </c>
      <c r="W584">
        <v>0</v>
      </c>
      <c r="X584">
        <v>-822207775</v>
      </c>
      <c r="Y584">
        <f>(AT584*1)</f>
        <v>9.4E-2</v>
      </c>
      <c r="AA584">
        <v>7512.16</v>
      </c>
      <c r="AB584">
        <v>0</v>
      </c>
      <c r="AC584">
        <v>0</v>
      </c>
      <c r="AD584">
        <v>0</v>
      </c>
      <c r="AE584">
        <v>7512.16</v>
      </c>
      <c r="AF584">
        <v>0</v>
      </c>
      <c r="AG584">
        <v>0</v>
      </c>
      <c r="AH584">
        <v>0</v>
      </c>
      <c r="AI584">
        <v>1</v>
      </c>
      <c r="AJ584">
        <v>1</v>
      </c>
      <c r="AK584">
        <v>1</v>
      </c>
      <c r="AL584">
        <v>1</v>
      </c>
      <c r="AM584">
        <v>-2</v>
      </c>
      <c r="AN584">
        <v>0</v>
      </c>
      <c r="AO584">
        <v>1</v>
      </c>
      <c r="AP584">
        <v>1</v>
      </c>
      <c r="AQ584">
        <v>0</v>
      </c>
      <c r="AR584">
        <v>0</v>
      </c>
      <c r="AS584" t="s">
        <v>3</v>
      </c>
      <c r="AT584">
        <v>9.4E-2</v>
      </c>
      <c r="AU584" t="s">
        <v>35</v>
      </c>
      <c r="AV584">
        <v>0</v>
      </c>
      <c r="AW584">
        <v>2</v>
      </c>
      <c r="AX584">
        <v>85740166</v>
      </c>
      <c r="AY584">
        <v>1</v>
      </c>
      <c r="AZ584">
        <v>0</v>
      </c>
      <c r="BA584">
        <v>592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v>0</v>
      </c>
      <c r="CX584">
        <f>ROUND(Y584*Source!I231,9)</f>
        <v>0.15509999999999999</v>
      </c>
      <c r="CY584">
        <f>AA584</f>
        <v>7512.16</v>
      </c>
      <c r="CZ584">
        <f>AE584</f>
        <v>7512.16</v>
      </c>
      <c r="DA584">
        <f>AI584</f>
        <v>1</v>
      </c>
      <c r="DB584">
        <f>ROUND((ROUND(AT584*CZ584,2)*1),6)</f>
        <v>706.14</v>
      </c>
      <c r="DC584">
        <f>ROUND((ROUND(AT584*AG584,2)*1),6)</f>
        <v>0</v>
      </c>
      <c r="DD584" t="s">
        <v>3</v>
      </c>
      <c r="DE584" t="s">
        <v>3</v>
      </c>
      <c r="DF584">
        <f>ROUND(ROUND(AE584,2)*CX584,2)</f>
        <v>1165.1400000000001</v>
      </c>
      <c r="DG584">
        <f t="shared" si="252"/>
        <v>0</v>
      </c>
      <c r="DH584">
        <f t="shared" si="244"/>
        <v>0</v>
      </c>
      <c r="DI584">
        <f t="shared" si="254"/>
        <v>0</v>
      </c>
      <c r="DJ584">
        <f>DF584</f>
        <v>1165.1400000000001</v>
      </c>
      <c r="DK584">
        <v>0</v>
      </c>
      <c r="DL584" t="s">
        <v>3</v>
      </c>
      <c r="DM584">
        <v>0</v>
      </c>
      <c r="DN584" t="s">
        <v>3</v>
      </c>
      <c r="DO584">
        <v>0</v>
      </c>
    </row>
    <row r="585" spans="1:119" x14ac:dyDescent="0.2">
      <c r="A585">
        <f>ROW(Source!A231)</f>
        <v>231</v>
      </c>
      <c r="B585">
        <v>85739205</v>
      </c>
      <c r="C585">
        <v>85740046</v>
      </c>
      <c r="D585">
        <v>85200112</v>
      </c>
      <c r="E585">
        <v>1</v>
      </c>
      <c r="F585">
        <v>1</v>
      </c>
      <c r="G585">
        <v>1081</v>
      </c>
      <c r="H585">
        <v>3</v>
      </c>
      <c r="I585" t="s">
        <v>621</v>
      </c>
      <c r="J585" t="s">
        <v>622</v>
      </c>
      <c r="K585" t="s">
        <v>623</v>
      </c>
      <c r="L585">
        <v>1348</v>
      </c>
      <c r="N585">
        <v>1009</v>
      </c>
      <c r="O585" t="s">
        <v>266</v>
      </c>
      <c r="P585" t="s">
        <v>266</v>
      </c>
      <c r="Q585">
        <v>1000</v>
      </c>
      <c r="W585">
        <v>0</v>
      </c>
      <c r="X585">
        <v>1973587816</v>
      </c>
      <c r="Y585">
        <f>(AT585*1)</f>
        <v>2.4E-2</v>
      </c>
      <c r="AA585">
        <v>20481.349999999999</v>
      </c>
      <c r="AB585">
        <v>0</v>
      </c>
      <c r="AC585">
        <v>0</v>
      </c>
      <c r="AD585">
        <v>0</v>
      </c>
      <c r="AE585">
        <v>20481.349999999999</v>
      </c>
      <c r="AF585">
        <v>0</v>
      </c>
      <c r="AG585">
        <v>0</v>
      </c>
      <c r="AH585">
        <v>0</v>
      </c>
      <c r="AI585">
        <v>1</v>
      </c>
      <c r="AJ585">
        <v>1</v>
      </c>
      <c r="AK585">
        <v>1</v>
      </c>
      <c r="AL585">
        <v>1</v>
      </c>
      <c r="AM585">
        <v>-2</v>
      </c>
      <c r="AN585">
        <v>0</v>
      </c>
      <c r="AO585">
        <v>1</v>
      </c>
      <c r="AP585">
        <v>1</v>
      </c>
      <c r="AQ585">
        <v>0</v>
      </c>
      <c r="AR585">
        <v>0</v>
      </c>
      <c r="AS585" t="s">
        <v>3</v>
      </c>
      <c r="AT585">
        <v>2.4E-2</v>
      </c>
      <c r="AU585" t="s">
        <v>35</v>
      </c>
      <c r="AV585">
        <v>0</v>
      </c>
      <c r="AW585">
        <v>2</v>
      </c>
      <c r="AX585">
        <v>85740167</v>
      </c>
      <c r="AY585">
        <v>1</v>
      </c>
      <c r="AZ585">
        <v>0</v>
      </c>
      <c r="BA585">
        <v>593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V585">
        <v>0</v>
      </c>
      <c r="CW585">
        <v>0</v>
      </c>
      <c r="CX585">
        <f>ROUND(Y585*Source!I231,9)</f>
        <v>3.9600000000000003E-2</v>
      </c>
      <c r="CY585">
        <f>AA585</f>
        <v>20481.349999999999</v>
      </c>
      <c r="CZ585">
        <f>AE585</f>
        <v>20481.349999999999</v>
      </c>
      <c r="DA585">
        <f>AI585</f>
        <v>1</v>
      </c>
      <c r="DB585">
        <f>ROUND((ROUND(AT585*CZ585,2)*1),6)</f>
        <v>491.55</v>
      </c>
      <c r="DC585">
        <f>ROUND((ROUND(AT585*AG585,2)*1),6)</f>
        <v>0</v>
      </c>
      <c r="DD585" t="s">
        <v>3</v>
      </c>
      <c r="DE585" t="s">
        <v>3</v>
      </c>
      <c r="DF585">
        <f>ROUND(ROUND(AE585,2)*CX585,2)</f>
        <v>811.06</v>
      </c>
      <c r="DG585">
        <f t="shared" si="252"/>
        <v>0</v>
      </c>
      <c r="DH585">
        <f t="shared" si="244"/>
        <v>0</v>
      </c>
      <c r="DI585">
        <f t="shared" si="254"/>
        <v>0</v>
      </c>
      <c r="DJ585">
        <f>DF585</f>
        <v>811.06</v>
      </c>
      <c r="DK585">
        <v>0</v>
      </c>
      <c r="DL585" t="s">
        <v>3</v>
      </c>
      <c r="DM585">
        <v>0</v>
      </c>
      <c r="DN585" t="s">
        <v>3</v>
      </c>
      <c r="DO585">
        <v>0</v>
      </c>
    </row>
    <row r="586" spans="1:119" x14ac:dyDescent="0.2">
      <c r="A586">
        <f>ROW(Source!A231)</f>
        <v>231</v>
      </c>
      <c r="B586">
        <v>85739205</v>
      </c>
      <c r="C586">
        <v>85740046</v>
      </c>
      <c r="D586">
        <v>85198911</v>
      </c>
      <c r="E586">
        <v>1</v>
      </c>
      <c r="F586">
        <v>1</v>
      </c>
      <c r="G586">
        <v>1081</v>
      </c>
      <c r="H586">
        <v>3</v>
      </c>
      <c r="I586" t="s">
        <v>615</v>
      </c>
      <c r="J586" t="s">
        <v>616</v>
      </c>
      <c r="K586" t="s">
        <v>617</v>
      </c>
      <c r="L586">
        <v>1348</v>
      </c>
      <c r="N586">
        <v>1009</v>
      </c>
      <c r="O586" t="s">
        <v>266</v>
      </c>
      <c r="P586" t="s">
        <v>266</v>
      </c>
      <c r="Q586">
        <v>1000</v>
      </c>
      <c r="W586">
        <v>0</v>
      </c>
      <c r="X586">
        <v>-268464753</v>
      </c>
      <c r="Y586">
        <f>(AT586*1)</f>
        <v>7.1999999999999995E-2</v>
      </c>
      <c r="AA586">
        <v>17868.28</v>
      </c>
      <c r="AB586">
        <v>0</v>
      </c>
      <c r="AC586">
        <v>0</v>
      </c>
      <c r="AD586">
        <v>0</v>
      </c>
      <c r="AE586">
        <v>17868.28</v>
      </c>
      <c r="AF586">
        <v>0</v>
      </c>
      <c r="AG586">
        <v>0</v>
      </c>
      <c r="AH586">
        <v>0</v>
      </c>
      <c r="AI586">
        <v>1</v>
      </c>
      <c r="AJ586">
        <v>1</v>
      </c>
      <c r="AK586">
        <v>1</v>
      </c>
      <c r="AL586">
        <v>1</v>
      </c>
      <c r="AM586">
        <v>-2</v>
      </c>
      <c r="AN586">
        <v>0</v>
      </c>
      <c r="AO586">
        <v>1</v>
      </c>
      <c r="AP586">
        <v>1</v>
      </c>
      <c r="AQ586">
        <v>0</v>
      </c>
      <c r="AR586">
        <v>0</v>
      </c>
      <c r="AS586" t="s">
        <v>3</v>
      </c>
      <c r="AT586">
        <v>7.1999999999999995E-2</v>
      </c>
      <c r="AU586" t="s">
        <v>35</v>
      </c>
      <c r="AV586">
        <v>0</v>
      </c>
      <c r="AW586">
        <v>2</v>
      </c>
      <c r="AX586">
        <v>85740168</v>
      </c>
      <c r="AY586">
        <v>1</v>
      </c>
      <c r="AZ586">
        <v>0</v>
      </c>
      <c r="BA586">
        <v>594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v>0</v>
      </c>
      <c r="CX586">
        <f>ROUND(Y586*Source!I231,9)</f>
        <v>0.1188</v>
      </c>
      <c r="CY586">
        <f>AA586</f>
        <v>17868.28</v>
      </c>
      <c r="CZ586">
        <f>AE586</f>
        <v>17868.28</v>
      </c>
      <c r="DA586">
        <f>AI586</f>
        <v>1</v>
      </c>
      <c r="DB586">
        <f>ROUND((ROUND(AT586*CZ586,2)*1),6)</f>
        <v>1286.52</v>
      </c>
      <c r="DC586">
        <f>ROUND((ROUND(AT586*AG586,2)*1),6)</f>
        <v>0</v>
      </c>
      <c r="DD586" t="s">
        <v>3</v>
      </c>
      <c r="DE586" t="s">
        <v>3</v>
      </c>
      <c r="DF586">
        <f>ROUND(ROUND(AE586,2)*CX586,2)</f>
        <v>2122.75</v>
      </c>
      <c r="DG586">
        <f t="shared" si="252"/>
        <v>0</v>
      </c>
      <c r="DH586">
        <f t="shared" si="244"/>
        <v>0</v>
      </c>
      <c r="DI586">
        <f t="shared" si="254"/>
        <v>0</v>
      </c>
      <c r="DJ586">
        <f>DF586</f>
        <v>2122.75</v>
      </c>
      <c r="DK586">
        <v>0</v>
      </c>
      <c r="DL586" t="s">
        <v>3</v>
      </c>
      <c r="DM586">
        <v>0</v>
      </c>
      <c r="DN586" t="s">
        <v>3</v>
      </c>
      <c r="DO586">
        <v>0</v>
      </c>
    </row>
    <row r="587" spans="1:119" x14ac:dyDescent="0.2">
      <c r="A587">
        <f>ROW(Source!A232)</f>
        <v>232</v>
      </c>
      <c r="B587">
        <v>85739207</v>
      </c>
      <c r="C587">
        <v>85740046</v>
      </c>
      <c r="D587">
        <v>85164021</v>
      </c>
      <c r="E587">
        <v>1081</v>
      </c>
      <c r="F587">
        <v>1</v>
      </c>
      <c r="G587">
        <v>1081</v>
      </c>
      <c r="H587">
        <v>1</v>
      </c>
      <c r="I587" t="s">
        <v>472</v>
      </c>
      <c r="J587" t="s">
        <v>3</v>
      </c>
      <c r="K587" t="s">
        <v>473</v>
      </c>
      <c r="L587">
        <v>1191</v>
      </c>
      <c r="N587">
        <v>1013</v>
      </c>
      <c r="O587" t="s">
        <v>474</v>
      </c>
      <c r="P587" t="s">
        <v>474</v>
      </c>
      <c r="Q587">
        <v>1</v>
      </c>
      <c r="W587">
        <v>0</v>
      </c>
      <c r="X587">
        <v>476480486</v>
      </c>
      <c r="Y587">
        <f>(AT587*1.2)</f>
        <v>134.4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1</v>
      </c>
      <c r="AJ587">
        <v>1</v>
      </c>
      <c r="AK587">
        <v>1</v>
      </c>
      <c r="AL587">
        <v>1</v>
      </c>
      <c r="AM587">
        <v>5</v>
      </c>
      <c r="AN587">
        <v>0</v>
      </c>
      <c r="AO587">
        <v>1</v>
      </c>
      <c r="AP587">
        <v>1</v>
      </c>
      <c r="AQ587">
        <v>0</v>
      </c>
      <c r="AR587">
        <v>0</v>
      </c>
      <c r="AS587" t="s">
        <v>3</v>
      </c>
      <c r="AT587">
        <v>112</v>
      </c>
      <c r="AU587" t="s">
        <v>36</v>
      </c>
      <c r="AV587">
        <v>1</v>
      </c>
      <c r="AW587">
        <v>2</v>
      </c>
      <c r="AX587">
        <v>85740165</v>
      </c>
      <c r="AY587">
        <v>1</v>
      </c>
      <c r="AZ587">
        <v>0</v>
      </c>
      <c r="BA587">
        <v>595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U587">
        <f>ROUND(AT587*Source!I232*AH587*AL587,2)</f>
        <v>0</v>
      </c>
      <c r="CV587">
        <f>ROUND(Y587*Source!I232,9)</f>
        <v>221.76</v>
      </c>
      <c r="CW587">
        <v>0</v>
      </c>
      <c r="CX587">
        <f>ROUND(Y587*Source!I232,9)</f>
        <v>221.76</v>
      </c>
      <c r="CY587">
        <f>AD587</f>
        <v>0</v>
      </c>
      <c r="CZ587">
        <f>AH587</f>
        <v>0</v>
      </c>
      <c r="DA587">
        <f>AL587</f>
        <v>1</v>
      </c>
      <c r="DB587">
        <f>ROUND((ROUND(AT587*CZ587,2)*1.2),6)</f>
        <v>0</v>
      </c>
      <c r="DC587">
        <f>ROUND((ROUND(AT587*AG587,2)*1.2),6)</f>
        <v>0</v>
      </c>
      <c r="DD587" t="s">
        <v>3</v>
      </c>
      <c r="DE587" t="s">
        <v>3</v>
      </c>
      <c r="DF587">
        <f>ROUND(ROUND(AE587,2)*CX587,2)</f>
        <v>0</v>
      </c>
      <c r="DG587">
        <f t="shared" si="252"/>
        <v>0</v>
      </c>
      <c r="DH587">
        <f t="shared" si="244"/>
        <v>0</v>
      </c>
      <c r="DI587">
        <f t="shared" si="254"/>
        <v>0</v>
      </c>
      <c r="DJ587">
        <f>DI587</f>
        <v>0</v>
      </c>
      <c r="DK587">
        <v>0</v>
      </c>
      <c r="DL587" t="s">
        <v>3</v>
      </c>
      <c r="DM587">
        <v>0</v>
      </c>
      <c r="DN587" t="s">
        <v>3</v>
      </c>
      <c r="DO587">
        <v>0</v>
      </c>
    </row>
    <row r="588" spans="1:119" x14ac:dyDescent="0.2">
      <c r="A588">
        <f>ROW(Source!A232)</f>
        <v>232</v>
      </c>
      <c r="B588">
        <v>85739207</v>
      </c>
      <c r="C588">
        <v>85740046</v>
      </c>
      <c r="D588">
        <v>85199635</v>
      </c>
      <c r="E588">
        <v>1</v>
      </c>
      <c r="F588">
        <v>1</v>
      </c>
      <c r="G588">
        <v>1081</v>
      </c>
      <c r="H588">
        <v>3</v>
      </c>
      <c r="I588" t="s">
        <v>618</v>
      </c>
      <c r="J588" t="s">
        <v>619</v>
      </c>
      <c r="K588" t="s">
        <v>620</v>
      </c>
      <c r="L588">
        <v>1348</v>
      </c>
      <c r="N588">
        <v>1009</v>
      </c>
      <c r="O588" t="s">
        <v>266</v>
      </c>
      <c r="P588" t="s">
        <v>266</v>
      </c>
      <c r="Q588">
        <v>1000</v>
      </c>
      <c r="W588">
        <v>0</v>
      </c>
      <c r="X588">
        <v>-822207775</v>
      </c>
      <c r="Y588">
        <f>(AT588*1)</f>
        <v>9.4E-2</v>
      </c>
      <c r="AA588">
        <v>48378.31</v>
      </c>
      <c r="AB588">
        <v>0</v>
      </c>
      <c r="AC588">
        <v>0</v>
      </c>
      <c r="AD588">
        <v>0</v>
      </c>
      <c r="AE588">
        <v>7512.16</v>
      </c>
      <c r="AF588">
        <v>0</v>
      </c>
      <c r="AG588">
        <v>0</v>
      </c>
      <c r="AH588">
        <v>0</v>
      </c>
      <c r="AI588">
        <v>6.44</v>
      </c>
      <c r="AJ588">
        <v>1</v>
      </c>
      <c r="AK588">
        <v>1</v>
      </c>
      <c r="AL588">
        <v>1</v>
      </c>
      <c r="AM588">
        <v>2</v>
      </c>
      <c r="AN588">
        <v>0</v>
      </c>
      <c r="AO588">
        <v>1</v>
      </c>
      <c r="AP588">
        <v>1</v>
      </c>
      <c r="AQ588">
        <v>0</v>
      </c>
      <c r="AR588">
        <v>0</v>
      </c>
      <c r="AS588" t="s">
        <v>3</v>
      </c>
      <c r="AT588">
        <v>9.4E-2</v>
      </c>
      <c r="AU588" t="s">
        <v>35</v>
      </c>
      <c r="AV588">
        <v>0</v>
      </c>
      <c r="AW588">
        <v>2</v>
      </c>
      <c r="AX588">
        <v>85740166</v>
      </c>
      <c r="AY588">
        <v>1</v>
      </c>
      <c r="AZ588">
        <v>0</v>
      </c>
      <c r="BA588">
        <v>596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V588">
        <v>0</v>
      </c>
      <c r="CW588">
        <v>0</v>
      </c>
      <c r="CX588">
        <f>ROUND(Y588*Source!I232,9)</f>
        <v>0.15509999999999999</v>
      </c>
      <c r="CY588">
        <f>AA588</f>
        <v>48378.31</v>
      </c>
      <c r="CZ588">
        <f>AE588</f>
        <v>7512.16</v>
      </c>
      <c r="DA588">
        <f>AI588</f>
        <v>6.44</v>
      </c>
      <c r="DB588">
        <f>ROUND((ROUND(AT588*CZ588,2)*1),6)</f>
        <v>706.14</v>
      </c>
      <c r="DC588">
        <f>ROUND((ROUND(AT588*AG588,2)*1),6)</f>
        <v>0</v>
      </c>
      <c r="DD588" t="s">
        <v>3</v>
      </c>
      <c r="DE588" t="s">
        <v>3</v>
      </c>
      <c r="DF588">
        <f>ROUND(ROUND(AE588*AI588,2)*CX588,2)</f>
        <v>7503.48</v>
      </c>
      <c r="DG588">
        <f t="shared" si="252"/>
        <v>0</v>
      </c>
      <c r="DH588">
        <f t="shared" si="244"/>
        <v>0</v>
      </c>
      <c r="DI588">
        <f t="shared" si="254"/>
        <v>0</v>
      </c>
      <c r="DJ588">
        <f>DF588</f>
        <v>7503.48</v>
      </c>
      <c r="DK588">
        <v>0</v>
      </c>
      <c r="DL588" t="s">
        <v>3</v>
      </c>
      <c r="DM588">
        <v>0</v>
      </c>
      <c r="DN588" t="s">
        <v>3</v>
      </c>
      <c r="DO588">
        <v>0</v>
      </c>
    </row>
    <row r="589" spans="1:119" x14ac:dyDescent="0.2">
      <c r="A589">
        <f>ROW(Source!A232)</f>
        <v>232</v>
      </c>
      <c r="B589">
        <v>85739207</v>
      </c>
      <c r="C589">
        <v>85740046</v>
      </c>
      <c r="D589">
        <v>85200112</v>
      </c>
      <c r="E589">
        <v>1</v>
      </c>
      <c r="F589">
        <v>1</v>
      </c>
      <c r="G589">
        <v>1081</v>
      </c>
      <c r="H589">
        <v>3</v>
      </c>
      <c r="I589" t="s">
        <v>621</v>
      </c>
      <c r="J589" t="s">
        <v>622</v>
      </c>
      <c r="K589" t="s">
        <v>623</v>
      </c>
      <c r="L589">
        <v>1348</v>
      </c>
      <c r="N589">
        <v>1009</v>
      </c>
      <c r="O589" t="s">
        <v>266</v>
      </c>
      <c r="P589" t="s">
        <v>266</v>
      </c>
      <c r="Q589">
        <v>1000</v>
      </c>
      <c r="W589">
        <v>0</v>
      </c>
      <c r="X589">
        <v>1973587816</v>
      </c>
      <c r="Y589">
        <f>(AT589*1)</f>
        <v>2.4E-2</v>
      </c>
      <c r="AA589">
        <v>112237.8</v>
      </c>
      <c r="AB589">
        <v>0</v>
      </c>
      <c r="AC589">
        <v>0</v>
      </c>
      <c r="AD589">
        <v>0</v>
      </c>
      <c r="AE589">
        <v>20481.349999999999</v>
      </c>
      <c r="AF589">
        <v>0</v>
      </c>
      <c r="AG589">
        <v>0</v>
      </c>
      <c r="AH589">
        <v>0</v>
      </c>
      <c r="AI589">
        <v>5.48</v>
      </c>
      <c r="AJ589">
        <v>1</v>
      </c>
      <c r="AK589">
        <v>1</v>
      </c>
      <c r="AL589">
        <v>1</v>
      </c>
      <c r="AM589">
        <v>2</v>
      </c>
      <c r="AN589">
        <v>0</v>
      </c>
      <c r="AO589">
        <v>1</v>
      </c>
      <c r="AP589">
        <v>1</v>
      </c>
      <c r="AQ589">
        <v>0</v>
      </c>
      <c r="AR589">
        <v>0</v>
      </c>
      <c r="AS589" t="s">
        <v>3</v>
      </c>
      <c r="AT589">
        <v>2.4E-2</v>
      </c>
      <c r="AU589" t="s">
        <v>35</v>
      </c>
      <c r="AV589">
        <v>0</v>
      </c>
      <c r="AW589">
        <v>2</v>
      </c>
      <c r="AX589">
        <v>85740167</v>
      </c>
      <c r="AY589">
        <v>1</v>
      </c>
      <c r="AZ589">
        <v>0</v>
      </c>
      <c r="BA589">
        <v>597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V589">
        <v>0</v>
      </c>
      <c r="CW589">
        <v>0</v>
      </c>
      <c r="CX589">
        <f>ROUND(Y589*Source!I232,9)</f>
        <v>3.9600000000000003E-2</v>
      </c>
      <c r="CY589">
        <f>AA589</f>
        <v>112237.8</v>
      </c>
      <c r="CZ589">
        <f>AE589</f>
        <v>20481.349999999999</v>
      </c>
      <c r="DA589">
        <f>AI589</f>
        <v>5.48</v>
      </c>
      <c r="DB589">
        <f>ROUND((ROUND(AT589*CZ589,2)*1),6)</f>
        <v>491.55</v>
      </c>
      <c r="DC589">
        <f>ROUND((ROUND(AT589*AG589,2)*1),6)</f>
        <v>0</v>
      </c>
      <c r="DD589" t="s">
        <v>3</v>
      </c>
      <c r="DE589" t="s">
        <v>3</v>
      </c>
      <c r="DF589">
        <f>ROUND(ROUND(AE589*AI589,2)*CX589,2)</f>
        <v>4444.62</v>
      </c>
      <c r="DG589">
        <f t="shared" si="252"/>
        <v>0</v>
      </c>
      <c r="DH589">
        <f t="shared" si="244"/>
        <v>0</v>
      </c>
      <c r="DI589">
        <f t="shared" si="254"/>
        <v>0</v>
      </c>
      <c r="DJ589">
        <f>DF589</f>
        <v>4444.62</v>
      </c>
      <c r="DK589">
        <v>0</v>
      </c>
      <c r="DL589" t="s">
        <v>3</v>
      </c>
      <c r="DM589">
        <v>0</v>
      </c>
      <c r="DN589" t="s">
        <v>3</v>
      </c>
      <c r="DO589">
        <v>0</v>
      </c>
    </row>
    <row r="590" spans="1:119" x14ac:dyDescent="0.2">
      <c r="A590">
        <f>ROW(Source!A232)</f>
        <v>232</v>
      </c>
      <c r="B590">
        <v>85739207</v>
      </c>
      <c r="C590">
        <v>85740046</v>
      </c>
      <c r="D590">
        <v>85198911</v>
      </c>
      <c r="E590">
        <v>1</v>
      </c>
      <c r="F590">
        <v>1</v>
      </c>
      <c r="G590">
        <v>1081</v>
      </c>
      <c r="H590">
        <v>3</v>
      </c>
      <c r="I590" t="s">
        <v>615</v>
      </c>
      <c r="J590" t="s">
        <v>616</v>
      </c>
      <c r="K590" t="s">
        <v>617</v>
      </c>
      <c r="L590">
        <v>1348</v>
      </c>
      <c r="N590">
        <v>1009</v>
      </c>
      <c r="O590" t="s">
        <v>266</v>
      </c>
      <c r="P590" t="s">
        <v>266</v>
      </c>
      <c r="Q590">
        <v>1000</v>
      </c>
      <c r="W590">
        <v>0</v>
      </c>
      <c r="X590">
        <v>-268464753</v>
      </c>
      <c r="Y590">
        <f>(AT590*1)</f>
        <v>7.1999999999999995E-2</v>
      </c>
      <c r="AA590">
        <v>121682.99</v>
      </c>
      <c r="AB590">
        <v>0</v>
      </c>
      <c r="AC590">
        <v>0</v>
      </c>
      <c r="AD590">
        <v>0</v>
      </c>
      <c r="AE590">
        <v>17868.28</v>
      </c>
      <c r="AF590">
        <v>0</v>
      </c>
      <c r="AG590">
        <v>0</v>
      </c>
      <c r="AH590">
        <v>0</v>
      </c>
      <c r="AI590">
        <v>6.81</v>
      </c>
      <c r="AJ590">
        <v>1</v>
      </c>
      <c r="AK590">
        <v>1</v>
      </c>
      <c r="AL590">
        <v>1</v>
      </c>
      <c r="AM590">
        <v>2</v>
      </c>
      <c r="AN590">
        <v>0</v>
      </c>
      <c r="AO590">
        <v>1</v>
      </c>
      <c r="AP590">
        <v>1</v>
      </c>
      <c r="AQ590">
        <v>0</v>
      </c>
      <c r="AR590">
        <v>0</v>
      </c>
      <c r="AS590" t="s">
        <v>3</v>
      </c>
      <c r="AT590">
        <v>7.1999999999999995E-2</v>
      </c>
      <c r="AU590" t="s">
        <v>35</v>
      </c>
      <c r="AV590">
        <v>0</v>
      </c>
      <c r="AW590">
        <v>2</v>
      </c>
      <c r="AX590">
        <v>85740168</v>
      </c>
      <c r="AY590">
        <v>1</v>
      </c>
      <c r="AZ590">
        <v>0</v>
      </c>
      <c r="BA590">
        <v>598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V590">
        <v>0</v>
      </c>
      <c r="CW590">
        <v>0</v>
      </c>
      <c r="CX590">
        <f>ROUND(Y590*Source!I232,9)</f>
        <v>0.1188</v>
      </c>
      <c r="CY590">
        <f>AA590</f>
        <v>121682.99</v>
      </c>
      <c r="CZ590">
        <f>AE590</f>
        <v>17868.28</v>
      </c>
      <c r="DA590">
        <f>AI590</f>
        <v>6.81</v>
      </c>
      <c r="DB590">
        <f>ROUND((ROUND(AT590*CZ590,2)*1),6)</f>
        <v>1286.52</v>
      </c>
      <c r="DC590">
        <f>ROUND((ROUND(AT590*AG590,2)*1),6)</f>
        <v>0</v>
      </c>
      <c r="DD590" t="s">
        <v>3</v>
      </c>
      <c r="DE590" t="s">
        <v>3</v>
      </c>
      <c r="DF590">
        <f>ROUND(ROUND(AE590*AI590,2)*CX590,2)</f>
        <v>14455.94</v>
      </c>
      <c r="DG590">
        <f t="shared" si="252"/>
        <v>0</v>
      </c>
      <c r="DH590">
        <f t="shared" si="244"/>
        <v>0</v>
      </c>
      <c r="DI590">
        <f t="shared" si="254"/>
        <v>0</v>
      </c>
      <c r="DJ590">
        <f>DF590</f>
        <v>14455.94</v>
      </c>
      <c r="DK590">
        <v>0</v>
      </c>
      <c r="DL590" t="s">
        <v>3</v>
      </c>
      <c r="DM590">
        <v>0</v>
      </c>
      <c r="DN590" t="s">
        <v>3</v>
      </c>
      <c r="DO590">
        <v>0</v>
      </c>
    </row>
    <row r="591" spans="1:119" x14ac:dyDescent="0.2">
      <c r="A591">
        <f>ROW(Source!A233)</f>
        <v>233</v>
      </c>
      <c r="B591">
        <v>85739205</v>
      </c>
      <c r="C591">
        <v>85740047</v>
      </c>
      <c r="D591">
        <v>85164021</v>
      </c>
      <c r="E591">
        <v>1081</v>
      </c>
      <c r="F591">
        <v>1</v>
      </c>
      <c r="G591">
        <v>1081</v>
      </c>
      <c r="H591">
        <v>1</v>
      </c>
      <c r="I591" t="s">
        <v>472</v>
      </c>
      <c r="J591" t="s">
        <v>3</v>
      </c>
      <c r="K591" t="s">
        <v>473</v>
      </c>
      <c r="L591">
        <v>1191</v>
      </c>
      <c r="N591">
        <v>1013</v>
      </c>
      <c r="O591" t="s">
        <v>474</v>
      </c>
      <c r="P591" t="s">
        <v>474</v>
      </c>
      <c r="Q591">
        <v>1</v>
      </c>
      <c r="W591">
        <v>0</v>
      </c>
      <c r="X591">
        <v>476480486</v>
      </c>
      <c r="Y591">
        <f>(AT591*1.2)</f>
        <v>4.919999999999999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1</v>
      </c>
      <c r="AL591">
        <v>1</v>
      </c>
      <c r="AM591">
        <v>-2</v>
      </c>
      <c r="AN591">
        <v>0</v>
      </c>
      <c r="AO591">
        <v>1</v>
      </c>
      <c r="AP591">
        <v>1</v>
      </c>
      <c r="AQ591">
        <v>0</v>
      </c>
      <c r="AR591">
        <v>0</v>
      </c>
      <c r="AS591" t="s">
        <v>3</v>
      </c>
      <c r="AT591">
        <v>4.0999999999999996</v>
      </c>
      <c r="AU591" t="s">
        <v>36</v>
      </c>
      <c r="AV591">
        <v>1</v>
      </c>
      <c r="AW591">
        <v>2</v>
      </c>
      <c r="AX591">
        <v>85740169</v>
      </c>
      <c r="AY591">
        <v>1</v>
      </c>
      <c r="AZ591">
        <v>0</v>
      </c>
      <c r="BA591">
        <v>599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U591">
        <f>ROUND(AT591*Source!I233*AH591*AL591,2)</f>
        <v>0</v>
      </c>
      <c r="CV591">
        <f>ROUND(Y591*Source!I233,9)</f>
        <v>39.36</v>
      </c>
      <c r="CW591">
        <v>0</v>
      </c>
      <c r="CX591">
        <f>ROUND(Y591*Source!I233,9)</f>
        <v>39.36</v>
      </c>
      <c r="CY591">
        <f>AD591</f>
        <v>0</v>
      </c>
      <c r="CZ591">
        <f>AH591</f>
        <v>0</v>
      </c>
      <c r="DA591">
        <f>AL591</f>
        <v>1</v>
      </c>
      <c r="DB591">
        <f>ROUND((ROUND(AT591*CZ591,2)*1.2),6)</f>
        <v>0</v>
      </c>
      <c r="DC591">
        <f>ROUND((ROUND(AT591*AG591,2)*1.2),6)</f>
        <v>0</v>
      </c>
      <c r="DD591" t="s">
        <v>3</v>
      </c>
      <c r="DE591" t="s">
        <v>3</v>
      </c>
      <c r="DF591">
        <f t="shared" ref="DF591:DF596" si="255">ROUND(ROUND(AE591,2)*CX591,2)</f>
        <v>0</v>
      </c>
      <c r="DG591">
        <f t="shared" si="252"/>
        <v>0</v>
      </c>
      <c r="DH591">
        <f t="shared" si="244"/>
        <v>0</v>
      </c>
      <c r="DI591">
        <f t="shared" si="254"/>
        <v>0</v>
      </c>
      <c r="DJ591">
        <f>DI591</f>
        <v>0</v>
      </c>
      <c r="DK591">
        <v>0</v>
      </c>
      <c r="DL591" t="s">
        <v>3</v>
      </c>
      <c r="DM591">
        <v>0</v>
      </c>
      <c r="DN591" t="s">
        <v>3</v>
      </c>
      <c r="DO591">
        <v>0</v>
      </c>
    </row>
    <row r="592" spans="1:119" x14ac:dyDescent="0.2">
      <c r="A592">
        <f>ROW(Source!A233)</f>
        <v>233</v>
      </c>
      <c r="B592">
        <v>85739205</v>
      </c>
      <c r="C592">
        <v>85740047</v>
      </c>
      <c r="D592">
        <v>85229932</v>
      </c>
      <c r="E592">
        <v>1</v>
      </c>
      <c r="F592">
        <v>1</v>
      </c>
      <c r="G592">
        <v>1081</v>
      </c>
      <c r="H592">
        <v>2</v>
      </c>
      <c r="I592" t="s">
        <v>482</v>
      </c>
      <c r="J592" t="s">
        <v>483</v>
      </c>
      <c r="K592" t="s">
        <v>484</v>
      </c>
      <c r="L592">
        <v>1368</v>
      </c>
      <c r="N592">
        <v>1011</v>
      </c>
      <c r="O592" t="s">
        <v>478</v>
      </c>
      <c r="P592" t="s">
        <v>478</v>
      </c>
      <c r="Q592">
        <v>1</v>
      </c>
      <c r="W592">
        <v>0</v>
      </c>
      <c r="X592">
        <v>874612079</v>
      </c>
      <c r="Y592">
        <f>(AT592*1.2)</f>
        <v>3.5999999999999997E-2</v>
      </c>
      <c r="AA592">
        <v>0</v>
      </c>
      <c r="AB592">
        <v>88.67</v>
      </c>
      <c r="AC592">
        <v>13.47</v>
      </c>
      <c r="AD592">
        <v>0</v>
      </c>
      <c r="AE592">
        <v>0</v>
      </c>
      <c r="AF592">
        <v>83.1</v>
      </c>
      <c r="AG592">
        <v>12.62</v>
      </c>
      <c r="AH592">
        <v>0</v>
      </c>
      <c r="AI592">
        <v>1</v>
      </c>
      <c r="AJ592">
        <v>1</v>
      </c>
      <c r="AK592">
        <v>1</v>
      </c>
      <c r="AL592">
        <v>1</v>
      </c>
      <c r="AM592">
        <v>-2</v>
      </c>
      <c r="AN592">
        <v>0</v>
      </c>
      <c r="AO592">
        <v>1</v>
      </c>
      <c r="AP592">
        <v>1</v>
      </c>
      <c r="AQ592">
        <v>0</v>
      </c>
      <c r="AR592">
        <v>0</v>
      </c>
      <c r="AS592" t="s">
        <v>3</v>
      </c>
      <c r="AT592">
        <v>0.03</v>
      </c>
      <c r="AU592" t="s">
        <v>36</v>
      </c>
      <c r="AV592">
        <v>0</v>
      </c>
      <c r="AW592">
        <v>2</v>
      </c>
      <c r="AX592">
        <v>85740170</v>
      </c>
      <c r="AY592">
        <v>1</v>
      </c>
      <c r="AZ592">
        <v>0</v>
      </c>
      <c r="BA592">
        <v>600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V592">
        <v>0</v>
      </c>
      <c r="CW592">
        <f>ROUND(Y592*Source!I233*DO592,9)</f>
        <v>3.63456</v>
      </c>
      <c r="CX592">
        <f>ROUND(Y592*Source!I233,9)</f>
        <v>0.28799999999999998</v>
      </c>
      <c r="CY592">
        <f>AB592</f>
        <v>88.67</v>
      </c>
      <c r="CZ592">
        <f>AF592</f>
        <v>83.1</v>
      </c>
      <c r="DA592">
        <f>AJ592</f>
        <v>1</v>
      </c>
      <c r="DB592">
        <f>ROUND((ROUND(AT592*CZ592,2)*1.2),6)</f>
        <v>2.988</v>
      </c>
      <c r="DC592">
        <f>ROUND((ROUND(AT592*AG592,2)*1.2),6)</f>
        <v>0.45600000000000002</v>
      </c>
      <c r="DD592" t="s">
        <v>3</v>
      </c>
      <c r="DE592" t="s">
        <v>3</v>
      </c>
      <c r="DF592">
        <f t="shared" si="255"/>
        <v>0</v>
      </c>
      <c r="DG592">
        <f t="shared" si="252"/>
        <v>23.93</v>
      </c>
      <c r="DH592">
        <f t="shared" si="244"/>
        <v>3.63</v>
      </c>
      <c r="DI592">
        <f t="shared" si="254"/>
        <v>0</v>
      </c>
      <c r="DJ592">
        <f>DG592</f>
        <v>23.93</v>
      </c>
      <c r="DK592">
        <v>0</v>
      </c>
      <c r="DL592" t="s">
        <v>485</v>
      </c>
      <c r="DM592">
        <v>0</v>
      </c>
      <c r="DN592" t="s">
        <v>474</v>
      </c>
      <c r="DO592">
        <v>12.62</v>
      </c>
    </row>
    <row r="593" spans="1:119" x14ac:dyDescent="0.2">
      <c r="A593">
        <f>ROW(Source!A233)</f>
        <v>233</v>
      </c>
      <c r="B593">
        <v>85739205</v>
      </c>
      <c r="C593">
        <v>85740047</v>
      </c>
      <c r="D593">
        <v>85199562</v>
      </c>
      <c r="E593">
        <v>1</v>
      </c>
      <c r="F593">
        <v>1</v>
      </c>
      <c r="G593">
        <v>1081</v>
      </c>
      <c r="H593">
        <v>3</v>
      </c>
      <c r="I593" t="s">
        <v>537</v>
      </c>
      <c r="J593" t="s">
        <v>538</v>
      </c>
      <c r="K593" t="s">
        <v>539</v>
      </c>
      <c r="L593">
        <v>1348</v>
      </c>
      <c r="N593">
        <v>1009</v>
      </c>
      <c r="O593" t="s">
        <v>266</v>
      </c>
      <c r="P593" t="s">
        <v>266</v>
      </c>
      <c r="Q593">
        <v>1000</v>
      </c>
      <c r="W593">
        <v>0</v>
      </c>
      <c r="X593">
        <v>-287838193</v>
      </c>
      <c r="Y593">
        <f>(AT593*1)</f>
        <v>1.7000000000000001E-4</v>
      </c>
      <c r="AA593">
        <v>23761.63</v>
      </c>
      <c r="AB593">
        <v>0</v>
      </c>
      <c r="AC593">
        <v>0</v>
      </c>
      <c r="AD593">
        <v>0</v>
      </c>
      <c r="AE593">
        <v>23114.43</v>
      </c>
      <c r="AF593">
        <v>0</v>
      </c>
      <c r="AG593">
        <v>0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-2</v>
      </c>
      <c r="AN593">
        <v>0</v>
      </c>
      <c r="AO593">
        <v>1</v>
      </c>
      <c r="AP593">
        <v>1</v>
      </c>
      <c r="AQ593">
        <v>0</v>
      </c>
      <c r="AR593">
        <v>0</v>
      </c>
      <c r="AS593" t="s">
        <v>3</v>
      </c>
      <c r="AT593">
        <v>1.7000000000000001E-4</v>
      </c>
      <c r="AU593" t="s">
        <v>35</v>
      </c>
      <c r="AV593">
        <v>0</v>
      </c>
      <c r="AW593">
        <v>2</v>
      </c>
      <c r="AX593">
        <v>85740171</v>
      </c>
      <c r="AY593">
        <v>1</v>
      </c>
      <c r="AZ593">
        <v>0</v>
      </c>
      <c r="BA593">
        <v>601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V593">
        <v>0</v>
      </c>
      <c r="CW593">
        <v>0</v>
      </c>
      <c r="CX593">
        <f>ROUND(Y593*Source!I233,9)</f>
        <v>1.3600000000000001E-3</v>
      </c>
      <c r="CY593">
        <f>AA593</f>
        <v>23761.63</v>
      </c>
      <c r="CZ593">
        <f>AE593</f>
        <v>23114.43</v>
      </c>
      <c r="DA593">
        <f>AI593</f>
        <v>1</v>
      </c>
      <c r="DB593">
        <f>ROUND((ROUND(AT593*CZ593,2)*1),6)</f>
        <v>3.93</v>
      </c>
      <c r="DC593">
        <f>ROUND((ROUND(AT593*AG593,2)*1),6)</f>
        <v>0</v>
      </c>
      <c r="DD593" t="s">
        <v>3</v>
      </c>
      <c r="DE593" t="s">
        <v>3</v>
      </c>
      <c r="DF593">
        <f t="shared" si="255"/>
        <v>31.44</v>
      </c>
      <c r="DG593">
        <f t="shared" si="252"/>
        <v>0</v>
      </c>
      <c r="DH593">
        <f t="shared" si="244"/>
        <v>0</v>
      </c>
      <c r="DI593">
        <f t="shared" si="254"/>
        <v>0</v>
      </c>
      <c r="DJ593">
        <f>DF593</f>
        <v>31.44</v>
      </c>
      <c r="DK593">
        <v>0</v>
      </c>
      <c r="DL593" t="s">
        <v>3</v>
      </c>
      <c r="DM593">
        <v>0</v>
      </c>
      <c r="DN593" t="s">
        <v>3</v>
      </c>
      <c r="DO593">
        <v>0</v>
      </c>
    </row>
    <row r="594" spans="1:119" x14ac:dyDescent="0.2">
      <c r="A594">
        <f>ROW(Source!A233)</f>
        <v>233</v>
      </c>
      <c r="B594">
        <v>85739205</v>
      </c>
      <c r="C594">
        <v>85740047</v>
      </c>
      <c r="D594">
        <v>85217000</v>
      </c>
      <c r="E594">
        <v>1</v>
      </c>
      <c r="F594">
        <v>1</v>
      </c>
      <c r="G594">
        <v>1081</v>
      </c>
      <c r="H594">
        <v>3</v>
      </c>
      <c r="I594" t="s">
        <v>106</v>
      </c>
      <c r="J594" t="s">
        <v>108</v>
      </c>
      <c r="K594" t="s">
        <v>107</v>
      </c>
      <c r="L594">
        <v>1354</v>
      </c>
      <c r="N594">
        <v>1010</v>
      </c>
      <c r="O594" t="s">
        <v>99</v>
      </c>
      <c r="P594" t="s">
        <v>99</v>
      </c>
      <c r="Q594">
        <v>1</v>
      </c>
      <c r="W594">
        <v>0</v>
      </c>
      <c r="X594">
        <v>873960273</v>
      </c>
      <c r="Y594">
        <f>(AT594*1)</f>
        <v>1</v>
      </c>
      <c r="AA594">
        <v>2177.9299999999998</v>
      </c>
      <c r="AB594">
        <v>0</v>
      </c>
      <c r="AC594">
        <v>0</v>
      </c>
      <c r="AD594">
        <v>0</v>
      </c>
      <c r="AE594">
        <v>2177.9299999999998</v>
      </c>
      <c r="AF594">
        <v>0</v>
      </c>
      <c r="AG594">
        <v>0</v>
      </c>
      <c r="AH594">
        <v>0</v>
      </c>
      <c r="AI594">
        <v>1</v>
      </c>
      <c r="AJ594">
        <v>1</v>
      </c>
      <c r="AK594">
        <v>1</v>
      </c>
      <c r="AL594">
        <v>1</v>
      </c>
      <c r="AM594">
        <v>0</v>
      </c>
      <c r="AN594">
        <v>0</v>
      </c>
      <c r="AO594">
        <v>0</v>
      </c>
      <c r="AP594">
        <v>1</v>
      </c>
      <c r="AQ594">
        <v>0</v>
      </c>
      <c r="AR594">
        <v>0</v>
      </c>
      <c r="AS594" t="s">
        <v>3</v>
      </c>
      <c r="AT594">
        <v>1</v>
      </c>
      <c r="AU594" t="s">
        <v>35</v>
      </c>
      <c r="AV594">
        <v>0</v>
      </c>
      <c r="AW594">
        <v>1</v>
      </c>
      <c r="AX594">
        <v>-1</v>
      </c>
      <c r="AY594">
        <v>0</v>
      </c>
      <c r="AZ594">
        <v>0</v>
      </c>
      <c r="BA594" t="s">
        <v>3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V594">
        <v>0</v>
      </c>
      <c r="CW594">
        <v>0</v>
      </c>
      <c r="CX594">
        <f>ROUND(Y594*Source!I233,9)</f>
        <v>8</v>
      </c>
      <c r="CY594">
        <f>AA594</f>
        <v>2177.9299999999998</v>
      </c>
      <c r="CZ594">
        <f>AE594</f>
        <v>2177.9299999999998</v>
      </c>
      <c r="DA594">
        <f>AI594</f>
        <v>1</v>
      </c>
      <c r="DB594">
        <f>ROUND((ROUND(AT594*CZ594,2)*1),6)</f>
        <v>2177.9299999999998</v>
      </c>
      <c r="DC594">
        <f>ROUND((ROUND(AT594*AG594,2)*1),6)</f>
        <v>0</v>
      </c>
      <c r="DD594" t="s">
        <v>3</v>
      </c>
      <c r="DE594" t="s">
        <v>3</v>
      </c>
      <c r="DF594">
        <f t="shared" si="255"/>
        <v>17423.439999999999</v>
      </c>
      <c r="DG594">
        <f t="shared" si="252"/>
        <v>0</v>
      </c>
      <c r="DH594">
        <f t="shared" si="244"/>
        <v>0</v>
      </c>
      <c r="DI594">
        <f t="shared" si="254"/>
        <v>0</v>
      </c>
      <c r="DJ594">
        <f>DF594</f>
        <v>17423.439999999999</v>
      </c>
      <c r="DK594">
        <v>0</v>
      </c>
      <c r="DL594" t="s">
        <v>3</v>
      </c>
      <c r="DM594">
        <v>0</v>
      </c>
      <c r="DN594" t="s">
        <v>3</v>
      </c>
      <c r="DO594">
        <v>0</v>
      </c>
    </row>
    <row r="595" spans="1:119" x14ac:dyDescent="0.2">
      <c r="A595">
        <f>ROW(Source!A234)</f>
        <v>234</v>
      </c>
      <c r="B595">
        <v>85739207</v>
      </c>
      <c r="C595">
        <v>85740047</v>
      </c>
      <c r="D595">
        <v>85164021</v>
      </c>
      <c r="E595">
        <v>1081</v>
      </c>
      <c r="F595">
        <v>1</v>
      </c>
      <c r="G595">
        <v>1081</v>
      </c>
      <c r="H595">
        <v>1</v>
      </c>
      <c r="I595" t="s">
        <v>472</v>
      </c>
      <c r="J595" t="s">
        <v>3</v>
      </c>
      <c r="K595" t="s">
        <v>473</v>
      </c>
      <c r="L595">
        <v>1191</v>
      </c>
      <c r="N595">
        <v>1013</v>
      </c>
      <c r="O595" t="s">
        <v>474</v>
      </c>
      <c r="P595" t="s">
        <v>474</v>
      </c>
      <c r="Q595">
        <v>1</v>
      </c>
      <c r="W595">
        <v>0</v>
      </c>
      <c r="X595">
        <v>476480486</v>
      </c>
      <c r="Y595">
        <f>(AT595*1.2)</f>
        <v>4.919999999999999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1</v>
      </c>
      <c r="AK595">
        <v>1</v>
      </c>
      <c r="AL595">
        <v>1</v>
      </c>
      <c r="AM595">
        <v>5</v>
      </c>
      <c r="AN595">
        <v>0</v>
      </c>
      <c r="AO595">
        <v>1</v>
      </c>
      <c r="AP595">
        <v>1</v>
      </c>
      <c r="AQ595">
        <v>0</v>
      </c>
      <c r="AR595">
        <v>0</v>
      </c>
      <c r="AS595" t="s">
        <v>3</v>
      </c>
      <c r="AT595">
        <v>4.0999999999999996</v>
      </c>
      <c r="AU595" t="s">
        <v>36</v>
      </c>
      <c r="AV595">
        <v>1</v>
      </c>
      <c r="AW595">
        <v>2</v>
      </c>
      <c r="AX595">
        <v>85740169</v>
      </c>
      <c r="AY595">
        <v>1</v>
      </c>
      <c r="AZ595">
        <v>0</v>
      </c>
      <c r="BA595">
        <v>604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U595">
        <f>ROUND(AT595*Source!I234*AH595*AL595,2)</f>
        <v>0</v>
      </c>
      <c r="CV595">
        <f>ROUND(Y595*Source!I234,9)</f>
        <v>39.36</v>
      </c>
      <c r="CW595">
        <v>0</v>
      </c>
      <c r="CX595">
        <f>ROUND(Y595*Source!I234,9)</f>
        <v>39.36</v>
      </c>
      <c r="CY595">
        <f>AD595</f>
        <v>0</v>
      </c>
      <c r="CZ595">
        <f>AH595</f>
        <v>0</v>
      </c>
      <c r="DA595">
        <f>AL595</f>
        <v>1</v>
      </c>
      <c r="DB595">
        <f>ROUND((ROUND(AT595*CZ595,2)*1.2),6)</f>
        <v>0</v>
      </c>
      <c r="DC595">
        <f>ROUND((ROUND(AT595*AG595,2)*1.2),6)</f>
        <v>0</v>
      </c>
      <c r="DD595" t="s">
        <v>3</v>
      </c>
      <c r="DE595" t="s">
        <v>3</v>
      </c>
      <c r="DF595">
        <f t="shared" si="255"/>
        <v>0</v>
      </c>
      <c r="DG595">
        <f t="shared" si="252"/>
        <v>0</v>
      </c>
      <c r="DH595">
        <f t="shared" si="244"/>
        <v>0</v>
      </c>
      <c r="DI595">
        <f t="shared" si="254"/>
        <v>0</v>
      </c>
      <c r="DJ595">
        <f>DI595</f>
        <v>0</v>
      </c>
      <c r="DK595">
        <v>0</v>
      </c>
      <c r="DL595" t="s">
        <v>3</v>
      </c>
      <c r="DM595">
        <v>0</v>
      </c>
      <c r="DN595" t="s">
        <v>3</v>
      </c>
      <c r="DO595">
        <v>0</v>
      </c>
    </row>
    <row r="596" spans="1:119" x14ac:dyDescent="0.2">
      <c r="A596">
        <f>ROW(Source!A234)</f>
        <v>234</v>
      </c>
      <c r="B596">
        <v>85739207</v>
      </c>
      <c r="C596">
        <v>85740047</v>
      </c>
      <c r="D596">
        <v>85229932</v>
      </c>
      <c r="E596">
        <v>1</v>
      </c>
      <c r="F596">
        <v>1</v>
      </c>
      <c r="G596">
        <v>1081</v>
      </c>
      <c r="H596">
        <v>2</v>
      </c>
      <c r="I596" t="s">
        <v>482</v>
      </c>
      <c r="J596" t="s">
        <v>483</v>
      </c>
      <c r="K596" t="s">
        <v>484</v>
      </c>
      <c r="L596">
        <v>1368</v>
      </c>
      <c r="N596">
        <v>1011</v>
      </c>
      <c r="O596" t="s">
        <v>478</v>
      </c>
      <c r="P596" t="s">
        <v>478</v>
      </c>
      <c r="Q596">
        <v>1</v>
      </c>
      <c r="W596">
        <v>0</v>
      </c>
      <c r="X596">
        <v>874612079</v>
      </c>
      <c r="Y596">
        <f>(AT596*1.2)</f>
        <v>3.5999999999999997E-2</v>
      </c>
      <c r="AA596">
        <v>0</v>
      </c>
      <c r="AB596">
        <v>1513.56</v>
      </c>
      <c r="AC596">
        <v>758.78</v>
      </c>
      <c r="AD596">
        <v>0</v>
      </c>
      <c r="AE596">
        <v>0</v>
      </c>
      <c r="AF596">
        <v>83.1</v>
      </c>
      <c r="AG596">
        <v>12.62</v>
      </c>
      <c r="AH596">
        <v>0</v>
      </c>
      <c r="AI596">
        <v>1</v>
      </c>
      <c r="AJ596">
        <v>17.07</v>
      </c>
      <c r="AK596">
        <v>56.35</v>
      </c>
      <c r="AL596">
        <v>1</v>
      </c>
      <c r="AM596">
        <v>2</v>
      </c>
      <c r="AN596">
        <v>0</v>
      </c>
      <c r="AO596">
        <v>1</v>
      </c>
      <c r="AP596">
        <v>1</v>
      </c>
      <c r="AQ596">
        <v>0</v>
      </c>
      <c r="AR596">
        <v>0</v>
      </c>
      <c r="AS596" t="s">
        <v>3</v>
      </c>
      <c r="AT596">
        <v>0.03</v>
      </c>
      <c r="AU596" t="s">
        <v>36</v>
      </c>
      <c r="AV596">
        <v>0</v>
      </c>
      <c r="AW596">
        <v>2</v>
      </c>
      <c r="AX596">
        <v>85740170</v>
      </c>
      <c r="AY596">
        <v>1</v>
      </c>
      <c r="AZ596">
        <v>0</v>
      </c>
      <c r="BA596">
        <v>605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V596">
        <v>0</v>
      </c>
      <c r="CW596">
        <f>ROUND(Y596*Source!I234*DO596,9)</f>
        <v>3.63456</v>
      </c>
      <c r="CX596">
        <f>ROUND(Y596*Source!I234,9)</f>
        <v>0.28799999999999998</v>
      </c>
      <c r="CY596">
        <f>AB596</f>
        <v>1513.56</v>
      </c>
      <c r="CZ596">
        <f>AF596</f>
        <v>83.1</v>
      </c>
      <c r="DA596">
        <f>AJ596</f>
        <v>17.07</v>
      </c>
      <c r="DB596">
        <f>ROUND((ROUND(AT596*CZ596,2)*1.2),6)</f>
        <v>2.988</v>
      </c>
      <c r="DC596">
        <f>ROUND((ROUND(AT596*AG596,2)*1.2),6)</f>
        <v>0.45600000000000002</v>
      </c>
      <c r="DD596" t="s">
        <v>3</v>
      </c>
      <c r="DE596" t="s">
        <v>3</v>
      </c>
      <c r="DF596">
        <f t="shared" si="255"/>
        <v>0</v>
      </c>
      <c r="DG596">
        <f>ROUND(ROUND(AF596*AJ596,2)*CX596,2)</f>
        <v>408.53</v>
      </c>
      <c r="DH596">
        <f>ROUND(ROUND(AG596*AK596,2)*CX596,2)</f>
        <v>204.81</v>
      </c>
      <c r="DI596">
        <f t="shared" si="254"/>
        <v>0</v>
      </c>
      <c r="DJ596">
        <f>DG596</f>
        <v>408.53</v>
      </c>
      <c r="DK596">
        <v>0</v>
      </c>
      <c r="DL596" t="s">
        <v>485</v>
      </c>
      <c r="DM596">
        <v>0</v>
      </c>
      <c r="DN596" t="s">
        <v>474</v>
      </c>
      <c r="DO596">
        <v>12.62</v>
      </c>
    </row>
    <row r="597" spans="1:119" x14ac:dyDescent="0.2">
      <c r="A597">
        <f>ROW(Source!A234)</f>
        <v>234</v>
      </c>
      <c r="B597">
        <v>85739207</v>
      </c>
      <c r="C597">
        <v>85740047</v>
      </c>
      <c r="D597">
        <v>85199562</v>
      </c>
      <c r="E597">
        <v>1</v>
      </c>
      <c r="F597">
        <v>1</v>
      </c>
      <c r="G597">
        <v>1081</v>
      </c>
      <c r="H597">
        <v>3</v>
      </c>
      <c r="I597" t="s">
        <v>537</v>
      </c>
      <c r="J597" t="s">
        <v>538</v>
      </c>
      <c r="K597" t="s">
        <v>539</v>
      </c>
      <c r="L597">
        <v>1348</v>
      </c>
      <c r="N597">
        <v>1009</v>
      </c>
      <c r="O597" t="s">
        <v>266</v>
      </c>
      <c r="P597" t="s">
        <v>266</v>
      </c>
      <c r="Q597">
        <v>1000</v>
      </c>
      <c r="W597">
        <v>0</v>
      </c>
      <c r="X597">
        <v>-287838193</v>
      </c>
      <c r="Y597">
        <f>(AT597*1)</f>
        <v>1.7000000000000001E-4</v>
      </c>
      <c r="AA597">
        <v>106689.74</v>
      </c>
      <c r="AB597">
        <v>0</v>
      </c>
      <c r="AC597">
        <v>0</v>
      </c>
      <c r="AD597">
        <v>0</v>
      </c>
      <c r="AE597">
        <v>23114.43</v>
      </c>
      <c r="AF597">
        <v>0</v>
      </c>
      <c r="AG597">
        <v>0</v>
      </c>
      <c r="AH597">
        <v>0</v>
      </c>
      <c r="AI597">
        <v>4.49</v>
      </c>
      <c r="AJ597">
        <v>1</v>
      </c>
      <c r="AK597">
        <v>1</v>
      </c>
      <c r="AL597">
        <v>1</v>
      </c>
      <c r="AM597">
        <v>2</v>
      </c>
      <c r="AN597">
        <v>0</v>
      </c>
      <c r="AO597">
        <v>1</v>
      </c>
      <c r="AP597">
        <v>1</v>
      </c>
      <c r="AQ597">
        <v>0</v>
      </c>
      <c r="AR597">
        <v>0</v>
      </c>
      <c r="AS597" t="s">
        <v>3</v>
      </c>
      <c r="AT597">
        <v>1.7000000000000001E-4</v>
      </c>
      <c r="AU597" t="s">
        <v>35</v>
      </c>
      <c r="AV597">
        <v>0</v>
      </c>
      <c r="AW597">
        <v>2</v>
      </c>
      <c r="AX597">
        <v>85740171</v>
      </c>
      <c r="AY597">
        <v>1</v>
      </c>
      <c r="AZ597">
        <v>0</v>
      </c>
      <c r="BA597">
        <v>606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V597">
        <v>0</v>
      </c>
      <c r="CW597">
        <v>0</v>
      </c>
      <c r="CX597">
        <f>ROUND(Y597*Source!I234,9)</f>
        <v>1.3600000000000001E-3</v>
      </c>
      <c r="CY597">
        <f>AA597</f>
        <v>106689.74</v>
      </c>
      <c r="CZ597">
        <f>AE597</f>
        <v>23114.43</v>
      </c>
      <c r="DA597">
        <f>AI597</f>
        <v>4.49</v>
      </c>
      <c r="DB597">
        <f>ROUND((ROUND(AT597*CZ597,2)*1),6)</f>
        <v>3.93</v>
      </c>
      <c r="DC597">
        <f>ROUND((ROUND(AT597*AG597,2)*1),6)</f>
        <v>0</v>
      </c>
      <c r="DD597" t="s">
        <v>3</v>
      </c>
      <c r="DE597" t="s">
        <v>3</v>
      </c>
      <c r="DF597">
        <f>ROUND(ROUND(AE597*AI597,2)*CX597,2)</f>
        <v>141.15</v>
      </c>
      <c r="DG597">
        <f t="shared" ref="DG597:DG606" si="256">ROUND(ROUND(AF597,2)*CX597,2)</f>
        <v>0</v>
      </c>
      <c r="DH597">
        <f t="shared" ref="DH597:DH607" si="257">ROUND(ROUND(AG597,2)*CX597,2)</f>
        <v>0</v>
      </c>
      <c r="DI597">
        <f t="shared" si="254"/>
        <v>0</v>
      </c>
      <c r="DJ597">
        <f>DF597</f>
        <v>141.15</v>
      </c>
      <c r="DK597">
        <v>0</v>
      </c>
      <c r="DL597" t="s">
        <v>3</v>
      </c>
      <c r="DM597">
        <v>0</v>
      </c>
      <c r="DN597" t="s">
        <v>3</v>
      </c>
      <c r="DO597">
        <v>0</v>
      </c>
    </row>
    <row r="598" spans="1:119" x14ac:dyDescent="0.2">
      <c r="A598">
        <f>ROW(Source!A234)</f>
        <v>234</v>
      </c>
      <c r="B598">
        <v>85739207</v>
      </c>
      <c r="C598">
        <v>85740047</v>
      </c>
      <c r="D598">
        <v>85217000</v>
      </c>
      <c r="E598">
        <v>1</v>
      </c>
      <c r="F598">
        <v>1</v>
      </c>
      <c r="G598">
        <v>1081</v>
      </c>
      <c r="H598">
        <v>3</v>
      </c>
      <c r="I598" t="s">
        <v>106</v>
      </c>
      <c r="J598" t="s">
        <v>108</v>
      </c>
      <c r="K598" t="s">
        <v>107</v>
      </c>
      <c r="L598">
        <v>1354</v>
      </c>
      <c r="N598">
        <v>1010</v>
      </c>
      <c r="O598" t="s">
        <v>99</v>
      </c>
      <c r="P598" t="s">
        <v>99</v>
      </c>
      <c r="Q598">
        <v>1</v>
      </c>
      <c r="W598">
        <v>0</v>
      </c>
      <c r="X598">
        <v>873960273</v>
      </c>
      <c r="Y598">
        <f>(AT598*1)</f>
        <v>1</v>
      </c>
      <c r="AA598">
        <v>6773.36</v>
      </c>
      <c r="AB598">
        <v>0</v>
      </c>
      <c r="AC598">
        <v>0</v>
      </c>
      <c r="AD598">
        <v>0</v>
      </c>
      <c r="AE598">
        <v>2177.9299999999998</v>
      </c>
      <c r="AF598">
        <v>0</v>
      </c>
      <c r="AG598">
        <v>0</v>
      </c>
      <c r="AH598">
        <v>0</v>
      </c>
      <c r="AI598">
        <v>3.11</v>
      </c>
      <c r="AJ598">
        <v>1</v>
      </c>
      <c r="AK598">
        <v>1</v>
      </c>
      <c r="AL598">
        <v>1</v>
      </c>
      <c r="AM598">
        <v>0</v>
      </c>
      <c r="AN598">
        <v>0</v>
      </c>
      <c r="AO598">
        <v>0</v>
      </c>
      <c r="AP598">
        <v>1</v>
      </c>
      <c r="AQ598">
        <v>0</v>
      </c>
      <c r="AR598">
        <v>0</v>
      </c>
      <c r="AS598" t="s">
        <v>3</v>
      </c>
      <c r="AT598">
        <v>1</v>
      </c>
      <c r="AU598" t="s">
        <v>35</v>
      </c>
      <c r="AV598">
        <v>0</v>
      </c>
      <c r="AW598">
        <v>1</v>
      </c>
      <c r="AX598">
        <v>-1</v>
      </c>
      <c r="AY598">
        <v>0</v>
      </c>
      <c r="AZ598">
        <v>0</v>
      </c>
      <c r="BA598" t="s">
        <v>3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v>0</v>
      </c>
      <c r="CX598">
        <f>ROUND(Y598*Source!I234,9)</f>
        <v>8</v>
      </c>
      <c r="CY598">
        <f>AA598</f>
        <v>6773.36</v>
      </c>
      <c r="CZ598">
        <f>AE598</f>
        <v>2177.9299999999998</v>
      </c>
      <c r="DA598">
        <f>AI598</f>
        <v>3.11</v>
      </c>
      <c r="DB598">
        <f>ROUND((ROUND(AT598*CZ598,2)*1),6)</f>
        <v>2177.9299999999998</v>
      </c>
      <c r="DC598">
        <f>ROUND((ROUND(AT598*AG598,2)*1),6)</f>
        <v>0</v>
      </c>
      <c r="DD598" t="s">
        <v>3</v>
      </c>
      <c r="DE598" t="s">
        <v>3</v>
      </c>
      <c r="DF598">
        <f>ROUND(ROUND(AE598*AI598,2)*CX598,2)</f>
        <v>54186.879999999997</v>
      </c>
      <c r="DG598">
        <f t="shared" si="256"/>
        <v>0</v>
      </c>
      <c r="DH598">
        <f t="shared" si="257"/>
        <v>0</v>
      </c>
      <c r="DI598">
        <f t="shared" si="254"/>
        <v>0</v>
      </c>
      <c r="DJ598">
        <f>DF598</f>
        <v>54186.879999999997</v>
      </c>
      <c r="DK598">
        <v>0</v>
      </c>
      <c r="DL598" t="s">
        <v>3</v>
      </c>
      <c r="DM598">
        <v>0</v>
      </c>
      <c r="DN598" t="s">
        <v>3</v>
      </c>
      <c r="DO598">
        <v>0</v>
      </c>
    </row>
    <row r="599" spans="1:119" x14ac:dyDescent="0.2">
      <c r="A599">
        <f>ROW(Source!A237)</f>
        <v>237</v>
      </c>
      <c r="B599">
        <v>85739205</v>
      </c>
      <c r="C599">
        <v>85740176</v>
      </c>
      <c r="D599">
        <v>85164021</v>
      </c>
      <c r="E599">
        <v>1081</v>
      </c>
      <c r="F599">
        <v>1</v>
      </c>
      <c r="G599">
        <v>1081</v>
      </c>
      <c r="H599">
        <v>1</v>
      </c>
      <c r="I599" t="s">
        <v>472</v>
      </c>
      <c r="J599" t="s">
        <v>3</v>
      </c>
      <c r="K599" t="s">
        <v>473</v>
      </c>
      <c r="L599">
        <v>1191</v>
      </c>
      <c r="N599">
        <v>1013</v>
      </c>
      <c r="O599" t="s">
        <v>474</v>
      </c>
      <c r="P599" t="s">
        <v>474</v>
      </c>
      <c r="Q599">
        <v>1</v>
      </c>
      <c r="W599">
        <v>0</v>
      </c>
      <c r="X599">
        <v>476480486</v>
      </c>
      <c r="Y599">
        <f>(AT599*1.2)</f>
        <v>6.48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</v>
      </c>
      <c r="AJ599">
        <v>1</v>
      </c>
      <c r="AK599">
        <v>1</v>
      </c>
      <c r="AL599">
        <v>1</v>
      </c>
      <c r="AM599">
        <v>-2</v>
      </c>
      <c r="AN599">
        <v>0</v>
      </c>
      <c r="AO599">
        <v>1</v>
      </c>
      <c r="AP599">
        <v>1</v>
      </c>
      <c r="AQ599">
        <v>0</v>
      </c>
      <c r="AR599">
        <v>0</v>
      </c>
      <c r="AS599" t="s">
        <v>3</v>
      </c>
      <c r="AT599">
        <v>5.4</v>
      </c>
      <c r="AU599" t="s">
        <v>36</v>
      </c>
      <c r="AV599">
        <v>1</v>
      </c>
      <c r="AW599">
        <v>2</v>
      </c>
      <c r="AX599">
        <v>85740185</v>
      </c>
      <c r="AY599">
        <v>1</v>
      </c>
      <c r="AZ599">
        <v>0</v>
      </c>
      <c r="BA599">
        <v>609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U599">
        <f>ROUND(AT599*Source!I237*AH599*AL599,2)</f>
        <v>0</v>
      </c>
      <c r="CV599">
        <f>ROUND(Y599*Source!I237,9)</f>
        <v>51.84</v>
      </c>
      <c r="CW599">
        <v>0</v>
      </c>
      <c r="CX599">
        <f>ROUND(Y599*Source!I237,9)</f>
        <v>51.84</v>
      </c>
      <c r="CY599">
        <f>AD599</f>
        <v>0</v>
      </c>
      <c r="CZ599">
        <f>AH599</f>
        <v>0</v>
      </c>
      <c r="DA599">
        <f>AL599</f>
        <v>1</v>
      </c>
      <c r="DB599">
        <f>ROUND((ROUND(AT599*CZ599,2)*1.2),6)</f>
        <v>0</v>
      </c>
      <c r="DC599">
        <f>ROUND((ROUND(AT599*AG599,2)*1.2),6)</f>
        <v>0</v>
      </c>
      <c r="DD599" t="s">
        <v>3</v>
      </c>
      <c r="DE599" t="s">
        <v>3</v>
      </c>
      <c r="DF599">
        <f t="shared" ref="DF599:DF608" si="258">ROUND(ROUND(AE599,2)*CX599,2)</f>
        <v>0</v>
      </c>
      <c r="DG599">
        <f t="shared" si="256"/>
        <v>0</v>
      </c>
      <c r="DH599">
        <f t="shared" si="257"/>
        <v>0</v>
      </c>
      <c r="DI599">
        <f t="shared" si="254"/>
        <v>0</v>
      </c>
      <c r="DJ599">
        <f>DI599</f>
        <v>0</v>
      </c>
      <c r="DK599">
        <v>0</v>
      </c>
      <c r="DL599" t="s">
        <v>3</v>
      </c>
      <c r="DM599">
        <v>0</v>
      </c>
      <c r="DN599" t="s">
        <v>3</v>
      </c>
      <c r="DO599">
        <v>0</v>
      </c>
    </row>
    <row r="600" spans="1:119" x14ac:dyDescent="0.2">
      <c r="A600">
        <f>ROW(Source!A237)</f>
        <v>237</v>
      </c>
      <c r="B600">
        <v>85739205</v>
      </c>
      <c r="C600">
        <v>85740176</v>
      </c>
      <c r="D600">
        <v>85229633</v>
      </c>
      <c r="E600">
        <v>1</v>
      </c>
      <c r="F600">
        <v>1</v>
      </c>
      <c r="G600">
        <v>1081</v>
      </c>
      <c r="H600">
        <v>2</v>
      </c>
      <c r="I600" t="s">
        <v>475</v>
      </c>
      <c r="J600" t="s">
        <v>476</v>
      </c>
      <c r="K600" t="s">
        <v>477</v>
      </c>
      <c r="L600">
        <v>1368</v>
      </c>
      <c r="N600">
        <v>1011</v>
      </c>
      <c r="O600" t="s">
        <v>478</v>
      </c>
      <c r="P600" t="s">
        <v>478</v>
      </c>
      <c r="Q600">
        <v>1</v>
      </c>
      <c r="W600">
        <v>0</v>
      </c>
      <c r="X600">
        <v>1498588441</v>
      </c>
      <c r="Y600">
        <f>(AT600*1.2)</f>
        <v>1.08</v>
      </c>
      <c r="AA600">
        <v>0</v>
      </c>
      <c r="AB600">
        <v>7.59</v>
      </c>
      <c r="AC600">
        <v>0</v>
      </c>
      <c r="AD600">
        <v>0</v>
      </c>
      <c r="AE600">
        <v>0</v>
      </c>
      <c r="AF600">
        <v>7.11</v>
      </c>
      <c r="AG600">
        <v>0</v>
      </c>
      <c r="AH600">
        <v>0</v>
      </c>
      <c r="AI600">
        <v>1</v>
      </c>
      <c r="AJ600">
        <v>1</v>
      </c>
      <c r="AK600">
        <v>1</v>
      </c>
      <c r="AL600">
        <v>1</v>
      </c>
      <c r="AM600">
        <v>-2</v>
      </c>
      <c r="AN600">
        <v>0</v>
      </c>
      <c r="AO600">
        <v>1</v>
      </c>
      <c r="AP600">
        <v>1</v>
      </c>
      <c r="AQ600">
        <v>0</v>
      </c>
      <c r="AR600">
        <v>0</v>
      </c>
      <c r="AS600" t="s">
        <v>3</v>
      </c>
      <c r="AT600">
        <v>0.9</v>
      </c>
      <c r="AU600" t="s">
        <v>36</v>
      </c>
      <c r="AV600">
        <v>0</v>
      </c>
      <c r="AW600">
        <v>2</v>
      </c>
      <c r="AX600">
        <v>85740186</v>
      </c>
      <c r="AY600">
        <v>1</v>
      </c>
      <c r="AZ600">
        <v>0</v>
      </c>
      <c r="BA600">
        <v>610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V600">
        <v>0</v>
      </c>
      <c r="CW600">
        <f>ROUND(Y600*Source!I237*DO600,9)</f>
        <v>0</v>
      </c>
      <c r="CX600">
        <f>ROUND(Y600*Source!I237,9)</f>
        <v>8.64</v>
      </c>
      <c r="CY600">
        <f>AB600</f>
        <v>7.59</v>
      </c>
      <c r="CZ600">
        <f>AF600</f>
        <v>7.11</v>
      </c>
      <c r="DA600">
        <f>AJ600</f>
        <v>1</v>
      </c>
      <c r="DB600">
        <f>ROUND((ROUND(AT600*CZ600,2)*1.2),6)</f>
        <v>7.68</v>
      </c>
      <c r="DC600">
        <f>ROUND((ROUND(AT600*AG600,2)*1.2),6)</f>
        <v>0</v>
      </c>
      <c r="DD600" t="s">
        <v>3</v>
      </c>
      <c r="DE600" t="s">
        <v>3</v>
      </c>
      <c r="DF600">
        <f t="shared" si="258"/>
        <v>0</v>
      </c>
      <c r="DG600">
        <f t="shared" si="256"/>
        <v>61.43</v>
      </c>
      <c r="DH600">
        <f t="shared" si="257"/>
        <v>0</v>
      </c>
      <c r="DI600">
        <f t="shared" si="254"/>
        <v>0</v>
      </c>
      <c r="DJ600">
        <f>DG600</f>
        <v>61.43</v>
      </c>
      <c r="DK600">
        <v>0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">
      <c r="A601">
        <f>ROW(Source!A237)</f>
        <v>237</v>
      </c>
      <c r="B601">
        <v>85739205</v>
      </c>
      <c r="C601">
        <v>85740176</v>
      </c>
      <c r="D601">
        <v>85229932</v>
      </c>
      <c r="E601">
        <v>1</v>
      </c>
      <c r="F601">
        <v>1</v>
      </c>
      <c r="G601">
        <v>1081</v>
      </c>
      <c r="H601">
        <v>2</v>
      </c>
      <c r="I601" t="s">
        <v>482</v>
      </c>
      <c r="J601" t="s">
        <v>483</v>
      </c>
      <c r="K601" t="s">
        <v>484</v>
      </c>
      <c r="L601">
        <v>1368</v>
      </c>
      <c r="N601">
        <v>1011</v>
      </c>
      <c r="O601" t="s">
        <v>478</v>
      </c>
      <c r="P601" t="s">
        <v>478</v>
      </c>
      <c r="Q601">
        <v>1</v>
      </c>
      <c r="W601">
        <v>0</v>
      </c>
      <c r="X601">
        <v>874612079</v>
      </c>
      <c r="Y601">
        <f>(AT601*1.2)</f>
        <v>2.4E-2</v>
      </c>
      <c r="AA601">
        <v>0</v>
      </c>
      <c r="AB601">
        <v>88.67</v>
      </c>
      <c r="AC601">
        <v>13.47</v>
      </c>
      <c r="AD601">
        <v>0</v>
      </c>
      <c r="AE601">
        <v>0</v>
      </c>
      <c r="AF601">
        <v>83.1</v>
      </c>
      <c r="AG601">
        <v>12.62</v>
      </c>
      <c r="AH601">
        <v>0</v>
      </c>
      <c r="AI601">
        <v>1</v>
      </c>
      <c r="AJ601">
        <v>1</v>
      </c>
      <c r="AK601">
        <v>1</v>
      </c>
      <c r="AL601">
        <v>1</v>
      </c>
      <c r="AM601">
        <v>-2</v>
      </c>
      <c r="AN601">
        <v>0</v>
      </c>
      <c r="AO601">
        <v>1</v>
      </c>
      <c r="AP601">
        <v>1</v>
      </c>
      <c r="AQ601">
        <v>0</v>
      </c>
      <c r="AR601">
        <v>0</v>
      </c>
      <c r="AS601" t="s">
        <v>3</v>
      </c>
      <c r="AT601">
        <v>0.02</v>
      </c>
      <c r="AU601" t="s">
        <v>36</v>
      </c>
      <c r="AV601">
        <v>0</v>
      </c>
      <c r="AW601">
        <v>2</v>
      </c>
      <c r="AX601">
        <v>85740187</v>
      </c>
      <c r="AY601">
        <v>1</v>
      </c>
      <c r="AZ601">
        <v>0</v>
      </c>
      <c r="BA601">
        <v>611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V601">
        <v>0</v>
      </c>
      <c r="CW601">
        <f>ROUND(Y601*Source!I237*DO601,9)</f>
        <v>2.4230399999999999</v>
      </c>
      <c r="CX601">
        <f>ROUND(Y601*Source!I237,9)</f>
        <v>0.192</v>
      </c>
      <c r="CY601">
        <f>AB601</f>
        <v>88.67</v>
      </c>
      <c r="CZ601">
        <f>AF601</f>
        <v>83.1</v>
      </c>
      <c r="DA601">
        <f>AJ601</f>
        <v>1</v>
      </c>
      <c r="DB601">
        <f>ROUND((ROUND(AT601*CZ601,2)*1.2),6)</f>
        <v>1.992</v>
      </c>
      <c r="DC601">
        <f>ROUND((ROUND(AT601*AG601,2)*1.2),6)</f>
        <v>0.3</v>
      </c>
      <c r="DD601" t="s">
        <v>3</v>
      </c>
      <c r="DE601" t="s">
        <v>3</v>
      </c>
      <c r="DF601">
        <f t="shared" si="258"/>
        <v>0</v>
      </c>
      <c r="DG601">
        <f t="shared" si="256"/>
        <v>15.96</v>
      </c>
      <c r="DH601">
        <f t="shared" si="257"/>
        <v>2.42</v>
      </c>
      <c r="DI601">
        <f t="shared" si="254"/>
        <v>0</v>
      </c>
      <c r="DJ601">
        <f>DG601</f>
        <v>15.96</v>
      </c>
      <c r="DK601">
        <v>0</v>
      </c>
      <c r="DL601" t="s">
        <v>485</v>
      </c>
      <c r="DM601">
        <v>0</v>
      </c>
      <c r="DN601" t="s">
        <v>474</v>
      </c>
      <c r="DO601">
        <v>12.62</v>
      </c>
    </row>
    <row r="602" spans="1:119" x14ac:dyDescent="0.2">
      <c r="A602">
        <f>ROW(Source!A237)</f>
        <v>237</v>
      </c>
      <c r="B602">
        <v>85739205</v>
      </c>
      <c r="C602">
        <v>85740176</v>
      </c>
      <c r="D602">
        <v>85200111</v>
      </c>
      <c r="E602">
        <v>1</v>
      </c>
      <c r="F602">
        <v>1</v>
      </c>
      <c r="G602">
        <v>1081</v>
      </c>
      <c r="H602">
        <v>3</v>
      </c>
      <c r="I602" t="s">
        <v>492</v>
      </c>
      <c r="J602" t="s">
        <v>493</v>
      </c>
      <c r="K602" t="s">
        <v>494</v>
      </c>
      <c r="L602">
        <v>1348</v>
      </c>
      <c r="N602">
        <v>1009</v>
      </c>
      <c r="O602" t="s">
        <v>266</v>
      </c>
      <c r="P602" t="s">
        <v>266</v>
      </c>
      <c r="Q602">
        <v>1000</v>
      </c>
      <c r="W602">
        <v>0</v>
      </c>
      <c r="X602">
        <v>205566664</v>
      </c>
      <c r="Y602">
        <f>(AT602*1)</f>
        <v>4.4000000000000002E-4</v>
      </c>
      <c r="AA602">
        <v>9367.64</v>
      </c>
      <c r="AB602">
        <v>0</v>
      </c>
      <c r="AC602">
        <v>0</v>
      </c>
      <c r="AD602">
        <v>0</v>
      </c>
      <c r="AE602">
        <v>9112.49</v>
      </c>
      <c r="AF602">
        <v>0</v>
      </c>
      <c r="AG602">
        <v>0</v>
      </c>
      <c r="AH602">
        <v>0</v>
      </c>
      <c r="AI602">
        <v>1</v>
      </c>
      <c r="AJ602">
        <v>1</v>
      </c>
      <c r="AK602">
        <v>1</v>
      </c>
      <c r="AL602">
        <v>1</v>
      </c>
      <c r="AM602">
        <v>-2</v>
      </c>
      <c r="AN602">
        <v>0</v>
      </c>
      <c r="AO602">
        <v>1</v>
      </c>
      <c r="AP602">
        <v>1</v>
      </c>
      <c r="AQ602">
        <v>0</v>
      </c>
      <c r="AR602">
        <v>0</v>
      </c>
      <c r="AS602" t="s">
        <v>3</v>
      </c>
      <c r="AT602">
        <v>4.4000000000000002E-4</v>
      </c>
      <c r="AU602" t="s">
        <v>35</v>
      </c>
      <c r="AV602">
        <v>0</v>
      </c>
      <c r="AW602">
        <v>2</v>
      </c>
      <c r="AX602">
        <v>85740188</v>
      </c>
      <c r="AY602">
        <v>1</v>
      </c>
      <c r="AZ602">
        <v>0</v>
      </c>
      <c r="BA602">
        <v>612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v>0</v>
      </c>
      <c r="CX602">
        <f>ROUND(Y602*Source!I237,9)</f>
        <v>3.5200000000000001E-3</v>
      </c>
      <c r="CY602">
        <f>AA602</f>
        <v>9367.64</v>
      </c>
      <c r="CZ602">
        <f>AE602</f>
        <v>9112.49</v>
      </c>
      <c r="DA602">
        <f>AI602</f>
        <v>1</v>
      </c>
      <c r="DB602">
        <f>ROUND((ROUND(AT602*CZ602,2)*1),6)</f>
        <v>4.01</v>
      </c>
      <c r="DC602">
        <f>ROUND((ROUND(AT602*AG602,2)*1),6)</f>
        <v>0</v>
      </c>
      <c r="DD602" t="s">
        <v>3</v>
      </c>
      <c r="DE602" t="s">
        <v>3</v>
      </c>
      <c r="DF602">
        <f t="shared" si="258"/>
        <v>32.08</v>
      </c>
      <c r="DG602">
        <f t="shared" si="256"/>
        <v>0</v>
      </c>
      <c r="DH602">
        <f t="shared" si="257"/>
        <v>0</v>
      </c>
      <c r="DI602">
        <f t="shared" si="254"/>
        <v>0</v>
      </c>
      <c r="DJ602">
        <f>DF602</f>
        <v>32.08</v>
      </c>
      <c r="DK602">
        <v>0</v>
      </c>
      <c r="DL602" t="s">
        <v>3</v>
      </c>
      <c r="DM602">
        <v>0</v>
      </c>
      <c r="DN602" t="s">
        <v>3</v>
      </c>
      <c r="DO602">
        <v>0</v>
      </c>
    </row>
    <row r="603" spans="1:119" x14ac:dyDescent="0.2">
      <c r="A603">
        <f>ROW(Source!A237)</f>
        <v>237</v>
      </c>
      <c r="B603">
        <v>85739205</v>
      </c>
      <c r="C603">
        <v>85740176</v>
      </c>
      <c r="D603">
        <v>85200784</v>
      </c>
      <c r="E603">
        <v>1</v>
      </c>
      <c r="F603">
        <v>1</v>
      </c>
      <c r="G603">
        <v>1081</v>
      </c>
      <c r="H603">
        <v>3</v>
      </c>
      <c r="I603" t="s">
        <v>499</v>
      </c>
      <c r="J603" t="s">
        <v>500</v>
      </c>
      <c r="K603" t="s">
        <v>501</v>
      </c>
      <c r="L603">
        <v>1346</v>
      </c>
      <c r="N603">
        <v>1009</v>
      </c>
      <c r="O603" t="s">
        <v>502</v>
      </c>
      <c r="P603" t="s">
        <v>502</v>
      </c>
      <c r="Q603">
        <v>1</v>
      </c>
      <c r="W603">
        <v>0</v>
      </c>
      <c r="X603">
        <v>-2132327540</v>
      </c>
      <c r="Y603">
        <f>(AT603*1)</f>
        <v>1.0999999999999999E-2</v>
      </c>
      <c r="AA603">
        <v>6.43</v>
      </c>
      <c r="AB603">
        <v>0</v>
      </c>
      <c r="AC603">
        <v>0</v>
      </c>
      <c r="AD603">
        <v>0</v>
      </c>
      <c r="AE603">
        <v>6.25</v>
      </c>
      <c r="AF603">
        <v>0</v>
      </c>
      <c r="AG603">
        <v>0</v>
      </c>
      <c r="AH603">
        <v>0</v>
      </c>
      <c r="AI603">
        <v>1</v>
      </c>
      <c r="AJ603">
        <v>1</v>
      </c>
      <c r="AK603">
        <v>1</v>
      </c>
      <c r="AL603">
        <v>1</v>
      </c>
      <c r="AM603">
        <v>-2</v>
      </c>
      <c r="AN603">
        <v>0</v>
      </c>
      <c r="AO603">
        <v>1</v>
      </c>
      <c r="AP603">
        <v>1</v>
      </c>
      <c r="AQ603">
        <v>0</v>
      </c>
      <c r="AR603">
        <v>0</v>
      </c>
      <c r="AS603" t="s">
        <v>3</v>
      </c>
      <c r="AT603">
        <v>1.0999999999999999E-2</v>
      </c>
      <c r="AU603" t="s">
        <v>35</v>
      </c>
      <c r="AV603">
        <v>0</v>
      </c>
      <c r="AW603">
        <v>2</v>
      </c>
      <c r="AX603">
        <v>85740189</v>
      </c>
      <c r="AY603">
        <v>1</v>
      </c>
      <c r="AZ603">
        <v>0</v>
      </c>
      <c r="BA603">
        <v>613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V603">
        <v>0</v>
      </c>
      <c r="CW603">
        <v>0</v>
      </c>
      <c r="CX603">
        <f>ROUND(Y603*Source!I237,9)</f>
        <v>8.7999999999999995E-2</v>
      </c>
      <c r="CY603">
        <f>AA603</f>
        <v>6.43</v>
      </c>
      <c r="CZ603">
        <f>AE603</f>
        <v>6.25</v>
      </c>
      <c r="DA603">
        <f>AI603</f>
        <v>1</v>
      </c>
      <c r="DB603">
        <f>ROUND((ROUND(AT603*CZ603,2)*1),6)</f>
        <v>7.0000000000000007E-2</v>
      </c>
      <c r="DC603">
        <f>ROUND((ROUND(AT603*AG603,2)*1),6)</f>
        <v>0</v>
      </c>
      <c r="DD603" t="s">
        <v>3</v>
      </c>
      <c r="DE603" t="s">
        <v>3</v>
      </c>
      <c r="DF603">
        <f t="shared" si="258"/>
        <v>0.55000000000000004</v>
      </c>
      <c r="DG603">
        <f t="shared" si="256"/>
        <v>0</v>
      </c>
      <c r="DH603">
        <f t="shared" si="257"/>
        <v>0</v>
      </c>
      <c r="DI603">
        <f t="shared" si="254"/>
        <v>0</v>
      </c>
      <c r="DJ603">
        <f>DF603</f>
        <v>0.55000000000000004</v>
      </c>
      <c r="DK603">
        <v>0</v>
      </c>
      <c r="DL603" t="s">
        <v>3</v>
      </c>
      <c r="DM603">
        <v>0</v>
      </c>
      <c r="DN603" t="s">
        <v>3</v>
      </c>
      <c r="DO603">
        <v>0</v>
      </c>
    </row>
    <row r="604" spans="1:119" x14ac:dyDescent="0.2">
      <c r="A604">
        <f>ROW(Source!A237)</f>
        <v>237</v>
      </c>
      <c r="B604">
        <v>85739205</v>
      </c>
      <c r="C604">
        <v>85740176</v>
      </c>
      <c r="D604">
        <v>85199158</v>
      </c>
      <c r="E604">
        <v>1</v>
      </c>
      <c r="F604">
        <v>1</v>
      </c>
      <c r="G604">
        <v>1081</v>
      </c>
      <c r="H604">
        <v>3</v>
      </c>
      <c r="I604" t="s">
        <v>503</v>
      </c>
      <c r="J604" t="s">
        <v>504</v>
      </c>
      <c r="K604" t="s">
        <v>505</v>
      </c>
      <c r="L604">
        <v>1339</v>
      </c>
      <c r="N604">
        <v>1007</v>
      </c>
      <c r="O604" t="s">
        <v>506</v>
      </c>
      <c r="P604" t="s">
        <v>506</v>
      </c>
      <c r="Q604">
        <v>1</v>
      </c>
      <c r="W604">
        <v>0</v>
      </c>
      <c r="X604">
        <v>-1235260082</v>
      </c>
      <c r="Y604">
        <f>(AT604*1)</f>
        <v>4.3999999999999997E-2</v>
      </c>
      <c r="AA604">
        <v>5.98</v>
      </c>
      <c r="AB604">
        <v>0</v>
      </c>
      <c r="AC604">
        <v>0</v>
      </c>
      <c r="AD604">
        <v>0</v>
      </c>
      <c r="AE604">
        <v>5.82</v>
      </c>
      <c r="AF604">
        <v>0</v>
      </c>
      <c r="AG604">
        <v>0</v>
      </c>
      <c r="AH604">
        <v>0</v>
      </c>
      <c r="AI604">
        <v>1</v>
      </c>
      <c r="AJ604">
        <v>1</v>
      </c>
      <c r="AK604">
        <v>1</v>
      </c>
      <c r="AL604">
        <v>1</v>
      </c>
      <c r="AM604">
        <v>-2</v>
      </c>
      <c r="AN604">
        <v>0</v>
      </c>
      <c r="AO604">
        <v>1</v>
      </c>
      <c r="AP604">
        <v>1</v>
      </c>
      <c r="AQ604">
        <v>0</v>
      </c>
      <c r="AR604">
        <v>0</v>
      </c>
      <c r="AS604" t="s">
        <v>3</v>
      </c>
      <c r="AT604">
        <v>4.3999999999999997E-2</v>
      </c>
      <c r="AU604" t="s">
        <v>35</v>
      </c>
      <c r="AV604">
        <v>0</v>
      </c>
      <c r="AW604">
        <v>2</v>
      </c>
      <c r="AX604">
        <v>85740190</v>
      </c>
      <c r="AY604">
        <v>1</v>
      </c>
      <c r="AZ604">
        <v>0</v>
      </c>
      <c r="BA604">
        <v>614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V604">
        <v>0</v>
      </c>
      <c r="CW604">
        <v>0</v>
      </c>
      <c r="CX604">
        <f>ROUND(Y604*Source!I237,9)</f>
        <v>0.35199999999999998</v>
      </c>
      <c r="CY604">
        <f>AA604</f>
        <v>5.98</v>
      </c>
      <c r="CZ604">
        <f>AE604</f>
        <v>5.82</v>
      </c>
      <c r="DA604">
        <f>AI604</f>
        <v>1</v>
      </c>
      <c r="DB604">
        <f>ROUND((ROUND(AT604*CZ604,2)*1),6)</f>
        <v>0.26</v>
      </c>
      <c r="DC604">
        <f>ROUND((ROUND(AT604*AG604,2)*1),6)</f>
        <v>0</v>
      </c>
      <c r="DD604" t="s">
        <v>3</v>
      </c>
      <c r="DE604" t="s">
        <v>3</v>
      </c>
      <c r="DF604">
        <f t="shared" si="258"/>
        <v>2.0499999999999998</v>
      </c>
      <c r="DG604">
        <f t="shared" si="256"/>
        <v>0</v>
      </c>
      <c r="DH604">
        <f t="shared" si="257"/>
        <v>0</v>
      </c>
      <c r="DI604">
        <f t="shared" si="254"/>
        <v>0</v>
      </c>
      <c r="DJ604">
        <f>DF604</f>
        <v>2.0499999999999998</v>
      </c>
      <c r="DK604">
        <v>0</v>
      </c>
      <c r="DL604" t="s">
        <v>3</v>
      </c>
      <c r="DM604">
        <v>0</v>
      </c>
      <c r="DN604" t="s">
        <v>3</v>
      </c>
      <c r="DO604">
        <v>0</v>
      </c>
    </row>
    <row r="605" spans="1:119" x14ac:dyDescent="0.2">
      <c r="A605">
        <f>ROW(Source!A237)</f>
        <v>237</v>
      </c>
      <c r="B605">
        <v>85739205</v>
      </c>
      <c r="C605">
        <v>85740176</v>
      </c>
      <c r="D605">
        <v>85215190</v>
      </c>
      <c r="E605">
        <v>1</v>
      </c>
      <c r="F605">
        <v>1</v>
      </c>
      <c r="G605">
        <v>1081</v>
      </c>
      <c r="H605">
        <v>3</v>
      </c>
      <c r="I605" t="s">
        <v>132</v>
      </c>
      <c r="J605" t="s">
        <v>134</v>
      </c>
      <c r="K605" t="s">
        <v>133</v>
      </c>
      <c r="L605">
        <v>1354</v>
      </c>
      <c r="N605">
        <v>1010</v>
      </c>
      <c r="O605" t="s">
        <v>99</v>
      </c>
      <c r="P605" t="s">
        <v>99</v>
      </c>
      <c r="Q605">
        <v>1</v>
      </c>
      <c r="W605">
        <v>0</v>
      </c>
      <c r="X605">
        <v>235948314</v>
      </c>
      <c r="Y605">
        <f>(AT605*1)</f>
        <v>2</v>
      </c>
      <c r="AA605">
        <v>107.23</v>
      </c>
      <c r="AB605">
        <v>0</v>
      </c>
      <c r="AC605">
        <v>0</v>
      </c>
      <c r="AD605">
        <v>0</v>
      </c>
      <c r="AE605">
        <v>107.23</v>
      </c>
      <c r="AF605">
        <v>0</v>
      </c>
      <c r="AG605">
        <v>0</v>
      </c>
      <c r="AH605">
        <v>0</v>
      </c>
      <c r="AI605">
        <v>1</v>
      </c>
      <c r="AJ605">
        <v>1</v>
      </c>
      <c r="AK605">
        <v>1</v>
      </c>
      <c r="AL605">
        <v>1</v>
      </c>
      <c r="AM605">
        <v>0</v>
      </c>
      <c r="AN605">
        <v>0</v>
      </c>
      <c r="AO605">
        <v>0</v>
      </c>
      <c r="AP605">
        <v>1</v>
      </c>
      <c r="AQ605">
        <v>0</v>
      </c>
      <c r="AR605">
        <v>0</v>
      </c>
      <c r="AS605" t="s">
        <v>3</v>
      </c>
      <c r="AT605">
        <v>2</v>
      </c>
      <c r="AU605" t="s">
        <v>35</v>
      </c>
      <c r="AV605">
        <v>0</v>
      </c>
      <c r="AW605">
        <v>1</v>
      </c>
      <c r="AX605">
        <v>-1</v>
      </c>
      <c r="AY605">
        <v>0</v>
      </c>
      <c r="AZ605">
        <v>0</v>
      </c>
      <c r="BA605" t="s">
        <v>3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V605">
        <v>0</v>
      </c>
      <c r="CW605">
        <v>0</v>
      </c>
      <c r="CX605">
        <f>ROUND(Y605*Source!I237,9)</f>
        <v>16</v>
      </c>
      <c r="CY605">
        <f>AA605</f>
        <v>107.23</v>
      </c>
      <c r="CZ605">
        <f>AE605</f>
        <v>107.23</v>
      </c>
      <c r="DA605">
        <f>AI605</f>
        <v>1</v>
      </c>
      <c r="DB605">
        <f>ROUND((ROUND(AT605*CZ605,2)*1),6)</f>
        <v>214.46</v>
      </c>
      <c r="DC605">
        <f>ROUND((ROUND(AT605*AG605,2)*1),6)</f>
        <v>0</v>
      </c>
      <c r="DD605" t="s">
        <v>3</v>
      </c>
      <c r="DE605" t="s">
        <v>3</v>
      </c>
      <c r="DF605">
        <f t="shared" si="258"/>
        <v>1715.68</v>
      </c>
      <c r="DG605">
        <f t="shared" si="256"/>
        <v>0</v>
      </c>
      <c r="DH605">
        <f t="shared" si="257"/>
        <v>0</v>
      </c>
      <c r="DI605">
        <f t="shared" si="254"/>
        <v>0</v>
      </c>
      <c r="DJ605">
        <f>DF605</f>
        <v>1715.68</v>
      </c>
      <c r="DK605">
        <v>0</v>
      </c>
      <c r="DL605" t="s">
        <v>3</v>
      </c>
      <c r="DM605">
        <v>0</v>
      </c>
      <c r="DN605" t="s">
        <v>3</v>
      </c>
      <c r="DO605">
        <v>0</v>
      </c>
    </row>
    <row r="606" spans="1:119" x14ac:dyDescent="0.2">
      <c r="A606">
        <f>ROW(Source!A238)</f>
        <v>238</v>
      </c>
      <c r="B606">
        <v>85739207</v>
      </c>
      <c r="C606">
        <v>85740176</v>
      </c>
      <c r="D606">
        <v>85164021</v>
      </c>
      <c r="E606">
        <v>1081</v>
      </c>
      <c r="F606">
        <v>1</v>
      </c>
      <c r="G606">
        <v>1081</v>
      </c>
      <c r="H606">
        <v>1</v>
      </c>
      <c r="I606" t="s">
        <v>472</v>
      </c>
      <c r="J606" t="s">
        <v>3</v>
      </c>
      <c r="K606" t="s">
        <v>473</v>
      </c>
      <c r="L606">
        <v>1191</v>
      </c>
      <c r="N606">
        <v>1013</v>
      </c>
      <c r="O606" t="s">
        <v>474</v>
      </c>
      <c r="P606" t="s">
        <v>474</v>
      </c>
      <c r="Q606">
        <v>1</v>
      </c>
      <c r="W606">
        <v>0</v>
      </c>
      <c r="X606">
        <v>476480486</v>
      </c>
      <c r="Y606">
        <f>(AT606*1.2)</f>
        <v>6.48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1</v>
      </c>
      <c r="AK606">
        <v>1</v>
      </c>
      <c r="AL606">
        <v>1</v>
      </c>
      <c r="AM606">
        <v>5</v>
      </c>
      <c r="AN606">
        <v>0</v>
      </c>
      <c r="AO606">
        <v>1</v>
      </c>
      <c r="AP606">
        <v>1</v>
      </c>
      <c r="AQ606">
        <v>0</v>
      </c>
      <c r="AR606">
        <v>0</v>
      </c>
      <c r="AS606" t="s">
        <v>3</v>
      </c>
      <c r="AT606">
        <v>5.4</v>
      </c>
      <c r="AU606" t="s">
        <v>36</v>
      </c>
      <c r="AV606">
        <v>1</v>
      </c>
      <c r="AW606">
        <v>2</v>
      </c>
      <c r="AX606">
        <v>85740185</v>
      </c>
      <c r="AY606">
        <v>1</v>
      </c>
      <c r="AZ606">
        <v>0</v>
      </c>
      <c r="BA606">
        <v>616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U606">
        <f>ROUND(AT606*Source!I238*AH606*AL606,2)</f>
        <v>0</v>
      </c>
      <c r="CV606">
        <f>ROUND(Y606*Source!I238,9)</f>
        <v>51.84</v>
      </c>
      <c r="CW606">
        <v>0</v>
      </c>
      <c r="CX606">
        <f>ROUND(Y606*Source!I238,9)</f>
        <v>51.84</v>
      </c>
      <c r="CY606">
        <f>AD606</f>
        <v>0</v>
      </c>
      <c r="CZ606">
        <f>AH606</f>
        <v>0</v>
      </c>
      <c r="DA606">
        <f>AL606</f>
        <v>1</v>
      </c>
      <c r="DB606">
        <f>ROUND((ROUND(AT606*CZ606,2)*1.2),6)</f>
        <v>0</v>
      </c>
      <c r="DC606">
        <f>ROUND((ROUND(AT606*AG606,2)*1.2),6)</f>
        <v>0</v>
      </c>
      <c r="DD606" t="s">
        <v>3</v>
      </c>
      <c r="DE606" t="s">
        <v>3</v>
      </c>
      <c r="DF606">
        <f t="shared" si="258"/>
        <v>0</v>
      </c>
      <c r="DG606">
        <f t="shared" si="256"/>
        <v>0</v>
      </c>
      <c r="DH606">
        <f t="shared" si="257"/>
        <v>0</v>
      </c>
      <c r="DI606">
        <f t="shared" si="254"/>
        <v>0</v>
      </c>
      <c r="DJ606">
        <f>DI606</f>
        <v>0</v>
      </c>
      <c r="DK606">
        <v>0</v>
      </c>
      <c r="DL606" t="s">
        <v>3</v>
      </c>
      <c r="DM606">
        <v>0</v>
      </c>
      <c r="DN606" t="s">
        <v>3</v>
      </c>
      <c r="DO606">
        <v>0</v>
      </c>
    </row>
    <row r="607" spans="1:119" x14ac:dyDescent="0.2">
      <c r="A607">
        <f>ROW(Source!A238)</f>
        <v>238</v>
      </c>
      <c r="B607">
        <v>85739207</v>
      </c>
      <c r="C607">
        <v>85740176</v>
      </c>
      <c r="D607">
        <v>85229633</v>
      </c>
      <c r="E607">
        <v>1</v>
      </c>
      <c r="F607">
        <v>1</v>
      </c>
      <c r="G607">
        <v>1081</v>
      </c>
      <c r="H607">
        <v>2</v>
      </c>
      <c r="I607" t="s">
        <v>475</v>
      </c>
      <c r="J607" t="s">
        <v>476</v>
      </c>
      <c r="K607" t="s">
        <v>477</v>
      </c>
      <c r="L607">
        <v>1368</v>
      </c>
      <c r="N607">
        <v>1011</v>
      </c>
      <c r="O607" t="s">
        <v>478</v>
      </c>
      <c r="P607" t="s">
        <v>478</v>
      </c>
      <c r="Q607">
        <v>1</v>
      </c>
      <c r="W607">
        <v>0</v>
      </c>
      <c r="X607">
        <v>1498588441</v>
      </c>
      <c r="Y607">
        <f>(AT607*1.2)</f>
        <v>1.08</v>
      </c>
      <c r="AA607">
        <v>0</v>
      </c>
      <c r="AB607">
        <v>102.11</v>
      </c>
      <c r="AC607">
        <v>0</v>
      </c>
      <c r="AD607">
        <v>0</v>
      </c>
      <c r="AE607">
        <v>0</v>
      </c>
      <c r="AF607">
        <v>7.11</v>
      </c>
      <c r="AG607">
        <v>0</v>
      </c>
      <c r="AH607">
        <v>0</v>
      </c>
      <c r="AI607">
        <v>1</v>
      </c>
      <c r="AJ607">
        <v>13.46</v>
      </c>
      <c r="AK607">
        <v>1</v>
      </c>
      <c r="AL607">
        <v>1</v>
      </c>
      <c r="AM607">
        <v>2</v>
      </c>
      <c r="AN607">
        <v>0</v>
      </c>
      <c r="AO607">
        <v>1</v>
      </c>
      <c r="AP607">
        <v>1</v>
      </c>
      <c r="AQ607">
        <v>0</v>
      </c>
      <c r="AR607">
        <v>0</v>
      </c>
      <c r="AS607" t="s">
        <v>3</v>
      </c>
      <c r="AT607">
        <v>0.9</v>
      </c>
      <c r="AU607" t="s">
        <v>36</v>
      </c>
      <c r="AV607">
        <v>0</v>
      </c>
      <c r="AW607">
        <v>2</v>
      </c>
      <c r="AX607">
        <v>85740186</v>
      </c>
      <c r="AY607">
        <v>1</v>
      </c>
      <c r="AZ607">
        <v>0</v>
      </c>
      <c r="BA607">
        <v>617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V607">
        <v>0</v>
      </c>
      <c r="CW607">
        <f>ROUND(Y607*Source!I238*DO607,9)</f>
        <v>0</v>
      </c>
      <c r="CX607">
        <f>ROUND(Y607*Source!I238,9)</f>
        <v>8.64</v>
      </c>
      <c r="CY607">
        <f>AB607</f>
        <v>102.11</v>
      </c>
      <c r="CZ607">
        <f>AF607</f>
        <v>7.11</v>
      </c>
      <c r="DA607">
        <f>AJ607</f>
        <v>13.46</v>
      </c>
      <c r="DB607">
        <f>ROUND((ROUND(AT607*CZ607,2)*1.2),6)</f>
        <v>7.68</v>
      </c>
      <c r="DC607">
        <f>ROUND((ROUND(AT607*AG607,2)*1.2),6)</f>
        <v>0</v>
      </c>
      <c r="DD607" t="s">
        <v>3</v>
      </c>
      <c r="DE607" t="s">
        <v>3</v>
      </c>
      <c r="DF607">
        <f t="shared" si="258"/>
        <v>0</v>
      </c>
      <c r="DG607">
        <f>ROUND(ROUND(AF607*AJ607,2)*CX607,2)</f>
        <v>826.85</v>
      </c>
      <c r="DH607">
        <f t="shared" si="257"/>
        <v>0</v>
      </c>
      <c r="DI607">
        <f t="shared" si="254"/>
        <v>0</v>
      </c>
      <c r="DJ607">
        <f>DG607</f>
        <v>826.85</v>
      </c>
      <c r="DK607">
        <v>0</v>
      </c>
      <c r="DL607" t="s">
        <v>3</v>
      </c>
      <c r="DM607">
        <v>0</v>
      </c>
      <c r="DN607" t="s">
        <v>3</v>
      </c>
      <c r="DO607">
        <v>0</v>
      </c>
    </row>
    <row r="608" spans="1:119" x14ac:dyDescent="0.2">
      <c r="A608">
        <f>ROW(Source!A238)</f>
        <v>238</v>
      </c>
      <c r="B608">
        <v>85739207</v>
      </c>
      <c r="C608">
        <v>85740176</v>
      </c>
      <c r="D608">
        <v>85229932</v>
      </c>
      <c r="E608">
        <v>1</v>
      </c>
      <c r="F608">
        <v>1</v>
      </c>
      <c r="G608">
        <v>1081</v>
      </c>
      <c r="H608">
        <v>2</v>
      </c>
      <c r="I608" t="s">
        <v>482</v>
      </c>
      <c r="J608" t="s">
        <v>483</v>
      </c>
      <c r="K608" t="s">
        <v>484</v>
      </c>
      <c r="L608">
        <v>1368</v>
      </c>
      <c r="N608">
        <v>1011</v>
      </c>
      <c r="O608" t="s">
        <v>478</v>
      </c>
      <c r="P608" t="s">
        <v>478</v>
      </c>
      <c r="Q608">
        <v>1</v>
      </c>
      <c r="W608">
        <v>0</v>
      </c>
      <c r="X608">
        <v>874612079</v>
      </c>
      <c r="Y608">
        <f>(AT608*1.2)</f>
        <v>2.4E-2</v>
      </c>
      <c r="AA608">
        <v>0</v>
      </c>
      <c r="AB608">
        <v>1513.56</v>
      </c>
      <c r="AC608">
        <v>758.78</v>
      </c>
      <c r="AD608">
        <v>0</v>
      </c>
      <c r="AE608">
        <v>0</v>
      </c>
      <c r="AF608">
        <v>83.1</v>
      </c>
      <c r="AG608">
        <v>12.62</v>
      </c>
      <c r="AH608">
        <v>0</v>
      </c>
      <c r="AI608">
        <v>1</v>
      </c>
      <c r="AJ608">
        <v>17.07</v>
      </c>
      <c r="AK608">
        <v>56.35</v>
      </c>
      <c r="AL608">
        <v>1</v>
      </c>
      <c r="AM608">
        <v>2</v>
      </c>
      <c r="AN608">
        <v>0</v>
      </c>
      <c r="AO608">
        <v>1</v>
      </c>
      <c r="AP608">
        <v>1</v>
      </c>
      <c r="AQ608">
        <v>0</v>
      </c>
      <c r="AR608">
        <v>0</v>
      </c>
      <c r="AS608" t="s">
        <v>3</v>
      </c>
      <c r="AT608">
        <v>0.02</v>
      </c>
      <c r="AU608" t="s">
        <v>36</v>
      </c>
      <c r="AV608">
        <v>0</v>
      </c>
      <c r="AW608">
        <v>2</v>
      </c>
      <c r="AX608">
        <v>85740187</v>
      </c>
      <c r="AY608">
        <v>1</v>
      </c>
      <c r="AZ608">
        <v>0</v>
      </c>
      <c r="BA608">
        <v>618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f>ROUND(Y608*Source!I238*DO608,9)</f>
        <v>2.4230399999999999</v>
      </c>
      <c r="CX608">
        <f>ROUND(Y608*Source!I238,9)</f>
        <v>0.192</v>
      </c>
      <c r="CY608">
        <f>AB608</f>
        <v>1513.56</v>
      </c>
      <c r="CZ608">
        <f>AF608</f>
        <v>83.1</v>
      </c>
      <c r="DA608">
        <f>AJ608</f>
        <v>17.07</v>
      </c>
      <c r="DB608">
        <f>ROUND((ROUND(AT608*CZ608,2)*1.2),6)</f>
        <v>1.992</v>
      </c>
      <c r="DC608">
        <f>ROUND((ROUND(AT608*AG608,2)*1.2),6)</f>
        <v>0.3</v>
      </c>
      <c r="DD608" t="s">
        <v>3</v>
      </c>
      <c r="DE608" t="s">
        <v>3</v>
      </c>
      <c r="DF608">
        <f t="shared" si="258"/>
        <v>0</v>
      </c>
      <c r="DG608">
        <f>ROUND(ROUND(AF608*AJ608,2)*CX608,2)</f>
        <v>272.36</v>
      </c>
      <c r="DH608">
        <f>ROUND(ROUND(AG608*AK608,2)*CX608,2)</f>
        <v>136.54</v>
      </c>
      <c r="DI608">
        <f t="shared" si="254"/>
        <v>0</v>
      </c>
      <c r="DJ608">
        <f>DG608</f>
        <v>272.36</v>
      </c>
      <c r="DK608">
        <v>0</v>
      </c>
      <c r="DL608" t="s">
        <v>485</v>
      </c>
      <c r="DM608">
        <v>0</v>
      </c>
      <c r="DN608" t="s">
        <v>474</v>
      </c>
      <c r="DO608">
        <v>12.62</v>
      </c>
    </row>
    <row r="609" spans="1:119" x14ac:dyDescent="0.2">
      <c r="A609">
        <f>ROW(Source!A238)</f>
        <v>238</v>
      </c>
      <c r="B609">
        <v>85739207</v>
      </c>
      <c r="C609">
        <v>85740176</v>
      </c>
      <c r="D609">
        <v>85200111</v>
      </c>
      <c r="E609">
        <v>1</v>
      </c>
      <c r="F609">
        <v>1</v>
      </c>
      <c r="G609">
        <v>1081</v>
      </c>
      <c r="H609">
        <v>3</v>
      </c>
      <c r="I609" t="s">
        <v>492</v>
      </c>
      <c r="J609" t="s">
        <v>493</v>
      </c>
      <c r="K609" t="s">
        <v>494</v>
      </c>
      <c r="L609">
        <v>1348</v>
      </c>
      <c r="N609">
        <v>1009</v>
      </c>
      <c r="O609" t="s">
        <v>266</v>
      </c>
      <c r="P609" t="s">
        <v>266</v>
      </c>
      <c r="Q609">
        <v>1000</v>
      </c>
      <c r="W609">
        <v>0</v>
      </c>
      <c r="X609">
        <v>205566664</v>
      </c>
      <c r="Y609">
        <f>(AT609*1)</f>
        <v>4.4000000000000002E-4</v>
      </c>
      <c r="AA609">
        <v>95081.54</v>
      </c>
      <c r="AB609">
        <v>0</v>
      </c>
      <c r="AC609">
        <v>0</v>
      </c>
      <c r="AD609">
        <v>0</v>
      </c>
      <c r="AE609">
        <v>9112.49</v>
      </c>
      <c r="AF609">
        <v>0</v>
      </c>
      <c r="AG609">
        <v>0</v>
      </c>
      <c r="AH609">
        <v>0</v>
      </c>
      <c r="AI609">
        <v>10.15</v>
      </c>
      <c r="AJ609">
        <v>1</v>
      </c>
      <c r="AK609">
        <v>1</v>
      </c>
      <c r="AL609">
        <v>1</v>
      </c>
      <c r="AM609">
        <v>2</v>
      </c>
      <c r="AN609">
        <v>0</v>
      </c>
      <c r="AO609">
        <v>1</v>
      </c>
      <c r="AP609">
        <v>1</v>
      </c>
      <c r="AQ609">
        <v>0</v>
      </c>
      <c r="AR609">
        <v>0</v>
      </c>
      <c r="AS609" t="s">
        <v>3</v>
      </c>
      <c r="AT609">
        <v>4.4000000000000002E-4</v>
      </c>
      <c r="AU609" t="s">
        <v>35</v>
      </c>
      <c r="AV609">
        <v>0</v>
      </c>
      <c r="AW609">
        <v>2</v>
      </c>
      <c r="AX609">
        <v>85740188</v>
      </c>
      <c r="AY609">
        <v>1</v>
      </c>
      <c r="AZ609">
        <v>0</v>
      </c>
      <c r="BA609">
        <v>619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v>0</v>
      </c>
      <c r="CX609">
        <f>ROUND(Y609*Source!I238,9)</f>
        <v>3.5200000000000001E-3</v>
      </c>
      <c r="CY609">
        <f>AA609</f>
        <v>95081.54</v>
      </c>
      <c r="CZ609">
        <f>AE609</f>
        <v>9112.49</v>
      </c>
      <c r="DA609">
        <f>AI609</f>
        <v>10.15</v>
      </c>
      <c r="DB609">
        <f>ROUND((ROUND(AT609*CZ609,2)*1),6)</f>
        <v>4.01</v>
      </c>
      <c r="DC609">
        <f>ROUND((ROUND(AT609*AG609,2)*1),6)</f>
        <v>0</v>
      </c>
      <c r="DD609" t="s">
        <v>3</v>
      </c>
      <c r="DE609" t="s">
        <v>3</v>
      </c>
      <c r="DF609">
        <f>ROUND(ROUND(AE609*AI609,2)*CX609,2)</f>
        <v>325.57</v>
      </c>
      <c r="DG609">
        <f t="shared" ref="DG609:DG628" si="259">ROUND(ROUND(AF609,2)*CX609,2)</f>
        <v>0</v>
      </c>
      <c r="DH609">
        <f t="shared" ref="DH609:DH629" si="260">ROUND(ROUND(AG609,2)*CX609,2)</f>
        <v>0</v>
      </c>
      <c r="DI609">
        <f t="shared" si="254"/>
        <v>0</v>
      </c>
      <c r="DJ609">
        <f>DF609</f>
        <v>325.57</v>
      </c>
      <c r="DK609">
        <v>0</v>
      </c>
      <c r="DL609" t="s">
        <v>3</v>
      </c>
      <c r="DM609">
        <v>0</v>
      </c>
      <c r="DN609" t="s">
        <v>3</v>
      </c>
      <c r="DO609">
        <v>0</v>
      </c>
    </row>
    <row r="610" spans="1:119" x14ac:dyDescent="0.2">
      <c r="A610">
        <f>ROW(Source!A238)</f>
        <v>238</v>
      </c>
      <c r="B610">
        <v>85739207</v>
      </c>
      <c r="C610">
        <v>85740176</v>
      </c>
      <c r="D610">
        <v>85200784</v>
      </c>
      <c r="E610">
        <v>1</v>
      </c>
      <c r="F610">
        <v>1</v>
      </c>
      <c r="G610">
        <v>1081</v>
      </c>
      <c r="H610">
        <v>3</v>
      </c>
      <c r="I610" t="s">
        <v>499</v>
      </c>
      <c r="J610" t="s">
        <v>500</v>
      </c>
      <c r="K610" t="s">
        <v>501</v>
      </c>
      <c r="L610">
        <v>1346</v>
      </c>
      <c r="N610">
        <v>1009</v>
      </c>
      <c r="O610" t="s">
        <v>502</v>
      </c>
      <c r="P610" t="s">
        <v>502</v>
      </c>
      <c r="Q610">
        <v>1</v>
      </c>
      <c r="W610">
        <v>0</v>
      </c>
      <c r="X610">
        <v>-2132327540</v>
      </c>
      <c r="Y610">
        <f>(AT610*1)</f>
        <v>1.0999999999999999E-2</v>
      </c>
      <c r="AA610">
        <v>64.760000000000005</v>
      </c>
      <c r="AB610">
        <v>0</v>
      </c>
      <c r="AC610">
        <v>0</v>
      </c>
      <c r="AD610">
        <v>0</v>
      </c>
      <c r="AE610">
        <v>6.25</v>
      </c>
      <c r="AF610">
        <v>0</v>
      </c>
      <c r="AG610">
        <v>0</v>
      </c>
      <c r="AH610">
        <v>0</v>
      </c>
      <c r="AI610">
        <v>10.08</v>
      </c>
      <c r="AJ610">
        <v>1</v>
      </c>
      <c r="AK610">
        <v>1</v>
      </c>
      <c r="AL610">
        <v>1</v>
      </c>
      <c r="AM610">
        <v>2</v>
      </c>
      <c r="AN610">
        <v>0</v>
      </c>
      <c r="AO610">
        <v>1</v>
      </c>
      <c r="AP610">
        <v>1</v>
      </c>
      <c r="AQ610">
        <v>0</v>
      </c>
      <c r="AR610">
        <v>0</v>
      </c>
      <c r="AS610" t="s">
        <v>3</v>
      </c>
      <c r="AT610">
        <v>1.0999999999999999E-2</v>
      </c>
      <c r="AU610" t="s">
        <v>35</v>
      </c>
      <c r="AV610">
        <v>0</v>
      </c>
      <c r="AW610">
        <v>2</v>
      </c>
      <c r="AX610">
        <v>85740189</v>
      </c>
      <c r="AY610">
        <v>1</v>
      </c>
      <c r="AZ610">
        <v>0</v>
      </c>
      <c r="BA610">
        <v>620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v>0</v>
      </c>
      <c r="CX610">
        <f>ROUND(Y610*Source!I238,9)</f>
        <v>8.7999999999999995E-2</v>
      </c>
      <c r="CY610">
        <f>AA610</f>
        <v>64.760000000000005</v>
      </c>
      <c r="CZ610">
        <f>AE610</f>
        <v>6.25</v>
      </c>
      <c r="DA610">
        <f>AI610</f>
        <v>10.08</v>
      </c>
      <c r="DB610">
        <f>ROUND((ROUND(AT610*CZ610,2)*1),6)</f>
        <v>7.0000000000000007E-2</v>
      </c>
      <c r="DC610">
        <f>ROUND((ROUND(AT610*AG610,2)*1),6)</f>
        <v>0</v>
      </c>
      <c r="DD610" t="s">
        <v>3</v>
      </c>
      <c r="DE610" t="s">
        <v>3</v>
      </c>
      <c r="DF610">
        <f>ROUND(ROUND(AE610*AI610,2)*CX610,2)</f>
        <v>5.54</v>
      </c>
      <c r="DG610">
        <f t="shared" si="259"/>
        <v>0</v>
      </c>
      <c r="DH610">
        <f t="shared" si="260"/>
        <v>0</v>
      </c>
      <c r="DI610">
        <f t="shared" si="254"/>
        <v>0</v>
      </c>
      <c r="DJ610">
        <f>DF610</f>
        <v>5.54</v>
      </c>
      <c r="DK610">
        <v>0</v>
      </c>
      <c r="DL610" t="s">
        <v>3</v>
      </c>
      <c r="DM610">
        <v>0</v>
      </c>
      <c r="DN610" t="s">
        <v>3</v>
      </c>
      <c r="DO610">
        <v>0</v>
      </c>
    </row>
    <row r="611" spans="1:119" x14ac:dyDescent="0.2">
      <c r="A611">
        <f>ROW(Source!A238)</f>
        <v>238</v>
      </c>
      <c r="B611">
        <v>85739207</v>
      </c>
      <c r="C611">
        <v>85740176</v>
      </c>
      <c r="D611">
        <v>85199158</v>
      </c>
      <c r="E611">
        <v>1</v>
      </c>
      <c r="F611">
        <v>1</v>
      </c>
      <c r="G611">
        <v>1081</v>
      </c>
      <c r="H611">
        <v>3</v>
      </c>
      <c r="I611" t="s">
        <v>503</v>
      </c>
      <c r="J611" t="s">
        <v>504</v>
      </c>
      <c r="K611" t="s">
        <v>505</v>
      </c>
      <c r="L611">
        <v>1339</v>
      </c>
      <c r="N611">
        <v>1007</v>
      </c>
      <c r="O611" t="s">
        <v>506</v>
      </c>
      <c r="P611" t="s">
        <v>506</v>
      </c>
      <c r="Q611">
        <v>1</v>
      </c>
      <c r="W611">
        <v>0</v>
      </c>
      <c r="X611">
        <v>-1235260082</v>
      </c>
      <c r="Y611">
        <f>(AT611*1)</f>
        <v>4.3999999999999997E-2</v>
      </c>
      <c r="AA611">
        <v>104.16</v>
      </c>
      <c r="AB611">
        <v>0</v>
      </c>
      <c r="AC611">
        <v>0</v>
      </c>
      <c r="AD611">
        <v>0</v>
      </c>
      <c r="AE611">
        <v>5.82</v>
      </c>
      <c r="AF611">
        <v>0</v>
      </c>
      <c r="AG611">
        <v>0</v>
      </c>
      <c r="AH611">
        <v>0</v>
      </c>
      <c r="AI611">
        <v>17.41</v>
      </c>
      <c r="AJ611">
        <v>1</v>
      </c>
      <c r="AK611">
        <v>1</v>
      </c>
      <c r="AL611">
        <v>1</v>
      </c>
      <c r="AM611">
        <v>2</v>
      </c>
      <c r="AN611">
        <v>0</v>
      </c>
      <c r="AO611">
        <v>1</v>
      </c>
      <c r="AP611">
        <v>1</v>
      </c>
      <c r="AQ611">
        <v>0</v>
      </c>
      <c r="AR611">
        <v>0</v>
      </c>
      <c r="AS611" t="s">
        <v>3</v>
      </c>
      <c r="AT611">
        <v>4.3999999999999997E-2</v>
      </c>
      <c r="AU611" t="s">
        <v>35</v>
      </c>
      <c r="AV611">
        <v>0</v>
      </c>
      <c r="AW611">
        <v>2</v>
      </c>
      <c r="AX611">
        <v>85740190</v>
      </c>
      <c r="AY611">
        <v>1</v>
      </c>
      <c r="AZ611">
        <v>0</v>
      </c>
      <c r="BA611">
        <v>621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V611">
        <v>0</v>
      </c>
      <c r="CW611">
        <v>0</v>
      </c>
      <c r="CX611">
        <f>ROUND(Y611*Source!I238,9)</f>
        <v>0.35199999999999998</v>
      </c>
      <c r="CY611">
        <f>AA611</f>
        <v>104.16</v>
      </c>
      <c r="CZ611">
        <f>AE611</f>
        <v>5.82</v>
      </c>
      <c r="DA611">
        <f>AI611</f>
        <v>17.41</v>
      </c>
      <c r="DB611">
        <f>ROUND((ROUND(AT611*CZ611,2)*1),6)</f>
        <v>0.26</v>
      </c>
      <c r="DC611">
        <f>ROUND((ROUND(AT611*AG611,2)*1),6)</f>
        <v>0</v>
      </c>
      <c r="DD611" t="s">
        <v>3</v>
      </c>
      <c r="DE611" t="s">
        <v>3</v>
      </c>
      <c r="DF611">
        <f>ROUND(ROUND(AE611*AI611,2)*CX611,2)</f>
        <v>35.67</v>
      </c>
      <c r="DG611">
        <f t="shared" si="259"/>
        <v>0</v>
      </c>
      <c r="DH611">
        <f t="shared" si="260"/>
        <v>0</v>
      </c>
      <c r="DI611">
        <f t="shared" si="254"/>
        <v>0</v>
      </c>
      <c r="DJ611">
        <f>DF611</f>
        <v>35.67</v>
      </c>
      <c r="DK611">
        <v>0</v>
      </c>
      <c r="DL611" t="s">
        <v>3</v>
      </c>
      <c r="DM611">
        <v>0</v>
      </c>
      <c r="DN611" t="s">
        <v>3</v>
      </c>
      <c r="DO611">
        <v>0</v>
      </c>
    </row>
    <row r="612" spans="1:119" x14ac:dyDescent="0.2">
      <c r="A612">
        <f>ROW(Source!A238)</f>
        <v>238</v>
      </c>
      <c r="B612">
        <v>85739207</v>
      </c>
      <c r="C612">
        <v>85740176</v>
      </c>
      <c r="D612">
        <v>85215190</v>
      </c>
      <c r="E612">
        <v>1</v>
      </c>
      <c r="F612">
        <v>1</v>
      </c>
      <c r="G612">
        <v>1081</v>
      </c>
      <c r="H612">
        <v>3</v>
      </c>
      <c r="I612" t="s">
        <v>132</v>
      </c>
      <c r="J612" t="s">
        <v>134</v>
      </c>
      <c r="K612" t="s">
        <v>133</v>
      </c>
      <c r="L612">
        <v>1354</v>
      </c>
      <c r="N612">
        <v>1010</v>
      </c>
      <c r="O612" t="s">
        <v>99</v>
      </c>
      <c r="P612" t="s">
        <v>99</v>
      </c>
      <c r="Q612">
        <v>1</v>
      </c>
      <c r="W612">
        <v>0</v>
      </c>
      <c r="X612">
        <v>235948314</v>
      </c>
      <c r="Y612">
        <f>(AT612*1)</f>
        <v>2</v>
      </c>
      <c r="AA612">
        <v>744.18</v>
      </c>
      <c r="AB612">
        <v>0</v>
      </c>
      <c r="AC612">
        <v>0</v>
      </c>
      <c r="AD612">
        <v>0</v>
      </c>
      <c r="AE612">
        <v>107.23</v>
      </c>
      <c r="AF612">
        <v>0</v>
      </c>
      <c r="AG612">
        <v>0</v>
      </c>
      <c r="AH612">
        <v>0</v>
      </c>
      <c r="AI612">
        <v>6.94</v>
      </c>
      <c r="AJ612">
        <v>1</v>
      </c>
      <c r="AK612">
        <v>1</v>
      </c>
      <c r="AL612">
        <v>1</v>
      </c>
      <c r="AM612">
        <v>0</v>
      </c>
      <c r="AN612">
        <v>0</v>
      </c>
      <c r="AO612">
        <v>0</v>
      </c>
      <c r="AP612">
        <v>1</v>
      </c>
      <c r="AQ612">
        <v>0</v>
      </c>
      <c r="AR612">
        <v>0</v>
      </c>
      <c r="AS612" t="s">
        <v>3</v>
      </c>
      <c r="AT612">
        <v>2</v>
      </c>
      <c r="AU612" t="s">
        <v>35</v>
      </c>
      <c r="AV612">
        <v>0</v>
      </c>
      <c r="AW612">
        <v>1</v>
      </c>
      <c r="AX612">
        <v>-1</v>
      </c>
      <c r="AY612">
        <v>0</v>
      </c>
      <c r="AZ612">
        <v>0</v>
      </c>
      <c r="BA612" t="s">
        <v>3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V612">
        <v>0</v>
      </c>
      <c r="CW612">
        <v>0</v>
      </c>
      <c r="CX612">
        <f>ROUND(Y612*Source!I238,9)</f>
        <v>16</v>
      </c>
      <c r="CY612">
        <f>AA612</f>
        <v>744.18</v>
      </c>
      <c r="CZ612">
        <f>AE612</f>
        <v>107.23</v>
      </c>
      <c r="DA612">
        <f>AI612</f>
        <v>6.94</v>
      </c>
      <c r="DB612">
        <f>ROUND((ROUND(AT612*CZ612,2)*1),6)</f>
        <v>214.46</v>
      </c>
      <c r="DC612">
        <f>ROUND((ROUND(AT612*AG612,2)*1),6)</f>
        <v>0</v>
      </c>
      <c r="DD612" t="s">
        <v>3</v>
      </c>
      <c r="DE612" t="s">
        <v>3</v>
      </c>
      <c r="DF612">
        <f>ROUND(ROUND(AE612*AI612,2)*CX612,2)</f>
        <v>11906.88</v>
      </c>
      <c r="DG612">
        <f t="shared" si="259"/>
        <v>0</v>
      </c>
      <c r="DH612">
        <f t="shared" si="260"/>
        <v>0</v>
      </c>
      <c r="DI612">
        <f t="shared" si="254"/>
        <v>0</v>
      </c>
      <c r="DJ612">
        <f>DF612</f>
        <v>11906.88</v>
      </c>
      <c r="DK612">
        <v>0</v>
      </c>
      <c r="DL612" t="s">
        <v>3</v>
      </c>
      <c r="DM612">
        <v>0</v>
      </c>
      <c r="DN612" t="s">
        <v>3</v>
      </c>
      <c r="DO612">
        <v>0</v>
      </c>
    </row>
    <row r="613" spans="1:119" x14ac:dyDescent="0.2">
      <c r="A613">
        <f>ROW(Source!A241)</f>
        <v>241</v>
      </c>
      <c r="B613">
        <v>85739205</v>
      </c>
      <c r="C613">
        <v>85740194</v>
      </c>
      <c r="D613">
        <v>85164021</v>
      </c>
      <c r="E613">
        <v>1081</v>
      </c>
      <c r="F613">
        <v>1</v>
      </c>
      <c r="G613">
        <v>1081</v>
      </c>
      <c r="H613">
        <v>1</v>
      </c>
      <c r="I613" t="s">
        <v>472</v>
      </c>
      <c r="J613" t="s">
        <v>3</v>
      </c>
      <c r="K613" t="s">
        <v>473</v>
      </c>
      <c r="L613">
        <v>1191</v>
      </c>
      <c r="N613">
        <v>1013</v>
      </c>
      <c r="O613" t="s">
        <v>474</v>
      </c>
      <c r="P613" t="s">
        <v>474</v>
      </c>
      <c r="Q613">
        <v>1</v>
      </c>
      <c r="W613">
        <v>0</v>
      </c>
      <c r="X613">
        <v>476480486</v>
      </c>
      <c r="Y613">
        <f>(AT613*1.2)</f>
        <v>0.36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1</v>
      </c>
      <c r="AK613">
        <v>1</v>
      </c>
      <c r="AL613">
        <v>1</v>
      </c>
      <c r="AM613">
        <v>-2</v>
      </c>
      <c r="AN613">
        <v>0</v>
      </c>
      <c r="AO613">
        <v>1</v>
      </c>
      <c r="AP613">
        <v>1</v>
      </c>
      <c r="AQ613">
        <v>0</v>
      </c>
      <c r="AR613">
        <v>0</v>
      </c>
      <c r="AS613" t="s">
        <v>3</v>
      </c>
      <c r="AT613">
        <v>0.3</v>
      </c>
      <c r="AU613" t="s">
        <v>36</v>
      </c>
      <c r="AV613">
        <v>1</v>
      </c>
      <c r="AW613">
        <v>2</v>
      </c>
      <c r="AX613">
        <v>85740197</v>
      </c>
      <c r="AY613">
        <v>1</v>
      </c>
      <c r="AZ613">
        <v>0</v>
      </c>
      <c r="BA613">
        <v>623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U613">
        <f>ROUND(AT613*Source!I241*AH613*AL613,2)</f>
        <v>0</v>
      </c>
      <c r="CV613">
        <f>ROUND(Y613*Source!I241,9)</f>
        <v>0.36</v>
      </c>
      <c r="CW613">
        <v>0</v>
      </c>
      <c r="CX613">
        <f>ROUND(Y613*Source!I241,9)</f>
        <v>0.36</v>
      </c>
      <c r="CY613">
        <f>AD613</f>
        <v>0</v>
      </c>
      <c r="CZ613">
        <f>AH613</f>
        <v>0</v>
      </c>
      <c r="DA613">
        <f>AL613</f>
        <v>1</v>
      </c>
      <c r="DB613">
        <f>ROUND((ROUND(AT613*CZ613,2)*1.2),6)</f>
        <v>0</v>
      </c>
      <c r="DC613">
        <f>ROUND((ROUND(AT613*AG613,2)*1.2),6)</f>
        <v>0</v>
      </c>
      <c r="DD613" t="s">
        <v>3</v>
      </c>
      <c r="DE613" t="s">
        <v>3</v>
      </c>
      <c r="DF613">
        <f>ROUND(ROUND(AE613,2)*CX613,2)</f>
        <v>0</v>
      </c>
      <c r="DG613">
        <f t="shared" si="259"/>
        <v>0</v>
      </c>
      <c r="DH613">
        <f t="shared" si="260"/>
        <v>0</v>
      </c>
      <c r="DI613">
        <f t="shared" si="254"/>
        <v>0</v>
      </c>
      <c r="DJ613">
        <f>DI613</f>
        <v>0</v>
      </c>
      <c r="DK613">
        <v>0</v>
      </c>
      <c r="DL613" t="s">
        <v>3</v>
      </c>
      <c r="DM613">
        <v>0</v>
      </c>
      <c r="DN613" t="s">
        <v>3</v>
      </c>
      <c r="DO613">
        <v>0</v>
      </c>
    </row>
    <row r="614" spans="1:119" x14ac:dyDescent="0.2">
      <c r="A614">
        <f>ROW(Source!A241)</f>
        <v>241</v>
      </c>
      <c r="B614">
        <v>85739205</v>
      </c>
      <c r="C614">
        <v>85740194</v>
      </c>
      <c r="D614">
        <v>85219690</v>
      </c>
      <c r="E614">
        <v>1</v>
      </c>
      <c r="F614">
        <v>1</v>
      </c>
      <c r="G614">
        <v>1081</v>
      </c>
      <c r="H614">
        <v>3</v>
      </c>
      <c r="I614" t="s">
        <v>609</v>
      </c>
      <c r="J614" t="s">
        <v>610</v>
      </c>
      <c r="K614" t="s">
        <v>611</v>
      </c>
      <c r="L614">
        <v>1346</v>
      </c>
      <c r="N614">
        <v>1009</v>
      </c>
      <c r="O614" t="s">
        <v>502</v>
      </c>
      <c r="P614" t="s">
        <v>502</v>
      </c>
      <c r="Q614">
        <v>1</v>
      </c>
      <c r="W614">
        <v>0</v>
      </c>
      <c r="X614">
        <v>1225074207</v>
      </c>
      <c r="Y614">
        <f>(AT614*1)</f>
        <v>4.2000000000000003E-2</v>
      </c>
      <c r="AA614">
        <v>19.28</v>
      </c>
      <c r="AB614">
        <v>0</v>
      </c>
      <c r="AC614">
        <v>0</v>
      </c>
      <c r="AD614">
        <v>0</v>
      </c>
      <c r="AE614">
        <v>19.28</v>
      </c>
      <c r="AF614">
        <v>0</v>
      </c>
      <c r="AG614">
        <v>0</v>
      </c>
      <c r="AH614">
        <v>0</v>
      </c>
      <c r="AI614">
        <v>1</v>
      </c>
      <c r="AJ614">
        <v>1</v>
      </c>
      <c r="AK614">
        <v>1</v>
      </c>
      <c r="AL614">
        <v>1</v>
      </c>
      <c r="AM614">
        <v>-2</v>
      </c>
      <c r="AN614">
        <v>0</v>
      </c>
      <c r="AO614">
        <v>1</v>
      </c>
      <c r="AP614">
        <v>1</v>
      </c>
      <c r="AQ614">
        <v>0</v>
      </c>
      <c r="AR614">
        <v>0</v>
      </c>
      <c r="AS614" t="s">
        <v>3</v>
      </c>
      <c r="AT614">
        <v>4.2000000000000003E-2</v>
      </c>
      <c r="AU614" t="s">
        <v>35</v>
      </c>
      <c r="AV614">
        <v>0</v>
      </c>
      <c r="AW614">
        <v>2</v>
      </c>
      <c r="AX614">
        <v>85740198</v>
      </c>
      <c r="AY614">
        <v>1</v>
      </c>
      <c r="AZ614">
        <v>0</v>
      </c>
      <c r="BA614">
        <v>624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V614">
        <v>0</v>
      </c>
      <c r="CW614">
        <v>0</v>
      </c>
      <c r="CX614">
        <f>ROUND(Y614*Source!I241,9)</f>
        <v>4.2000000000000003E-2</v>
      </c>
      <c r="CY614">
        <f>AA614</f>
        <v>19.28</v>
      </c>
      <c r="CZ614">
        <f>AE614</f>
        <v>19.28</v>
      </c>
      <c r="DA614">
        <f>AI614</f>
        <v>1</v>
      </c>
      <c r="DB614">
        <f>ROUND((ROUND(AT614*CZ614,2)*1),6)</f>
        <v>0.81</v>
      </c>
      <c r="DC614">
        <f>ROUND((ROUND(AT614*AG614,2)*1),6)</f>
        <v>0</v>
      </c>
      <c r="DD614" t="s">
        <v>3</v>
      </c>
      <c r="DE614" t="s">
        <v>3</v>
      </c>
      <c r="DF614">
        <f>ROUND(ROUND(AE614,2)*CX614,2)</f>
        <v>0.81</v>
      </c>
      <c r="DG614">
        <f t="shared" si="259"/>
        <v>0</v>
      </c>
      <c r="DH614">
        <f t="shared" si="260"/>
        <v>0</v>
      </c>
      <c r="DI614">
        <f t="shared" si="254"/>
        <v>0</v>
      </c>
      <c r="DJ614">
        <f>DF614</f>
        <v>0.81</v>
      </c>
      <c r="DK614">
        <v>0</v>
      </c>
      <c r="DL614" t="s">
        <v>3</v>
      </c>
      <c r="DM614">
        <v>0</v>
      </c>
      <c r="DN614" t="s">
        <v>3</v>
      </c>
      <c r="DO614">
        <v>0</v>
      </c>
    </row>
    <row r="615" spans="1:119" x14ac:dyDescent="0.2">
      <c r="A615">
        <f>ROW(Source!A241)</f>
        <v>241</v>
      </c>
      <c r="B615">
        <v>85739205</v>
      </c>
      <c r="C615">
        <v>85740194</v>
      </c>
      <c r="D615">
        <v>85164007</v>
      </c>
      <c r="E615">
        <v>1081</v>
      </c>
      <c r="F615">
        <v>1</v>
      </c>
      <c r="G615">
        <v>1081</v>
      </c>
      <c r="H615">
        <v>3</v>
      </c>
      <c r="I615" t="s">
        <v>624</v>
      </c>
      <c r="J615" t="s">
        <v>3</v>
      </c>
      <c r="K615" t="s">
        <v>625</v>
      </c>
      <c r="L615">
        <v>1348</v>
      </c>
      <c r="N615">
        <v>1009</v>
      </c>
      <c r="O615" t="s">
        <v>266</v>
      </c>
      <c r="P615" t="s">
        <v>266</v>
      </c>
      <c r="Q615">
        <v>1000</v>
      </c>
      <c r="W615">
        <v>0</v>
      </c>
      <c r="X615">
        <v>-783086922</v>
      </c>
      <c r="Y615">
        <f>(AT615*1)</f>
        <v>1.5E-3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1</v>
      </c>
      <c r="AK615">
        <v>1</v>
      </c>
      <c r="AL615">
        <v>1</v>
      </c>
      <c r="AM615">
        <v>-2</v>
      </c>
      <c r="AN615">
        <v>0</v>
      </c>
      <c r="AO615">
        <v>1</v>
      </c>
      <c r="AP615">
        <v>1</v>
      </c>
      <c r="AQ615">
        <v>0</v>
      </c>
      <c r="AR615">
        <v>0</v>
      </c>
      <c r="AS615" t="s">
        <v>3</v>
      </c>
      <c r="AT615">
        <v>1.5E-3</v>
      </c>
      <c r="AU615" t="s">
        <v>35</v>
      </c>
      <c r="AV615">
        <v>0</v>
      </c>
      <c r="AW615">
        <v>2</v>
      </c>
      <c r="AX615">
        <v>85740200</v>
      </c>
      <c r="AY615">
        <v>1</v>
      </c>
      <c r="AZ615">
        <v>0</v>
      </c>
      <c r="BA615">
        <v>626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V615">
        <v>0</v>
      </c>
      <c r="CW615">
        <v>0</v>
      </c>
      <c r="CX615">
        <f>ROUND(Y615*Source!I241,9)</f>
        <v>1.5E-3</v>
      </c>
      <c r="CY615">
        <f>AA615</f>
        <v>0</v>
      </c>
      <c r="CZ615">
        <f>AE615</f>
        <v>0</v>
      </c>
      <c r="DA615">
        <f>AI615</f>
        <v>1</v>
      </c>
      <c r="DB615">
        <f>ROUND((ROUND(AT615*CZ615,2)*1),6)</f>
        <v>0</v>
      </c>
      <c r="DC615">
        <f>ROUND((ROUND(AT615*AG615,2)*1),6)</f>
        <v>0</v>
      </c>
      <c r="DD615" t="s">
        <v>3</v>
      </c>
      <c r="DE615" t="s">
        <v>3</v>
      </c>
      <c r="DF615">
        <f>ROUND(ROUND(AE615,2)*CX615,2)</f>
        <v>0</v>
      </c>
      <c r="DG615">
        <f t="shared" si="259"/>
        <v>0</v>
      </c>
      <c r="DH615">
        <f t="shared" si="260"/>
        <v>0</v>
      </c>
      <c r="DI615">
        <f t="shared" si="254"/>
        <v>0</v>
      </c>
      <c r="DJ615">
        <f>DF615</f>
        <v>0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">
      <c r="A616">
        <f>ROW(Source!A241)</f>
        <v>241</v>
      </c>
      <c r="B616">
        <v>85739205</v>
      </c>
      <c r="C616">
        <v>85740194</v>
      </c>
      <c r="D616">
        <v>0</v>
      </c>
      <c r="E616">
        <v>0</v>
      </c>
      <c r="F616">
        <v>1</v>
      </c>
      <c r="G616">
        <v>1081</v>
      </c>
      <c r="H616">
        <v>3</v>
      </c>
      <c r="I616" t="s">
        <v>437</v>
      </c>
      <c r="J616" t="s">
        <v>3</v>
      </c>
      <c r="K616" t="s">
        <v>438</v>
      </c>
      <c r="L616">
        <v>1354</v>
      </c>
      <c r="N616">
        <v>1010</v>
      </c>
      <c r="O616" t="s">
        <v>99</v>
      </c>
      <c r="P616" t="s">
        <v>99</v>
      </c>
      <c r="Q616">
        <v>1</v>
      </c>
      <c r="W616">
        <v>0</v>
      </c>
      <c r="X616">
        <v>140475686</v>
      </c>
      <c r="Y616">
        <f>(AT616*1)</f>
        <v>1</v>
      </c>
      <c r="AA616">
        <v>1798.97</v>
      </c>
      <c r="AB616">
        <v>0</v>
      </c>
      <c r="AC616">
        <v>0</v>
      </c>
      <c r="AD616">
        <v>0</v>
      </c>
      <c r="AE616">
        <v>1798.9699999999998</v>
      </c>
      <c r="AF616">
        <v>0</v>
      </c>
      <c r="AG616">
        <v>0</v>
      </c>
      <c r="AH616">
        <v>0</v>
      </c>
      <c r="AI616">
        <v>1</v>
      </c>
      <c r="AJ616">
        <v>1</v>
      </c>
      <c r="AK616">
        <v>1</v>
      </c>
      <c r="AL616">
        <v>1</v>
      </c>
      <c r="AM616">
        <v>0</v>
      </c>
      <c r="AN616">
        <v>0</v>
      </c>
      <c r="AO616">
        <v>0</v>
      </c>
      <c r="AP616">
        <v>1</v>
      </c>
      <c r="AQ616">
        <v>0</v>
      </c>
      <c r="AR616">
        <v>0</v>
      </c>
      <c r="AS616" t="s">
        <v>3</v>
      </c>
      <c r="AT616">
        <v>1</v>
      </c>
      <c r="AU616" t="s">
        <v>35</v>
      </c>
      <c r="AV616">
        <v>0</v>
      </c>
      <c r="AW616">
        <v>1</v>
      </c>
      <c r="AX616">
        <v>-1</v>
      </c>
      <c r="AY616">
        <v>0</v>
      </c>
      <c r="AZ616">
        <v>0</v>
      </c>
      <c r="BA616" t="s">
        <v>3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v>0</v>
      </c>
      <c r="CX616">
        <f>ROUND(Y616*Source!I241,9)</f>
        <v>1</v>
      </c>
      <c r="CY616">
        <f>AA616</f>
        <v>1798.97</v>
      </c>
      <c r="CZ616">
        <f>AE616</f>
        <v>1798.9699999999998</v>
      </c>
      <c r="DA616">
        <f>AI616</f>
        <v>1</v>
      </c>
      <c r="DB616">
        <f>ROUND((ROUND(AT616*CZ616,2)*1),6)</f>
        <v>1798.97</v>
      </c>
      <c r="DC616">
        <f>ROUND((ROUND(AT616*AG616,2)*1),6)</f>
        <v>0</v>
      </c>
      <c r="DD616" t="s">
        <v>3</v>
      </c>
      <c r="DE616" t="s">
        <v>3</v>
      </c>
      <c r="DF616">
        <f>ROUND(ROUND(AE616,2)*CX616,2)</f>
        <v>1798.97</v>
      </c>
      <c r="DG616">
        <f t="shared" si="259"/>
        <v>0</v>
      </c>
      <c r="DH616">
        <f t="shared" si="260"/>
        <v>0</v>
      </c>
      <c r="DI616">
        <f t="shared" si="254"/>
        <v>0</v>
      </c>
      <c r="DJ616">
        <f>DF616</f>
        <v>1798.97</v>
      </c>
      <c r="DK616">
        <v>0</v>
      </c>
      <c r="DL616" t="s">
        <v>3</v>
      </c>
      <c r="DM616">
        <v>0</v>
      </c>
      <c r="DN616" t="s">
        <v>3</v>
      </c>
      <c r="DO616">
        <v>0</v>
      </c>
    </row>
    <row r="617" spans="1:119" x14ac:dyDescent="0.2">
      <c r="A617">
        <f>ROW(Source!A242)</f>
        <v>242</v>
      </c>
      <c r="B617">
        <v>85739207</v>
      </c>
      <c r="C617">
        <v>85740194</v>
      </c>
      <c r="D617">
        <v>85164021</v>
      </c>
      <c r="E617">
        <v>1081</v>
      </c>
      <c r="F617">
        <v>1</v>
      </c>
      <c r="G617">
        <v>1081</v>
      </c>
      <c r="H617">
        <v>1</v>
      </c>
      <c r="I617" t="s">
        <v>472</v>
      </c>
      <c r="J617" t="s">
        <v>3</v>
      </c>
      <c r="K617" t="s">
        <v>473</v>
      </c>
      <c r="L617">
        <v>1191</v>
      </c>
      <c r="N617">
        <v>1013</v>
      </c>
      <c r="O617" t="s">
        <v>474</v>
      </c>
      <c r="P617" t="s">
        <v>474</v>
      </c>
      <c r="Q617">
        <v>1</v>
      </c>
      <c r="W617">
        <v>0</v>
      </c>
      <c r="X617">
        <v>476480486</v>
      </c>
      <c r="Y617">
        <f>(AT617*1.2)</f>
        <v>0.36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</v>
      </c>
      <c r="AJ617">
        <v>1</v>
      </c>
      <c r="AK617">
        <v>1</v>
      </c>
      <c r="AL617">
        <v>1</v>
      </c>
      <c r="AM617">
        <v>5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0.3</v>
      </c>
      <c r="AU617" t="s">
        <v>36</v>
      </c>
      <c r="AV617">
        <v>1</v>
      </c>
      <c r="AW617">
        <v>2</v>
      </c>
      <c r="AX617">
        <v>85740197</v>
      </c>
      <c r="AY617">
        <v>1</v>
      </c>
      <c r="AZ617">
        <v>0</v>
      </c>
      <c r="BA617">
        <v>627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U617">
        <f>ROUND(AT617*Source!I242*AH617*AL617,2)</f>
        <v>0</v>
      </c>
      <c r="CV617">
        <f>ROUND(Y617*Source!I242,9)</f>
        <v>0.36</v>
      </c>
      <c r="CW617">
        <v>0</v>
      </c>
      <c r="CX617">
        <f>ROUND(Y617*Source!I242,9)</f>
        <v>0.36</v>
      </c>
      <c r="CY617">
        <f>AD617</f>
        <v>0</v>
      </c>
      <c r="CZ617">
        <f>AH617</f>
        <v>0</v>
      </c>
      <c r="DA617">
        <f>AL617</f>
        <v>1</v>
      </c>
      <c r="DB617">
        <f>ROUND((ROUND(AT617*CZ617,2)*1.2),6)</f>
        <v>0</v>
      </c>
      <c r="DC617">
        <f>ROUND((ROUND(AT617*AG617,2)*1.2),6)</f>
        <v>0</v>
      </c>
      <c r="DD617" t="s">
        <v>3</v>
      </c>
      <c r="DE617" t="s">
        <v>3</v>
      </c>
      <c r="DF617">
        <f>ROUND(ROUND(AE617,2)*CX617,2)</f>
        <v>0</v>
      </c>
      <c r="DG617">
        <f t="shared" si="259"/>
        <v>0</v>
      </c>
      <c r="DH617">
        <f t="shared" si="260"/>
        <v>0</v>
      </c>
      <c r="DI617">
        <f t="shared" si="254"/>
        <v>0</v>
      </c>
      <c r="DJ617">
        <f>DI617</f>
        <v>0</v>
      </c>
      <c r="DK617">
        <v>0</v>
      </c>
      <c r="DL617" t="s">
        <v>3</v>
      </c>
      <c r="DM617">
        <v>0</v>
      </c>
      <c r="DN617" t="s">
        <v>3</v>
      </c>
      <c r="DO617">
        <v>0</v>
      </c>
    </row>
    <row r="618" spans="1:119" x14ac:dyDescent="0.2">
      <c r="A618">
        <f>ROW(Source!A242)</f>
        <v>242</v>
      </c>
      <c r="B618">
        <v>85739207</v>
      </c>
      <c r="C618">
        <v>85740194</v>
      </c>
      <c r="D618">
        <v>85219690</v>
      </c>
      <c r="E618">
        <v>1</v>
      </c>
      <c r="F618">
        <v>1</v>
      </c>
      <c r="G618">
        <v>1081</v>
      </c>
      <c r="H618">
        <v>3</v>
      </c>
      <c r="I618" t="s">
        <v>609</v>
      </c>
      <c r="J618" t="s">
        <v>610</v>
      </c>
      <c r="K618" t="s">
        <v>611</v>
      </c>
      <c r="L618">
        <v>1346</v>
      </c>
      <c r="N618">
        <v>1009</v>
      </c>
      <c r="O618" t="s">
        <v>502</v>
      </c>
      <c r="P618" t="s">
        <v>502</v>
      </c>
      <c r="Q618">
        <v>1</v>
      </c>
      <c r="W618">
        <v>0</v>
      </c>
      <c r="X618">
        <v>1225074207</v>
      </c>
      <c r="Y618">
        <f>(AT618*1)</f>
        <v>4.2000000000000003E-2</v>
      </c>
      <c r="AA618">
        <v>333.16</v>
      </c>
      <c r="AB618">
        <v>0</v>
      </c>
      <c r="AC618">
        <v>0</v>
      </c>
      <c r="AD618">
        <v>0</v>
      </c>
      <c r="AE618">
        <v>19.28</v>
      </c>
      <c r="AF618">
        <v>0</v>
      </c>
      <c r="AG618">
        <v>0</v>
      </c>
      <c r="AH618">
        <v>0</v>
      </c>
      <c r="AI618">
        <v>17.28</v>
      </c>
      <c r="AJ618">
        <v>1</v>
      </c>
      <c r="AK618">
        <v>1</v>
      </c>
      <c r="AL618">
        <v>1</v>
      </c>
      <c r="AM618">
        <v>2</v>
      </c>
      <c r="AN618">
        <v>0</v>
      </c>
      <c r="AO618">
        <v>1</v>
      </c>
      <c r="AP618">
        <v>1</v>
      </c>
      <c r="AQ618">
        <v>0</v>
      </c>
      <c r="AR618">
        <v>0</v>
      </c>
      <c r="AS618" t="s">
        <v>3</v>
      </c>
      <c r="AT618">
        <v>4.2000000000000003E-2</v>
      </c>
      <c r="AU618" t="s">
        <v>35</v>
      </c>
      <c r="AV618">
        <v>0</v>
      </c>
      <c r="AW618">
        <v>2</v>
      </c>
      <c r="AX618">
        <v>85740198</v>
      </c>
      <c r="AY618">
        <v>1</v>
      </c>
      <c r="AZ618">
        <v>0</v>
      </c>
      <c r="BA618">
        <v>628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V618">
        <v>0</v>
      </c>
      <c r="CW618">
        <v>0</v>
      </c>
      <c r="CX618">
        <f>ROUND(Y618*Source!I242,9)</f>
        <v>4.2000000000000003E-2</v>
      </c>
      <c r="CY618">
        <f>AA618</f>
        <v>333.16</v>
      </c>
      <c r="CZ618">
        <f>AE618</f>
        <v>19.28</v>
      </c>
      <c r="DA618">
        <f>AI618</f>
        <v>17.28</v>
      </c>
      <c r="DB618">
        <f>ROUND((ROUND(AT618*CZ618,2)*1),6)</f>
        <v>0.81</v>
      </c>
      <c r="DC618">
        <f>ROUND((ROUND(AT618*AG618,2)*1),6)</f>
        <v>0</v>
      </c>
      <c r="DD618" t="s">
        <v>3</v>
      </c>
      <c r="DE618" t="s">
        <v>3</v>
      </c>
      <c r="DF618">
        <f>ROUND(ROUND(AE618*AI618,2)*CX618,2)</f>
        <v>13.99</v>
      </c>
      <c r="DG618">
        <f t="shared" si="259"/>
        <v>0</v>
      </c>
      <c r="DH618">
        <f t="shared" si="260"/>
        <v>0</v>
      </c>
      <c r="DI618">
        <f t="shared" si="254"/>
        <v>0</v>
      </c>
      <c r="DJ618">
        <f>DF618</f>
        <v>13.99</v>
      </c>
      <c r="DK618">
        <v>0</v>
      </c>
      <c r="DL618" t="s">
        <v>3</v>
      </c>
      <c r="DM618">
        <v>0</v>
      </c>
      <c r="DN618" t="s">
        <v>3</v>
      </c>
      <c r="DO618">
        <v>0</v>
      </c>
    </row>
    <row r="619" spans="1:119" x14ac:dyDescent="0.2">
      <c r="A619">
        <f>ROW(Source!A242)</f>
        <v>242</v>
      </c>
      <c r="B619">
        <v>85739207</v>
      </c>
      <c r="C619">
        <v>85740194</v>
      </c>
      <c r="D619">
        <v>85164007</v>
      </c>
      <c r="E619">
        <v>1081</v>
      </c>
      <c r="F619">
        <v>1</v>
      </c>
      <c r="G619">
        <v>1081</v>
      </c>
      <c r="H619">
        <v>3</v>
      </c>
      <c r="I619" t="s">
        <v>624</v>
      </c>
      <c r="J619" t="s">
        <v>3</v>
      </c>
      <c r="K619" t="s">
        <v>625</v>
      </c>
      <c r="L619">
        <v>1348</v>
      </c>
      <c r="N619">
        <v>1009</v>
      </c>
      <c r="O619" t="s">
        <v>266</v>
      </c>
      <c r="P619" t="s">
        <v>266</v>
      </c>
      <c r="Q619">
        <v>1000</v>
      </c>
      <c r="W619">
        <v>0</v>
      </c>
      <c r="X619">
        <v>-783086922</v>
      </c>
      <c r="Y619">
        <f>(AT619*1)</f>
        <v>1.5E-3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9.84</v>
      </c>
      <c r="AJ619">
        <v>1</v>
      </c>
      <c r="AK619">
        <v>1</v>
      </c>
      <c r="AL619">
        <v>1</v>
      </c>
      <c r="AM619">
        <v>5</v>
      </c>
      <c r="AN619">
        <v>0</v>
      </c>
      <c r="AO619">
        <v>1</v>
      </c>
      <c r="AP619">
        <v>1</v>
      </c>
      <c r="AQ619">
        <v>0</v>
      </c>
      <c r="AR619">
        <v>0</v>
      </c>
      <c r="AS619" t="s">
        <v>3</v>
      </c>
      <c r="AT619">
        <v>1.5E-3</v>
      </c>
      <c r="AU619" t="s">
        <v>35</v>
      </c>
      <c r="AV619">
        <v>0</v>
      </c>
      <c r="AW619">
        <v>2</v>
      </c>
      <c r="AX619">
        <v>85740200</v>
      </c>
      <c r="AY619">
        <v>1</v>
      </c>
      <c r="AZ619">
        <v>0</v>
      </c>
      <c r="BA619">
        <v>630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V619">
        <v>0</v>
      </c>
      <c r="CW619">
        <v>0</v>
      </c>
      <c r="CX619">
        <f>ROUND(Y619*Source!I242,9)</f>
        <v>1.5E-3</v>
      </c>
      <c r="CY619">
        <f>AA619</f>
        <v>0</v>
      </c>
      <c r="CZ619">
        <f>AE619</f>
        <v>0</v>
      </c>
      <c r="DA619">
        <f>AI619</f>
        <v>9.84</v>
      </c>
      <c r="DB619">
        <f>ROUND((ROUND(AT619*CZ619,2)*1),6)</f>
        <v>0</v>
      </c>
      <c r="DC619">
        <f>ROUND((ROUND(AT619*AG619,2)*1),6)</f>
        <v>0</v>
      </c>
      <c r="DD619" t="s">
        <v>3</v>
      </c>
      <c r="DE619" t="s">
        <v>3</v>
      </c>
      <c r="DF619">
        <f>ROUND(ROUND(AE619*AI619,2)*CX619,2)</f>
        <v>0</v>
      </c>
      <c r="DG619">
        <f t="shared" si="259"/>
        <v>0</v>
      </c>
      <c r="DH619">
        <f t="shared" si="260"/>
        <v>0</v>
      </c>
      <c r="DI619">
        <f t="shared" si="254"/>
        <v>0</v>
      </c>
      <c r="DJ619">
        <f>DF619</f>
        <v>0</v>
      </c>
      <c r="DK619">
        <v>0</v>
      </c>
      <c r="DL619" t="s">
        <v>3</v>
      </c>
      <c r="DM619">
        <v>0</v>
      </c>
      <c r="DN619" t="s">
        <v>3</v>
      </c>
      <c r="DO619">
        <v>0</v>
      </c>
    </row>
    <row r="620" spans="1:119" x14ac:dyDescent="0.2">
      <c r="A620">
        <f>ROW(Source!A242)</f>
        <v>242</v>
      </c>
      <c r="B620">
        <v>85739207</v>
      </c>
      <c r="C620">
        <v>85740194</v>
      </c>
      <c r="D620">
        <v>0</v>
      </c>
      <c r="E620">
        <v>0</v>
      </c>
      <c r="F620">
        <v>1</v>
      </c>
      <c r="G620">
        <v>1081</v>
      </c>
      <c r="H620">
        <v>3</v>
      </c>
      <c r="I620" t="s">
        <v>437</v>
      </c>
      <c r="J620" t="s">
        <v>3</v>
      </c>
      <c r="K620" t="s">
        <v>438</v>
      </c>
      <c r="L620">
        <v>1354</v>
      </c>
      <c r="N620">
        <v>1010</v>
      </c>
      <c r="O620" t="s">
        <v>99</v>
      </c>
      <c r="P620" t="s">
        <v>99</v>
      </c>
      <c r="Q620">
        <v>1</v>
      </c>
      <c r="W620">
        <v>0</v>
      </c>
      <c r="X620">
        <v>140475686</v>
      </c>
      <c r="Y620">
        <f>(AT620*1)</f>
        <v>1</v>
      </c>
      <c r="AA620">
        <v>13618.2</v>
      </c>
      <c r="AB620">
        <v>0</v>
      </c>
      <c r="AC620">
        <v>0</v>
      </c>
      <c r="AD620">
        <v>0</v>
      </c>
      <c r="AE620">
        <v>1798.9699999999998</v>
      </c>
      <c r="AF620">
        <v>0</v>
      </c>
      <c r="AG620">
        <v>0</v>
      </c>
      <c r="AH620">
        <v>0</v>
      </c>
      <c r="AI620">
        <v>7.57</v>
      </c>
      <c r="AJ620">
        <v>1</v>
      </c>
      <c r="AK620">
        <v>1</v>
      </c>
      <c r="AL620">
        <v>1</v>
      </c>
      <c r="AM620">
        <v>0</v>
      </c>
      <c r="AN620">
        <v>0</v>
      </c>
      <c r="AO620">
        <v>0</v>
      </c>
      <c r="AP620">
        <v>1</v>
      </c>
      <c r="AQ620">
        <v>0</v>
      </c>
      <c r="AR620">
        <v>0</v>
      </c>
      <c r="AS620" t="s">
        <v>3</v>
      </c>
      <c r="AT620">
        <v>1</v>
      </c>
      <c r="AU620" t="s">
        <v>35</v>
      </c>
      <c r="AV620">
        <v>0</v>
      </c>
      <c r="AW620">
        <v>1</v>
      </c>
      <c r="AX620">
        <v>-1</v>
      </c>
      <c r="AY620">
        <v>0</v>
      </c>
      <c r="AZ620">
        <v>0</v>
      </c>
      <c r="BA620" t="s">
        <v>3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V620">
        <v>0</v>
      </c>
      <c r="CW620">
        <v>0</v>
      </c>
      <c r="CX620">
        <f>ROUND(Y620*Source!I242,9)</f>
        <v>1</v>
      </c>
      <c r="CY620">
        <f>AA620</f>
        <v>13618.2</v>
      </c>
      <c r="CZ620">
        <f>AE620</f>
        <v>1798.9699999999998</v>
      </c>
      <c r="DA620">
        <f>AI620</f>
        <v>7.57</v>
      </c>
      <c r="DB620">
        <f>ROUND((ROUND(AT620*CZ620,2)*1),6)</f>
        <v>1798.97</v>
      </c>
      <c r="DC620">
        <f>ROUND((ROUND(AT620*AG620,2)*1),6)</f>
        <v>0</v>
      </c>
      <c r="DD620" t="s">
        <v>3</v>
      </c>
      <c r="DE620" t="s">
        <v>3</v>
      </c>
      <c r="DF620">
        <f>ROUND(ROUND(AE620*AI620,2)*CX620,2)</f>
        <v>13618.2</v>
      </c>
      <c r="DG620">
        <f t="shared" si="259"/>
        <v>0</v>
      </c>
      <c r="DH620">
        <f t="shared" si="260"/>
        <v>0</v>
      </c>
      <c r="DI620">
        <f t="shared" si="254"/>
        <v>0</v>
      </c>
      <c r="DJ620">
        <f>DF620</f>
        <v>13618.2</v>
      </c>
      <c r="DK620">
        <v>0</v>
      </c>
      <c r="DL620" t="s">
        <v>3</v>
      </c>
      <c r="DM620">
        <v>0</v>
      </c>
      <c r="DN620" t="s">
        <v>3</v>
      </c>
      <c r="DO620">
        <v>0</v>
      </c>
    </row>
    <row r="621" spans="1:119" x14ac:dyDescent="0.2">
      <c r="A621">
        <f>ROW(Source!A249)</f>
        <v>249</v>
      </c>
      <c r="B621">
        <v>85739205</v>
      </c>
      <c r="C621">
        <v>85740209</v>
      </c>
      <c r="D621">
        <v>85164021</v>
      </c>
      <c r="E621">
        <v>1081</v>
      </c>
      <c r="F621">
        <v>1</v>
      </c>
      <c r="G621">
        <v>1081</v>
      </c>
      <c r="H621">
        <v>1</v>
      </c>
      <c r="I621" t="s">
        <v>472</v>
      </c>
      <c r="J621" t="s">
        <v>3</v>
      </c>
      <c r="K621" t="s">
        <v>473</v>
      </c>
      <c r="L621">
        <v>1191</v>
      </c>
      <c r="N621">
        <v>1013</v>
      </c>
      <c r="O621" t="s">
        <v>474</v>
      </c>
      <c r="P621" t="s">
        <v>474</v>
      </c>
      <c r="Q621">
        <v>1</v>
      </c>
      <c r="W621">
        <v>0</v>
      </c>
      <c r="X621">
        <v>476480486</v>
      </c>
      <c r="Y621">
        <f>(((AT621*2)*1.15)*1.2)</f>
        <v>14.655599999999996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</v>
      </c>
      <c r="AJ621">
        <v>1</v>
      </c>
      <c r="AK621">
        <v>1</v>
      </c>
      <c r="AL621">
        <v>1</v>
      </c>
      <c r="AM621">
        <v>-2</v>
      </c>
      <c r="AN621">
        <v>0</v>
      </c>
      <c r="AO621">
        <v>1</v>
      </c>
      <c r="AP621">
        <v>1</v>
      </c>
      <c r="AQ621">
        <v>0</v>
      </c>
      <c r="AR621">
        <v>0</v>
      </c>
      <c r="AS621" t="s">
        <v>3</v>
      </c>
      <c r="AT621">
        <v>5.31</v>
      </c>
      <c r="AU621" t="s">
        <v>260</v>
      </c>
      <c r="AV621">
        <v>1</v>
      </c>
      <c r="AW621">
        <v>2</v>
      </c>
      <c r="AX621">
        <v>85740217</v>
      </c>
      <c r="AY621">
        <v>1</v>
      </c>
      <c r="AZ621">
        <v>0</v>
      </c>
      <c r="BA621">
        <v>631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U621">
        <f>ROUND(AT621*Source!I249*AH621*AL621,2)</f>
        <v>0</v>
      </c>
      <c r="CV621">
        <f>ROUND(Y621*Source!I249,9)</f>
        <v>93.678595200000004</v>
      </c>
      <c r="CW621">
        <v>0</v>
      </c>
      <c r="CX621">
        <f>ROUND(Y621*Source!I249,9)</f>
        <v>93.678595200000004</v>
      </c>
      <c r="CY621">
        <f>AD621</f>
        <v>0</v>
      </c>
      <c r="CZ621">
        <f>AH621</f>
        <v>0</v>
      </c>
      <c r="DA621">
        <f>AL621</f>
        <v>1</v>
      </c>
      <c r="DB621">
        <f>ROUND((((ROUND(AT621*CZ621,2)*2)*1.15)*1.2),6)</f>
        <v>0</v>
      </c>
      <c r="DC621">
        <f>ROUND((((ROUND(AT621*AG621,2)*2)*1.15)*1.2),6)</f>
        <v>0</v>
      </c>
      <c r="DD621" t="s">
        <v>3</v>
      </c>
      <c r="DE621" t="s">
        <v>3</v>
      </c>
      <c r="DF621">
        <f t="shared" ref="DF621:DF632" si="261">ROUND(ROUND(AE621,2)*CX621,2)</f>
        <v>0</v>
      </c>
      <c r="DG621">
        <f t="shared" si="259"/>
        <v>0</v>
      </c>
      <c r="DH621">
        <f t="shared" si="260"/>
        <v>0</v>
      </c>
      <c r="DI621">
        <f t="shared" si="254"/>
        <v>0</v>
      </c>
      <c r="DJ621">
        <f>DI621</f>
        <v>0</v>
      </c>
      <c r="DK621">
        <v>0</v>
      </c>
      <c r="DL621" t="s">
        <v>3</v>
      </c>
      <c r="DM621">
        <v>0</v>
      </c>
      <c r="DN621" t="s">
        <v>3</v>
      </c>
      <c r="DO621">
        <v>0</v>
      </c>
    </row>
    <row r="622" spans="1:119" x14ac:dyDescent="0.2">
      <c r="A622">
        <f>ROW(Source!A249)</f>
        <v>249</v>
      </c>
      <c r="B622">
        <v>85739205</v>
      </c>
      <c r="C622">
        <v>85740209</v>
      </c>
      <c r="D622">
        <v>85229532</v>
      </c>
      <c r="E622">
        <v>1</v>
      </c>
      <c r="F622">
        <v>1</v>
      </c>
      <c r="G622">
        <v>1081</v>
      </c>
      <c r="H622">
        <v>2</v>
      </c>
      <c r="I622" t="s">
        <v>567</v>
      </c>
      <c r="J622" t="s">
        <v>568</v>
      </c>
      <c r="K622" t="s">
        <v>569</v>
      </c>
      <c r="L622">
        <v>1368</v>
      </c>
      <c r="N622">
        <v>1011</v>
      </c>
      <c r="O622" t="s">
        <v>478</v>
      </c>
      <c r="P622" t="s">
        <v>478</v>
      </c>
      <c r="Q622">
        <v>1</v>
      </c>
      <c r="W622">
        <v>0</v>
      </c>
      <c r="X622">
        <v>1878265227</v>
      </c>
      <c r="Y622">
        <f>(((AT622*2)*1.25)*1.2)</f>
        <v>3.3600000000000003</v>
      </c>
      <c r="AA622">
        <v>0</v>
      </c>
      <c r="AB622">
        <v>10.89</v>
      </c>
      <c r="AC622">
        <v>0</v>
      </c>
      <c r="AD622">
        <v>0</v>
      </c>
      <c r="AE622">
        <v>0</v>
      </c>
      <c r="AF622">
        <v>10.4</v>
      </c>
      <c r="AG622">
        <v>0</v>
      </c>
      <c r="AH622">
        <v>0</v>
      </c>
      <c r="AI622">
        <v>1</v>
      </c>
      <c r="AJ622">
        <v>1</v>
      </c>
      <c r="AK622">
        <v>1</v>
      </c>
      <c r="AL622">
        <v>1</v>
      </c>
      <c r="AM622">
        <v>-2</v>
      </c>
      <c r="AN622">
        <v>0</v>
      </c>
      <c r="AO622">
        <v>1</v>
      </c>
      <c r="AP622">
        <v>1</v>
      </c>
      <c r="AQ622">
        <v>0</v>
      </c>
      <c r="AR622">
        <v>0</v>
      </c>
      <c r="AS622" t="s">
        <v>3</v>
      </c>
      <c r="AT622">
        <v>1.1200000000000001</v>
      </c>
      <c r="AU622" t="s">
        <v>259</v>
      </c>
      <c r="AV622">
        <v>0</v>
      </c>
      <c r="AW622">
        <v>2</v>
      </c>
      <c r="AX622">
        <v>85740218</v>
      </c>
      <c r="AY622">
        <v>1</v>
      </c>
      <c r="AZ622">
        <v>0</v>
      </c>
      <c r="BA622">
        <v>632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V622">
        <v>0</v>
      </c>
      <c r="CW622">
        <f>ROUND(Y622*Source!I249*DO622,9)</f>
        <v>0</v>
      </c>
      <c r="CX622">
        <f>ROUND(Y622*Source!I249,9)</f>
        <v>21.477119999999999</v>
      </c>
      <c r="CY622">
        <f>AB622</f>
        <v>10.89</v>
      </c>
      <c r="CZ622">
        <f>AF622</f>
        <v>10.4</v>
      </c>
      <c r="DA622">
        <f>AJ622</f>
        <v>1</v>
      </c>
      <c r="DB622">
        <f>ROUND((((ROUND(AT622*CZ622,2)*2)*1.25)*1.2),6)</f>
        <v>34.950000000000003</v>
      </c>
      <c r="DC622">
        <f>ROUND((((ROUND(AT622*AG622,2)*2)*1.25)*1.2),6)</f>
        <v>0</v>
      </c>
      <c r="DD622" t="s">
        <v>3</v>
      </c>
      <c r="DE622" t="s">
        <v>3</v>
      </c>
      <c r="DF622">
        <f t="shared" si="261"/>
        <v>0</v>
      </c>
      <c r="DG622">
        <f t="shared" si="259"/>
        <v>223.36</v>
      </c>
      <c r="DH622">
        <f t="shared" si="260"/>
        <v>0</v>
      </c>
      <c r="DI622">
        <f t="shared" si="254"/>
        <v>0</v>
      </c>
      <c r="DJ622">
        <f>DG622</f>
        <v>223.36</v>
      </c>
      <c r="DK622">
        <v>0</v>
      </c>
      <c r="DL622" t="s">
        <v>3</v>
      </c>
      <c r="DM622">
        <v>0</v>
      </c>
      <c r="DN622" t="s">
        <v>3</v>
      </c>
      <c r="DO622">
        <v>0</v>
      </c>
    </row>
    <row r="623" spans="1:119" x14ac:dyDescent="0.2">
      <c r="A623">
        <f>ROW(Source!A249)</f>
        <v>249</v>
      </c>
      <c r="B623">
        <v>85739205</v>
      </c>
      <c r="C623">
        <v>85740209</v>
      </c>
      <c r="D623">
        <v>85229932</v>
      </c>
      <c r="E623">
        <v>1</v>
      </c>
      <c r="F623">
        <v>1</v>
      </c>
      <c r="G623">
        <v>1081</v>
      </c>
      <c r="H623">
        <v>2</v>
      </c>
      <c r="I623" t="s">
        <v>482</v>
      </c>
      <c r="J623" t="s">
        <v>483</v>
      </c>
      <c r="K623" t="s">
        <v>484</v>
      </c>
      <c r="L623">
        <v>1368</v>
      </c>
      <c r="N623">
        <v>1011</v>
      </c>
      <c r="O623" t="s">
        <v>478</v>
      </c>
      <c r="P623" t="s">
        <v>478</v>
      </c>
      <c r="Q623">
        <v>1</v>
      </c>
      <c r="W623">
        <v>0</v>
      </c>
      <c r="X623">
        <v>874612079</v>
      </c>
      <c r="Y623">
        <f>(((AT623*2)*1.25)*1.2)</f>
        <v>0.03</v>
      </c>
      <c r="AA623">
        <v>0</v>
      </c>
      <c r="AB623">
        <v>87.01</v>
      </c>
      <c r="AC623">
        <v>13.21</v>
      </c>
      <c r="AD623">
        <v>0</v>
      </c>
      <c r="AE623">
        <v>0</v>
      </c>
      <c r="AF623">
        <v>83.1</v>
      </c>
      <c r="AG623">
        <v>12.62</v>
      </c>
      <c r="AH623">
        <v>0</v>
      </c>
      <c r="AI623">
        <v>1</v>
      </c>
      <c r="AJ623">
        <v>1</v>
      </c>
      <c r="AK623">
        <v>1</v>
      </c>
      <c r="AL623">
        <v>1</v>
      </c>
      <c r="AM623">
        <v>-2</v>
      </c>
      <c r="AN623">
        <v>0</v>
      </c>
      <c r="AO623">
        <v>1</v>
      </c>
      <c r="AP623">
        <v>1</v>
      </c>
      <c r="AQ623">
        <v>0</v>
      </c>
      <c r="AR623">
        <v>0</v>
      </c>
      <c r="AS623" t="s">
        <v>3</v>
      </c>
      <c r="AT623">
        <v>0.01</v>
      </c>
      <c r="AU623" t="s">
        <v>259</v>
      </c>
      <c r="AV623">
        <v>0</v>
      </c>
      <c r="AW623">
        <v>2</v>
      </c>
      <c r="AX623">
        <v>85740219</v>
      </c>
      <c r="AY623">
        <v>1</v>
      </c>
      <c r="AZ623">
        <v>0</v>
      </c>
      <c r="BA623">
        <v>633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V623">
        <v>0</v>
      </c>
      <c r="CW623">
        <f>ROUND(Y623*Source!I249*DO623,9)</f>
        <v>2.4200111999999998</v>
      </c>
      <c r="CX623">
        <f>ROUND(Y623*Source!I249,9)</f>
        <v>0.19176000000000001</v>
      </c>
      <c r="CY623">
        <f>AB623</f>
        <v>87.01</v>
      </c>
      <c r="CZ623">
        <f>AF623</f>
        <v>83.1</v>
      </c>
      <c r="DA623">
        <f>AJ623</f>
        <v>1</v>
      </c>
      <c r="DB623">
        <f>ROUND((((ROUND(AT623*CZ623,2)*2)*1.25)*1.2),6)</f>
        <v>2.4900000000000002</v>
      </c>
      <c r="DC623">
        <f>ROUND((((ROUND(AT623*AG623,2)*2)*1.25)*1.2),6)</f>
        <v>0.39</v>
      </c>
      <c r="DD623" t="s">
        <v>3</v>
      </c>
      <c r="DE623" t="s">
        <v>3</v>
      </c>
      <c r="DF623">
        <f t="shared" si="261"/>
        <v>0</v>
      </c>
      <c r="DG623">
        <f t="shared" si="259"/>
        <v>15.94</v>
      </c>
      <c r="DH623">
        <f t="shared" si="260"/>
        <v>2.42</v>
      </c>
      <c r="DI623">
        <f t="shared" si="254"/>
        <v>0</v>
      </c>
      <c r="DJ623">
        <f>DG623</f>
        <v>15.94</v>
      </c>
      <c r="DK623">
        <v>0</v>
      </c>
      <c r="DL623" t="s">
        <v>485</v>
      </c>
      <c r="DM623">
        <v>0</v>
      </c>
      <c r="DN623" t="s">
        <v>474</v>
      </c>
      <c r="DO623">
        <v>12.62</v>
      </c>
    </row>
    <row r="624" spans="1:119" x14ac:dyDescent="0.2">
      <c r="A624">
        <f>ROW(Source!A249)</f>
        <v>249</v>
      </c>
      <c r="B624">
        <v>85739205</v>
      </c>
      <c r="C624">
        <v>85740209</v>
      </c>
      <c r="D624">
        <v>85229236</v>
      </c>
      <c r="E624">
        <v>1</v>
      </c>
      <c r="F624">
        <v>1</v>
      </c>
      <c r="G624">
        <v>1081</v>
      </c>
      <c r="H624">
        <v>2</v>
      </c>
      <c r="I624" t="s">
        <v>570</v>
      </c>
      <c r="J624" t="s">
        <v>571</v>
      </c>
      <c r="K624" t="s">
        <v>572</v>
      </c>
      <c r="L624">
        <v>1368</v>
      </c>
      <c r="N624">
        <v>1011</v>
      </c>
      <c r="O624" t="s">
        <v>478</v>
      </c>
      <c r="P624" t="s">
        <v>478</v>
      </c>
      <c r="Q624">
        <v>1</v>
      </c>
      <c r="W624">
        <v>0</v>
      </c>
      <c r="X624">
        <v>-1520980008</v>
      </c>
      <c r="Y624">
        <f>(((AT624*2)*1.25)*1.2)</f>
        <v>0.03</v>
      </c>
      <c r="AA624">
        <v>0</v>
      </c>
      <c r="AB624">
        <v>120.23</v>
      </c>
      <c r="AC624">
        <v>13.21</v>
      </c>
      <c r="AD624">
        <v>0</v>
      </c>
      <c r="AE624">
        <v>0</v>
      </c>
      <c r="AF624">
        <v>114.83</v>
      </c>
      <c r="AG624">
        <v>12.62</v>
      </c>
      <c r="AH624">
        <v>0</v>
      </c>
      <c r="AI624">
        <v>1</v>
      </c>
      <c r="AJ624">
        <v>1</v>
      </c>
      <c r="AK624">
        <v>1</v>
      </c>
      <c r="AL624">
        <v>1</v>
      </c>
      <c r="AM624">
        <v>-2</v>
      </c>
      <c r="AN624">
        <v>0</v>
      </c>
      <c r="AO624">
        <v>1</v>
      </c>
      <c r="AP624">
        <v>1</v>
      </c>
      <c r="AQ624">
        <v>0</v>
      </c>
      <c r="AR624">
        <v>0</v>
      </c>
      <c r="AS624" t="s">
        <v>3</v>
      </c>
      <c r="AT624">
        <v>0.01</v>
      </c>
      <c r="AU624" t="s">
        <v>259</v>
      </c>
      <c r="AV624">
        <v>0</v>
      </c>
      <c r="AW624">
        <v>2</v>
      </c>
      <c r="AX624">
        <v>85740220</v>
      </c>
      <c r="AY624">
        <v>1</v>
      </c>
      <c r="AZ624">
        <v>0</v>
      </c>
      <c r="BA624">
        <v>634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f>ROUND(Y624*Source!I249*DO624,9)</f>
        <v>2.4200111999999998</v>
      </c>
      <c r="CX624">
        <f>ROUND(Y624*Source!I249,9)</f>
        <v>0.19176000000000001</v>
      </c>
      <c r="CY624">
        <f>AB624</f>
        <v>120.23</v>
      </c>
      <c r="CZ624">
        <f>AF624</f>
        <v>114.83</v>
      </c>
      <c r="DA624">
        <f>AJ624</f>
        <v>1</v>
      </c>
      <c r="DB624">
        <f>ROUND((((ROUND(AT624*CZ624,2)*2)*1.25)*1.2),6)</f>
        <v>3.45</v>
      </c>
      <c r="DC624">
        <f>ROUND((((ROUND(AT624*AG624,2)*2)*1.25)*1.2),6)</f>
        <v>0.39</v>
      </c>
      <c r="DD624" t="s">
        <v>3</v>
      </c>
      <c r="DE624" t="s">
        <v>3</v>
      </c>
      <c r="DF624">
        <f t="shared" si="261"/>
        <v>0</v>
      </c>
      <c r="DG624">
        <f t="shared" si="259"/>
        <v>22.02</v>
      </c>
      <c r="DH624">
        <f t="shared" si="260"/>
        <v>2.42</v>
      </c>
      <c r="DI624">
        <f t="shared" si="254"/>
        <v>0</v>
      </c>
      <c r="DJ624">
        <f>DG624</f>
        <v>22.02</v>
      </c>
      <c r="DK624">
        <v>0</v>
      </c>
      <c r="DL624" t="s">
        <v>485</v>
      </c>
      <c r="DM624">
        <v>0</v>
      </c>
      <c r="DN624" t="s">
        <v>474</v>
      </c>
      <c r="DO624">
        <v>12.62</v>
      </c>
    </row>
    <row r="625" spans="1:119" x14ac:dyDescent="0.2">
      <c r="A625">
        <f>ROW(Source!A249)</f>
        <v>249</v>
      </c>
      <c r="B625">
        <v>85739205</v>
      </c>
      <c r="C625">
        <v>85740209</v>
      </c>
      <c r="D625">
        <v>85229248</v>
      </c>
      <c r="E625">
        <v>1</v>
      </c>
      <c r="F625">
        <v>1</v>
      </c>
      <c r="G625">
        <v>1081</v>
      </c>
      <c r="H625">
        <v>2</v>
      </c>
      <c r="I625" t="s">
        <v>573</v>
      </c>
      <c r="J625" t="s">
        <v>574</v>
      </c>
      <c r="K625" t="s">
        <v>575</v>
      </c>
      <c r="L625">
        <v>1368</v>
      </c>
      <c r="N625">
        <v>1011</v>
      </c>
      <c r="O625" t="s">
        <v>478</v>
      </c>
      <c r="P625" t="s">
        <v>478</v>
      </c>
      <c r="Q625">
        <v>1</v>
      </c>
      <c r="W625">
        <v>0</v>
      </c>
      <c r="X625">
        <v>444068027</v>
      </c>
      <c r="Y625">
        <f>(((AT625*2)*1.25)*1.2)</f>
        <v>0.03</v>
      </c>
      <c r="AA625">
        <v>0</v>
      </c>
      <c r="AB625">
        <v>0.81</v>
      </c>
      <c r="AC625">
        <v>0</v>
      </c>
      <c r="AD625">
        <v>0</v>
      </c>
      <c r="AE625">
        <v>0</v>
      </c>
      <c r="AF625">
        <v>0.77</v>
      </c>
      <c r="AG625">
        <v>0</v>
      </c>
      <c r="AH625">
        <v>0</v>
      </c>
      <c r="AI625">
        <v>1</v>
      </c>
      <c r="AJ625">
        <v>1</v>
      </c>
      <c r="AK625">
        <v>1</v>
      </c>
      <c r="AL625">
        <v>1</v>
      </c>
      <c r="AM625">
        <v>-2</v>
      </c>
      <c r="AN625">
        <v>0</v>
      </c>
      <c r="AO625">
        <v>1</v>
      </c>
      <c r="AP625">
        <v>1</v>
      </c>
      <c r="AQ625">
        <v>0</v>
      </c>
      <c r="AR625">
        <v>0</v>
      </c>
      <c r="AS625" t="s">
        <v>3</v>
      </c>
      <c r="AT625">
        <v>0.01</v>
      </c>
      <c r="AU625" t="s">
        <v>259</v>
      </c>
      <c r="AV625">
        <v>0</v>
      </c>
      <c r="AW625">
        <v>2</v>
      </c>
      <c r="AX625">
        <v>85740221</v>
      </c>
      <c r="AY625">
        <v>1</v>
      </c>
      <c r="AZ625">
        <v>0</v>
      </c>
      <c r="BA625">
        <v>635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V625">
        <v>0</v>
      </c>
      <c r="CW625">
        <f>ROUND(Y625*Source!I249*DO625,9)</f>
        <v>0</v>
      </c>
      <c r="CX625">
        <f>ROUND(Y625*Source!I249,9)</f>
        <v>0.19176000000000001</v>
      </c>
      <c r="CY625">
        <f>AB625</f>
        <v>0.81</v>
      </c>
      <c r="CZ625">
        <f>AF625</f>
        <v>0.77</v>
      </c>
      <c r="DA625">
        <f>AJ625</f>
        <v>1</v>
      </c>
      <c r="DB625">
        <f>ROUND((((ROUND(AT625*CZ625,2)*2)*1.25)*1.2),6)</f>
        <v>0.03</v>
      </c>
      <c r="DC625">
        <f>ROUND((((ROUND(AT625*AG625,2)*2)*1.25)*1.2),6)</f>
        <v>0</v>
      </c>
      <c r="DD625" t="s">
        <v>3</v>
      </c>
      <c r="DE625" t="s">
        <v>3</v>
      </c>
      <c r="DF625">
        <f t="shared" si="261"/>
        <v>0</v>
      </c>
      <c r="DG625">
        <f t="shared" si="259"/>
        <v>0.15</v>
      </c>
      <c r="DH625">
        <f t="shared" si="260"/>
        <v>0</v>
      </c>
      <c r="DI625">
        <f t="shared" si="254"/>
        <v>0</v>
      </c>
      <c r="DJ625">
        <f>DG625</f>
        <v>0.15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">
      <c r="A626">
        <f>ROW(Source!A249)</f>
        <v>249</v>
      </c>
      <c r="B626">
        <v>85739205</v>
      </c>
      <c r="C626">
        <v>85740209</v>
      </c>
      <c r="D626">
        <v>85199003</v>
      </c>
      <c r="E626">
        <v>1</v>
      </c>
      <c r="F626">
        <v>1</v>
      </c>
      <c r="G626">
        <v>1081</v>
      </c>
      <c r="H626">
        <v>3</v>
      </c>
      <c r="I626" t="s">
        <v>264</v>
      </c>
      <c r="J626" t="s">
        <v>267</v>
      </c>
      <c r="K626" t="s">
        <v>265</v>
      </c>
      <c r="L626">
        <v>1348</v>
      </c>
      <c r="N626">
        <v>1009</v>
      </c>
      <c r="O626" t="s">
        <v>266</v>
      </c>
      <c r="P626" t="s">
        <v>266</v>
      </c>
      <c r="Q626">
        <v>1000</v>
      </c>
      <c r="W626">
        <v>0</v>
      </c>
      <c r="X626">
        <v>650902129</v>
      </c>
      <c r="Y626">
        <f>(((AT626*2)*1)*1)</f>
        <v>1.7999999999999999E-2</v>
      </c>
      <c r="AA626">
        <v>18653.07</v>
      </c>
      <c r="AB626">
        <v>0</v>
      </c>
      <c r="AC626">
        <v>0</v>
      </c>
      <c r="AD626">
        <v>0</v>
      </c>
      <c r="AE626">
        <v>18653.07</v>
      </c>
      <c r="AF626">
        <v>0</v>
      </c>
      <c r="AG626">
        <v>0</v>
      </c>
      <c r="AH626">
        <v>0</v>
      </c>
      <c r="AI626">
        <v>1</v>
      </c>
      <c r="AJ626">
        <v>1</v>
      </c>
      <c r="AK626">
        <v>1</v>
      </c>
      <c r="AL626">
        <v>1</v>
      </c>
      <c r="AM626">
        <v>0</v>
      </c>
      <c r="AN626">
        <v>0</v>
      </c>
      <c r="AO626">
        <v>0</v>
      </c>
      <c r="AP626">
        <v>1</v>
      </c>
      <c r="AQ626">
        <v>0</v>
      </c>
      <c r="AR626">
        <v>0</v>
      </c>
      <c r="AS626" t="s">
        <v>3</v>
      </c>
      <c r="AT626">
        <v>8.9999999999999993E-3</v>
      </c>
      <c r="AU626" t="s">
        <v>258</v>
      </c>
      <c r="AV626">
        <v>0</v>
      </c>
      <c r="AW626">
        <v>1</v>
      </c>
      <c r="AX626">
        <v>-1</v>
      </c>
      <c r="AY626">
        <v>0</v>
      </c>
      <c r="AZ626">
        <v>0</v>
      </c>
      <c r="BA626" t="s">
        <v>3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V626">
        <v>0</v>
      </c>
      <c r="CW626">
        <v>0</v>
      </c>
      <c r="CX626">
        <f>ROUND(Y626*Source!I249,9)</f>
        <v>0.11505600000000001</v>
      </c>
      <c r="CY626">
        <f>AA626</f>
        <v>18653.07</v>
      </c>
      <c r="CZ626">
        <f>AE626</f>
        <v>18653.07</v>
      </c>
      <c r="DA626">
        <f>AI626</f>
        <v>1</v>
      </c>
      <c r="DB626">
        <f>ROUND((((ROUND(AT626*CZ626,2)*2)*1)*1),6)</f>
        <v>335.76</v>
      </c>
      <c r="DC626">
        <f>ROUND((((ROUND(AT626*AG626,2)*2)*1)*1),6)</f>
        <v>0</v>
      </c>
      <c r="DD626" t="s">
        <v>3</v>
      </c>
      <c r="DE626" t="s">
        <v>3</v>
      </c>
      <c r="DF626">
        <f t="shared" si="261"/>
        <v>2146.15</v>
      </c>
      <c r="DG626">
        <f t="shared" si="259"/>
        <v>0</v>
      </c>
      <c r="DH626">
        <f t="shared" si="260"/>
        <v>0</v>
      </c>
      <c r="DI626">
        <f t="shared" si="254"/>
        <v>0</v>
      </c>
      <c r="DJ626">
        <f>DF626</f>
        <v>2146.15</v>
      </c>
      <c r="DK626">
        <v>0</v>
      </c>
      <c r="DL626" t="s">
        <v>3</v>
      </c>
      <c r="DM626">
        <v>0</v>
      </c>
      <c r="DN626" t="s">
        <v>3</v>
      </c>
      <c r="DO626">
        <v>0</v>
      </c>
    </row>
    <row r="627" spans="1:119" x14ac:dyDescent="0.2">
      <c r="A627">
        <f>ROW(Source!A249)</f>
        <v>249</v>
      </c>
      <c r="B627">
        <v>85739205</v>
      </c>
      <c r="C627">
        <v>85740209</v>
      </c>
      <c r="D627">
        <v>85199235</v>
      </c>
      <c r="E627">
        <v>1</v>
      </c>
      <c r="F627">
        <v>1</v>
      </c>
      <c r="G627">
        <v>1081</v>
      </c>
      <c r="H627">
        <v>3</v>
      </c>
      <c r="I627" t="s">
        <v>576</v>
      </c>
      <c r="J627" t="s">
        <v>577</v>
      </c>
      <c r="K627" t="s">
        <v>578</v>
      </c>
      <c r="L627">
        <v>1348</v>
      </c>
      <c r="N627">
        <v>1009</v>
      </c>
      <c r="O627" t="s">
        <v>266</v>
      </c>
      <c r="P627" t="s">
        <v>266</v>
      </c>
      <c r="Q627">
        <v>1000</v>
      </c>
      <c r="W627">
        <v>0</v>
      </c>
      <c r="X627">
        <v>1089536089</v>
      </c>
      <c r="Y627">
        <f>(((AT627*2)*1)*1)</f>
        <v>3.0000000000000001E-3</v>
      </c>
      <c r="AA627">
        <v>6290.61</v>
      </c>
      <c r="AB627">
        <v>0</v>
      </c>
      <c r="AC627">
        <v>0</v>
      </c>
      <c r="AD627">
        <v>0</v>
      </c>
      <c r="AE627">
        <v>6290.61</v>
      </c>
      <c r="AF627">
        <v>0</v>
      </c>
      <c r="AG627">
        <v>0</v>
      </c>
      <c r="AH627">
        <v>0</v>
      </c>
      <c r="AI627">
        <v>1</v>
      </c>
      <c r="AJ627">
        <v>1</v>
      </c>
      <c r="AK627">
        <v>1</v>
      </c>
      <c r="AL627">
        <v>1</v>
      </c>
      <c r="AM627">
        <v>-2</v>
      </c>
      <c r="AN627">
        <v>0</v>
      </c>
      <c r="AO627">
        <v>1</v>
      </c>
      <c r="AP627">
        <v>1</v>
      </c>
      <c r="AQ627">
        <v>0</v>
      </c>
      <c r="AR627">
        <v>0</v>
      </c>
      <c r="AS627" t="s">
        <v>3</v>
      </c>
      <c r="AT627">
        <v>1.5E-3</v>
      </c>
      <c r="AU627" t="s">
        <v>258</v>
      </c>
      <c r="AV627">
        <v>0</v>
      </c>
      <c r="AW627">
        <v>2</v>
      </c>
      <c r="AX627">
        <v>85740222</v>
      </c>
      <c r="AY627">
        <v>1</v>
      </c>
      <c r="AZ627">
        <v>0</v>
      </c>
      <c r="BA627">
        <v>636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V627">
        <v>0</v>
      </c>
      <c r="CW627">
        <v>0</v>
      </c>
      <c r="CX627">
        <f>ROUND(Y627*Source!I249,9)</f>
        <v>1.9175999999999999E-2</v>
      </c>
      <c r="CY627">
        <f>AA627</f>
        <v>6290.61</v>
      </c>
      <c r="CZ627">
        <f>AE627</f>
        <v>6290.61</v>
      </c>
      <c r="DA627">
        <f>AI627</f>
        <v>1</v>
      </c>
      <c r="DB627">
        <f>ROUND((((ROUND(AT627*CZ627,2)*2)*1)*1),6)</f>
        <v>18.88</v>
      </c>
      <c r="DC627">
        <f>ROUND((((ROUND(AT627*AG627,2)*2)*1)*1),6)</f>
        <v>0</v>
      </c>
      <c r="DD627" t="s">
        <v>3</v>
      </c>
      <c r="DE627" t="s">
        <v>3</v>
      </c>
      <c r="DF627">
        <f t="shared" si="261"/>
        <v>120.63</v>
      </c>
      <c r="DG627">
        <f t="shared" si="259"/>
        <v>0</v>
      </c>
      <c r="DH627">
        <f t="shared" si="260"/>
        <v>0</v>
      </c>
      <c r="DI627">
        <f t="shared" si="254"/>
        <v>0</v>
      </c>
      <c r="DJ627">
        <f>DF627</f>
        <v>120.63</v>
      </c>
      <c r="DK627">
        <v>0</v>
      </c>
      <c r="DL627" t="s">
        <v>3</v>
      </c>
      <c r="DM627">
        <v>0</v>
      </c>
      <c r="DN627" t="s">
        <v>3</v>
      </c>
      <c r="DO627">
        <v>0</v>
      </c>
    </row>
    <row r="628" spans="1:119" x14ac:dyDescent="0.2">
      <c r="A628">
        <f>ROW(Source!A250)</f>
        <v>250</v>
      </c>
      <c r="B628">
        <v>85739207</v>
      </c>
      <c r="C628">
        <v>85740209</v>
      </c>
      <c r="D628">
        <v>85164021</v>
      </c>
      <c r="E628">
        <v>1081</v>
      </c>
      <c r="F628">
        <v>1</v>
      </c>
      <c r="G628">
        <v>1081</v>
      </c>
      <c r="H628">
        <v>1</v>
      </c>
      <c r="I628" t="s">
        <v>472</v>
      </c>
      <c r="J628" t="s">
        <v>3</v>
      </c>
      <c r="K628" t="s">
        <v>473</v>
      </c>
      <c r="L628">
        <v>1191</v>
      </c>
      <c r="N628">
        <v>1013</v>
      </c>
      <c r="O628" t="s">
        <v>474</v>
      </c>
      <c r="P628" t="s">
        <v>474</v>
      </c>
      <c r="Q628">
        <v>1</v>
      </c>
      <c r="W628">
        <v>0</v>
      </c>
      <c r="X628">
        <v>476480486</v>
      </c>
      <c r="Y628">
        <f>(((AT628*2)*1.15)*1.2)</f>
        <v>14.655599999999996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</v>
      </c>
      <c r="AJ628">
        <v>1</v>
      </c>
      <c r="AK628">
        <v>1</v>
      </c>
      <c r="AL628">
        <v>1</v>
      </c>
      <c r="AM628">
        <v>5</v>
      </c>
      <c r="AN628">
        <v>0</v>
      </c>
      <c r="AO628">
        <v>1</v>
      </c>
      <c r="AP628">
        <v>1</v>
      </c>
      <c r="AQ628">
        <v>0</v>
      </c>
      <c r="AR628">
        <v>0</v>
      </c>
      <c r="AS628" t="s">
        <v>3</v>
      </c>
      <c r="AT628">
        <v>5.31</v>
      </c>
      <c r="AU628" t="s">
        <v>260</v>
      </c>
      <c r="AV628">
        <v>1</v>
      </c>
      <c r="AW628">
        <v>2</v>
      </c>
      <c r="AX628">
        <v>85740217</v>
      </c>
      <c r="AY628">
        <v>1</v>
      </c>
      <c r="AZ628">
        <v>0</v>
      </c>
      <c r="BA628">
        <v>638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U628">
        <f>ROUND(AT628*Source!I250*AH628*AL628,2)</f>
        <v>0</v>
      </c>
      <c r="CV628">
        <f>ROUND(Y628*Source!I250,9)</f>
        <v>93.678595200000004</v>
      </c>
      <c r="CW628">
        <v>0</v>
      </c>
      <c r="CX628">
        <f>ROUND(Y628*Source!I250,9)</f>
        <v>93.678595200000004</v>
      </c>
      <c r="CY628">
        <f>AD628</f>
        <v>0</v>
      </c>
      <c r="CZ628">
        <f>AH628</f>
        <v>0</v>
      </c>
      <c r="DA628">
        <f>AL628</f>
        <v>1</v>
      </c>
      <c r="DB628">
        <f>ROUND((((ROUND(AT628*CZ628,2)*2)*1.15)*1.2),6)</f>
        <v>0</v>
      </c>
      <c r="DC628">
        <f>ROUND((((ROUND(AT628*AG628,2)*2)*1.15)*1.2),6)</f>
        <v>0</v>
      </c>
      <c r="DD628" t="s">
        <v>3</v>
      </c>
      <c r="DE628" t="s">
        <v>3</v>
      </c>
      <c r="DF628">
        <f t="shared" si="261"/>
        <v>0</v>
      </c>
      <c r="DG628">
        <f t="shared" si="259"/>
        <v>0</v>
      </c>
      <c r="DH628">
        <f t="shared" si="260"/>
        <v>0</v>
      </c>
      <c r="DI628">
        <f t="shared" si="254"/>
        <v>0</v>
      </c>
      <c r="DJ628">
        <f>DI628</f>
        <v>0</v>
      </c>
      <c r="DK628">
        <v>0</v>
      </c>
      <c r="DL628" t="s">
        <v>3</v>
      </c>
      <c r="DM628">
        <v>0</v>
      </c>
      <c r="DN628" t="s">
        <v>3</v>
      </c>
      <c r="DO628">
        <v>0</v>
      </c>
    </row>
    <row r="629" spans="1:119" x14ac:dyDescent="0.2">
      <c r="A629">
        <f>ROW(Source!A250)</f>
        <v>250</v>
      </c>
      <c r="B629">
        <v>85739207</v>
      </c>
      <c r="C629">
        <v>85740209</v>
      </c>
      <c r="D629">
        <v>85229532</v>
      </c>
      <c r="E629">
        <v>1</v>
      </c>
      <c r="F629">
        <v>1</v>
      </c>
      <c r="G629">
        <v>1081</v>
      </c>
      <c r="H629">
        <v>2</v>
      </c>
      <c r="I629" t="s">
        <v>567</v>
      </c>
      <c r="J629" t="s">
        <v>568</v>
      </c>
      <c r="K629" t="s">
        <v>569</v>
      </c>
      <c r="L629">
        <v>1368</v>
      </c>
      <c r="N629">
        <v>1011</v>
      </c>
      <c r="O629" t="s">
        <v>478</v>
      </c>
      <c r="P629" t="s">
        <v>478</v>
      </c>
      <c r="Q629">
        <v>1</v>
      </c>
      <c r="W629">
        <v>0</v>
      </c>
      <c r="X629">
        <v>1878265227</v>
      </c>
      <c r="Y629">
        <f>(((AT629*2)*1.25)*1.2)</f>
        <v>3.3600000000000003</v>
      </c>
      <c r="AA629">
        <v>0</v>
      </c>
      <c r="AB629">
        <v>120.54</v>
      </c>
      <c r="AC629">
        <v>0</v>
      </c>
      <c r="AD629">
        <v>0</v>
      </c>
      <c r="AE629">
        <v>0</v>
      </c>
      <c r="AF629">
        <v>10.4</v>
      </c>
      <c r="AG629">
        <v>0</v>
      </c>
      <c r="AH629">
        <v>0</v>
      </c>
      <c r="AI629">
        <v>1</v>
      </c>
      <c r="AJ629">
        <v>11.07</v>
      </c>
      <c r="AK629">
        <v>1</v>
      </c>
      <c r="AL629">
        <v>1</v>
      </c>
      <c r="AM629">
        <v>2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1.1200000000000001</v>
      </c>
      <c r="AU629" t="s">
        <v>259</v>
      </c>
      <c r="AV629">
        <v>0</v>
      </c>
      <c r="AW629">
        <v>2</v>
      </c>
      <c r="AX629">
        <v>85740218</v>
      </c>
      <c r="AY629">
        <v>1</v>
      </c>
      <c r="AZ629">
        <v>0</v>
      </c>
      <c r="BA629">
        <v>639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V629">
        <v>0</v>
      </c>
      <c r="CW629">
        <f>ROUND(Y629*Source!I250*DO629,9)</f>
        <v>0</v>
      </c>
      <c r="CX629">
        <f>ROUND(Y629*Source!I250,9)</f>
        <v>21.477119999999999</v>
      </c>
      <c r="CY629">
        <f>AB629</f>
        <v>120.54</v>
      </c>
      <c r="CZ629">
        <f>AF629</f>
        <v>10.4</v>
      </c>
      <c r="DA629">
        <f>AJ629</f>
        <v>11.07</v>
      </c>
      <c r="DB629">
        <f>ROUND((((ROUND(AT629*CZ629,2)*2)*1.25)*1.2),6)</f>
        <v>34.950000000000003</v>
      </c>
      <c r="DC629">
        <f>ROUND((((ROUND(AT629*AG629,2)*2)*1.25)*1.2),6)</f>
        <v>0</v>
      </c>
      <c r="DD629" t="s">
        <v>3</v>
      </c>
      <c r="DE629" t="s">
        <v>3</v>
      </c>
      <c r="DF629">
        <f t="shared" si="261"/>
        <v>0</v>
      </c>
      <c r="DG629">
        <f>ROUND(ROUND(AF629*AJ629,2)*CX629,2)</f>
        <v>2472.66</v>
      </c>
      <c r="DH629">
        <f t="shared" si="260"/>
        <v>0</v>
      </c>
      <c r="DI629">
        <f t="shared" si="254"/>
        <v>0</v>
      </c>
      <c r="DJ629">
        <f>DG629</f>
        <v>2472.66</v>
      </c>
      <c r="DK629">
        <v>0</v>
      </c>
      <c r="DL629" t="s">
        <v>3</v>
      </c>
      <c r="DM629">
        <v>0</v>
      </c>
      <c r="DN629" t="s">
        <v>3</v>
      </c>
      <c r="DO629">
        <v>0</v>
      </c>
    </row>
    <row r="630" spans="1:119" x14ac:dyDescent="0.2">
      <c r="A630">
        <f>ROW(Source!A250)</f>
        <v>250</v>
      </c>
      <c r="B630">
        <v>85739207</v>
      </c>
      <c r="C630">
        <v>85740209</v>
      </c>
      <c r="D630">
        <v>85229932</v>
      </c>
      <c r="E630">
        <v>1</v>
      </c>
      <c r="F630">
        <v>1</v>
      </c>
      <c r="G630">
        <v>1081</v>
      </c>
      <c r="H630">
        <v>2</v>
      </c>
      <c r="I630" t="s">
        <v>482</v>
      </c>
      <c r="J630" t="s">
        <v>483</v>
      </c>
      <c r="K630" t="s">
        <v>484</v>
      </c>
      <c r="L630">
        <v>1368</v>
      </c>
      <c r="N630">
        <v>1011</v>
      </c>
      <c r="O630" t="s">
        <v>478</v>
      </c>
      <c r="P630" t="s">
        <v>478</v>
      </c>
      <c r="Q630">
        <v>1</v>
      </c>
      <c r="W630">
        <v>0</v>
      </c>
      <c r="X630">
        <v>874612079</v>
      </c>
      <c r="Y630">
        <f>(((AT630*2)*1.25)*1.2)</f>
        <v>0.03</v>
      </c>
      <c r="AA630">
        <v>0</v>
      </c>
      <c r="AB630">
        <v>1485.19</v>
      </c>
      <c r="AC630">
        <v>744.56</v>
      </c>
      <c r="AD630">
        <v>0</v>
      </c>
      <c r="AE630">
        <v>0</v>
      </c>
      <c r="AF630">
        <v>83.1</v>
      </c>
      <c r="AG630">
        <v>12.62</v>
      </c>
      <c r="AH630">
        <v>0</v>
      </c>
      <c r="AI630">
        <v>1</v>
      </c>
      <c r="AJ630">
        <v>17.07</v>
      </c>
      <c r="AK630">
        <v>56.35</v>
      </c>
      <c r="AL630">
        <v>1</v>
      </c>
      <c r="AM630">
        <v>2</v>
      </c>
      <c r="AN630">
        <v>0</v>
      </c>
      <c r="AO630">
        <v>1</v>
      </c>
      <c r="AP630">
        <v>1</v>
      </c>
      <c r="AQ630">
        <v>0</v>
      </c>
      <c r="AR630">
        <v>0</v>
      </c>
      <c r="AS630" t="s">
        <v>3</v>
      </c>
      <c r="AT630">
        <v>0.01</v>
      </c>
      <c r="AU630" t="s">
        <v>259</v>
      </c>
      <c r="AV630">
        <v>0</v>
      </c>
      <c r="AW630">
        <v>2</v>
      </c>
      <c r="AX630">
        <v>85740219</v>
      </c>
      <c r="AY630">
        <v>1</v>
      </c>
      <c r="AZ630">
        <v>0</v>
      </c>
      <c r="BA630">
        <v>640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f>ROUND(Y630*Source!I250*DO630,9)</f>
        <v>2.4200111999999998</v>
      </c>
      <c r="CX630">
        <f>ROUND(Y630*Source!I250,9)</f>
        <v>0.19176000000000001</v>
      </c>
      <c r="CY630">
        <f>AB630</f>
        <v>1485.19</v>
      </c>
      <c r="CZ630">
        <f>AF630</f>
        <v>83.1</v>
      </c>
      <c r="DA630">
        <f>AJ630</f>
        <v>17.07</v>
      </c>
      <c r="DB630">
        <f>ROUND((((ROUND(AT630*CZ630,2)*2)*1.25)*1.2),6)</f>
        <v>2.4900000000000002</v>
      </c>
      <c r="DC630">
        <f>ROUND((((ROUND(AT630*AG630,2)*2)*1.25)*1.2),6)</f>
        <v>0.39</v>
      </c>
      <c r="DD630" t="s">
        <v>3</v>
      </c>
      <c r="DE630" t="s">
        <v>3</v>
      </c>
      <c r="DF630">
        <f t="shared" si="261"/>
        <v>0</v>
      </c>
      <c r="DG630">
        <f>ROUND(ROUND(AF630*AJ630,2)*CX630,2)</f>
        <v>272.02</v>
      </c>
      <c r="DH630">
        <f>ROUND(ROUND(AG630*AK630,2)*CX630,2)</f>
        <v>136.37</v>
      </c>
      <c r="DI630">
        <f t="shared" si="254"/>
        <v>0</v>
      </c>
      <c r="DJ630">
        <f>DG630</f>
        <v>272.02</v>
      </c>
      <c r="DK630">
        <v>0</v>
      </c>
      <c r="DL630" t="s">
        <v>485</v>
      </c>
      <c r="DM630">
        <v>0</v>
      </c>
      <c r="DN630" t="s">
        <v>474</v>
      </c>
      <c r="DO630">
        <v>12.62</v>
      </c>
    </row>
    <row r="631" spans="1:119" x14ac:dyDescent="0.2">
      <c r="A631">
        <f>ROW(Source!A250)</f>
        <v>250</v>
      </c>
      <c r="B631">
        <v>85739207</v>
      </c>
      <c r="C631">
        <v>85740209</v>
      </c>
      <c r="D631">
        <v>85229236</v>
      </c>
      <c r="E631">
        <v>1</v>
      </c>
      <c r="F631">
        <v>1</v>
      </c>
      <c r="G631">
        <v>1081</v>
      </c>
      <c r="H631">
        <v>2</v>
      </c>
      <c r="I631" t="s">
        <v>570</v>
      </c>
      <c r="J631" t="s">
        <v>571</v>
      </c>
      <c r="K631" t="s">
        <v>572</v>
      </c>
      <c r="L631">
        <v>1368</v>
      </c>
      <c r="N631">
        <v>1011</v>
      </c>
      <c r="O631" t="s">
        <v>478</v>
      </c>
      <c r="P631" t="s">
        <v>478</v>
      </c>
      <c r="Q631">
        <v>1</v>
      </c>
      <c r="W631">
        <v>0</v>
      </c>
      <c r="X631">
        <v>-1520980008</v>
      </c>
      <c r="Y631">
        <f>(((AT631*2)*1.25)*1.2)</f>
        <v>0.03</v>
      </c>
      <c r="AA631">
        <v>0</v>
      </c>
      <c r="AB631">
        <v>1942.87</v>
      </c>
      <c r="AC631">
        <v>744.56</v>
      </c>
      <c r="AD631">
        <v>0</v>
      </c>
      <c r="AE631">
        <v>0</v>
      </c>
      <c r="AF631">
        <v>114.83</v>
      </c>
      <c r="AG631">
        <v>12.62</v>
      </c>
      <c r="AH631">
        <v>0</v>
      </c>
      <c r="AI631">
        <v>1</v>
      </c>
      <c r="AJ631">
        <v>16.16</v>
      </c>
      <c r="AK631">
        <v>56.35</v>
      </c>
      <c r="AL631">
        <v>1</v>
      </c>
      <c r="AM631">
        <v>2</v>
      </c>
      <c r="AN631">
        <v>0</v>
      </c>
      <c r="AO631">
        <v>1</v>
      </c>
      <c r="AP631">
        <v>1</v>
      </c>
      <c r="AQ631">
        <v>0</v>
      </c>
      <c r="AR631">
        <v>0</v>
      </c>
      <c r="AS631" t="s">
        <v>3</v>
      </c>
      <c r="AT631">
        <v>0.01</v>
      </c>
      <c r="AU631" t="s">
        <v>259</v>
      </c>
      <c r="AV631">
        <v>0</v>
      </c>
      <c r="AW631">
        <v>2</v>
      </c>
      <c r="AX631">
        <v>85740220</v>
      </c>
      <c r="AY631">
        <v>1</v>
      </c>
      <c r="AZ631">
        <v>0</v>
      </c>
      <c r="BA631">
        <v>641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V631">
        <v>0</v>
      </c>
      <c r="CW631">
        <f>ROUND(Y631*Source!I250*DO631,9)</f>
        <v>2.4200111999999998</v>
      </c>
      <c r="CX631">
        <f>ROUND(Y631*Source!I250,9)</f>
        <v>0.19176000000000001</v>
      </c>
      <c r="CY631">
        <f>AB631</f>
        <v>1942.87</v>
      </c>
      <c r="CZ631">
        <f>AF631</f>
        <v>114.83</v>
      </c>
      <c r="DA631">
        <f>AJ631</f>
        <v>16.16</v>
      </c>
      <c r="DB631">
        <f>ROUND((((ROUND(AT631*CZ631,2)*2)*1.25)*1.2),6)</f>
        <v>3.45</v>
      </c>
      <c r="DC631">
        <f>ROUND((((ROUND(AT631*AG631,2)*2)*1.25)*1.2),6)</f>
        <v>0.39</v>
      </c>
      <c r="DD631" t="s">
        <v>3</v>
      </c>
      <c r="DE631" t="s">
        <v>3</v>
      </c>
      <c r="DF631">
        <f t="shared" si="261"/>
        <v>0</v>
      </c>
      <c r="DG631">
        <f>ROUND(ROUND(AF631*AJ631,2)*CX631,2)</f>
        <v>355.84</v>
      </c>
      <c r="DH631">
        <f>ROUND(ROUND(AG631*AK631,2)*CX631,2)</f>
        <v>136.37</v>
      </c>
      <c r="DI631">
        <f t="shared" si="254"/>
        <v>0</v>
      </c>
      <c r="DJ631">
        <f>DG631</f>
        <v>355.84</v>
      </c>
      <c r="DK631">
        <v>0</v>
      </c>
      <c r="DL631" t="s">
        <v>485</v>
      </c>
      <c r="DM631">
        <v>0</v>
      </c>
      <c r="DN631" t="s">
        <v>474</v>
      </c>
      <c r="DO631">
        <v>12.62</v>
      </c>
    </row>
    <row r="632" spans="1:119" x14ac:dyDescent="0.2">
      <c r="A632">
        <f>ROW(Source!A250)</f>
        <v>250</v>
      </c>
      <c r="B632">
        <v>85739207</v>
      </c>
      <c r="C632">
        <v>85740209</v>
      </c>
      <c r="D632">
        <v>85229248</v>
      </c>
      <c r="E632">
        <v>1</v>
      </c>
      <c r="F632">
        <v>1</v>
      </c>
      <c r="G632">
        <v>1081</v>
      </c>
      <c r="H632">
        <v>2</v>
      </c>
      <c r="I632" t="s">
        <v>573</v>
      </c>
      <c r="J632" t="s">
        <v>574</v>
      </c>
      <c r="K632" t="s">
        <v>575</v>
      </c>
      <c r="L632">
        <v>1368</v>
      </c>
      <c r="N632">
        <v>1011</v>
      </c>
      <c r="O632" t="s">
        <v>478</v>
      </c>
      <c r="P632" t="s">
        <v>478</v>
      </c>
      <c r="Q632">
        <v>1</v>
      </c>
      <c r="W632">
        <v>0</v>
      </c>
      <c r="X632">
        <v>444068027</v>
      </c>
      <c r="Y632">
        <f>(((AT632*2)*1.25)*1.2)</f>
        <v>0.03</v>
      </c>
      <c r="AA632">
        <v>0</v>
      </c>
      <c r="AB632">
        <v>7.96</v>
      </c>
      <c r="AC632">
        <v>0</v>
      </c>
      <c r="AD632">
        <v>0</v>
      </c>
      <c r="AE632">
        <v>0</v>
      </c>
      <c r="AF632">
        <v>0.77</v>
      </c>
      <c r="AG632">
        <v>0</v>
      </c>
      <c r="AH632">
        <v>0</v>
      </c>
      <c r="AI632">
        <v>1</v>
      </c>
      <c r="AJ632">
        <v>9.8699999999999992</v>
      </c>
      <c r="AK632">
        <v>1</v>
      </c>
      <c r="AL632">
        <v>1</v>
      </c>
      <c r="AM632">
        <v>2</v>
      </c>
      <c r="AN632">
        <v>0</v>
      </c>
      <c r="AO632">
        <v>1</v>
      </c>
      <c r="AP632">
        <v>1</v>
      </c>
      <c r="AQ632">
        <v>0</v>
      </c>
      <c r="AR632">
        <v>0</v>
      </c>
      <c r="AS632" t="s">
        <v>3</v>
      </c>
      <c r="AT632">
        <v>0.01</v>
      </c>
      <c r="AU632" t="s">
        <v>259</v>
      </c>
      <c r="AV632">
        <v>0</v>
      </c>
      <c r="AW632">
        <v>2</v>
      </c>
      <c r="AX632">
        <v>85740221</v>
      </c>
      <c r="AY632">
        <v>1</v>
      </c>
      <c r="AZ632">
        <v>0</v>
      </c>
      <c r="BA632">
        <v>642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V632">
        <v>0</v>
      </c>
      <c r="CW632">
        <f>ROUND(Y632*Source!I250*DO632,9)</f>
        <v>0</v>
      </c>
      <c r="CX632">
        <f>ROUND(Y632*Source!I250,9)</f>
        <v>0.19176000000000001</v>
      </c>
      <c r="CY632">
        <f>AB632</f>
        <v>7.96</v>
      </c>
      <c r="CZ632">
        <f>AF632</f>
        <v>0.77</v>
      </c>
      <c r="DA632">
        <f>AJ632</f>
        <v>9.8699999999999992</v>
      </c>
      <c r="DB632">
        <f>ROUND((((ROUND(AT632*CZ632,2)*2)*1.25)*1.2),6)</f>
        <v>0.03</v>
      </c>
      <c r="DC632">
        <f>ROUND((((ROUND(AT632*AG632,2)*2)*1.25)*1.2),6)</f>
        <v>0</v>
      </c>
      <c r="DD632" t="s">
        <v>3</v>
      </c>
      <c r="DE632" t="s">
        <v>3</v>
      </c>
      <c r="DF632">
        <f t="shared" si="261"/>
        <v>0</v>
      </c>
      <c r="DG632">
        <f>ROUND(ROUND(AF632*AJ632,2)*CX632,2)</f>
        <v>1.46</v>
      </c>
      <c r="DH632">
        <f t="shared" ref="DH632:DH640" si="262">ROUND(ROUND(AG632,2)*CX632,2)</f>
        <v>0</v>
      </c>
      <c r="DI632">
        <f t="shared" si="254"/>
        <v>0</v>
      </c>
      <c r="DJ632">
        <f>DG632</f>
        <v>1.46</v>
      </c>
      <c r="DK632">
        <v>0</v>
      </c>
      <c r="DL632" t="s">
        <v>3</v>
      </c>
      <c r="DM632">
        <v>0</v>
      </c>
      <c r="DN632" t="s">
        <v>3</v>
      </c>
      <c r="DO632">
        <v>0</v>
      </c>
    </row>
    <row r="633" spans="1:119" x14ac:dyDescent="0.2">
      <c r="A633">
        <f>ROW(Source!A250)</f>
        <v>250</v>
      </c>
      <c r="B633">
        <v>85739207</v>
      </c>
      <c r="C633">
        <v>85740209</v>
      </c>
      <c r="D633">
        <v>85199003</v>
      </c>
      <c r="E633">
        <v>1</v>
      </c>
      <c r="F633">
        <v>1</v>
      </c>
      <c r="G633">
        <v>1081</v>
      </c>
      <c r="H633">
        <v>3</v>
      </c>
      <c r="I633" t="s">
        <v>264</v>
      </c>
      <c r="J633" t="s">
        <v>267</v>
      </c>
      <c r="K633" t="s">
        <v>265</v>
      </c>
      <c r="L633">
        <v>1348</v>
      </c>
      <c r="N633">
        <v>1009</v>
      </c>
      <c r="O633" t="s">
        <v>266</v>
      </c>
      <c r="P633" t="s">
        <v>266</v>
      </c>
      <c r="Q633">
        <v>1000</v>
      </c>
      <c r="W633">
        <v>0</v>
      </c>
      <c r="X633">
        <v>650902129</v>
      </c>
      <c r="Y633">
        <f>(((AT633*2)*1)*1)</f>
        <v>1.7999999999999999E-2</v>
      </c>
      <c r="AA633">
        <v>66964.52</v>
      </c>
      <c r="AB633">
        <v>0</v>
      </c>
      <c r="AC633">
        <v>0</v>
      </c>
      <c r="AD633">
        <v>0</v>
      </c>
      <c r="AE633">
        <v>18653.07</v>
      </c>
      <c r="AF633">
        <v>0</v>
      </c>
      <c r="AG633">
        <v>0</v>
      </c>
      <c r="AH633">
        <v>0</v>
      </c>
      <c r="AI633">
        <v>3.59</v>
      </c>
      <c r="AJ633">
        <v>1</v>
      </c>
      <c r="AK633">
        <v>1</v>
      </c>
      <c r="AL633">
        <v>1</v>
      </c>
      <c r="AM633">
        <v>0</v>
      </c>
      <c r="AN633">
        <v>0</v>
      </c>
      <c r="AO633">
        <v>0</v>
      </c>
      <c r="AP633">
        <v>1</v>
      </c>
      <c r="AQ633">
        <v>0</v>
      </c>
      <c r="AR633">
        <v>0</v>
      </c>
      <c r="AS633" t="s">
        <v>3</v>
      </c>
      <c r="AT633">
        <v>8.9999999999999993E-3</v>
      </c>
      <c r="AU633" t="s">
        <v>258</v>
      </c>
      <c r="AV633">
        <v>0</v>
      </c>
      <c r="AW633">
        <v>1</v>
      </c>
      <c r="AX633">
        <v>-1</v>
      </c>
      <c r="AY633">
        <v>0</v>
      </c>
      <c r="AZ633">
        <v>0</v>
      </c>
      <c r="BA633" t="s">
        <v>3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V633">
        <v>0</v>
      </c>
      <c r="CW633">
        <v>0</v>
      </c>
      <c r="CX633">
        <f>ROUND(Y633*Source!I250,9)</f>
        <v>0.11505600000000001</v>
      </c>
      <c r="CY633">
        <f>AA633</f>
        <v>66964.52</v>
      </c>
      <c r="CZ633">
        <f>AE633</f>
        <v>18653.07</v>
      </c>
      <c r="DA633">
        <f>AI633</f>
        <v>3.59</v>
      </c>
      <c r="DB633">
        <f>ROUND((((ROUND(AT633*CZ633,2)*2)*1)*1),6)</f>
        <v>335.76</v>
      </c>
      <c r="DC633">
        <f>ROUND((((ROUND(AT633*AG633,2)*2)*1)*1),6)</f>
        <v>0</v>
      </c>
      <c r="DD633" t="s">
        <v>3</v>
      </c>
      <c r="DE633" t="s">
        <v>3</v>
      </c>
      <c r="DF633">
        <f>ROUND(ROUND(AE633*AI633,2)*CX633,2)</f>
        <v>7704.67</v>
      </c>
      <c r="DG633">
        <f t="shared" ref="DG633:DG640" si="263">ROUND(ROUND(AF633,2)*CX633,2)</f>
        <v>0</v>
      </c>
      <c r="DH633">
        <f t="shared" si="262"/>
        <v>0</v>
      </c>
      <c r="DI633">
        <f t="shared" si="254"/>
        <v>0</v>
      </c>
      <c r="DJ633">
        <f>DF633</f>
        <v>7704.67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">
      <c r="A634">
        <f>ROW(Source!A250)</f>
        <v>250</v>
      </c>
      <c r="B634">
        <v>85739207</v>
      </c>
      <c r="C634">
        <v>85740209</v>
      </c>
      <c r="D634">
        <v>85199235</v>
      </c>
      <c r="E634">
        <v>1</v>
      </c>
      <c r="F634">
        <v>1</v>
      </c>
      <c r="G634">
        <v>1081</v>
      </c>
      <c r="H634">
        <v>3</v>
      </c>
      <c r="I634" t="s">
        <v>576</v>
      </c>
      <c r="J634" t="s">
        <v>577</v>
      </c>
      <c r="K634" t="s">
        <v>578</v>
      </c>
      <c r="L634">
        <v>1348</v>
      </c>
      <c r="N634">
        <v>1009</v>
      </c>
      <c r="O634" t="s">
        <v>266</v>
      </c>
      <c r="P634" t="s">
        <v>266</v>
      </c>
      <c r="Q634">
        <v>1000</v>
      </c>
      <c r="W634">
        <v>0</v>
      </c>
      <c r="X634">
        <v>1089536089</v>
      </c>
      <c r="Y634">
        <f>(((AT634*2)*1)*1)</f>
        <v>3.0000000000000001E-3</v>
      </c>
      <c r="AA634">
        <v>219101.95</v>
      </c>
      <c r="AB634">
        <v>0</v>
      </c>
      <c r="AC634">
        <v>0</v>
      </c>
      <c r="AD634">
        <v>0</v>
      </c>
      <c r="AE634">
        <v>6290.61</v>
      </c>
      <c r="AF634">
        <v>0</v>
      </c>
      <c r="AG634">
        <v>0</v>
      </c>
      <c r="AH634">
        <v>0</v>
      </c>
      <c r="AI634">
        <v>34.83</v>
      </c>
      <c r="AJ634">
        <v>1</v>
      </c>
      <c r="AK634">
        <v>1</v>
      </c>
      <c r="AL634">
        <v>1</v>
      </c>
      <c r="AM634">
        <v>2</v>
      </c>
      <c r="AN634">
        <v>0</v>
      </c>
      <c r="AO634">
        <v>1</v>
      </c>
      <c r="AP634">
        <v>1</v>
      </c>
      <c r="AQ634">
        <v>0</v>
      </c>
      <c r="AR634">
        <v>0</v>
      </c>
      <c r="AS634" t="s">
        <v>3</v>
      </c>
      <c r="AT634">
        <v>1.5E-3</v>
      </c>
      <c r="AU634" t="s">
        <v>258</v>
      </c>
      <c r="AV634">
        <v>0</v>
      </c>
      <c r="AW634">
        <v>2</v>
      </c>
      <c r="AX634">
        <v>85740222</v>
      </c>
      <c r="AY634">
        <v>1</v>
      </c>
      <c r="AZ634">
        <v>0</v>
      </c>
      <c r="BA634">
        <v>643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V634">
        <v>0</v>
      </c>
      <c r="CW634">
        <v>0</v>
      </c>
      <c r="CX634">
        <f>ROUND(Y634*Source!I250,9)</f>
        <v>1.9175999999999999E-2</v>
      </c>
      <c r="CY634">
        <f>AA634</f>
        <v>219101.95</v>
      </c>
      <c r="CZ634">
        <f>AE634</f>
        <v>6290.61</v>
      </c>
      <c r="DA634">
        <f>AI634</f>
        <v>34.83</v>
      </c>
      <c r="DB634">
        <f>ROUND((((ROUND(AT634*CZ634,2)*2)*1)*1),6)</f>
        <v>18.88</v>
      </c>
      <c r="DC634">
        <f>ROUND((((ROUND(AT634*AG634,2)*2)*1)*1),6)</f>
        <v>0</v>
      </c>
      <c r="DD634" t="s">
        <v>3</v>
      </c>
      <c r="DE634" t="s">
        <v>3</v>
      </c>
      <c r="DF634">
        <f>ROUND(ROUND(AE634*AI634,2)*CX634,2)</f>
        <v>4201.5</v>
      </c>
      <c r="DG634">
        <f t="shared" si="263"/>
        <v>0</v>
      </c>
      <c r="DH634">
        <f t="shared" si="262"/>
        <v>0</v>
      </c>
      <c r="DI634">
        <f t="shared" si="254"/>
        <v>0</v>
      </c>
      <c r="DJ634">
        <f>DF634</f>
        <v>4201.5</v>
      </c>
      <c r="DK634">
        <v>0</v>
      </c>
      <c r="DL634" t="s">
        <v>3</v>
      </c>
      <c r="DM634">
        <v>0</v>
      </c>
      <c r="DN634" t="s">
        <v>3</v>
      </c>
      <c r="DO634">
        <v>0</v>
      </c>
    </row>
    <row r="635" spans="1:119" x14ac:dyDescent="0.2">
      <c r="A635">
        <f>ROW(Source!A253)</f>
        <v>253</v>
      </c>
      <c r="B635">
        <v>85739205</v>
      </c>
      <c r="C635">
        <v>85740225</v>
      </c>
      <c r="D635">
        <v>85164021</v>
      </c>
      <c r="E635">
        <v>1081</v>
      </c>
      <c r="F635">
        <v>1</v>
      </c>
      <c r="G635">
        <v>1081</v>
      </c>
      <c r="H635">
        <v>1</v>
      </c>
      <c r="I635" t="s">
        <v>472</v>
      </c>
      <c r="J635" t="s">
        <v>3</v>
      </c>
      <c r="K635" t="s">
        <v>473</v>
      </c>
      <c r="L635">
        <v>1191</v>
      </c>
      <c r="N635">
        <v>1013</v>
      </c>
      <c r="O635" t="s">
        <v>474</v>
      </c>
      <c r="P635" t="s">
        <v>474</v>
      </c>
      <c r="Q635">
        <v>1</v>
      </c>
      <c r="W635">
        <v>0</v>
      </c>
      <c r="X635">
        <v>476480486</v>
      </c>
      <c r="Y635">
        <f>((AT635*1.15)*1.2)</f>
        <v>2.9393999999999996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1</v>
      </c>
      <c r="AK635">
        <v>1</v>
      </c>
      <c r="AL635">
        <v>1</v>
      </c>
      <c r="AM635">
        <v>-2</v>
      </c>
      <c r="AN635">
        <v>0</v>
      </c>
      <c r="AO635">
        <v>1</v>
      </c>
      <c r="AP635">
        <v>1</v>
      </c>
      <c r="AQ635">
        <v>0</v>
      </c>
      <c r="AR635">
        <v>0</v>
      </c>
      <c r="AS635" t="s">
        <v>3</v>
      </c>
      <c r="AT635">
        <v>2.13</v>
      </c>
      <c r="AU635" t="s">
        <v>79</v>
      </c>
      <c r="AV635">
        <v>1</v>
      </c>
      <c r="AW635">
        <v>2</v>
      </c>
      <c r="AX635">
        <v>85740231</v>
      </c>
      <c r="AY635">
        <v>1</v>
      </c>
      <c r="AZ635">
        <v>0</v>
      </c>
      <c r="BA635">
        <v>645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U635">
        <f>ROUND(AT635*Source!I253*AH635*AL635,2)</f>
        <v>0</v>
      </c>
      <c r="CV635">
        <f>ROUND(Y635*Source!I253,9)</f>
        <v>18.7886448</v>
      </c>
      <c r="CW635">
        <v>0</v>
      </c>
      <c r="CX635">
        <f>ROUND(Y635*Source!I253,9)</f>
        <v>18.7886448</v>
      </c>
      <c r="CY635">
        <f>AD635</f>
        <v>0</v>
      </c>
      <c r="CZ635">
        <f>AH635</f>
        <v>0</v>
      </c>
      <c r="DA635">
        <f>AL635</f>
        <v>1</v>
      </c>
      <c r="DB635">
        <f>ROUND(((ROUND(AT635*CZ635,2)*1.15)*1.2),6)</f>
        <v>0</v>
      </c>
      <c r="DC635">
        <f>ROUND(((ROUND(AT635*AG635,2)*1.15)*1.2),6)</f>
        <v>0</v>
      </c>
      <c r="DD635" t="s">
        <v>3</v>
      </c>
      <c r="DE635" t="s">
        <v>3</v>
      </c>
      <c r="DF635">
        <f t="shared" ref="DF635:DF642" si="264">ROUND(ROUND(AE635,2)*CX635,2)</f>
        <v>0</v>
      </c>
      <c r="DG635">
        <f t="shared" si="263"/>
        <v>0</v>
      </c>
      <c r="DH635">
        <f t="shared" si="262"/>
        <v>0</v>
      </c>
      <c r="DI635">
        <f t="shared" si="254"/>
        <v>0</v>
      </c>
      <c r="DJ635">
        <f>DI635</f>
        <v>0</v>
      </c>
      <c r="DK635">
        <v>0</v>
      </c>
      <c r="DL635" t="s">
        <v>3</v>
      </c>
      <c r="DM635">
        <v>0</v>
      </c>
      <c r="DN635" t="s">
        <v>3</v>
      </c>
      <c r="DO635">
        <v>0</v>
      </c>
    </row>
    <row r="636" spans="1:119" x14ac:dyDescent="0.2">
      <c r="A636">
        <f>ROW(Source!A253)</f>
        <v>253</v>
      </c>
      <c r="B636">
        <v>85739205</v>
      </c>
      <c r="C636">
        <v>85740225</v>
      </c>
      <c r="D636">
        <v>85229932</v>
      </c>
      <c r="E636">
        <v>1</v>
      </c>
      <c r="F636">
        <v>1</v>
      </c>
      <c r="G636">
        <v>1081</v>
      </c>
      <c r="H636">
        <v>2</v>
      </c>
      <c r="I636" t="s">
        <v>482</v>
      </c>
      <c r="J636" t="s">
        <v>483</v>
      </c>
      <c r="K636" t="s">
        <v>484</v>
      </c>
      <c r="L636">
        <v>1368</v>
      </c>
      <c r="N636">
        <v>1011</v>
      </c>
      <c r="O636" t="s">
        <v>478</v>
      </c>
      <c r="P636" t="s">
        <v>478</v>
      </c>
      <c r="Q636">
        <v>1</v>
      </c>
      <c r="W636">
        <v>0</v>
      </c>
      <c r="X636">
        <v>874612079</v>
      </c>
      <c r="Y636">
        <f>((AT636*1.25)*1.2)</f>
        <v>1.4999999999999999E-2</v>
      </c>
      <c r="AA636">
        <v>0</v>
      </c>
      <c r="AB636">
        <v>87.01</v>
      </c>
      <c r="AC636">
        <v>13.21</v>
      </c>
      <c r="AD636">
        <v>0</v>
      </c>
      <c r="AE636">
        <v>0</v>
      </c>
      <c r="AF636">
        <v>83.1</v>
      </c>
      <c r="AG636">
        <v>12.62</v>
      </c>
      <c r="AH636">
        <v>0</v>
      </c>
      <c r="AI636">
        <v>1</v>
      </c>
      <c r="AJ636">
        <v>1</v>
      </c>
      <c r="AK636">
        <v>1</v>
      </c>
      <c r="AL636">
        <v>1</v>
      </c>
      <c r="AM636">
        <v>-2</v>
      </c>
      <c r="AN636">
        <v>0</v>
      </c>
      <c r="AO636">
        <v>1</v>
      </c>
      <c r="AP636">
        <v>1</v>
      </c>
      <c r="AQ636">
        <v>0</v>
      </c>
      <c r="AR636">
        <v>0</v>
      </c>
      <c r="AS636" t="s">
        <v>3</v>
      </c>
      <c r="AT636">
        <v>0.01</v>
      </c>
      <c r="AU636" t="s">
        <v>78</v>
      </c>
      <c r="AV636">
        <v>0</v>
      </c>
      <c r="AW636">
        <v>2</v>
      </c>
      <c r="AX636">
        <v>85740232</v>
      </c>
      <c r="AY636">
        <v>1</v>
      </c>
      <c r="AZ636">
        <v>0</v>
      </c>
      <c r="BA636">
        <v>646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f>ROUND(Y636*Source!I253*DO636,9)</f>
        <v>1.2100055999999999</v>
      </c>
      <c r="CX636">
        <f>ROUND(Y636*Source!I253,9)</f>
        <v>9.5880000000000007E-2</v>
      </c>
      <c r="CY636">
        <f>AB636</f>
        <v>87.01</v>
      </c>
      <c r="CZ636">
        <f>AF636</f>
        <v>83.1</v>
      </c>
      <c r="DA636">
        <f>AJ636</f>
        <v>1</v>
      </c>
      <c r="DB636">
        <f>ROUND(((ROUND(AT636*CZ636,2)*1.25)*1.2),6)</f>
        <v>1.2450000000000001</v>
      </c>
      <c r="DC636">
        <f>ROUND(((ROUND(AT636*AG636,2)*1.25)*1.2),6)</f>
        <v>0.19500000000000001</v>
      </c>
      <c r="DD636" t="s">
        <v>3</v>
      </c>
      <c r="DE636" t="s">
        <v>3</v>
      </c>
      <c r="DF636">
        <f t="shared" si="264"/>
        <v>0</v>
      </c>
      <c r="DG636">
        <f t="shared" si="263"/>
        <v>7.97</v>
      </c>
      <c r="DH636">
        <f t="shared" si="262"/>
        <v>1.21</v>
      </c>
      <c r="DI636">
        <f t="shared" si="254"/>
        <v>0</v>
      </c>
      <c r="DJ636">
        <f>DG636</f>
        <v>7.97</v>
      </c>
      <c r="DK636">
        <v>0</v>
      </c>
      <c r="DL636" t="s">
        <v>485</v>
      </c>
      <c r="DM636">
        <v>0</v>
      </c>
      <c r="DN636" t="s">
        <v>474</v>
      </c>
      <c r="DO636">
        <v>12.62</v>
      </c>
    </row>
    <row r="637" spans="1:119" x14ac:dyDescent="0.2">
      <c r="A637">
        <f>ROW(Source!A253)</f>
        <v>253</v>
      </c>
      <c r="B637">
        <v>85739205</v>
      </c>
      <c r="C637">
        <v>85740225</v>
      </c>
      <c r="D637">
        <v>85229236</v>
      </c>
      <c r="E637">
        <v>1</v>
      </c>
      <c r="F637">
        <v>1</v>
      </c>
      <c r="G637">
        <v>1081</v>
      </c>
      <c r="H637">
        <v>2</v>
      </c>
      <c r="I637" t="s">
        <v>570</v>
      </c>
      <c r="J637" t="s">
        <v>571</v>
      </c>
      <c r="K637" t="s">
        <v>572</v>
      </c>
      <c r="L637">
        <v>1368</v>
      </c>
      <c r="N637">
        <v>1011</v>
      </c>
      <c r="O637" t="s">
        <v>478</v>
      </c>
      <c r="P637" t="s">
        <v>478</v>
      </c>
      <c r="Q637">
        <v>1</v>
      </c>
      <c r="W637">
        <v>0</v>
      </c>
      <c r="X637">
        <v>-1520980008</v>
      </c>
      <c r="Y637">
        <f>((AT637*1.25)*1.2)</f>
        <v>1.4999999999999999E-2</v>
      </c>
      <c r="AA637">
        <v>0</v>
      </c>
      <c r="AB637">
        <v>120.23</v>
      </c>
      <c r="AC637">
        <v>13.21</v>
      </c>
      <c r="AD637">
        <v>0</v>
      </c>
      <c r="AE637">
        <v>0</v>
      </c>
      <c r="AF637">
        <v>114.83</v>
      </c>
      <c r="AG637">
        <v>12.62</v>
      </c>
      <c r="AH637">
        <v>0</v>
      </c>
      <c r="AI637">
        <v>1</v>
      </c>
      <c r="AJ637">
        <v>1</v>
      </c>
      <c r="AK637">
        <v>1</v>
      </c>
      <c r="AL637">
        <v>1</v>
      </c>
      <c r="AM637">
        <v>-2</v>
      </c>
      <c r="AN637">
        <v>0</v>
      </c>
      <c r="AO637">
        <v>1</v>
      </c>
      <c r="AP637">
        <v>1</v>
      </c>
      <c r="AQ637">
        <v>0</v>
      </c>
      <c r="AR637">
        <v>0</v>
      </c>
      <c r="AS637" t="s">
        <v>3</v>
      </c>
      <c r="AT637">
        <v>0.01</v>
      </c>
      <c r="AU637" t="s">
        <v>78</v>
      </c>
      <c r="AV637">
        <v>0</v>
      </c>
      <c r="AW637">
        <v>2</v>
      </c>
      <c r="AX637">
        <v>85740233</v>
      </c>
      <c r="AY637">
        <v>1</v>
      </c>
      <c r="AZ637">
        <v>0</v>
      </c>
      <c r="BA637">
        <v>647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V637">
        <v>0</v>
      </c>
      <c r="CW637">
        <f>ROUND(Y637*Source!I253*DO637,9)</f>
        <v>1.2100055999999999</v>
      </c>
      <c r="CX637">
        <f>ROUND(Y637*Source!I253,9)</f>
        <v>9.5880000000000007E-2</v>
      </c>
      <c r="CY637">
        <f>AB637</f>
        <v>120.23</v>
      </c>
      <c r="CZ637">
        <f>AF637</f>
        <v>114.83</v>
      </c>
      <c r="DA637">
        <f>AJ637</f>
        <v>1</v>
      </c>
      <c r="DB637">
        <f>ROUND(((ROUND(AT637*CZ637,2)*1.25)*1.2),6)</f>
        <v>1.7250000000000001</v>
      </c>
      <c r="DC637">
        <f>ROUND(((ROUND(AT637*AG637,2)*1.25)*1.2),6)</f>
        <v>0.19500000000000001</v>
      </c>
      <c r="DD637" t="s">
        <v>3</v>
      </c>
      <c r="DE637" t="s">
        <v>3</v>
      </c>
      <c r="DF637">
        <f t="shared" si="264"/>
        <v>0</v>
      </c>
      <c r="DG637">
        <f t="shared" si="263"/>
        <v>11.01</v>
      </c>
      <c r="DH637">
        <f t="shared" si="262"/>
        <v>1.21</v>
      </c>
      <c r="DI637">
        <f t="shared" si="254"/>
        <v>0</v>
      </c>
      <c r="DJ637">
        <f>DG637</f>
        <v>11.01</v>
      </c>
      <c r="DK637">
        <v>0</v>
      </c>
      <c r="DL637" t="s">
        <v>485</v>
      </c>
      <c r="DM637">
        <v>0</v>
      </c>
      <c r="DN637" t="s">
        <v>474</v>
      </c>
      <c r="DO637">
        <v>12.62</v>
      </c>
    </row>
    <row r="638" spans="1:119" x14ac:dyDescent="0.2">
      <c r="A638">
        <f>ROW(Source!A253)</f>
        <v>253</v>
      </c>
      <c r="B638">
        <v>85739205</v>
      </c>
      <c r="C638">
        <v>85740225</v>
      </c>
      <c r="D638">
        <v>85200033</v>
      </c>
      <c r="E638">
        <v>1</v>
      </c>
      <c r="F638">
        <v>1</v>
      </c>
      <c r="G638">
        <v>1081</v>
      </c>
      <c r="H638">
        <v>3</v>
      </c>
      <c r="I638" t="s">
        <v>531</v>
      </c>
      <c r="J638" t="s">
        <v>532</v>
      </c>
      <c r="K638" t="s">
        <v>533</v>
      </c>
      <c r="L638">
        <v>1346</v>
      </c>
      <c r="N638">
        <v>1009</v>
      </c>
      <c r="O638" t="s">
        <v>502</v>
      </c>
      <c r="P638" t="s">
        <v>502</v>
      </c>
      <c r="Q638">
        <v>1</v>
      </c>
      <c r="W638">
        <v>0</v>
      </c>
      <c r="X638">
        <v>-1097873860</v>
      </c>
      <c r="Y638">
        <f>((AT638*1)*1)</f>
        <v>9</v>
      </c>
      <c r="AA638">
        <v>29.89</v>
      </c>
      <c r="AB638">
        <v>0</v>
      </c>
      <c r="AC638">
        <v>0</v>
      </c>
      <c r="AD638">
        <v>0</v>
      </c>
      <c r="AE638">
        <v>29.89</v>
      </c>
      <c r="AF638">
        <v>0</v>
      </c>
      <c r="AG638">
        <v>0</v>
      </c>
      <c r="AH638">
        <v>0</v>
      </c>
      <c r="AI638">
        <v>1</v>
      </c>
      <c r="AJ638">
        <v>1</v>
      </c>
      <c r="AK638">
        <v>1</v>
      </c>
      <c r="AL638">
        <v>1</v>
      </c>
      <c r="AM638">
        <v>-2</v>
      </c>
      <c r="AN638">
        <v>0</v>
      </c>
      <c r="AO638">
        <v>1</v>
      </c>
      <c r="AP638">
        <v>1</v>
      </c>
      <c r="AQ638">
        <v>0</v>
      </c>
      <c r="AR638">
        <v>0</v>
      </c>
      <c r="AS638" t="s">
        <v>3</v>
      </c>
      <c r="AT638">
        <v>9</v>
      </c>
      <c r="AU638" t="s">
        <v>77</v>
      </c>
      <c r="AV638">
        <v>0</v>
      </c>
      <c r="AW638">
        <v>2</v>
      </c>
      <c r="AX638">
        <v>85740234</v>
      </c>
      <c r="AY638">
        <v>1</v>
      </c>
      <c r="AZ638">
        <v>0</v>
      </c>
      <c r="BA638">
        <v>648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V638">
        <v>0</v>
      </c>
      <c r="CW638">
        <v>0</v>
      </c>
      <c r="CX638">
        <f>ROUND(Y638*Source!I253,9)</f>
        <v>57.527999999999999</v>
      </c>
      <c r="CY638">
        <f>AA638</f>
        <v>29.89</v>
      </c>
      <c r="CZ638">
        <f>AE638</f>
        <v>29.89</v>
      </c>
      <c r="DA638">
        <f>AI638</f>
        <v>1</v>
      </c>
      <c r="DB638">
        <f>ROUND(((ROUND(AT638*CZ638,2)*1)*1),6)</f>
        <v>269.01</v>
      </c>
      <c r="DC638">
        <f>ROUND(((ROUND(AT638*AG638,2)*1)*1),6)</f>
        <v>0</v>
      </c>
      <c r="DD638" t="s">
        <v>3</v>
      </c>
      <c r="DE638" t="s">
        <v>3</v>
      </c>
      <c r="DF638">
        <f t="shared" si="264"/>
        <v>1719.51</v>
      </c>
      <c r="DG638">
        <f t="shared" si="263"/>
        <v>0</v>
      </c>
      <c r="DH638">
        <f t="shared" si="262"/>
        <v>0</v>
      </c>
      <c r="DI638">
        <f t="shared" si="254"/>
        <v>0</v>
      </c>
      <c r="DJ638">
        <f>DF638</f>
        <v>1719.51</v>
      </c>
      <c r="DK638">
        <v>0</v>
      </c>
      <c r="DL638" t="s">
        <v>3</v>
      </c>
      <c r="DM638">
        <v>0</v>
      </c>
      <c r="DN638" t="s">
        <v>3</v>
      </c>
      <c r="DO638">
        <v>0</v>
      </c>
    </row>
    <row r="639" spans="1:119" x14ac:dyDescent="0.2">
      <c r="A639">
        <f>ROW(Source!A253)</f>
        <v>253</v>
      </c>
      <c r="B639">
        <v>85739205</v>
      </c>
      <c r="C639">
        <v>85740225</v>
      </c>
      <c r="D639">
        <v>85199558</v>
      </c>
      <c r="E639">
        <v>1</v>
      </c>
      <c r="F639">
        <v>1</v>
      </c>
      <c r="G639">
        <v>1081</v>
      </c>
      <c r="H639">
        <v>3</v>
      </c>
      <c r="I639" t="s">
        <v>579</v>
      </c>
      <c r="J639" t="s">
        <v>580</v>
      </c>
      <c r="K639" t="s">
        <v>581</v>
      </c>
      <c r="L639">
        <v>1348</v>
      </c>
      <c r="N639">
        <v>1009</v>
      </c>
      <c r="O639" t="s">
        <v>266</v>
      </c>
      <c r="P639" t="s">
        <v>266</v>
      </c>
      <c r="Q639">
        <v>1000</v>
      </c>
      <c r="W639">
        <v>0</v>
      </c>
      <c r="X639">
        <v>-1860917919</v>
      </c>
      <c r="Y639">
        <f>((AT639*1)*1)</f>
        <v>1.48E-3</v>
      </c>
      <c r="AA639">
        <v>12521.99</v>
      </c>
      <c r="AB639">
        <v>0</v>
      </c>
      <c r="AC639">
        <v>0</v>
      </c>
      <c r="AD639">
        <v>0</v>
      </c>
      <c r="AE639">
        <v>12521.99</v>
      </c>
      <c r="AF639">
        <v>0</v>
      </c>
      <c r="AG639">
        <v>0</v>
      </c>
      <c r="AH639">
        <v>0</v>
      </c>
      <c r="AI639">
        <v>1</v>
      </c>
      <c r="AJ639">
        <v>1</v>
      </c>
      <c r="AK639">
        <v>1</v>
      </c>
      <c r="AL639">
        <v>1</v>
      </c>
      <c r="AM639">
        <v>-2</v>
      </c>
      <c r="AN639">
        <v>0</v>
      </c>
      <c r="AO639">
        <v>1</v>
      </c>
      <c r="AP639">
        <v>1</v>
      </c>
      <c r="AQ639">
        <v>0</v>
      </c>
      <c r="AR639">
        <v>0</v>
      </c>
      <c r="AS639" t="s">
        <v>3</v>
      </c>
      <c r="AT639">
        <v>1.48E-3</v>
      </c>
      <c r="AU639" t="s">
        <v>77</v>
      </c>
      <c r="AV639">
        <v>0</v>
      </c>
      <c r="AW639">
        <v>2</v>
      </c>
      <c r="AX639">
        <v>85740235</v>
      </c>
      <c r="AY639">
        <v>1</v>
      </c>
      <c r="AZ639">
        <v>0</v>
      </c>
      <c r="BA639">
        <v>649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V639">
        <v>0</v>
      </c>
      <c r="CW639">
        <v>0</v>
      </c>
      <c r="CX639">
        <f>ROUND(Y639*Source!I253,9)</f>
        <v>9.4601600000000004E-3</v>
      </c>
      <c r="CY639">
        <f>AA639</f>
        <v>12521.99</v>
      </c>
      <c r="CZ639">
        <f>AE639</f>
        <v>12521.99</v>
      </c>
      <c r="DA639">
        <f>AI639</f>
        <v>1</v>
      </c>
      <c r="DB639">
        <f>ROUND(((ROUND(AT639*CZ639,2)*1)*1),6)</f>
        <v>18.53</v>
      </c>
      <c r="DC639">
        <f>ROUND(((ROUND(AT639*AG639,2)*1)*1),6)</f>
        <v>0</v>
      </c>
      <c r="DD639" t="s">
        <v>3</v>
      </c>
      <c r="DE639" t="s">
        <v>3</v>
      </c>
      <c r="DF639">
        <f t="shared" si="264"/>
        <v>118.46</v>
      </c>
      <c r="DG639">
        <f t="shared" si="263"/>
        <v>0</v>
      </c>
      <c r="DH639">
        <f t="shared" si="262"/>
        <v>0</v>
      </c>
      <c r="DI639">
        <f t="shared" si="254"/>
        <v>0</v>
      </c>
      <c r="DJ639">
        <f>DF639</f>
        <v>118.46</v>
      </c>
      <c r="DK639">
        <v>0</v>
      </c>
      <c r="DL639" t="s">
        <v>3</v>
      </c>
      <c r="DM639">
        <v>0</v>
      </c>
      <c r="DN639" t="s">
        <v>3</v>
      </c>
      <c r="DO639">
        <v>0</v>
      </c>
    </row>
    <row r="640" spans="1:119" x14ac:dyDescent="0.2">
      <c r="A640">
        <f>ROW(Source!A254)</f>
        <v>254</v>
      </c>
      <c r="B640">
        <v>85739207</v>
      </c>
      <c r="C640">
        <v>85740225</v>
      </c>
      <c r="D640">
        <v>85164021</v>
      </c>
      <c r="E640">
        <v>1081</v>
      </c>
      <c r="F640">
        <v>1</v>
      </c>
      <c r="G640">
        <v>1081</v>
      </c>
      <c r="H640">
        <v>1</v>
      </c>
      <c r="I640" t="s">
        <v>472</v>
      </c>
      <c r="J640" t="s">
        <v>3</v>
      </c>
      <c r="K640" t="s">
        <v>473</v>
      </c>
      <c r="L640">
        <v>1191</v>
      </c>
      <c r="N640">
        <v>1013</v>
      </c>
      <c r="O640" t="s">
        <v>474</v>
      </c>
      <c r="P640" t="s">
        <v>474</v>
      </c>
      <c r="Q640">
        <v>1</v>
      </c>
      <c r="W640">
        <v>0</v>
      </c>
      <c r="X640">
        <v>476480486</v>
      </c>
      <c r="Y640">
        <f>((AT640*1.15)*1.2)</f>
        <v>2.9393999999999996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1</v>
      </c>
      <c r="AJ640">
        <v>1</v>
      </c>
      <c r="AK640">
        <v>1</v>
      </c>
      <c r="AL640">
        <v>1</v>
      </c>
      <c r="AM640">
        <v>5</v>
      </c>
      <c r="AN640">
        <v>0</v>
      </c>
      <c r="AO640">
        <v>1</v>
      </c>
      <c r="AP640">
        <v>1</v>
      </c>
      <c r="AQ640">
        <v>0</v>
      </c>
      <c r="AR640">
        <v>0</v>
      </c>
      <c r="AS640" t="s">
        <v>3</v>
      </c>
      <c r="AT640">
        <v>2.13</v>
      </c>
      <c r="AU640" t="s">
        <v>79</v>
      </c>
      <c r="AV640">
        <v>1</v>
      </c>
      <c r="AW640">
        <v>2</v>
      </c>
      <c r="AX640">
        <v>85740231</v>
      </c>
      <c r="AY640">
        <v>1</v>
      </c>
      <c r="AZ640">
        <v>0</v>
      </c>
      <c r="BA640">
        <v>650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U640">
        <f>ROUND(AT640*Source!I254*AH640*AL640,2)</f>
        <v>0</v>
      </c>
      <c r="CV640">
        <f>ROUND(Y640*Source!I254,9)</f>
        <v>18.7886448</v>
      </c>
      <c r="CW640">
        <v>0</v>
      </c>
      <c r="CX640">
        <f>ROUND(Y640*Source!I254,9)</f>
        <v>18.7886448</v>
      </c>
      <c r="CY640">
        <f>AD640</f>
        <v>0</v>
      </c>
      <c r="CZ640">
        <f>AH640</f>
        <v>0</v>
      </c>
      <c r="DA640">
        <f>AL640</f>
        <v>1</v>
      </c>
      <c r="DB640">
        <f>ROUND(((ROUND(AT640*CZ640,2)*1.15)*1.2),6)</f>
        <v>0</v>
      </c>
      <c r="DC640">
        <f>ROUND(((ROUND(AT640*AG640,2)*1.15)*1.2),6)</f>
        <v>0</v>
      </c>
      <c r="DD640" t="s">
        <v>3</v>
      </c>
      <c r="DE640" t="s">
        <v>3</v>
      </c>
      <c r="DF640">
        <f t="shared" si="264"/>
        <v>0</v>
      </c>
      <c r="DG640">
        <f t="shared" si="263"/>
        <v>0</v>
      </c>
      <c r="DH640">
        <f t="shared" si="262"/>
        <v>0</v>
      </c>
      <c r="DI640">
        <f t="shared" si="254"/>
        <v>0</v>
      </c>
      <c r="DJ640">
        <f>DI640</f>
        <v>0</v>
      </c>
      <c r="DK640">
        <v>0</v>
      </c>
      <c r="DL640" t="s">
        <v>3</v>
      </c>
      <c r="DM640">
        <v>0</v>
      </c>
      <c r="DN640" t="s">
        <v>3</v>
      </c>
      <c r="DO640">
        <v>0</v>
      </c>
    </row>
    <row r="641" spans="1:119" x14ac:dyDescent="0.2">
      <c r="A641">
        <f>ROW(Source!A254)</f>
        <v>254</v>
      </c>
      <c r="B641">
        <v>85739207</v>
      </c>
      <c r="C641">
        <v>85740225</v>
      </c>
      <c r="D641">
        <v>85229932</v>
      </c>
      <c r="E641">
        <v>1</v>
      </c>
      <c r="F641">
        <v>1</v>
      </c>
      <c r="G641">
        <v>1081</v>
      </c>
      <c r="H641">
        <v>2</v>
      </c>
      <c r="I641" t="s">
        <v>482</v>
      </c>
      <c r="J641" t="s">
        <v>483</v>
      </c>
      <c r="K641" t="s">
        <v>484</v>
      </c>
      <c r="L641">
        <v>1368</v>
      </c>
      <c r="N641">
        <v>1011</v>
      </c>
      <c r="O641" t="s">
        <v>478</v>
      </c>
      <c r="P641" t="s">
        <v>478</v>
      </c>
      <c r="Q641">
        <v>1</v>
      </c>
      <c r="W641">
        <v>0</v>
      </c>
      <c r="X641">
        <v>874612079</v>
      </c>
      <c r="Y641">
        <f>((AT641*1.25)*1.2)</f>
        <v>1.4999999999999999E-2</v>
      </c>
      <c r="AA641">
        <v>0</v>
      </c>
      <c r="AB641">
        <v>1485.19</v>
      </c>
      <c r="AC641">
        <v>744.56</v>
      </c>
      <c r="AD641">
        <v>0</v>
      </c>
      <c r="AE641">
        <v>0</v>
      </c>
      <c r="AF641">
        <v>83.1</v>
      </c>
      <c r="AG641">
        <v>12.62</v>
      </c>
      <c r="AH641">
        <v>0</v>
      </c>
      <c r="AI641">
        <v>1</v>
      </c>
      <c r="AJ641">
        <v>17.07</v>
      </c>
      <c r="AK641">
        <v>56.35</v>
      </c>
      <c r="AL641">
        <v>1</v>
      </c>
      <c r="AM641">
        <v>2</v>
      </c>
      <c r="AN641">
        <v>0</v>
      </c>
      <c r="AO641">
        <v>1</v>
      </c>
      <c r="AP641">
        <v>1</v>
      </c>
      <c r="AQ641">
        <v>0</v>
      </c>
      <c r="AR641">
        <v>0</v>
      </c>
      <c r="AS641" t="s">
        <v>3</v>
      </c>
      <c r="AT641">
        <v>0.01</v>
      </c>
      <c r="AU641" t="s">
        <v>78</v>
      </c>
      <c r="AV641">
        <v>0</v>
      </c>
      <c r="AW641">
        <v>2</v>
      </c>
      <c r="AX641">
        <v>85740232</v>
      </c>
      <c r="AY641">
        <v>1</v>
      </c>
      <c r="AZ641">
        <v>0</v>
      </c>
      <c r="BA641">
        <v>651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V641">
        <v>0</v>
      </c>
      <c r="CW641">
        <f>ROUND(Y641*Source!I254*DO641,9)</f>
        <v>1.2100055999999999</v>
      </c>
      <c r="CX641">
        <f>ROUND(Y641*Source!I254,9)</f>
        <v>9.5880000000000007E-2</v>
      </c>
      <c r="CY641">
        <f>AB641</f>
        <v>1485.19</v>
      </c>
      <c r="CZ641">
        <f>AF641</f>
        <v>83.1</v>
      </c>
      <c r="DA641">
        <f>AJ641</f>
        <v>17.07</v>
      </c>
      <c r="DB641">
        <f>ROUND(((ROUND(AT641*CZ641,2)*1.25)*1.2),6)</f>
        <v>1.2450000000000001</v>
      </c>
      <c r="DC641">
        <f>ROUND(((ROUND(AT641*AG641,2)*1.25)*1.2),6)</f>
        <v>0.19500000000000001</v>
      </c>
      <c r="DD641" t="s">
        <v>3</v>
      </c>
      <c r="DE641" t="s">
        <v>3</v>
      </c>
      <c r="DF641">
        <f t="shared" si="264"/>
        <v>0</v>
      </c>
      <c r="DG641">
        <f>ROUND(ROUND(AF641*AJ641,2)*CX641,2)</f>
        <v>136.01</v>
      </c>
      <c r="DH641">
        <f>ROUND(ROUND(AG641*AK641,2)*CX641,2)</f>
        <v>68.180000000000007</v>
      </c>
      <c r="DI641">
        <f t="shared" si="254"/>
        <v>0</v>
      </c>
      <c r="DJ641">
        <f>DG641</f>
        <v>136.01</v>
      </c>
      <c r="DK641">
        <v>0</v>
      </c>
      <c r="DL641" t="s">
        <v>485</v>
      </c>
      <c r="DM641">
        <v>0</v>
      </c>
      <c r="DN641" t="s">
        <v>474</v>
      </c>
      <c r="DO641">
        <v>12.62</v>
      </c>
    </row>
    <row r="642" spans="1:119" x14ac:dyDescent="0.2">
      <c r="A642">
        <f>ROW(Source!A254)</f>
        <v>254</v>
      </c>
      <c r="B642">
        <v>85739207</v>
      </c>
      <c r="C642">
        <v>85740225</v>
      </c>
      <c r="D642">
        <v>85229236</v>
      </c>
      <c r="E642">
        <v>1</v>
      </c>
      <c r="F642">
        <v>1</v>
      </c>
      <c r="G642">
        <v>1081</v>
      </c>
      <c r="H642">
        <v>2</v>
      </c>
      <c r="I642" t="s">
        <v>570</v>
      </c>
      <c r="J642" t="s">
        <v>571</v>
      </c>
      <c r="K642" t="s">
        <v>572</v>
      </c>
      <c r="L642">
        <v>1368</v>
      </c>
      <c r="N642">
        <v>1011</v>
      </c>
      <c r="O642" t="s">
        <v>478</v>
      </c>
      <c r="P642" t="s">
        <v>478</v>
      </c>
      <c r="Q642">
        <v>1</v>
      </c>
      <c r="W642">
        <v>0</v>
      </c>
      <c r="X642">
        <v>-1520980008</v>
      </c>
      <c r="Y642">
        <f>((AT642*1.25)*1.2)</f>
        <v>1.4999999999999999E-2</v>
      </c>
      <c r="AA642">
        <v>0</v>
      </c>
      <c r="AB642">
        <v>1942.87</v>
      </c>
      <c r="AC642">
        <v>744.56</v>
      </c>
      <c r="AD642">
        <v>0</v>
      </c>
      <c r="AE642">
        <v>0</v>
      </c>
      <c r="AF642">
        <v>114.83</v>
      </c>
      <c r="AG642">
        <v>12.62</v>
      </c>
      <c r="AH642">
        <v>0</v>
      </c>
      <c r="AI642">
        <v>1</v>
      </c>
      <c r="AJ642">
        <v>16.16</v>
      </c>
      <c r="AK642">
        <v>56.35</v>
      </c>
      <c r="AL642">
        <v>1</v>
      </c>
      <c r="AM642">
        <v>2</v>
      </c>
      <c r="AN642">
        <v>0</v>
      </c>
      <c r="AO642">
        <v>1</v>
      </c>
      <c r="AP642">
        <v>1</v>
      </c>
      <c r="AQ642">
        <v>0</v>
      </c>
      <c r="AR642">
        <v>0</v>
      </c>
      <c r="AS642" t="s">
        <v>3</v>
      </c>
      <c r="AT642">
        <v>0.01</v>
      </c>
      <c r="AU642" t="s">
        <v>78</v>
      </c>
      <c r="AV642">
        <v>0</v>
      </c>
      <c r="AW642">
        <v>2</v>
      </c>
      <c r="AX642">
        <v>85740233</v>
      </c>
      <c r="AY642">
        <v>1</v>
      </c>
      <c r="AZ642">
        <v>0</v>
      </c>
      <c r="BA642">
        <v>652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f>ROUND(Y642*Source!I254*DO642,9)</f>
        <v>1.2100055999999999</v>
      </c>
      <c r="CX642">
        <f>ROUND(Y642*Source!I254,9)</f>
        <v>9.5880000000000007E-2</v>
      </c>
      <c r="CY642">
        <f>AB642</f>
        <v>1942.87</v>
      </c>
      <c r="CZ642">
        <f>AF642</f>
        <v>114.83</v>
      </c>
      <c r="DA642">
        <f>AJ642</f>
        <v>16.16</v>
      </c>
      <c r="DB642">
        <f>ROUND(((ROUND(AT642*CZ642,2)*1.25)*1.2),6)</f>
        <v>1.7250000000000001</v>
      </c>
      <c r="DC642">
        <f>ROUND(((ROUND(AT642*AG642,2)*1.25)*1.2),6)</f>
        <v>0.19500000000000001</v>
      </c>
      <c r="DD642" t="s">
        <v>3</v>
      </c>
      <c r="DE642" t="s">
        <v>3</v>
      </c>
      <c r="DF642">
        <f t="shared" si="264"/>
        <v>0</v>
      </c>
      <c r="DG642">
        <f>ROUND(ROUND(AF642*AJ642,2)*CX642,2)</f>
        <v>177.92</v>
      </c>
      <c r="DH642">
        <f>ROUND(ROUND(AG642*AK642,2)*CX642,2)</f>
        <v>68.180000000000007</v>
      </c>
      <c r="DI642">
        <f t="shared" si="254"/>
        <v>0</v>
      </c>
      <c r="DJ642">
        <f>DG642</f>
        <v>177.92</v>
      </c>
      <c r="DK642">
        <v>0</v>
      </c>
      <c r="DL642" t="s">
        <v>485</v>
      </c>
      <c r="DM642">
        <v>0</v>
      </c>
      <c r="DN642" t="s">
        <v>474</v>
      </c>
      <c r="DO642">
        <v>12.62</v>
      </c>
    </row>
    <row r="643" spans="1:119" x14ac:dyDescent="0.2">
      <c r="A643">
        <f>ROW(Source!A254)</f>
        <v>254</v>
      </c>
      <c r="B643">
        <v>85739207</v>
      </c>
      <c r="C643">
        <v>85740225</v>
      </c>
      <c r="D643">
        <v>85200033</v>
      </c>
      <c r="E643">
        <v>1</v>
      </c>
      <c r="F643">
        <v>1</v>
      </c>
      <c r="G643">
        <v>1081</v>
      </c>
      <c r="H643">
        <v>3</v>
      </c>
      <c r="I643" t="s">
        <v>531</v>
      </c>
      <c r="J643" t="s">
        <v>532</v>
      </c>
      <c r="K643" t="s">
        <v>533</v>
      </c>
      <c r="L643">
        <v>1346</v>
      </c>
      <c r="N643">
        <v>1009</v>
      </c>
      <c r="O643" t="s">
        <v>502</v>
      </c>
      <c r="P643" t="s">
        <v>502</v>
      </c>
      <c r="Q643">
        <v>1</v>
      </c>
      <c r="W643">
        <v>0</v>
      </c>
      <c r="X643">
        <v>-1097873860</v>
      </c>
      <c r="Y643">
        <f>((AT643*1)*1)</f>
        <v>9</v>
      </c>
      <c r="AA643">
        <v>101.03</v>
      </c>
      <c r="AB643">
        <v>0</v>
      </c>
      <c r="AC643">
        <v>0</v>
      </c>
      <c r="AD643">
        <v>0</v>
      </c>
      <c r="AE643">
        <v>29.89</v>
      </c>
      <c r="AF643">
        <v>0</v>
      </c>
      <c r="AG643">
        <v>0</v>
      </c>
      <c r="AH643">
        <v>0</v>
      </c>
      <c r="AI643">
        <v>3.38</v>
      </c>
      <c r="AJ643">
        <v>1</v>
      </c>
      <c r="AK643">
        <v>1</v>
      </c>
      <c r="AL643">
        <v>1</v>
      </c>
      <c r="AM643">
        <v>2</v>
      </c>
      <c r="AN643">
        <v>0</v>
      </c>
      <c r="AO643">
        <v>1</v>
      </c>
      <c r="AP643">
        <v>1</v>
      </c>
      <c r="AQ643">
        <v>0</v>
      </c>
      <c r="AR643">
        <v>0</v>
      </c>
      <c r="AS643" t="s">
        <v>3</v>
      </c>
      <c r="AT643">
        <v>9</v>
      </c>
      <c r="AU643" t="s">
        <v>77</v>
      </c>
      <c r="AV643">
        <v>0</v>
      </c>
      <c r="AW643">
        <v>2</v>
      </c>
      <c r="AX643">
        <v>85740234</v>
      </c>
      <c r="AY643">
        <v>1</v>
      </c>
      <c r="AZ643">
        <v>0</v>
      </c>
      <c r="BA643">
        <v>653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V643">
        <v>0</v>
      </c>
      <c r="CW643">
        <v>0</v>
      </c>
      <c r="CX643">
        <f>ROUND(Y643*Source!I254,9)</f>
        <v>57.527999999999999</v>
      </c>
      <c r="CY643">
        <f>AA643</f>
        <v>101.03</v>
      </c>
      <c r="CZ643">
        <f>AE643</f>
        <v>29.89</v>
      </c>
      <c r="DA643">
        <f>AI643</f>
        <v>3.38</v>
      </c>
      <c r="DB643">
        <f>ROUND(((ROUND(AT643*CZ643,2)*1)*1),6)</f>
        <v>269.01</v>
      </c>
      <c r="DC643">
        <f>ROUND(((ROUND(AT643*AG643,2)*1)*1),6)</f>
        <v>0</v>
      </c>
      <c r="DD643" t="s">
        <v>3</v>
      </c>
      <c r="DE643" t="s">
        <v>3</v>
      </c>
      <c r="DF643">
        <f>ROUND(ROUND(AE643*AI643,2)*CX643,2)</f>
        <v>5812.05</v>
      </c>
      <c r="DG643">
        <f>ROUND(ROUND(AF643,2)*CX643,2)</f>
        <v>0</v>
      </c>
      <c r="DH643">
        <f>ROUND(ROUND(AG643,2)*CX643,2)</f>
        <v>0</v>
      </c>
      <c r="DI643">
        <f t="shared" si="254"/>
        <v>0</v>
      </c>
      <c r="DJ643">
        <f>DF643</f>
        <v>5812.05</v>
      </c>
      <c r="DK643">
        <v>0</v>
      </c>
      <c r="DL643" t="s">
        <v>3</v>
      </c>
      <c r="DM643">
        <v>0</v>
      </c>
      <c r="DN643" t="s">
        <v>3</v>
      </c>
      <c r="DO643">
        <v>0</v>
      </c>
    </row>
    <row r="644" spans="1:119" x14ac:dyDescent="0.2">
      <c r="A644">
        <f>ROW(Source!A254)</f>
        <v>254</v>
      </c>
      <c r="B644">
        <v>85739207</v>
      </c>
      <c r="C644">
        <v>85740225</v>
      </c>
      <c r="D644">
        <v>85199558</v>
      </c>
      <c r="E644">
        <v>1</v>
      </c>
      <c r="F644">
        <v>1</v>
      </c>
      <c r="G644">
        <v>1081</v>
      </c>
      <c r="H644">
        <v>3</v>
      </c>
      <c r="I644" t="s">
        <v>579</v>
      </c>
      <c r="J644" t="s">
        <v>580</v>
      </c>
      <c r="K644" t="s">
        <v>581</v>
      </c>
      <c r="L644">
        <v>1348</v>
      </c>
      <c r="N644">
        <v>1009</v>
      </c>
      <c r="O644" t="s">
        <v>266</v>
      </c>
      <c r="P644" t="s">
        <v>266</v>
      </c>
      <c r="Q644">
        <v>1000</v>
      </c>
      <c r="W644">
        <v>0</v>
      </c>
      <c r="X644">
        <v>-1860917919</v>
      </c>
      <c r="Y644">
        <f>((AT644*1)*1)</f>
        <v>1.48E-3</v>
      </c>
      <c r="AA644">
        <v>56975.05</v>
      </c>
      <c r="AB644">
        <v>0</v>
      </c>
      <c r="AC644">
        <v>0</v>
      </c>
      <c r="AD644">
        <v>0</v>
      </c>
      <c r="AE644">
        <v>12521.99</v>
      </c>
      <c r="AF644">
        <v>0</v>
      </c>
      <c r="AG644">
        <v>0</v>
      </c>
      <c r="AH644">
        <v>0</v>
      </c>
      <c r="AI644">
        <v>4.55</v>
      </c>
      <c r="AJ644">
        <v>1</v>
      </c>
      <c r="AK644">
        <v>1</v>
      </c>
      <c r="AL644">
        <v>1</v>
      </c>
      <c r="AM644">
        <v>2</v>
      </c>
      <c r="AN644">
        <v>0</v>
      </c>
      <c r="AO644">
        <v>1</v>
      </c>
      <c r="AP644">
        <v>1</v>
      </c>
      <c r="AQ644">
        <v>0</v>
      </c>
      <c r="AR644">
        <v>0</v>
      </c>
      <c r="AS644" t="s">
        <v>3</v>
      </c>
      <c r="AT644">
        <v>1.48E-3</v>
      </c>
      <c r="AU644" t="s">
        <v>77</v>
      </c>
      <c r="AV644">
        <v>0</v>
      </c>
      <c r="AW644">
        <v>2</v>
      </c>
      <c r="AX644">
        <v>85740235</v>
      </c>
      <c r="AY644">
        <v>1</v>
      </c>
      <c r="AZ644">
        <v>0</v>
      </c>
      <c r="BA644">
        <v>654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v>0</v>
      </c>
      <c r="CX644">
        <f>ROUND(Y644*Source!I254,9)</f>
        <v>9.4601600000000004E-3</v>
      </c>
      <c r="CY644">
        <f>AA644</f>
        <v>56975.05</v>
      </c>
      <c r="CZ644">
        <f>AE644</f>
        <v>12521.99</v>
      </c>
      <c r="DA644">
        <f>AI644</f>
        <v>4.55</v>
      </c>
      <c r="DB644">
        <f>ROUND(((ROUND(AT644*CZ644,2)*1)*1),6)</f>
        <v>18.53</v>
      </c>
      <c r="DC644">
        <f>ROUND(((ROUND(AT644*AG644,2)*1)*1),6)</f>
        <v>0</v>
      </c>
      <c r="DD644" t="s">
        <v>3</v>
      </c>
      <c r="DE644" t="s">
        <v>3</v>
      </c>
      <c r="DF644">
        <f>ROUND(ROUND(AE644*AI644,2)*CX644,2)</f>
        <v>538.99</v>
      </c>
      <c r="DG644">
        <f>ROUND(ROUND(AF644,2)*CX644,2)</f>
        <v>0</v>
      </c>
      <c r="DH644">
        <f>ROUND(ROUND(AG644,2)*CX644,2)</f>
        <v>0</v>
      </c>
      <c r="DI644">
        <f t="shared" si="254"/>
        <v>0</v>
      </c>
      <c r="DJ644">
        <f>DF644</f>
        <v>538.99</v>
      </c>
      <c r="DK644">
        <v>0</v>
      </c>
      <c r="DL644" t="s">
        <v>3</v>
      </c>
      <c r="DM644">
        <v>0</v>
      </c>
      <c r="DN644" t="s">
        <v>3</v>
      </c>
      <c r="DO64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654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85739464</v>
      </c>
      <c r="C1">
        <v>85739393</v>
      </c>
      <c r="D1">
        <v>85164021</v>
      </c>
      <c r="E1">
        <v>1081</v>
      </c>
      <c r="F1">
        <v>1</v>
      </c>
      <c r="G1">
        <v>1081</v>
      </c>
      <c r="H1">
        <v>1</v>
      </c>
      <c r="I1" t="s">
        <v>472</v>
      </c>
      <c r="J1" t="s">
        <v>3</v>
      </c>
      <c r="K1" t="s">
        <v>473</v>
      </c>
      <c r="L1">
        <v>1191</v>
      </c>
      <c r="N1">
        <v>1013</v>
      </c>
      <c r="O1" t="s">
        <v>474</v>
      </c>
      <c r="P1" t="s">
        <v>474</v>
      </c>
      <c r="Q1">
        <v>1</v>
      </c>
      <c r="X1">
        <v>32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26</v>
      </c>
      <c r="AG1">
        <v>28.799999999999997</v>
      </c>
      <c r="AH1">
        <v>2</v>
      </c>
      <c r="AI1">
        <v>85739464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85739465</v>
      </c>
      <c r="C2">
        <v>85739393</v>
      </c>
      <c r="D2">
        <v>85229633</v>
      </c>
      <c r="E2">
        <v>1</v>
      </c>
      <c r="F2">
        <v>1</v>
      </c>
      <c r="G2">
        <v>1081</v>
      </c>
      <c r="H2">
        <v>2</v>
      </c>
      <c r="I2" t="s">
        <v>475</v>
      </c>
      <c r="J2" t="s">
        <v>476</v>
      </c>
      <c r="K2" t="s">
        <v>477</v>
      </c>
      <c r="L2">
        <v>1368</v>
      </c>
      <c r="N2">
        <v>1011</v>
      </c>
      <c r="O2" t="s">
        <v>478</v>
      </c>
      <c r="P2" t="s">
        <v>478</v>
      </c>
      <c r="Q2">
        <v>1</v>
      </c>
      <c r="X2">
        <v>2.6</v>
      </c>
      <c r="Y2">
        <v>0</v>
      </c>
      <c r="Z2">
        <v>7.11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26</v>
      </c>
      <c r="AG2">
        <v>2.3400000000000003</v>
      </c>
      <c r="AH2">
        <v>2</v>
      </c>
      <c r="AI2">
        <v>85739465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85739466</v>
      </c>
      <c r="C3">
        <v>85739393</v>
      </c>
      <c r="D3">
        <v>85229635</v>
      </c>
      <c r="E3">
        <v>1</v>
      </c>
      <c r="F3">
        <v>1</v>
      </c>
      <c r="G3">
        <v>1081</v>
      </c>
      <c r="H3">
        <v>2</v>
      </c>
      <c r="I3" t="s">
        <v>479</v>
      </c>
      <c r="J3" t="s">
        <v>480</v>
      </c>
      <c r="K3" t="s">
        <v>481</v>
      </c>
      <c r="L3">
        <v>1368</v>
      </c>
      <c r="N3">
        <v>1011</v>
      </c>
      <c r="O3" t="s">
        <v>478</v>
      </c>
      <c r="P3" t="s">
        <v>478</v>
      </c>
      <c r="Q3">
        <v>1</v>
      </c>
      <c r="X3">
        <v>0.5</v>
      </c>
      <c r="Y3">
        <v>0</v>
      </c>
      <c r="Z3">
        <v>0.28000000000000003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26</v>
      </c>
      <c r="AG3">
        <v>0.44999999999999996</v>
      </c>
      <c r="AH3">
        <v>2</v>
      </c>
      <c r="AI3">
        <v>85739466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ROW(Source!A28)</f>
        <v>28</v>
      </c>
      <c r="B4">
        <v>85739467</v>
      </c>
      <c r="C4">
        <v>85739393</v>
      </c>
      <c r="D4">
        <v>85229932</v>
      </c>
      <c r="E4">
        <v>1</v>
      </c>
      <c r="F4">
        <v>1</v>
      </c>
      <c r="G4">
        <v>1081</v>
      </c>
      <c r="H4">
        <v>2</v>
      </c>
      <c r="I4" t="s">
        <v>482</v>
      </c>
      <c r="J4" t="s">
        <v>483</v>
      </c>
      <c r="K4" t="s">
        <v>484</v>
      </c>
      <c r="L4">
        <v>1368</v>
      </c>
      <c r="N4">
        <v>1011</v>
      </c>
      <c r="O4" t="s">
        <v>478</v>
      </c>
      <c r="P4" t="s">
        <v>478</v>
      </c>
      <c r="Q4">
        <v>1</v>
      </c>
      <c r="X4">
        <v>0.23</v>
      </c>
      <c r="Y4">
        <v>0</v>
      </c>
      <c r="Z4">
        <v>83.1</v>
      </c>
      <c r="AA4">
        <v>12.62</v>
      </c>
      <c r="AB4">
        <v>0</v>
      </c>
      <c r="AC4">
        <v>0</v>
      </c>
      <c r="AD4">
        <v>1</v>
      </c>
      <c r="AE4">
        <v>0</v>
      </c>
      <c r="AF4" t="s">
        <v>26</v>
      </c>
      <c r="AG4">
        <v>0.20700000000000002</v>
      </c>
      <c r="AH4">
        <v>2</v>
      </c>
      <c r="AI4">
        <v>85739467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ROW(Source!A28)</f>
        <v>28</v>
      </c>
      <c r="B5">
        <v>85739468</v>
      </c>
      <c r="C5">
        <v>85739393</v>
      </c>
      <c r="D5">
        <v>85229993</v>
      </c>
      <c r="E5">
        <v>1</v>
      </c>
      <c r="F5">
        <v>1</v>
      </c>
      <c r="G5">
        <v>1081</v>
      </c>
      <c r="H5">
        <v>2</v>
      </c>
      <c r="I5" t="s">
        <v>486</v>
      </c>
      <c r="J5" t="s">
        <v>487</v>
      </c>
      <c r="K5" t="s">
        <v>488</v>
      </c>
      <c r="L5">
        <v>1368</v>
      </c>
      <c r="N5">
        <v>1011</v>
      </c>
      <c r="O5" t="s">
        <v>478</v>
      </c>
      <c r="P5" t="s">
        <v>478</v>
      </c>
      <c r="Q5">
        <v>1</v>
      </c>
      <c r="X5">
        <v>2.9</v>
      </c>
      <c r="Y5">
        <v>0</v>
      </c>
      <c r="Z5">
        <v>0.42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26</v>
      </c>
      <c r="AG5">
        <v>2.61</v>
      </c>
      <c r="AH5">
        <v>2</v>
      </c>
      <c r="AI5">
        <v>85739468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ROW(Source!A28)</f>
        <v>28</v>
      </c>
      <c r="B6">
        <v>85739469</v>
      </c>
      <c r="C6">
        <v>85739393</v>
      </c>
      <c r="D6">
        <v>85229295</v>
      </c>
      <c r="E6">
        <v>1</v>
      </c>
      <c r="F6">
        <v>1</v>
      </c>
      <c r="G6">
        <v>1081</v>
      </c>
      <c r="H6">
        <v>2</v>
      </c>
      <c r="I6" t="s">
        <v>489</v>
      </c>
      <c r="J6" t="s">
        <v>490</v>
      </c>
      <c r="K6" t="s">
        <v>491</v>
      </c>
      <c r="L6">
        <v>1368</v>
      </c>
      <c r="N6">
        <v>1011</v>
      </c>
      <c r="O6" t="s">
        <v>478</v>
      </c>
      <c r="P6" t="s">
        <v>478</v>
      </c>
      <c r="Q6">
        <v>1</v>
      </c>
      <c r="X6">
        <v>0.78</v>
      </c>
      <c r="Y6">
        <v>0</v>
      </c>
      <c r="Z6">
        <v>4</v>
      </c>
      <c r="AA6">
        <v>0</v>
      </c>
      <c r="AB6">
        <v>0</v>
      </c>
      <c r="AC6">
        <v>0</v>
      </c>
      <c r="AD6">
        <v>1</v>
      </c>
      <c r="AE6">
        <v>0</v>
      </c>
      <c r="AF6" t="s">
        <v>26</v>
      </c>
      <c r="AG6">
        <v>0.70199999999999996</v>
      </c>
      <c r="AH6">
        <v>2</v>
      </c>
      <c r="AI6">
        <v>85739469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ROW(Source!A28)</f>
        <v>28</v>
      </c>
      <c r="B7">
        <v>85739470</v>
      </c>
      <c r="C7">
        <v>85739393</v>
      </c>
      <c r="D7">
        <v>85200111</v>
      </c>
      <c r="E7">
        <v>1</v>
      </c>
      <c r="F7">
        <v>1</v>
      </c>
      <c r="G7">
        <v>1081</v>
      </c>
      <c r="H7">
        <v>3</v>
      </c>
      <c r="I7" t="s">
        <v>492</v>
      </c>
      <c r="J7" t="s">
        <v>493</v>
      </c>
      <c r="K7" t="s">
        <v>494</v>
      </c>
      <c r="L7">
        <v>1348</v>
      </c>
      <c r="N7">
        <v>1009</v>
      </c>
      <c r="O7" t="s">
        <v>266</v>
      </c>
      <c r="P7" t="s">
        <v>266</v>
      </c>
      <c r="Q7">
        <v>1000</v>
      </c>
      <c r="X7">
        <v>3.5000000000000001E-3</v>
      </c>
      <c r="Y7">
        <v>9112.49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25</v>
      </c>
      <c r="AG7">
        <v>2.6250000000000002E-3</v>
      </c>
      <c r="AH7">
        <v>2</v>
      </c>
      <c r="AI7">
        <v>85739470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ROW(Source!A28)</f>
        <v>28</v>
      </c>
      <c r="B8">
        <v>85739471</v>
      </c>
      <c r="C8">
        <v>85739393</v>
      </c>
      <c r="D8">
        <v>85200269</v>
      </c>
      <c r="E8">
        <v>1</v>
      </c>
      <c r="F8">
        <v>1</v>
      </c>
      <c r="G8">
        <v>1081</v>
      </c>
      <c r="H8">
        <v>3</v>
      </c>
      <c r="I8" t="s">
        <v>495</v>
      </c>
      <c r="J8" t="s">
        <v>496</v>
      </c>
      <c r="K8" t="s">
        <v>497</v>
      </c>
      <c r="L8">
        <v>1255</v>
      </c>
      <c r="N8">
        <v>1013</v>
      </c>
      <c r="O8" t="s">
        <v>498</v>
      </c>
      <c r="P8" t="s">
        <v>498</v>
      </c>
      <c r="Q8">
        <v>1</v>
      </c>
      <c r="X8">
        <v>9.5</v>
      </c>
      <c r="Y8">
        <v>0.42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25</v>
      </c>
      <c r="AG8">
        <v>7.125</v>
      </c>
      <c r="AH8">
        <v>2</v>
      </c>
      <c r="AI8">
        <v>85739471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ROW(Source!A28)</f>
        <v>28</v>
      </c>
      <c r="B9">
        <v>85739472</v>
      </c>
      <c r="C9">
        <v>85739393</v>
      </c>
      <c r="D9">
        <v>85200784</v>
      </c>
      <c r="E9">
        <v>1</v>
      </c>
      <c r="F9">
        <v>1</v>
      </c>
      <c r="G9">
        <v>1081</v>
      </c>
      <c r="H9">
        <v>3</v>
      </c>
      <c r="I9" t="s">
        <v>499</v>
      </c>
      <c r="J9" t="s">
        <v>500</v>
      </c>
      <c r="K9" t="s">
        <v>501</v>
      </c>
      <c r="L9">
        <v>1346</v>
      </c>
      <c r="N9">
        <v>1009</v>
      </c>
      <c r="O9" t="s">
        <v>502</v>
      </c>
      <c r="P9" t="s">
        <v>502</v>
      </c>
      <c r="Q9">
        <v>1</v>
      </c>
      <c r="X9">
        <v>0.24</v>
      </c>
      <c r="Y9">
        <v>6.25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25</v>
      </c>
      <c r="AG9">
        <v>0.18</v>
      </c>
      <c r="AH9">
        <v>2</v>
      </c>
      <c r="AI9">
        <v>85739472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ROW(Source!A28)</f>
        <v>28</v>
      </c>
      <c r="B10">
        <v>85739473</v>
      </c>
      <c r="C10">
        <v>85739393</v>
      </c>
      <c r="D10">
        <v>85199158</v>
      </c>
      <c r="E10">
        <v>1</v>
      </c>
      <c r="F10">
        <v>1</v>
      </c>
      <c r="G10">
        <v>1081</v>
      </c>
      <c r="H10">
        <v>3</v>
      </c>
      <c r="I10" t="s">
        <v>503</v>
      </c>
      <c r="J10" t="s">
        <v>504</v>
      </c>
      <c r="K10" t="s">
        <v>505</v>
      </c>
      <c r="L10">
        <v>1339</v>
      </c>
      <c r="N10">
        <v>1007</v>
      </c>
      <c r="O10" t="s">
        <v>506</v>
      </c>
      <c r="P10" t="s">
        <v>506</v>
      </c>
      <c r="Q10">
        <v>1</v>
      </c>
      <c r="X10">
        <v>1.4</v>
      </c>
      <c r="Y10">
        <v>5.82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25</v>
      </c>
      <c r="AG10">
        <v>1.0499999999999998</v>
      </c>
      <c r="AH10">
        <v>2</v>
      </c>
      <c r="AI10">
        <v>85739473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ROW(Source!A28)</f>
        <v>28</v>
      </c>
      <c r="B11">
        <v>85739474</v>
      </c>
      <c r="C11">
        <v>85739393</v>
      </c>
      <c r="D11">
        <v>85179127</v>
      </c>
      <c r="E11">
        <v>1081</v>
      </c>
      <c r="F11">
        <v>1</v>
      </c>
      <c r="G11">
        <v>1081</v>
      </c>
      <c r="H11">
        <v>3</v>
      </c>
      <c r="I11" t="s">
        <v>626</v>
      </c>
      <c r="J11" t="s">
        <v>3</v>
      </c>
      <c r="K11" t="s">
        <v>627</v>
      </c>
      <c r="L11">
        <v>1391</v>
      </c>
      <c r="N11">
        <v>1013</v>
      </c>
      <c r="O11" t="s">
        <v>375</v>
      </c>
      <c r="P11" t="s">
        <v>375</v>
      </c>
      <c r="Q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25</v>
      </c>
      <c r="AG11">
        <v>0.75</v>
      </c>
      <c r="AH11">
        <v>3</v>
      </c>
      <c r="AI11">
        <v>-1</v>
      </c>
      <c r="AJ11" t="s">
        <v>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ROW(Source!A29)</f>
        <v>29</v>
      </c>
      <c r="B12">
        <v>85739464</v>
      </c>
      <c r="C12">
        <v>85739393</v>
      </c>
      <c r="D12">
        <v>85164021</v>
      </c>
      <c r="E12">
        <v>1081</v>
      </c>
      <c r="F12">
        <v>1</v>
      </c>
      <c r="G12">
        <v>1081</v>
      </c>
      <c r="H12">
        <v>1</v>
      </c>
      <c r="I12" t="s">
        <v>472</v>
      </c>
      <c r="J12" t="s">
        <v>3</v>
      </c>
      <c r="K12" t="s">
        <v>473</v>
      </c>
      <c r="L12">
        <v>1191</v>
      </c>
      <c r="N12">
        <v>1013</v>
      </c>
      <c r="O12" t="s">
        <v>474</v>
      </c>
      <c r="P12" t="s">
        <v>474</v>
      </c>
      <c r="Q12">
        <v>1</v>
      </c>
      <c r="X12">
        <v>32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1</v>
      </c>
      <c r="AF12" t="s">
        <v>26</v>
      </c>
      <c r="AG12">
        <v>28.799999999999997</v>
      </c>
      <c r="AH12">
        <v>2</v>
      </c>
      <c r="AI12">
        <v>85739464</v>
      </c>
      <c r="AJ12">
        <v>11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ROW(Source!A29)</f>
        <v>29</v>
      </c>
      <c r="B13">
        <v>85739465</v>
      </c>
      <c r="C13">
        <v>85739393</v>
      </c>
      <c r="D13">
        <v>85229633</v>
      </c>
      <c r="E13">
        <v>1</v>
      </c>
      <c r="F13">
        <v>1</v>
      </c>
      <c r="G13">
        <v>1081</v>
      </c>
      <c r="H13">
        <v>2</v>
      </c>
      <c r="I13" t="s">
        <v>475</v>
      </c>
      <c r="J13" t="s">
        <v>476</v>
      </c>
      <c r="K13" t="s">
        <v>477</v>
      </c>
      <c r="L13">
        <v>1368</v>
      </c>
      <c r="N13">
        <v>1011</v>
      </c>
      <c r="O13" t="s">
        <v>478</v>
      </c>
      <c r="P13" t="s">
        <v>478</v>
      </c>
      <c r="Q13">
        <v>1</v>
      </c>
      <c r="X13">
        <v>2.6</v>
      </c>
      <c r="Y13">
        <v>0</v>
      </c>
      <c r="Z13">
        <v>7.11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26</v>
      </c>
      <c r="AG13">
        <v>2.3400000000000003</v>
      </c>
      <c r="AH13">
        <v>2</v>
      </c>
      <c r="AI13">
        <v>85739465</v>
      </c>
      <c r="AJ13">
        <v>12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ROW(Source!A29)</f>
        <v>29</v>
      </c>
      <c r="B14">
        <v>85739466</v>
      </c>
      <c r="C14">
        <v>85739393</v>
      </c>
      <c r="D14">
        <v>85229635</v>
      </c>
      <c r="E14">
        <v>1</v>
      </c>
      <c r="F14">
        <v>1</v>
      </c>
      <c r="G14">
        <v>1081</v>
      </c>
      <c r="H14">
        <v>2</v>
      </c>
      <c r="I14" t="s">
        <v>479</v>
      </c>
      <c r="J14" t="s">
        <v>480</v>
      </c>
      <c r="K14" t="s">
        <v>481</v>
      </c>
      <c r="L14">
        <v>1368</v>
      </c>
      <c r="N14">
        <v>1011</v>
      </c>
      <c r="O14" t="s">
        <v>478</v>
      </c>
      <c r="P14" t="s">
        <v>478</v>
      </c>
      <c r="Q14">
        <v>1</v>
      </c>
      <c r="X14">
        <v>0.5</v>
      </c>
      <c r="Y14">
        <v>0</v>
      </c>
      <c r="Z14">
        <v>0.28000000000000003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26</v>
      </c>
      <c r="AG14">
        <v>0.44999999999999996</v>
      </c>
      <c r="AH14">
        <v>2</v>
      </c>
      <c r="AI14">
        <v>85739466</v>
      </c>
      <c r="AJ14">
        <v>13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ROW(Source!A29)</f>
        <v>29</v>
      </c>
      <c r="B15">
        <v>85739467</v>
      </c>
      <c r="C15">
        <v>85739393</v>
      </c>
      <c r="D15">
        <v>85229932</v>
      </c>
      <c r="E15">
        <v>1</v>
      </c>
      <c r="F15">
        <v>1</v>
      </c>
      <c r="G15">
        <v>1081</v>
      </c>
      <c r="H15">
        <v>2</v>
      </c>
      <c r="I15" t="s">
        <v>482</v>
      </c>
      <c r="J15" t="s">
        <v>483</v>
      </c>
      <c r="K15" t="s">
        <v>484</v>
      </c>
      <c r="L15">
        <v>1368</v>
      </c>
      <c r="N15">
        <v>1011</v>
      </c>
      <c r="O15" t="s">
        <v>478</v>
      </c>
      <c r="P15" t="s">
        <v>478</v>
      </c>
      <c r="Q15">
        <v>1</v>
      </c>
      <c r="X15">
        <v>0.23</v>
      </c>
      <c r="Y15">
        <v>0</v>
      </c>
      <c r="Z15">
        <v>83.1</v>
      </c>
      <c r="AA15">
        <v>12.62</v>
      </c>
      <c r="AB15">
        <v>0</v>
      </c>
      <c r="AC15">
        <v>0</v>
      </c>
      <c r="AD15">
        <v>1</v>
      </c>
      <c r="AE15">
        <v>0</v>
      </c>
      <c r="AF15" t="s">
        <v>26</v>
      </c>
      <c r="AG15">
        <v>0.20700000000000002</v>
      </c>
      <c r="AH15">
        <v>2</v>
      </c>
      <c r="AI15">
        <v>85739467</v>
      </c>
      <c r="AJ15">
        <v>14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ROW(Source!A29)</f>
        <v>29</v>
      </c>
      <c r="B16">
        <v>85739468</v>
      </c>
      <c r="C16">
        <v>85739393</v>
      </c>
      <c r="D16">
        <v>85229993</v>
      </c>
      <c r="E16">
        <v>1</v>
      </c>
      <c r="F16">
        <v>1</v>
      </c>
      <c r="G16">
        <v>1081</v>
      </c>
      <c r="H16">
        <v>2</v>
      </c>
      <c r="I16" t="s">
        <v>486</v>
      </c>
      <c r="J16" t="s">
        <v>487</v>
      </c>
      <c r="K16" t="s">
        <v>488</v>
      </c>
      <c r="L16">
        <v>1368</v>
      </c>
      <c r="N16">
        <v>1011</v>
      </c>
      <c r="O16" t="s">
        <v>478</v>
      </c>
      <c r="P16" t="s">
        <v>478</v>
      </c>
      <c r="Q16">
        <v>1</v>
      </c>
      <c r="X16">
        <v>2.9</v>
      </c>
      <c r="Y16">
        <v>0</v>
      </c>
      <c r="Z16">
        <v>0.42</v>
      </c>
      <c r="AA16">
        <v>0</v>
      </c>
      <c r="AB16">
        <v>0</v>
      </c>
      <c r="AC16">
        <v>0</v>
      </c>
      <c r="AD16">
        <v>1</v>
      </c>
      <c r="AE16">
        <v>0</v>
      </c>
      <c r="AF16" t="s">
        <v>26</v>
      </c>
      <c r="AG16">
        <v>2.61</v>
      </c>
      <c r="AH16">
        <v>2</v>
      </c>
      <c r="AI16">
        <v>85739468</v>
      </c>
      <c r="AJ16">
        <v>15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ROW(Source!A29)</f>
        <v>29</v>
      </c>
      <c r="B17">
        <v>85739469</v>
      </c>
      <c r="C17">
        <v>85739393</v>
      </c>
      <c r="D17">
        <v>85229295</v>
      </c>
      <c r="E17">
        <v>1</v>
      </c>
      <c r="F17">
        <v>1</v>
      </c>
      <c r="G17">
        <v>1081</v>
      </c>
      <c r="H17">
        <v>2</v>
      </c>
      <c r="I17" t="s">
        <v>489</v>
      </c>
      <c r="J17" t="s">
        <v>490</v>
      </c>
      <c r="K17" t="s">
        <v>491</v>
      </c>
      <c r="L17">
        <v>1368</v>
      </c>
      <c r="N17">
        <v>1011</v>
      </c>
      <c r="O17" t="s">
        <v>478</v>
      </c>
      <c r="P17" t="s">
        <v>478</v>
      </c>
      <c r="Q17">
        <v>1</v>
      </c>
      <c r="X17">
        <v>0.78</v>
      </c>
      <c r="Y17">
        <v>0</v>
      </c>
      <c r="Z17">
        <v>4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26</v>
      </c>
      <c r="AG17">
        <v>0.70199999999999996</v>
      </c>
      <c r="AH17">
        <v>2</v>
      </c>
      <c r="AI17">
        <v>85739469</v>
      </c>
      <c r="AJ17">
        <v>16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ROW(Source!A29)</f>
        <v>29</v>
      </c>
      <c r="B18">
        <v>85739470</v>
      </c>
      <c r="C18">
        <v>85739393</v>
      </c>
      <c r="D18">
        <v>85200111</v>
      </c>
      <c r="E18">
        <v>1</v>
      </c>
      <c r="F18">
        <v>1</v>
      </c>
      <c r="G18">
        <v>1081</v>
      </c>
      <c r="H18">
        <v>3</v>
      </c>
      <c r="I18" t="s">
        <v>492</v>
      </c>
      <c r="J18" t="s">
        <v>493</v>
      </c>
      <c r="K18" t="s">
        <v>494</v>
      </c>
      <c r="L18">
        <v>1348</v>
      </c>
      <c r="N18">
        <v>1009</v>
      </c>
      <c r="O18" t="s">
        <v>266</v>
      </c>
      <c r="P18" t="s">
        <v>266</v>
      </c>
      <c r="Q18">
        <v>1000</v>
      </c>
      <c r="X18">
        <v>3.5000000000000001E-3</v>
      </c>
      <c r="Y18">
        <v>9112.49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25</v>
      </c>
      <c r="AG18">
        <v>2.6250000000000002E-3</v>
      </c>
      <c r="AH18">
        <v>2</v>
      </c>
      <c r="AI18">
        <v>85739470</v>
      </c>
      <c r="AJ18">
        <v>17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ROW(Source!A29)</f>
        <v>29</v>
      </c>
      <c r="B19">
        <v>85739471</v>
      </c>
      <c r="C19">
        <v>85739393</v>
      </c>
      <c r="D19">
        <v>85200269</v>
      </c>
      <c r="E19">
        <v>1</v>
      </c>
      <c r="F19">
        <v>1</v>
      </c>
      <c r="G19">
        <v>1081</v>
      </c>
      <c r="H19">
        <v>3</v>
      </c>
      <c r="I19" t="s">
        <v>495</v>
      </c>
      <c r="J19" t="s">
        <v>496</v>
      </c>
      <c r="K19" t="s">
        <v>497</v>
      </c>
      <c r="L19">
        <v>1255</v>
      </c>
      <c r="N19">
        <v>1013</v>
      </c>
      <c r="O19" t="s">
        <v>498</v>
      </c>
      <c r="P19" t="s">
        <v>498</v>
      </c>
      <c r="Q19">
        <v>1</v>
      </c>
      <c r="X19">
        <v>9.5</v>
      </c>
      <c r="Y19">
        <v>0.42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25</v>
      </c>
      <c r="AG19">
        <v>7.125</v>
      </c>
      <c r="AH19">
        <v>2</v>
      </c>
      <c r="AI19">
        <v>85739471</v>
      </c>
      <c r="AJ19">
        <v>18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ROW(Source!A29)</f>
        <v>29</v>
      </c>
      <c r="B20">
        <v>85739472</v>
      </c>
      <c r="C20">
        <v>85739393</v>
      </c>
      <c r="D20">
        <v>85200784</v>
      </c>
      <c r="E20">
        <v>1</v>
      </c>
      <c r="F20">
        <v>1</v>
      </c>
      <c r="G20">
        <v>1081</v>
      </c>
      <c r="H20">
        <v>3</v>
      </c>
      <c r="I20" t="s">
        <v>499</v>
      </c>
      <c r="J20" t="s">
        <v>500</v>
      </c>
      <c r="K20" t="s">
        <v>501</v>
      </c>
      <c r="L20">
        <v>1346</v>
      </c>
      <c r="N20">
        <v>1009</v>
      </c>
      <c r="O20" t="s">
        <v>502</v>
      </c>
      <c r="P20" t="s">
        <v>502</v>
      </c>
      <c r="Q20">
        <v>1</v>
      </c>
      <c r="X20">
        <v>0.24</v>
      </c>
      <c r="Y20">
        <v>6.25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25</v>
      </c>
      <c r="AG20">
        <v>0.18</v>
      </c>
      <c r="AH20">
        <v>2</v>
      </c>
      <c r="AI20">
        <v>85739472</v>
      </c>
      <c r="AJ20">
        <v>19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ROW(Source!A29)</f>
        <v>29</v>
      </c>
      <c r="B21">
        <v>85739473</v>
      </c>
      <c r="C21">
        <v>85739393</v>
      </c>
      <c r="D21">
        <v>85199158</v>
      </c>
      <c r="E21">
        <v>1</v>
      </c>
      <c r="F21">
        <v>1</v>
      </c>
      <c r="G21">
        <v>1081</v>
      </c>
      <c r="H21">
        <v>3</v>
      </c>
      <c r="I21" t="s">
        <v>503</v>
      </c>
      <c r="J21" t="s">
        <v>504</v>
      </c>
      <c r="K21" t="s">
        <v>505</v>
      </c>
      <c r="L21">
        <v>1339</v>
      </c>
      <c r="N21">
        <v>1007</v>
      </c>
      <c r="O21" t="s">
        <v>506</v>
      </c>
      <c r="P21" t="s">
        <v>506</v>
      </c>
      <c r="Q21">
        <v>1</v>
      </c>
      <c r="X21">
        <v>1.4</v>
      </c>
      <c r="Y21">
        <v>5.82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 t="s">
        <v>25</v>
      </c>
      <c r="AG21">
        <v>1.0499999999999998</v>
      </c>
      <c r="AH21">
        <v>2</v>
      </c>
      <c r="AI21">
        <v>85739473</v>
      </c>
      <c r="AJ21">
        <v>20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ROW(Source!A29)</f>
        <v>29</v>
      </c>
      <c r="B22">
        <v>85739474</v>
      </c>
      <c r="C22">
        <v>85739393</v>
      </c>
      <c r="D22">
        <v>85179127</v>
      </c>
      <c r="E22">
        <v>1081</v>
      </c>
      <c r="F22">
        <v>1</v>
      </c>
      <c r="G22">
        <v>1081</v>
      </c>
      <c r="H22">
        <v>3</v>
      </c>
      <c r="I22" t="s">
        <v>626</v>
      </c>
      <c r="J22" t="s">
        <v>3</v>
      </c>
      <c r="K22" t="s">
        <v>627</v>
      </c>
      <c r="L22">
        <v>1391</v>
      </c>
      <c r="N22">
        <v>1013</v>
      </c>
      <c r="O22" t="s">
        <v>375</v>
      </c>
      <c r="P22" t="s">
        <v>375</v>
      </c>
      <c r="Q22">
        <v>1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25</v>
      </c>
      <c r="AG22">
        <v>0.75</v>
      </c>
      <c r="AH22">
        <v>3</v>
      </c>
      <c r="AI22">
        <v>-1</v>
      </c>
      <c r="AJ22" t="s">
        <v>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ROW(Source!A30)</f>
        <v>30</v>
      </c>
      <c r="B23">
        <v>85739493</v>
      </c>
      <c r="C23">
        <v>85739479</v>
      </c>
      <c r="D23">
        <v>85164021</v>
      </c>
      <c r="E23">
        <v>1081</v>
      </c>
      <c r="F23">
        <v>1</v>
      </c>
      <c r="G23">
        <v>1081</v>
      </c>
      <c r="H23">
        <v>1</v>
      </c>
      <c r="I23" t="s">
        <v>472</v>
      </c>
      <c r="J23" t="s">
        <v>3</v>
      </c>
      <c r="K23" t="s">
        <v>473</v>
      </c>
      <c r="L23">
        <v>1191</v>
      </c>
      <c r="N23">
        <v>1013</v>
      </c>
      <c r="O23" t="s">
        <v>474</v>
      </c>
      <c r="P23" t="s">
        <v>474</v>
      </c>
      <c r="Q23">
        <v>1</v>
      </c>
      <c r="X23">
        <v>27.8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1</v>
      </c>
      <c r="AF23" t="s">
        <v>36</v>
      </c>
      <c r="AG23">
        <v>33.36</v>
      </c>
      <c r="AH23">
        <v>2</v>
      </c>
      <c r="AI23">
        <v>85739493</v>
      </c>
      <c r="AJ23">
        <v>21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ROW(Source!A30)</f>
        <v>30</v>
      </c>
      <c r="B24">
        <v>85739494</v>
      </c>
      <c r="C24">
        <v>85739479</v>
      </c>
      <c r="D24">
        <v>85229633</v>
      </c>
      <c r="E24">
        <v>1</v>
      </c>
      <c r="F24">
        <v>1</v>
      </c>
      <c r="G24">
        <v>1081</v>
      </c>
      <c r="H24">
        <v>2</v>
      </c>
      <c r="I24" t="s">
        <v>475</v>
      </c>
      <c r="J24" t="s">
        <v>476</v>
      </c>
      <c r="K24" t="s">
        <v>477</v>
      </c>
      <c r="L24">
        <v>1368</v>
      </c>
      <c r="N24">
        <v>1011</v>
      </c>
      <c r="O24" t="s">
        <v>478</v>
      </c>
      <c r="P24" t="s">
        <v>478</v>
      </c>
      <c r="Q24">
        <v>1</v>
      </c>
      <c r="X24">
        <v>2.6</v>
      </c>
      <c r="Y24">
        <v>0</v>
      </c>
      <c r="Z24">
        <v>7.11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36</v>
      </c>
      <c r="AG24">
        <v>3.12</v>
      </c>
      <c r="AH24">
        <v>2</v>
      </c>
      <c r="AI24">
        <v>85739494</v>
      </c>
      <c r="AJ24">
        <v>22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ROW(Source!A30)</f>
        <v>30</v>
      </c>
      <c r="B25">
        <v>85739495</v>
      </c>
      <c r="C25">
        <v>85739479</v>
      </c>
      <c r="D25">
        <v>85229635</v>
      </c>
      <c r="E25">
        <v>1</v>
      </c>
      <c r="F25">
        <v>1</v>
      </c>
      <c r="G25">
        <v>1081</v>
      </c>
      <c r="H25">
        <v>2</v>
      </c>
      <c r="I25" t="s">
        <v>479</v>
      </c>
      <c r="J25" t="s">
        <v>480</v>
      </c>
      <c r="K25" t="s">
        <v>481</v>
      </c>
      <c r="L25">
        <v>1368</v>
      </c>
      <c r="N25">
        <v>1011</v>
      </c>
      <c r="O25" t="s">
        <v>478</v>
      </c>
      <c r="P25" t="s">
        <v>478</v>
      </c>
      <c r="Q25">
        <v>1</v>
      </c>
      <c r="X25">
        <v>0.5</v>
      </c>
      <c r="Y25">
        <v>0</v>
      </c>
      <c r="Z25">
        <v>0.28000000000000003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36</v>
      </c>
      <c r="AG25">
        <v>0.6</v>
      </c>
      <c r="AH25">
        <v>2</v>
      </c>
      <c r="AI25">
        <v>85739495</v>
      </c>
      <c r="AJ25">
        <v>23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ROW(Source!A30)</f>
        <v>30</v>
      </c>
      <c r="B26">
        <v>85739496</v>
      </c>
      <c r="C26">
        <v>85739479</v>
      </c>
      <c r="D26">
        <v>85229932</v>
      </c>
      <c r="E26">
        <v>1</v>
      </c>
      <c r="F26">
        <v>1</v>
      </c>
      <c r="G26">
        <v>1081</v>
      </c>
      <c r="H26">
        <v>2</v>
      </c>
      <c r="I26" t="s">
        <v>482</v>
      </c>
      <c r="J26" t="s">
        <v>483</v>
      </c>
      <c r="K26" t="s">
        <v>484</v>
      </c>
      <c r="L26">
        <v>1368</v>
      </c>
      <c r="N26">
        <v>1011</v>
      </c>
      <c r="O26" t="s">
        <v>478</v>
      </c>
      <c r="P26" t="s">
        <v>478</v>
      </c>
      <c r="Q26">
        <v>1</v>
      </c>
      <c r="X26">
        <v>0.03</v>
      </c>
      <c r="Y26">
        <v>0</v>
      </c>
      <c r="Z26">
        <v>83.1</v>
      </c>
      <c r="AA26">
        <v>12.62</v>
      </c>
      <c r="AB26">
        <v>0</v>
      </c>
      <c r="AC26">
        <v>0</v>
      </c>
      <c r="AD26">
        <v>1</v>
      </c>
      <c r="AE26">
        <v>0</v>
      </c>
      <c r="AF26" t="s">
        <v>36</v>
      </c>
      <c r="AG26">
        <v>3.5999999999999997E-2</v>
      </c>
      <c r="AH26">
        <v>2</v>
      </c>
      <c r="AI26">
        <v>85739496</v>
      </c>
      <c r="AJ26">
        <v>24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ROW(Source!A30)</f>
        <v>30</v>
      </c>
      <c r="B27">
        <v>85739497</v>
      </c>
      <c r="C27">
        <v>85739479</v>
      </c>
      <c r="D27">
        <v>85229993</v>
      </c>
      <c r="E27">
        <v>1</v>
      </c>
      <c r="F27">
        <v>1</v>
      </c>
      <c r="G27">
        <v>1081</v>
      </c>
      <c r="H27">
        <v>2</v>
      </c>
      <c r="I27" t="s">
        <v>486</v>
      </c>
      <c r="J27" t="s">
        <v>487</v>
      </c>
      <c r="K27" t="s">
        <v>488</v>
      </c>
      <c r="L27">
        <v>1368</v>
      </c>
      <c r="N27">
        <v>1011</v>
      </c>
      <c r="O27" t="s">
        <v>478</v>
      </c>
      <c r="P27" t="s">
        <v>478</v>
      </c>
      <c r="Q27">
        <v>1</v>
      </c>
      <c r="X27">
        <v>2.9</v>
      </c>
      <c r="Y27">
        <v>0</v>
      </c>
      <c r="Z27">
        <v>0.42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36</v>
      </c>
      <c r="AG27">
        <v>3.48</v>
      </c>
      <c r="AH27">
        <v>2</v>
      </c>
      <c r="AI27">
        <v>85739497</v>
      </c>
      <c r="AJ27">
        <v>25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ROW(Source!A30)</f>
        <v>30</v>
      </c>
      <c r="B28">
        <v>85739498</v>
      </c>
      <c r="C28">
        <v>85739479</v>
      </c>
      <c r="D28">
        <v>85229295</v>
      </c>
      <c r="E28">
        <v>1</v>
      </c>
      <c r="F28">
        <v>1</v>
      </c>
      <c r="G28">
        <v>1081</v>
      </c>
      <c r="H28">
        <v>2</v>
      </c>
      <c r="I28" t="s">
        <v>489</v>
      </c>
      <c r="J28" t="s">
        <v>490</v>
      </c>
      <c r="K28" t="s">
        <v>491</v>
      </c>
      <c r="L28">
        <v>1368</v>
      </c>
      <c r="N28">
        <v>1011</v>
      </c>
      <c r="O28" t="s">
        <v>478</v>
      </c>
      <c r="P28" t="s">
        <v>478</v>
      </c>
      <c r="Q28">
        <v>1</v>
      </c>
      <c r="X28">
        <v>0.54</v>
      </c>
      <c r="Y28">
        <v>0</v>
      </c>
      <c r="Z28">
        <v>4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36</v>
      </c>
      <c r="AG28">
        <v>0.64800000000000002</v>
      </c>
      <c r="AH28">
        <v>2</v>
      </c>
      <c r="AI28">
        <v>85739498</v>
      </c>
      <c r="AJ28">
        <v>26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ROW(Source!A30)</f>
        <v>30</v>
      </c>
      <c r="B29">
        <v>85739499</v>
      </c>
      <c r="C29">
        <v>85739479</v>
      </c>
      <c r="D29">
        <v>85200111</v>
      </c>
      <c r="E29">
        <v>1</v>
      </c>
      <c r="F29">
        <v>1</v>
      </c>
      <c r="G29">
        <v>1081</v>
      </c>
      <c r="H29">
        <v>3</v>
      </c>
      <c r="I29" t="s">
        <v>492</v>
      </c>
      <c r="J29" t="s">
        <v>493</v>
      </c>
      <c r="K29" t="s">
        <v>494</v>
      </c>
      <c r="L29">
        <v>1348</v>
      </c>
      <c r="N29">
        <v>1009</v>
      </c>
      <c r="O29" t="s">
        <v>266</v>
      </c>
      <c r="P29" t="s">
        <v>266</v>
      </c>
      <c r="Q29">
        <v>1000</v>
      </c>
      <c r="X29">
        <v>3.5000000000000001E-3</v>
      </c>
      <c r="Y29">
        <v>9112.49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35</v>
      </c>
      <c r="AG29">
        <v>3.5000000000000001E-3</v>
      </c>
      <c r="AH29">
        <v>2</v>
      </c>
      <c r="AI29">
        <v>85739499</v>
      </c>
      <c r="AJ29">
        <v>27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ROW(Source!A30)</f>
        <v>30</v>
      </c>
      <c r="B30">
        <v>85739500</v>
      </c>
      <c r="C30">
        <v>85739479</v>
      </c>
      <c r="D30">
        <v>85200269</v>
      </c>
      <c r="E30">
        <v>1</v>
      </c>
      <c r="F30">
        <v>1</v>
      </c>
      <c r="G30">
        <v>1081</v>
      </c>
      <c r="H30">
        <v>3</v>
      </c>
      <c r="I30" t="s">
        <v>495</v>
      </c>
      <c r="J30" t="s">
        <v>496</v>
      </c>
      <c r="K30" t="s">
        <v>497</v>
      </c>
      <c r="L30">
        <v>1255</v>
      </c>
      <c r="N30">
        <v>1013</v>
      </c>
      <c r="O30" t="s">
        <v>498</v>
      </c>
      <c r="P30" t="s">
        <v>498</v>
      </c>
      <c r="Q30">
        <v>1</v>
      </c>
      <c r="X30">
        <v>1.9</v>
      </c>
      <c r="Y30">
        <v>0.42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35</v>
      </c>
      <c r="AG30">
        <v>1.9</v>
      </c>
      <c r="AH30">
        <v>2</v>
      </c>
      <c r="AI30">
        <v>85739500</v>
      </c>
      <c r="AJ30">
        <v>28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ROW(Source!A30)</f>
        <v>30</v>
      </c>
      <c r="B31">
        <v>85739501</v>
      </c>
      <c r="C31">
        <v>85739479</v>
      </c>
      <c r="D31">
        <v>85200784</v>
      </c>
      <c r="E31">
        <v>1</v>
      </c>
      <c r="F31">
        <v>1</v>
      </c>
      <c r="G31">
        <v>1081</v>
      </c>
      <c r="H31">
        <v>3</v>
      </c>
      <c r="I31" t="s">
        <v>499</v>
      </c>
      <c r="J31" t="s">
        <v>500</v>
      </c>
      <c r="K31" t="s">
        <v>501</v>
      </c>
      <c r="L31">
        <v>1346</v>
      </c>
      <c r="N31">
        <v>1009</v>
      </c>
      <c r="O31" t="s">
        <v>502</v>
      </c>
      <c r="P31" t="s">
        <v>502</v>
      </c>
      <c r="Q31">
        <v>1</v>
      </c>
      <c r="X31">
        <v>0.24</v>
      </c>
      <c r="Y31">
        <v>6.25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 t="s">
        <v>35</v>
      </c>
      <c r="AG31">
        <v>0.24</v>
      </c>
      <c r="AH31">
        <v>2</v>
      </c>
      <c r="AI31">
        <v>85739501</v>
      </c>
      <c r="AJ31">
        <v>29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ROW(Source!A30)</f>
        <v>30</v>
      </c>
      <c r="B32">
        <v>85739502</v>
      </c>
      <c r="C32">
        <v>85739479</v>
      </c>
      <c r="D32">
        <v>85199158</v>
      </c>
      <c r="E32">
        <v>1</v>
      </c>
      <c r="F32">
        <v>1</v>
      </c>
      <c r="G32">
        <v>1081</v>
      </c>
      <c r="H32">
        <v>3</v>
      </c>
      <c r="I32" t="s">
        <v>503</v>
      </c>
      <c r="J32" t="s">
        <v>504</v>
      </c>
      <c r="K32" t="s">
        <v>505</v>
      </c>
      <c r="L32">
        <v>1339</v>
      </c>
      <c r="N32">
        <v>1007</v>
      </c>
      <c r="O32" t="s">
        <v>506</v>
      </c>
      <c r="P32" t="s">
        <v>506</v>
      </c>
      <c r="Q32">
        <v>1</v>
      </c>
      <c r="X32">
        <v>1.4</v>
      </c>
      <c r="Y32">
        <v>5.82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35</v>
      </c>
      <c r="AG32">
        <v>1.4</v>
      </c>
      <c r="AH32">
        <v>2</v>
      </c>
      <c r="AI32">
        <v>85739502</v>
      </c>
      <c r="AJ32">
        <v>30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ROW(Source!A30)</f>
        <v>30</v>
      </c>
      <c r="B33">
        <v>85739503</v>
      </c>
      <c r="C33">
        <v>85739479</v>
      </c>
      <c r="D33">
        <v>85179127</v>
      </c>
      <c r="E33">
        <v>1081</v>
      </c>
      <c r="F33">
        <v>1</v>
      </c>
      <c r="G33">
        <v>1081</v>
      </c>
      <c r="H33">
        <v>3</v>
      </c>
      <c r="I33" t="s">
        <v>626</v>
      </c>
      <c r="J33" t="s">
        <v>3</v>
      </c>
      <c r="K33" t="s">
        <v>627</v>
      </c>
      <c r="L33">
        <v>1391</v>
      </c>
      <c r="N33">
        <v>1013</v>
      </c>
      <c r="O33" t="s">
        <v>375</v>
      </c>
      <c r="P33" t="s">
        <v>375</v>
      </c>
      <c r="Q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35</v>
      </c>
      <c r="AG33">
        <v>1</v>
      </c>
      <c r="AH33">
        <v>3</v>
      </c>
      <c r="AI33">
        <v>-1</v>
      </c>
      <c r="AJ33" t="s">
        <v>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ROW(Source!A31)</f>
        <v>31</v>
      </c>
      <c r="B34">
        <v>85739493</v>
      </c>
      <c r="C34">
        <v>85739479</v>
      </c>
      <c r="D34">
        <v>85164021</v>
      </c>
      <c r="E34">
        <v>1081</v>
      </c>
      <c r="F34">
        <v>1</v>
      </c>
      <c r="G34">
        <v>1081</v>
      </c>
      <c r="H34">
        <v>1</v>
      </c>
      <c r="I34" t="s">
        <v>472</v>
      </c>
      <c r="J34" t="s">
        <v>3</v>
      </c>
      <c r="K34" t="s">
        <v>473</v>
      </c>
      <c r="L34">
        <v>1191</v>
      </c>
      <c r="N34">
        <v>1013</v>
      </c>
      <c r="O34" t="s">
        <v>474</v>
      </c>
      <c r="P34" t="s">
        <v>474</v>
      </c>
      <c r="Q34">
        <v>1</v>
      </c>
      <c r="X34">
        <v>27.8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1</v>
      </c>
      <c r="AF34" t="s">
        <v>36</v>
      </c>
      <c r="AG34">
        <v>33.36</v>
      </c>
      <c r="AH34">
        <v>2</v>
      </c>
      <c r="AI34">
        <v>85739493</v>
      </c>
      <c r="AJ34">
        <v>31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ROW(Source!A31)</f>
        <v>31</v>
      </c>
      <c r="B35">
        <v>85739494</v>
      </c>
      <c r="C35">
        <v>85739479</v>
      </c>
      <c r="D35">
        <v>85229633</v>
      </c>
      <c r="E35">
        <v>1</v>
      </c>
      <c r="F35">
        <v>1</v>
      </c>
      <c r="G35">
        <v>1081</v>
      </c>
      <c r="H35">
        <v>2</v>
      </c>
      <c r="I35" t="s">
        <v>475</v>
      </c>
      <c r="J35" t="s">
        <v>476</v>
      </c>
      <c r="K35" t="s">
        <v>477</v>
      </c>
      <c r="L35">
        <v>1368</v>
      </c>
      <c r="N35">
        <v>1011</v>
      </c>
      <c r="O35" t="s">
        <v>478</v>
      </c>
      <c r="P35" t="s">
        <v>478</v>
      </c>
      <c r="Q35">
        <v>1</v>
      </c>
      <c r="X35">
        <v>2.6</v>
      </c>
      <c r="Y35">
        <v>0</v>
      </c>
      <c r="Z35">
        <v>7.11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36</v>
      </c>
      <c r="AG35">
        <v>3.12</v>
      </c>
      <c r="AH35">
        <v>2</v>
      </c>
      <c r="AI35">
        <v>85739494</v>
      </c>
      <c r="AJ35">
        <v>32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ROW(Source!A31)</f>
        <v>31</v>
      </c>
      <c r="B36">
        <v>85739495</v>
      </c>
      <c r="C36">
        <v>85739479</v>
      </c>
      <c r="D36">
        <v>85229635</v>
      </c>
      <c r="E36">
        <v>1</v>
      </c>
      <c r="F36">
        <v>1</v>
      </c>
      <c r="G36">
        <v>1081</v>
      </c>
      <c r="H36">
        <v>2</v>
      </c>
      <c r="I36" t="s">
        <v>479</v>
      </c>
      <c r="J36" t="s">
        <v>480</v>
      </c>
      <c r="K36" t="s">
        <v>481</v>
      </c>
      <c r="L36">
        <v>1368</v>
      </c>
      <c r="N36">
        <v>1011</v>
      </c>
      <c r="O36" t="s">
        <v>478</v>
      </c>
      <c r="P36" t="s">
        <v>478</v>
      </c>
      <c r="Q36">
        <v>1</v>
      </c>
      <c r="X36">
        <v>0.5</v>
      </c>
      <c r="Y36">
        <v>0</v>
      </c>
      <c r="Z36">
        <v>0.28000000000000003</v>
      </c>
      <c r="AA36">
        <v>0</v>
      </c>
      <c r="AB36">
        <v>0</v>
      </c>
      <c r="AC36">
        <v>0</v>
      </c>
      <c r="AD36">
        <v>1</v>
      </c>
      <c r="AE36">
        <v>0</v>
      </c>
      <c r="AF36" t="s">
        <v>36</v>
      </c>
      <c r="AG36">
        <v>0.6</v>
      </c>
      <c r="AH36">
        <v>2</v>
      </c>
      <c r="AI36">
        <v>85739495</v>
      </c>
      <c r="AJ36">
        <v>33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ROW(Source!A31)</f>
        <v>31</v>
      </c>
      <c r="B37">
        <v>85739496</v>
      </c>
      <c r="C37">
        <v>85739479</v>
      </c>
      <c r="D37">
        <v>85229932</v>
      </c>
      <c r="E37">
        <v>1</v>
      </c>
      <c r="F37">
        <v>1</v>
      </c>
      <c r="G37">
        <v>1081</v>
      </c>
      <c r="H37">
        <v>2</v>
      </c>
      <c r="I37" t="s">
        <v>482</v>
      </c>
      <c r="J37" t="s">
        <v>483</v>
      </c>
      <c r="K37" t="s">
        <v>484</v>
      </c>
      <c r="L37">
        <v>1368</v>
      </c>
      <c r="N37">
        <v>1011</v>
      </c>
      <c r="O37" t="s">
        <v>478</v>
      </c>
      <c r="P37" t="s">
        <v>478</v>
      </c>
      <c r="Q37">
        <v>1</v>
      </c>
      <c r="X37">
        <v>0.03</v>
      </c>
      <c r="Y37">
        <v>0</v>
      </c>
      <c r="Z37">
        <v>83.1</v>
      </c>
      <c r="AA37">
        <v>12.62</v>
      </c>
      <c r="AB37">
        <v>0</v>
      </c>
      <c r="AC37">
        <v>0</v>
      </c>
      <c r="AD37">
        <v>1</v>
      </c>
      <c r="AE37">
        <v>0</v>
      </c>
      <c r="AF37" t="s">
        <v>36</v>
      </c>
      <c r="AG37">
        <v>3.5999999999999997E-2</v>
      </c>
      <c r="AH37">
        <v>2</v>
      </c>
      <c r="AI37">
        <v>85739496</v>
      </c>
      <c r="AJ37">
        <v>34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ROW(Source!A31)</f>
        <v>31</v>
      </c>
      <c r="B38">
        <v>85739497</v>
      </c>
      <c r="C38">
        <v>85739479</v>
      </c>
      <c r="D38">
        <v>85229993</v>
      </c>
      <c r="E38">
        <v>1</v>
      </c>
      <c r="F38">
        <v>1</v>
      </c>
      <c r="G38">
        <v>1081</v>
      </c>
      <c r="H38">
        <v>2</v>
      </c>
      <c r="I38" t="s">
        <v>486</v>
      </c>
      <c r="J38" t="s">
        <v>487</v>
      </c>
      <c r="K38" t="s">
        <v>488</v>
      </c>
      <c r="L38">
        <v>1368</v>
      </c>
      <c r="N38">
        <v>1011</v>
      </c>
      <c r="O38" t="s">
        <v>478</v>
      </c>
      <c r="P38" t="s">
        <v>478</v>
      </c>
      <c r="Q38">
        <v>1</v>
      </c>
      <c r="X38">
        <v>2.9</v>
      </c>
      <c r="Y38">
        <v>0</v>
      </c>
      <c r="Z38">
        <v>0.42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36</v>
      </c>
      <c r="AG38">
        <v>3.48</v>
      </c>
      <c r="AH38">
        <v>2</v>
      </c>
      <c r="AI38">
        <v>85739497</v>
      </c>
      <c r="AJ38">
        <v>35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ROW(Source!A31)</f>
        <v>31</v>
      </c>
      <c r="B39">
        <v>85739498</v>
      </c>
      <c r="C39">
        <v>85739479</v>
      </c>
      <c r="D39">
        <v>85229295</v>
      </c>
      <c r="E39">
        <v>1</v>
      </c>
      <c r="F39">
        <v>1</v>
      </c>
      <c r="G39">
        <v>1081</v>
      </c>
      <c r="H39">
        <v>2</v>
      </c>
      <c r="I39" t="s">
        <v>489</v>
      </c>
      <c r="J39" t="s">
        <v>490</v>
      </c>
      <c r="K39" t="s">
        <v>491</v>
      </c>
      <c r="L39">
        <v>1368</v>
      </c>
      <c r="N39">
        <v>1011</v>
      </c>
      <c r="O39" t="s">
        <v>478</v>
      </c>
      <c r="P39" t="s">
        <v>478</v>
      </c>
      <c r="Q39">
        <v>1</v>
      </c>
      <c r="X39">
        <v>0.54</v>
      </c>
      <c r="Y39">
        <v>0</v>
      </c>
      <c r="Z39">
        <v>4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36</v>
      </c>
      <c r="AG39">
        <v>0.64800000000000002</v>
      </c>
      <c r="AH39">
        <v>2</v>
      </c>
      <c r="AI39">
        <v>85739498</v>
      </c>
      <c r="AJ39">
        <v>36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ROW(Source!A31)</f>
        <v>31</v>
      </c>
      <c r="B40">
        <v>85739499</v>
      </c>
      <c r="C40">
        <v>85739479</v>
      </c>
      <c r="D40">
        <v>85200111</v>
      </c>
      <c r="E40">
        <v>1</v>
      </c>
      <c r="F40">
        <v>1</v>
      </c>
      <c r="G40">
        <v>1081</v>
      </c>
      <c r="H40">
        <v>3</v>
      </c>
      <c r="I40" t="s">
        <v>492</v>
      </c>
      <c r="J40" t="s">
        <v>493</v>
      </c>
      <c r="K40" t="s">
        <v>494</v>
      </c>
      <c r="L40">
        <v>1348</v>
      </c>
      <c r="N40">
        <v>1009</v>
      </c>
      <c r="O40" t="s">
        <v>266</v>
      </c>
      <c r="P40" t="s">
        <v>266</v>
      </c>
      <c r="Q40">
        <v>1000</v>
      </c>
      <c r="X40">
        <v>3.5000000000000001E-3</v>
      </c>
      <c r="Y40">
        <v>9112.49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35</v>
      </c>
      <c r="AG40">
        <v>3.5000000000000001E-3</v>
      </c>
      <c r="AH40">
        <v>2</v>
      </c>
      <c r="AI40">
        <v>85739499</v>
      </c>
      <c r="AJ40">
        <v>37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ROW(Source!A31)</f>
        <v>31</v>
      </c>
      <c r="B41">
        <v>85739500</v>
      </c>
      <c r="C41">
        <v>85739479</v>
      </c>
      <c r="D41">
        <v>85200269</v>
      </c>
      <c r="E41">
        <v>1</v>
      </c>
      <c r="F41">
        <v>1</v>
      </c>
      <c r="G41">
        <v>1081</v>
      </c>
      <c r="H41">
        <v>3</v>
      </c>
      <c r="I41" t="s">
        <v>495</v>
      </c>
      <c r="J41" t="s">
        <v>496</v>
      </c>
      <c r="K41" t="s">
        <v>497</v>
      </c>
      <c r="L41">
        <v>1255</v>
      </c>
      <c r="N41">
        <v>1013</v>
      </c>
      <c r="O41" t="s">
        <v>498</v>
      </c>
      <c r="P41" t="s">
        <v>498</v>
      </c>
      <c r="Q41">
        <v>1</v>
      </c>
      <c r="X41">
        <v>1.9</v>
      </c>
      <c r="Y41">
        <v>0.42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 t="s">
        <v>35</v>
      </c>
      <c r="AG41">
        <v>1.9</v>
      </c>
      <c r="AH41">
        <v>2</v>
      </c>
      <c r="AI41">
        <v>85739500</v>
      </c>
      <c r="AJ41">
        <v>38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ROW(Source!A31)</f>
        <v>31</v>
      </c>
      <c r="B42">
        <v>85739501</v>
      </c>
      <c r="C42">
        <v>85739479</v>
      </c>
      <c r="D42">
        <v>85200784</v>
      </c>
      <c r="E42">
        <v>1</v>
      </c>
      <c r="F42">
        <v>1</v>
      </c>
      <c r="G42">
        <v>1081</v>
      </c>
      <c r="H42">
        <v>3</v>
      </c>
      <c r="I42" t="s">
        <v>499</v>
      </c>
      <c r="J42" t="s">
        <v>500</v>
      </c>
      <c r="K42" t="s">
        <v>501</v>
      </c>
      <c r="L42">
        <v>1346</v>
      </c>
      <c r="N42">
        <v>1009</v>
      </c>
      <c r="O42" t="s">
        <v>502</v>
      </c>
      <c r="P42" t="s">
        <v>502</v>
      </c>
      <c r="Q42">
        <v>1</v>
      </c>
      <c r="X42">
        <v>0.24</v>
      </c>
      <c r="Y42">
        <v>6.25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35</v>
      </c>
      <c r="AG42">
        <v>0.24</v>
      </c>
      <c r="AH42">
        <v>2</v>
      </c>
      <c r="AI42">
        <v>85739501</v>
      </c>
      <c r="AJ42">
        <v>39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ROW(Source!A31)</f>
        <v>31</v>
      </c>
      <c r="B43">
        <v>85739502</v>
      </c>
      <c r="C43">
        <v>85739479</v>
      </c>
      <c r="D43">
        <v>85199158</v>
      </c>
      <c r="E43">
        <v>1</v>
      </c>
      <c r="F43">
        <v>1</v>
      </c>
      <c r="G43">
        <v>1081</v>
      </c>
      <c r="H43">
        <v>3</v>
      </c>
      <c r="I43" t="s">
        <v>503</v>
      </c>
      <c r="J43" t="s">
        <v>504</v>
      </c>
      <c r="K43" t="s">
        <v>505</v>
      </c>
      <c r="L43">
        <v>1339</v>
      </c>
      <c r="N43">
        <v>1007</v>
      </c>
      <c r="O43" t="s">
        <v>506</v>
      </c>
      <c r="P43" t="s">
        <v>506</v>
      </c>
      <c r="Q43">
        <v>1</v>
      </c>
      <c r="X43">
        <v>1.4</v>
      </c>
      <c r="Y43">
        <v>5.82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 t="s">
        <v>35</v>
      </c>
      <c r="AG43">
        <v>1.4</v>
      </c>
      <c r="AH43">
        <v>2</v>
      </c>
      <c r="AI43">
        <v>85739502</v>
      </c>
      <c r="AJ43">
        <v>40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ROW(Source!A31)</f>
        <v>31</v>
      </c>
      <c r="B44">
        <v>85739503</v>
      </c>
      <c r="C44">
        <v>85739479</v>
      </c>
      <c r="D44">
        <v>85179127</v>
      </c>
      <c r="E44">
        <v>1081</v>
      </c>
      <c r="F44">
        <v>1</v>
      </c>
      <c r="G44">
        <v>1081</v>
      </c>
      <c r="H44">
        <v>3</v>
      </c>
      <c r="I44" t="s">
        <v>626</v>
      </c>
      <c r="J44" t="s">
        <v>3</v>
      </c>
      <c r="K44" t="s">
        <v>627</v>
      </c>
      <c r="L44">
        <v>1391</v>
      </c>
      <c r="N44">
        <v>1013</v>
      </c>
      <c r="O44" t="s">
        <v>375</v>
      </c>
      <c r="P44" t="s">
        <v>375</v>
      </c>
      <c r="Q44">
        <v>1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35</v>
      </c>
      <c r="AG44">
        <v>1</v>
      </c>
      <c r="AH44">
        <v>3</v>
      </c>
      <c r="AI44">
        <v>-1</v>
      </c>
      <c r="AJ44" t="s">
        <v>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ROW(Source!A32)</f>
        <v>32</v>
      </c>
      <c r="B45">
        <v>85739555</v>
      </c>
      <c r="C45">
        <v>85739550</v>
      </c>
      <c r="D45">
        <v>85164021</v>
      </c>
      <c r="E45">
        <v>1081</v>
      </c>
      <c r="F45">
        <v>1</v>
      </c>
      <c r="G45">
        <v>1081</v>
      </c>
      <c r="H45">
        <v>1</v>
      </c>
      <c r="I45" t="s">
        <v>472</v>
      </c>
      <c r="J45" t="s">
        <v>3</v>
      </c>
      <c r="K45" t="s">
        <v>473</v>
      </c>
      <c r="L45">
        <v>1191</v>
      </c>
      <c r="N45">
        <v>1013</v>
      </c>
      <c r="O45" t="s">
        <v>474</v>
      </c>
      <c r="P45" t="s">
        <v>474</v>
      </c>
      <c r="Q45">
        <v>1</v>
      </c>
      <c r="X45">
        <v>487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1</v>
      </c>
      <c r="AF45" t="s">
        <v>36</v>
      </c>
      <c r="AG45">
        <v>584.4</v>
      </c>
      <c r="AH45">
        <v>2</v>
      </c>
      <c r="AI45">
        <v>85739555</v>
      </c>
      <c r="AJ45">
        <v>41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ROW(Source!A33)</f>
        <v>33</v>
      </c>
      <c r="B46">
        <v>85739555</v>
      </c>
      <c r="C46">
        <v>85739550</v>
      </c>
      <c r="D46">
        <v>85164021</v>
      </c>
      <c r="E46">
        <v>1081</v>
      </c>
      <c r="F46">
        <v>1</v>
      </c>
      <c r="G46">
        <v>1081</v>
      </c>
      <c r="H46">
        <v>1</v>
      </c>
      <c r="I46" t="s">
        <v>472</v>
      </c>
      <c r="J46" t="s">
        <v>3</v>
      </c>
      <c r="K46" t="s">
        <v>473</v>
      </c>
      <c r="L46">
        <v>1191</v>
      </c>
      <c r="N46">
        <v>1013</v>
      </c>
      <c r="O46" t="s">
        <v>474</v>
      </c>
      <c r="P46" t="s">
        <v>474</v>
      </c>
      <c r="Q46">
        <v>1</v>
      </c>
      <c r="X46">
        <v>487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1</v>
      </c>
      <c r="AF46" t="s">
        <v>36</v>
      </c>
      <c r="AG46">
        <v>584.4</v>
      </c>
      <c r="AH46">
        <v>2</v>
      </c>
      <c r="AI46">
        <v>85739555</v>
      </c>
      <c r="AJ46">
        <v>42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ROW(Source!A34)</f>
        <v>34</v>
      </c>
      <c r="B47">
        <v>85739540</v>
      </c>
      <c r="C47">
        <v>85739519</v>
      </c>
      <c r="D47">
        <v>85164021</v>
      </c>
      <c r="E47">
        <v>1081</v>
      </c>
      <c r="F47">
        <v>1</v>
      </c>
      <c r="G47">
        <v>1081</v>
      </c>
      <c r="H47">
        <v>1</v>
      </c>
      <c r="I47" t="s">
        <v>472</v>
      </c>
      <c r="J47" t="s">
        <v>3</v>
      </c>
      <c r="K47" t="s">
        <v>473</v>
      </c>
      <c r="L47">
        <v>1191</v>
      </c>
      <c r="N47">
        <v>1013</v>
      </c>
      <c r="O47" t="s">
        <v>474</v>
      </c>
      <c r="P47" t="s">
        <v>474</v>
      </c>
      <c r="Q47">
        <v>1</v>
      </c>
      <c r="X47">
        <v>3.63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3</v>
      </c>
      <c r="AG47">
        <v>3.63</v>
      </c>
      <c r="AH47">
        <v>2</v>
      </c>
      <c r="AI47">
        <v>85739540</v>
      </c>
      <c r="AJ47">
        <v>43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ROW(Source!A34)</f>
        <v>34</v>
      </c>
      <c r="B48">
        <v>85739541</v>
      </c>
      <c r="C48">
        <v>85739519</v>
      </c>
      <c r="D48">
        <v>85229587</v>
      </c>
      <c r="E48">
        <v>1</v>
      </c>
      <c r="F48">
        <v>1</v>
      </c>
      <c r="G48">
        <v>1081</v>
      </c>
      <c r="H48">
        <v>2</v>
      </c>
      <c r="I48" t="s">
        <v>507</v>
      </c>
      <c r="J48" t="s">
        <v>508</v>
      </c>
      <c r="K48" t="s">
        <v>509</v>
      </c>
      <c r="L48">
        <v>1368</v>
      </c>
      <c r="N48">
        <v>1011</v>
      </c>
      <c r="O48" t="s">
        <v>478</v>
      </c>
      <c r="P48" t="s">
        <v>478</v>
      </c>
      <c r="Q48">
        <v>1</v>
      </c>
      <c r="X48">
        <v>0.4</v>
      </c>
      <c r="Y48">
        <v>0</v>
      </c>
      <c r="Z48">
        <v>5.78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3</v>
      </c>
      <c r="AG48">
        <v>0.4</v>
      </c>
      <c r="AH48">
        <v>2</v>
      </c>
      <c r="AI48">
        <v>85739541</v>
      </c>
      <c r="AJ48">
        <v>44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ROW(Source!A34)</f>
        <v>34</v>
      </c>
      <c r="B49">
        <v>85739542</v>
      </c>
      <c r="C49">
        <v>85739519</v>
      </c>
      <c r="D49">
        <v>85229932</v>
      </c>
      <c r="E49">
        <v>1</v>
      </c>
      <c r="F49">
        <v>1</v>
      </c>
      <c r="G49">
        <v>1081</v>
      </c>
      <c r="H49">
        <v>2</v>
      </c>
      <c r="I49" t="s">
        <v>482</v>
      </c>
      <c r="J49" t="s">
        <v>483</v>
      </c>
      <c r="K49" t="s">
        <v>484</v>
      </c>
      <c r="L49">
        <v>1368</v>
      </c>
      <c r="N49">
        <v>1011</v>
      </c>
      <c r="O49" t="s">
        <v>478</v>
      </c>
      <c r="P49" t="s">
        <v>478</v>
      </c>
      <c r="Q49">
        <v>1</v>
      </c>
      <c r="X49">
        <v>0.02</v>
      </c>
      <c r="Y49">
        <v>0</v>
      </c>
      <c r="Z49">
        <v>83.1</v>
      </c>
      <c r="AA49">
        <v>12.62</v>
      </c>
      <c r="AB49">
        <v>0</v>
      </c>
      <c r="AC49">
        <v>0</v>
      </c>
      <c r="AD49">
        <v>1</v>
      </c>
      <c r="AE49">
        <v>0</v>
      </c>
      <c r="AF49" t="s">
        <v>3</v>
      </c>
      <c r="AG49">
        <v>0.02</v>
      </c>
      <c r="AH49">
        <v>2</v>
      </c>
      <c r="AI49">
        <v>85739542</v>
      </c>
      <c r="AJ49">
        <v>45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ROW(Source!A34)</f>
        <v>34</v>
      </c>
      <c r="B50">
        <v>85739543</v>
      </c>
      <c r="C50">
        <v>85739519</v>
      </c>
      <c r="D50">
        <v>85229166</v>
      </c>
      <c r="E50">
        <v>1</v>
      </c>
      <c r="F50">
        <v>1</v>
      </c>
      <c r="G50">
        <v>1081</v>
      </c>
      <c r="H50">
        <v>2</v>
      </c>
      <c r="I50" t="s">
        <v>510</v>
      </c>
      <c r="J50" t="s">
        <v>511</v>
      </c>
      <c r="K50" t="s">
        <v>512</v>
      </c>
      <c r="L50">
        <v>1368</v>
      </c>
      <c r="N50">
        <v>1011</v>
      </c>
      <c r="O50" t="s">
        <v>478</v>
      </c>
      <c r="P50" t="s">
        <v>478</v>
      </c>
      <c r="Q50">
        <v>1</v>
      </c>
      <c r="X50">
        <v>0.02</v>
      </c>
      <c r="Y50">
        <v>0</v>
      </c>
      <c r="Z50">
        <v>179.17</v>
      </c>
      <c r="AA50">
        <v>16.93</v>
      </c>
      <c r="AB50">
        <v>0</v>
      </c>
      <c r="AC50">
        <v>0</v>
      </c>
      <c r="AD50">
        <v>1</v>
      </c>
      <c r="AE50">
        <v>0</v>
      </c>
      <c r="AF50" t="s">
        <v>3</v>
      </c>
      <c r="AG50">
        <v>0.02</v>
      </c>
      <c r="AH50">
        <v>2</v>
      </c>
      <c r="AI50">
        <v>85739543</v>
      </c>
      <c r="AJ50">
        <v>46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ROW(Source!A34)</f>
        <v>34</v>
      </c>
      <c r="B51">
        <v>85739544</v>
      </c>
      <c r="C51">
        <v>85739519</v>
      </c>
      <c r="D51">
        <v>85198960</v>
      </c>
      <c r="E51">
        <v>1</v>
      </c>
      <c r="F51">
        <v>1</v>
      </c>
      <c r="G51">
        <v>1081</v>
      </c>
      <c r="H51">
        <v>3</v>
      </c>
      <c r="I51" t="s">
        <v>513</v>
      </c>
      <c r="J51" t="s">
        <v>514</v>
      </c>
      <c r="K51" t="s">
        <v>515</v>
      </c>
      <c r="L51">
        <v>1339</v>
      </c>
      <c r="N51">
        <v>1007</v>
      </c>
      <c r="O51" t="s">
        <v>506</v>
      </c>
      <c r="P51" t="s">
        <v>506</v>
      </c>
      <c r="Q51">
        <v>1</v>
      </c>
      <c r="X51">
        <v>0.08</v>
      </c>
      <c r="Y51">
        <v>7.07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 t="s">
        <v>3</v>
      </c>
      <c r="AG51">
        <v>0.08</v>
      </c>
      <c r="AH51">
        <v>2</v>
      </c>
      <c r="AI51">
        <v>85739544</v>
      </c>
      <c r="AJ51">
        <v>47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ROW(Source!A34)</f>
        <v>34</v>
      </c>
      <c r="B52">
        <v>85739545</v>
      </c>
      <c r="C52">
        <v>85739519</v>
      </c>
      <c r="D52">
        <v>85200671</v>
      </c>
      <c r="E52">
        <v>1</v>
      </c>
      <c r="F52">
        <v>1</v>
      </c>
      <c r="G52">
        <v>1081</v>
      </c>
      <c r="H52">
        <v>3</v>
      </c>
      <c r="I52" t="s">
        <v>516</v>
      </c>
      <c r="J52" t="s">
        <v>517</v>
      </c>
      <c r="K52" t="s">
        <v>518</v>
      </c>
      <c r="L52">
        <v>1346</v>
      </c>
      <c r="N52">
        <v>1009</v>
      </c>
      <c r="O52" t="s">
        <v>502</v>
      </c>
      <c r="P52" t="s">
        <v>502</v>
      </c>
      <c r="Q52">
        <v>1</v>
      </c>
      <c r="X52">
        <v>0.04</v>
      </c>
      <c r="Y52">
        <v>37.979999999999997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 t="s">
        <v>3</v>
      </c>
      <c r="AG52">
        <v>0.04</v>
      </c>
      <c r="AH52">
        <v>2</v>
      </c>
      <c r="AI52">
        <v>85739545</v>
      </c>
      <c r="AJ52">
        <v>48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ROW(Source!A34)</f>
        <v>34</v>
      </c>
      <c r="B53">
        <v>85739546</v>
      </c>
      <c r="C53">
        <v>85739519</v>
      </c>
      <c r="D53">
        <v>85199230</v>
      </c>
      <c r="E53">
        <v>1</v>
      </c>
      <c r="F53">
        <v>1</v>
      </c>
      <c r="G53">
        <v>1081</v>
      </c>
      <c r="H53">
        <v>3</v>
      </c>
      <c r="I53" t="s">
        <v>519</v>
      </c>
      <c r="J53" t="s">
        <v>520</v>
      </c>
      <c r="K53" t="s">
        <v>521</v>
      </c>
      <c r="L53">
        <v>1348</v>
      </c>
      <c r="N53">
        <v>1009</v>
      </c>
      <c r="O53" t="s">
        <v>266</v>
      </c>
      <c r="P53" t="s">
        <v>266</v>
      </c>
      <c r="Q53">
        <v>1000</v>
      </c>
      <c r="X53">
        <v>8.0000000000000007E-5</v>
      </c>
      <c r="Y53">
        <v>16214.84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 t="s">
        <v>3</v>
      </c>
      <c r="AG53">
        <v>8.0000000000000007E-5</v>
      </c>
      <c r="AH53">
        <v>2</v>
      </c>
      <c r="AI53">
        <v>85739546</v>
      </c>
      <c r="AJ53">
        <v>49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ROW(Source!A34)</f>
        <v>34</v>
      </c>
      <c r="B54">
        <v>85739547</v>
      </c>
      <c r="C54">
        <v>85739519</v>
      </c>
      <c r="D54">
        <v>85199398</v>
      </c>
      <c r="E54">
        <v>1</v>
      </c>
      <c r="F54">
        <v>1</v>
      </c>
      <c r="G54">
        <v>1081</v>
      </c>
      <c r="H54">
        <v>3</v>
      </c>
      <c r="I54" t="s">
        <v>522</v>
      </c>
      <c r="J54" t="s">
        <v>523</v>
      </c>
      <c r="K54" t="s">
        <v>524</v>
      </c>
      <c r="L54">
        <v>1346</v>
      </c>
      <c r="N54">
        <v>1009</v>
      </c>
      <c r="O54" t="s">
        <v>502</v>
      </c>
      <c r="P54" t="s">
        <v>502</v>
      </c>
      <c r="Q54">
        <v>1</v>
      </c>
      <c r="X54">
        <v>0.04</v>
      </c>
      <c r="Y54">
        <v>20.190000000000001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 t="s">
        <v>3</v>
      </c>
      <c r="AG54">
        <v>0.04</v>
      </c>
      <c r="AH54">
        <v>2</v>
      </c>
      <c r="AI54">
        <v>85739547</v>
      </c>
      <c r="AJ54">
        <v>50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ROW(Source!A34)</f>
        <v>34</v>
      </c>
      <c r="B55">
        <v>85739548</v>
      </c>
      <c r="C55">
        <v>85739519</v>
      </c>
      <c r="D55">
        <v>85182675</v>
      </c>
      <c r="E55">
        <v>1081</v>
      </c>
      <c r="F55">
        <v>1</v>
      </c>
      <c r="G55">
        <v>1081</v>
      </c>
      <c r="H55">
        <v>3</v>
      </c>
      <c r="I55" t="s">
        <v>628</v>
      </c>
      <c r="J55" t="s">
        <v>3</v>
      </c>
      <c r="K55" t="s">
        <v>629</v>
      </c>
      <c r="L55">
        <v>1354</v>
      </c>
      <c r="N55">
        <v>1010</v>
      </c>
      <c r="O55" t="s">
        <v>99</v>
      </c>
      <c r="P55" t="s">
        <v>99</v>
      </c>
      <c r="Q55">
        <v>1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3</v>
      </c>
      <c r="AG55">
        <v>1</v>
      </c>
      <c r="AH55">
        <v>3</v>
      </c>
      <c r="AI55">
        <v>-1</v>
      </c>
      <c r="AJ55" t="s">
        <v>3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ROW(Source!A35)</f>
        <v>35</v>
      </c>
      <c r="B56">
        <v>85739540</v>
      </c>
      <c r="C56">
        <v>85739519</v>
      </c>
      <c r="D56">
        <v>85164021</v>
      </c>
      <c r="E56">
        <v>1081</v>
      </c>
      <c r="F56">
        <v>1</v>
      </c>
      <c r="G56">
        <v>1081</v>
      </c>
      <c r="H56">
        <v>1</v>
      </c>
      <c r="I56" t="s">
        <v>472</v>
      </c>
      <c r="J56" t="s">
        <v>3</v>
      </c>
      <c r="K56" t="s">
        <v>473</v>
      </c>
      <c r="L56">
        <v>1191</v>
      </c>
      <c r="N56">
        <v>1013</v>
      </c>
      <c r="O56" t="s">
        <v>474</v>
      </c>
      <c r="P56" t="s">
        <v>474</v>
      </c>
      <c r="Q56">
        <v>1</v>
      </c>
      <c r="X56">
        <v>3.63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1</v>
      </c>
      <c r="AF56" t="s">
        <v>3</v>
      </c>
      <c r="AG56">
        <v>3.63</v>
      </c>
      <c r="AH56">
        <v>2</v>
      </c>
      <c r="AI56">
        <v>85739540</v>
      </c>
      <c r="AJ56">
        <v>51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ROW(Source!A35)</f>
        <v>35</v>
      </c>
      <c r="B57">
        <v>85739541</v>
      </c>
      <c r="C57">
        <v>85739519</v>
      </c>
      <c r="D57">
        <v>85229587</v>
      </c>
      <c r="E57">
        <v>1</v>
      </c>
      <c r="F57">
        <v>1</v>
      </c>
      <c r="G57">
        <v>1081</v>
      </c>
      <c r="H57">
        <v>2</v>
      </c>
      <c r="I57" t="s">
        <v>507</v>
      </c>
      <c r="J57" t="s">
        <v>508</v>
      </c>
      <c r="K57" t="s">
        <v>509</v>
      </c>
      <c r="L57">
        <v>1368</v>
      </c>
      <c r="N57">
        <v>1011</v>
      </c>
      <c r="O57" t="s">
        <v>478</v>
      </c>
      <c r="P57" t="s">
        <v>478</v>
      </c>
      <c r="Q57">
        <v>1</v>
      </c>
      <c r="X57">
        <v>0.4</v>
      </c>
      <c r="Y57">
        <v>0</v>
      </c>
      <c r="Z57">
        <v>5.78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3</v>
      </c>
      <c r="AG57">
        <v>0.4</v>
      </c>
      <c r="AH57">
        <v>2</v>
      </c>
      <c r="AI57">
        <v>85739541</v>
      </c>
      <c r="AJ57">
        <v>52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ROW(Source!A35)</f>
        <v>35</v>
      </c>
      <c r="B58">
        <v>85739542</v>
      </c>
      <c r="C58">
        <v>85739519</v>
      </c>
      <c r="D58">
        <v>85229932</v>
      </c>
      <c r="E58">
        <v>1</v>
      </c>
      <c r="F58">
        <v>1</v>
      </c>
      <c r="G58">
        <v>1081</v>
      </c>
      <c r="H58">
        <v>2</v>
      </c>
      <c r="I58" t="s">
        <v>482</v>
      </c>
      <c r="J58" t="s">
        <v>483</v>
      </c>
      <c r="K58" t="s">
        <v>484</v>
      </c>
      <c r="L58">
        <v>1368</v>
      </c>
      <c r="N58">
        <v>1011</v>
      </c>
      <c r="O58" t="s">
        <v>478</v>
      </c>
      <c r="P58" t="s">
        <v>478</v>
      </c>
      <c r="Q58">
        <v>1</v>
      </c>
      <c r="X58">
        <v>0.02</v>
      </c>
      <c r="Y58">
        <v>0</v>
      </c>
      <c r="Z58">
        <v>83.1</v>
      </c>
      <c r="AA58">
        <v>12.62</v>
      </c>
      <c r="AB58">
        <v>0</v>
      </c>
      <c r="AC58">
        <v>0</v>
      </c>
      <c r="AD58">
        <v>1</v>
      </c>
      <c r="AE58">
        <v>0</v>
      </c>
      <c r="AF58" t="s">
        <v>3</v>
      </c>
      <c r="AG58">
        <v>0.02</v>
      </c>
      <c r="AH58">
        <v>2</v>
      </c>
      <c r="AI58">
        <v>85739542</v>
      </c>
      <c r="AJ58">
        <v>53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ROW(Source!A35)</f>
        <v>35</v>
      </c>
      <c r="B59">
        <v>85739543</v>
      </c>
      <c r="C59">
        <v>85739519</v>
      </c>
      <c r="D59">
        <v>85229166</v>
      </c>
      <c r="E59">
        <v>1</v>
      </c>
      <c r="F59">
        <v>1</v>
      </c>
      <c r="G59">
        <v>1081</v>
      </c>
      <c r="H59">
        <v>2</v>
      </c>
      <c r="I59" t="s">
        <v>510</v>
      </c>
      <c r="J59" t="s">
        <v>511</v>
      </c>
      <c r="K59" t="s">
        <v>512</v>
      </c>
      <c r="L59">
        <v>1368</v>
      </c>
      <c r="N59">
        <v>1011</v>
      </c>
      <c r="O59" t="s">
        <v>478</v>
      </c>
      <c r="P59" t="s">
        <v>478</v>
      </c>
      <c r="Q59">
        <v>1</v>
      </c>
      <c r="X59">
        <v>0.02</v>
      </c>
      <c r="Y59">
        <v>0</v>
      </c>
      <c r="Z59">
        <v>179.17</v>
      </c>
      <c r="AA59">
        <v>16.93</v>
      </c>
      <c r="AB59">
        <v>0</v>
      </c>
      <c r="AC59">
        <v>0</v>
      </c>
      <c r="AD59">
        <v>1</v>
      </c>
      <c r="AE59">
        <v>0</v>
      </c>
      <c r="AF59" t="s">
        <v>3</v>
      </c>
      <c r="AG59">
        <v>0.02</v>
      </c>
      <c r="AH59">
        <v>2</v>
      </c>
      <c r="AI59">
        <v>85739543</v>
      </c>
      <c r="AJ59">
        <v>54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ROW(Source!A35)</f>
        <v>35</v>
      </c>
      <c r="B60">
        <v>85739544</v>
      </c>
      <c r="C60">
        <v>85739519</v>
      </c>
      <c r="D60">
        <v>85198960</v>
      </c>
      <c r="E60">
        <v>1</v>
      </c>
      <c r="F60">
        <v>1</v>
      </c>
      <c r="G60">
        <v>1081</v>
      </c>
      <c r="H60">
        <v>3</v>
      </c>
      <c r="I60" t="s">
        <v>513</v>
      </c>
      <c r="J60" t="s">
        <v>514</v>
      </c>
      <c r="K60" t="s">
        <v>515</v>
      </c>
      <c r="L60">
        <v>1339</v>
      </c>
      <c r="N60">
        <v>1007</v>
      </c>
      <c r="O60" t="s">
        <v>506</v>
      </c>
      <c r="P60" t="s">
        <v>506</v>
      </c>
      <c r="Q60">
        <v>1</v>
      </c>
      <c r="X60">
        <v>0.08</v>
      </c>
      <c r="Y60">
        <v>7.07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3</v>
      </c>
      <c r="AG60">
        <v>0.08</v>
      </c>
      <c r="AH60">
        <v>2</v>
      </c>
      <c r="AI60">
        <v>85739544</v>
      </c>
      <c r="AJ60">
        <v>55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ROW(Source!A35)</f>
        <v>35</v>
      </c>
      <c r="B61">
        <v>85739545</v>
      </c>
      <c r="C61">
        <v>85739519</v>
      </c>
      <c r="D61">
        <v>85200671</v>
      </c>
      <c r="E61">
        <v>1</v>
      </c>
      <c r="F61">
        <v>1</v>
      </c>
      <c r="G61">
        <v>1081</v>
      </c>
      <c r="H61">
        <v>3</v>
      </c>
      <c r="I61" t="s">
        <v>516</v>
      </c>
      <c r="J61" t="s">
        <v>517</v>
      </c>
      <c r="K61" t="s">
        <v>518</v>
      </c>
      <c r="L61">
        <v>1346</v>
      </c>
      <c r="N61">
        <v>1009</v>
      </c>
      <c r="O61" t="s">
        <v>502</v>
      </c>
      <c r="P61" t="s">
        <v>502</v>
      </c>
      <c r="Q61">
        <v>1</v>
      </c>
      <c r="X61">
        <v>0.04</v>
      </c>
      <c r="Y61">
        <v>37.979999999999997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3</v>
      </c>
      <c r="AG61">
        <v>0.04</v>
      </c>
      <c r="AH61">
        <v>2</v>
      </c>
      <c r="AI61">
        <v>85739545</v>
      </c>
      <c r="AJ61">
        <v>56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ROW(Source!A35)</f>
        <v>35</v>
      </c>
      <c r="B62">
        <v>85739546</v>
      </c>
      <c r="C62">
        <v>85739519</v>
      </c>
      <c r="D62">
        <v>85199230</v>
      </c>
      <c r="E62">
        <v>1</v>
      </c>
      <c r="F62">
        <v>1</v>
      </c>
      <c r="G62">
        <v>1081</v>
      </c>
      <c r="H62">
        <v>3</v>
      </c>
      <c r="I62" t="s">
        <v>519</v>
      </c>
      <c r="J62" t="s">
        <v>520</v>
      </c>
      <c r="K62" t="s">
        <v>521</v>
      </c>
      <c r="L62">
        <v>1348</v>
      </c>
      <c r="N62">
        <v>1009</v>
      </c>
      <c r="O62" t="s">
        <v>266</v>
      </c>
      <c r="P62" t="s">
        <v>266</v>
      </c>
      <c r="Q62">
        <v>1000</v>
      </c>
      <c r="X62">
        <v>8.0000000000000007E-5</v>
      </c>
      <c r="Y62">
        <v>16214.84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 t="s">
        <v>3</v>
      </c>
      <c r="AG62">
        <v>8.0000000000000007E-5</v>
      </c>
      <c r="AH62">
        <v>2</v>
      </c>
      <c r="AI62">
        <v>85739546</v>
      </c>
      <c r="AJ62">
        <v>57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ROW(Source!A35)</f>
        <v>35</v>
      </c>
      <c r="B63">
        <v>85739547</v>
      </c>
      <c r="C63">
        <v>85739519</v>
      </c>
      <c r="D63">
        <v>85199398</v>
      </c>
      <c r="E63">
        <v>1</v>
      </c>
      <c r="F63">
        <v>1</v>
      </c>
      <c r="G63">
        <v>1081</v>
      </c>
      <c r="H63">
        <v>3</v>
      </c>
      <c r="I63" t="s">
        <v>522</v>
      </c>
      <c r="J63" t="s">
        <v>523</v>
      </c>
      <c r="K63" t="s">
        <v>524</v>
      </c>
      <c r="L63">
        <v>1346</v>
      </c>
      <c r="N63">
        <v>1009</v>
      </c>
      <c r="O63" t="s">
        <v>502</v>
      </c>
      <c r="P63" t="s">
        <v>502</v>
      </c>
      <c r="Q63">
        <v>1</v>
      </c>
      <c r="X63">
        <v>0.04</v>
      </c>
      <c r="Y63">
        <v>20.190000000000001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 t="s">
        <v>3</v>
      </c>
      <c r="AG63">
        <v>0.04</v>
      </c>
      <c r="AH63">
        <v>2</v>
      </c>
      <c r="AI63">
        <v>85739547</v>
      </c>
      <c r="AJ63">
        <v>58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ROW(Source!A35)</f>
        <v>35</v>
      </c>
      <c r="B64">
        <v>85739548</v>
      </c>
      <c r="C64">
        <v>85739519</v>
      </c>
      <c r="D64">
        <v>85182675</v>
      </c>
      <c r="E64">
        <v>1081</v>
      </c>
      <c r="F64">
        <v>1</v>
      </c>
      <c r="G64">
        <v>1081</v>
      </c>
      <c r="H64">
        <v>3</v>
      </c>
      <c r="I64" t="s">
        <v>628</v>
      </c>
      <c r="J64" t="s">
        <v>3</v>
      </c>
      <c r="K64" t="s">
        <v>629</v>
      </c>
      <c r="L64">
        <v>1354</v>
      </c>
      <c r="N64">
        <v>1010</v>
      </c>
      <c r="O64" t="s">
        <v>99</v>
      </c>
      <c r="P64" t="s">
        <v>99</v>
      </c>
      <c r="Q64">
        <v>1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3</v>
      </c>
      <c r="AG64">
        <v>1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ROW(Source!A36)</f>
        <v>36</v>
      </c>
      <c r="B65">
        <v>85739505</v>
      </c>
      <c r="C65">
        <v>85739480</v>
      </c>
      <c r="D65">
        <v>85164021</v>
      </c>
      <c r="E65">
        <v>1081</v>
      </c>
      <c r="F65">
        <v>1</v>
      </c>
      <c r="G65">
        <v>1081</v>
      </c>
      <c r="H65">
        <v>1</v>
      </c>
      <c r="I65" t="s">
        <v>472</v>
      </c>
      <c r="J65" t="s">
        <v>3</v>
      </c>
      <c r="K65" t="s">
        <v>473</v>
      </c>
      <c r="L65">
        <v>1191</v>
      </c>
      <c r="N65">
        <v>1013</v>
      </c>
      <c r="O65" t="s">
        <v>474</v>
      </c>
      <c r="P65" t="s">
        <v>474</v>
      </c>
      <c r="Q65">
        <v>1</v>
      </c>
      <c r="X65">
        <v>2.06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1</v>
      </c>
      <c r="AF65" t="s">
        <v>36</v>
      </c>
      <c r="AG65">
        <v>2.472</v>
      </c>
      <c r="AH65">
        <v>2</v>
      </c>
      <c r="AI65">
        <v>85739505</v>
      </c>
      <c r="AJ65">
        <v>59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ROW(Source!A36)</f>
        <v>36</v>
      </c>
      <c r="B66">
        <v>85739506</v>
      </c>
      <c r="C66">
        <v>85739480</v>
      </c>
      <c r="D66">
        <v>85229526</v>
      </c>
      <c r="E66">
        <v>1</v>
      </c>
      <c r="F66">
        <v>1</v>
      </c>
      <c r="G66">
        <v>1081</v>
      </c>
      <c r="H66">
        <v>2</v>
      </c>
      <c r="I66" t="s">
        <v>525</v>
      </c>
      <c r="J66" t="s">
        <v>526</v>
      </c>
      <c r="K66" t="s">
        <v>527</v>
      </c>
      <c r="L66">
        <v>1368</v>
      </c>
      <c r="N66">
        <v>1011</v>
      </c>
      <c r="O66" t="s">
        <v>478</v>
      </c>
      <c r="P66" t="s">
        <v>478</v>
      </c>
      <c r="Q66">
        <v>1</v>
      </c>
      <c r="X66">
        <v>0.19</v>
      </c>
      <c r="Y66">
        <v>0</v>
      </c>
      <c r="Z66">
        <v>41.45</v>
      </c>
      <c r="AA66">
        <v>12.62</v>
      </c>
      <c r="AB66">
        <v>0</v>
      </c>
      <c r="AC66">
        <v>0</v>
      </c>
      <c r="AD66">
        <v>1</v>
      </c>
      <c r="AE66">
        <v>0</v>
      </c>
      <c r="AF66" t="s">
        <v>36</v>
      </c>
      <c r="AG66">
        <v>0.22799999999999998</v>
      </c>
      <c r="AH66">
        <v>2</v>
      </c>
      <c r="AI66">
        <v>85739506</v>
      </c>
      <c r="AJ66">
        <v>60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ROW(Source!A36)</f>
        <v>36</v>
      </c>
      <c r="B67">
        <v>85739507</v>
      </c>
      <c r="C67">
        <v>85739480</v>
      </c>
      <c r="D67">
        <v>85229633</v>
      </c>
      <c r="E67">
        <v>1</v>
      </c>
      <c r="F67">
        <v>1</v>
      </c>
      <c r="G67">
        <v>1081</v>
      </c>
      <c r="H67">
        <v>2</v>
      </c>
      <c r="I67" t="s">
        <v>475</v>
      </c>
      <c r="J67" t="s">
        <v>476</v>
      </c>
      <c r="K67" t="s">
        <v>477</v>
      </c>
      <c r="L67">
        <v>1368</v>
      </c>
      <c r="N67">
        <v>1011</v>
      </c>
      <c r="O67" t="s">
        <v>478</v>
      </c>
      <c r="P67" t="s">
        <v>478</v>
      </c>
      <c r="Q67">
        <v>1</v>
      </c>
      <c r="X67">
        <v>0.61</v>
      </c>
      <c r="Y67">
        <v>0</v>
      </c>
      <c r="Z67">
        <v>7.11</v>
      </c>
      <c r="AA67">
        <v>0</v>
      </c>
      <c r="AB67">
        <v>0</v>
      </c>
      <c r="AC67">
        <v>0</v>
      </c>
      <c r="AD67">
        <v>1</v>
      </c>
      <c r="AE67">
        <v>0</v>
      </c>
      <c r="AF67" t="s">
        <v>36</v>
      </c>
      <c r="AG67">
        <v>0.73199999999999998</v>
      </c>
      <c r="AH67">
        <v>2</v>
      </c>
      <c r="AI67">
        <v>85739507</v>
      </c>
      <c r="AJ67">
        <v>61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ROW(Source!A36)</f>
        <v>36</v>
      </c>
      <c r="B68">
        <v>85739508</v>
      </c>
      <c r="C68">
        <v>85739480</v>
      </c>
      <c r="D68">
        <v>85229932</v>
      </c>
      <c r="E68">
        <v>1</v>
      </c>
      <c r="F68">
        <v>1</v>
      </c>
      <c r="G68">
        <v>1081</v>
      </c>
      <c r="H68">
        <v>2</v>
      </c>
      <c r="I68" t="s">
        <v>482</v>
      </c>
      <c r="J68" t="s">
        <v>483</v>
      </c>
      <c r="K68" t="s">
        <v>484</v>
      </c>
      <c r="L68">
        <v>1368</v>
      </c>
      <c r="N68">
        <v>1011</v>
      </c>
      <c r="O68" t="s">
        <v>478</v>
      </c>
      <c r="P68" t="s">
        <v>478</v>
      </c>
      <c r="Q68">
        <v>1</v>
      </c>
      <c r="X68">
        <v>0.06</v>
      </c>
      <c r="Y68">
        <v>0</v>
      </c>
      <c r="Z68">
        <v>83.1</v>
      </c>
      <c r="AA68">
        <v>12.62</v>
      </c>
      <c r="AB68">
        <v>0</v>
      </c>
      <c r="AC68">
        <v>0</v>
      </c>
      <c r="AD68">
        <v>1</v>
      </c>
      <c r="AE68">
        <v>0</v>
      </c>
      <c r="AF68" t="s">
        <v>36</v>
      </c>
      <c r="AG68">
        <v>7.1999999999999995E-2</v>
      </c>
      <c r="AH68">
        <v>2</v>
      </c>
      <c r="AI68">
        <v>85739508</v>
      </c>
      <c r="AJ68">
        <v>62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ROW(Source!A36)</f>
        <v>36</v>
      </c>
      <c r="B69">
        <v>85739509</v>
      </c>
      <c r="C69">
        <v>85739480</v>
      </c>
      <c r="D69">
        <v>85229983</v>
      </c>
      <c r="E69">
        <v>1</v>
      </c>
      <c r="F69">
        <v>1</v>
      </c>
      <c r="G69">
        <v>1081</v>
      </c>
      <c r="H69">
        <v>2</v>
      </c>
      <c r="I69" t="s">
        <v>528</v>
      </c>
      <c r="J69" t="s">
        <v>529</v>
      </c>
      <c r="K69" t="s">
        <v>530</v>
      </c>
      <c r="L69">
        <v>1368</v>
      </c>
      <c r="N69">
        <v>1011</v>
      </c>
      <c r="O69" t="s">
        <v>478</v>
      </c>
      <c r="P69" t="s">
        <v>478</v>
      </c>
      <c r="Q69">
        <v>1</v>
      </c>
      <c r="X69">
        <v>0.19</v>
      </c>
      <c r="Y69">
        <v>0</v>
      </c>
      <c r="Z69">
        <v>1.1499999999999999</v>
      </c>
      <c r="AA69">
        <v>0</v>
      </c>
      <c r="AB69">
        <v>0</v>
      </c>
      <c r="AC69">
        <v>0</v>
      </c>
      <c r="AD69">
        <v>1</v>
      </c>
      <c r="AE69">
        <v>0</v>
      </c>
      <c r="AF69" t="s">
        <v>36</v>
      </c>
      <c r="AG69">
        <v>0.22799999999999998</v>
      </c>
      <c r="AH69">
        <v>2</v>
      </c>
      <c r="AI69">
        <v>85739509</v>
      </c>
      <c r="AJ69">
        <v>63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ROW(Source!A36)</f>
        <v>36</v>
      </c>
      <c r="B70">
        <v>85739510</v>
      </c>
      <c r="C70">
        <v>85739480</v>
      </c>
      <c r="D70">
        <v>85200033</v>
      </c>
      <c r="E70">
        <v>1</v>
      </c>
      <c r="F70">
        <v>1</v>
      </c>
      <c r="G70">
        <v>1081</v>
      </c>
      <c r="H70">
        <v>3</v>
      </c>
      <c r="I70" t="s">
        <v>531</v>
      </c>
      <c r="J70" t="s">
        <v>532</v>
      </c>
      <c r="K70" t="s">
        <v>533</v>
      </c>
      <c r="L70">
        <v>1346</v>
      </c>
      <c r="N70">
        <v>1009</v>
      </c>
      <c r="O70" t="s">
        <v>502</v>
      </c>
      <c r="P70" t="s">
        <v>502</v>
      </c>
      <c r="Q70">
        <v>1</v>
      </c>
      <c r="X70">
        <v>0.02</v>
      </c>
      <c r="Y70">
        <v>29.89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35</v>
      </c>
      <c r="AG70">
        <v>0.02</v>
      </c>
      <c r="AH70">
        <v>2</v>
      </c>
      <c r="AI70">
        <v>85739510</v>
      </c>
      <c r="AJ70">
        <v>64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ROW(Source!A36)</f>
        <v>36</v>
      </c>
      <c r="B71">
        <v>85739511</v>
      </c>
      <c r="C71">
        <v>85739480</v>
      </c>
      <c r="D71">
        <v>85200103</v>
      </c>
      <c r="E71">
        <v>1</v>
      </c>
      <c r="F71">
        <v>1</v>
      </c>
      <c r="G71">
        <v>1081</v>
      </c>
      <c r="H71">
        <v>3</v>
      </c>
      <c r="I71" t="s">
        <v>534</v>
      </c>
      <c r="J71" t="s">
        <v>535</v>
      </c>
      <c r="K71" t="s">
        <v>536</v>
      </c>
      <c r="L71">
        <v>1348</v>
      </c>
      <c r="N71">
        <v>1009</v>
      </c>
      <c r="O71" t="s">
        <v>266</v>
      </c>
      <c r="P71" t="s">
        <v>266</v>
      </c>
      <c r="Q71">
        <v>1000</v>
      </c>
      <c r="X71">
        <v>1E-4</v>
      </c>
      <c r="Y71">
        <v>8590.86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35</v>
      </c>
      <c r="AG71">
        <v>1E-4</v>
      </c>
      <c r="AH71">
        <v>2</v>
      </c>
      <c r="AI71">
        <v>85739511</v>
      </c>
      <c r="AJ71">
        <v>65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ROW(Source!A36)</f>
        <v>36</v>
      </c>
      <c r="B72">
        <v>85739512</v>
      </c>
      <c r="C72">
        <v>85739480</v>
      </c>
      <c r="D72">
        <v>85156727</v>
      </c>
      <c r="E72">
        <v>1081</v>
      </c>
      <c r="F72">
        <v>1</v>
      </c>
      <c r="G72">
        <v>1081</v>
      </c>
      <c r="H72">
        <v>3</v>
      </c>
      <c r="I72" t="s">
        <v>630</v>
      </c>
      <c r="J72" t="s">
        <v>3</v>
      </c>
      <c r="K72" t="s">
        <v>631</v>
      </c>
      <c r="L72">
        <v>1346</v>
      </c>
      <c r="N72">
        <v>1009</v>
      </c>
      <c r="O72" t="s">
        <v>502</v>
      </c>
      <c r="P72" t="s">
        <v>502</v>
      </c>
      <c r="Q72">
        <v>1</v>
      </c>
      <c r="X72">
        <v>0.1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35</v>
      </c>
      <c r="AG72">
        <v>0.1</v>
      </c>
      <c r="AH72">
        <v>3</v>
      </c>
      <c r="AI72">
        <v>-1</v>
      </c>
      <c r="AJ72" t="s">
        <v>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ROW(Source!A36)</f>
        <v>36</v>
      </c>
      <c r="B73">
        <v>85739513</v>
      </c>
      <c r="C73">
        <v>85739480</v>
      </c>
      <c r="D73">
        <v>85171174</v>
      </c>
      <c r="E73">
        <v>1081</v>
      </c>
      <c r="F73">
        <v>1</v>
      </c>
      <c r="G73">
        <v>1081</v>
      </c>
      <c r="H73">
        <v>3</v>
      </c>
      <c r="I73" t="s">
        <v>632</v>
      </c>
      <c r="J73" t="s">
        <v>3</v>
      </c>
      <c r="K73" t="s">
        <v>633</v>
      </c>
      <c r="L73">
        <v>1354</v>
      </c>
      <c r="N73">
        <v>1010</v>
      </c>
      <c r="O73" t="s">
        <v>99</v>
      </c>
      <c r="P73" t="s">
        <v>99</v>
      </c>
      <c r="Q73">
        <v>1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35</v>
      </c>
      <c r="AG73">
        <v>1</v>
      </c>
      <c r="AH73">
        <v>3</v>
      </c>
      <c r="AI73">
        <v>-1</v>
      </c>
      <c r="AJ73" t="s">
        <v>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ROW(Source!A37)</f>
        <v>37</v>
      </c>
      <c r="B74">
        <v>85739505</v>
      </c>
      <c r="C74">
        <v>85739480</v>
      </c>
      <c r="D74">
        <v>85164021</v>
      </c>
      <c r="E74">
        <v>1081</v>
      </c>
      <c r="F74">
        <v>1</v>
      </c>
      <c r="G74">
        <v>1081</v>
      </c>
      <c r="H74">
        <v>1</v>
      </c>
      <c r="I74" t="s">
        <v>472</v>
      </c>
      <c r="J74" t="s">
        <v>3</v>
      </c>
      <c r="K74" t="s">
        <v>473</v>
      </c>
      <c r="L74">
        <v>1191</v>
      </c>
      <c r="N74">
        <v>1013</v>
      </c>
      <c r="O74" t="s">
        <v>474</v>
      </c>
      <c r="P74" t="s">
        <v>474</v>
      </c>
      <c r="Q74">
        <v>1</v>
      </c>
      <c r="X74">
        <v>2.06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1</v>
      </c>
      <c r="AF74" t="s">
        <v>36</v>
      </c>
      <c r="AG74">
        <v>2.472</v>
      </c>
      <c r="AH74">
        <v>2</v>
      </c>
      <c r="AI74">
        <v>85739505</v>
      </c>
      <c r="AJ74">
        <v>66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ROW(Source!A37)</f>
        <v>37</v>
      </c>
      <c r="B75">
        <v>85739506</v>
      </c>
      <c r="C75">
        <v>85739480</v>
      </c>
      <c r="D75">
        <v>85229526</v>
      </c>
      <c r="E75">
        <v>1</v>
      </c>
      <c r="F75">
        <v>1</v>
      </c>
      <c r="G75">
        <v>1081</v>
      </c>
      <c r="H75">
        <v>2</v>
      </c>
      <c r="I75" t="s">
        <v>525</v>
      </c>
      <c r="J75" t="s">
        <v>526</v>
      </c>
      <c r="K75" t="s">
        <v>527</v>
      </c>
      <c r="L75">
        <v>1368</v>
      </c>
      <c r="N75">
        <v>1011</v>
      </c>
      <c r="O75" t="s">
        <v>478</v>
      </c>
      <c r="P75" t="s">
        <v>478</v>
      </c>
      <c r="Q75">
        <v>1</v>
      </c>
      <c r="X75">
        <v>0.19</v>
      </c>
      <c r="Y75">
        <v>0</v>
      </c>
      <c r="Z75">
        <v>41.45</v>
      </c>
      <c r="AA75">
        <v>12.62</v>
      </c>
      <c r="AB75">
        <v>0</v>
      </c>
      <c r="AC75">
        <v>0</v>
      </c>
      <c r="AD75">
        <v>1</v>
      </c>
      <c r="AE75">
        <v>0</v>
      </c>
      <c r="AF75" t="s">
        <v>36</v>
      </c>
      <c r="AG75">
        <v>0.22799999999999998</v>
      </c>
      <c r="AH75">
        <v>2</v>
      </c>
      <c r="AI75">
        <v>85739506</v>
      </c>
      <c r="AJ75">
        <v>67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ROW(Source!A37)</f>
        <v>37</v>
      </c>
      <c r="B76">
        <v>85739507</v>
      </c>
      <c r="C76">
        <v>85739480</v>
      </c>
      <c r="D76">
        <v>85229633</v>
      </c>
      <c r="E76">
        <v>1</v>
      </c>
      <c r="F76">
        <v>1</v>
      </c>
      <c r="G76">
        <v>1081</v>
      </c>
      <c r="H76">
        <v>2</v>
      </c>
      <c r="I76" t="s">
        <v>475</v>
      </c>
      <c r="J76" t="s">
        <v>476</v>
      </c>
      <c r="K76" t="s">
        <v>477</v>
      </c>
      <c r="L76">
        <v>1368</v>
      </c>
      <c r="N76">
        <v>1011</v>
      </c>
      <c r="O76" t="s">
        <v>478</v>
      </c>
      <c r="P76" t="s">
        <v>478</v>
      </c>
      <c r="Q76">
        <v>1</v>
      </c>
      <c r="X76">
        <v>0.61</v>
      </c>
      <c r="Y76">
        <v>0</v>
      </c>
      <c r="Z76">
        <v>7.11</v>
      </c>
      <c r="AA76">
        <v>0</v>
      </c>
      <c r="AB76">
        <v>0</v>
      </c>
      <c r="AC76">
        <v>0</v>
      </c>
      <c r="AD76">
        <v>1</v>
      </c>
      <c r="AE76">
        <v>0</v>
      </c>
      <c r="AF76" t="s">
        <v>36</v>
      </c>
      <c r="AG76">
        <v>0.73199999999999998</v>
      </c>
      <c r="AH76">
        <v>2</v>
      </c>
      <c r="AI76">
        <v>85739507</v>
      </c>
      <c r="AJ76">
        <v>68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ROW(Source!A37)</f>
        <v>37</v>
      </c>
      <c r="B77">
        <v>85739508</v>
      </c>
      <c r="C77">
        <v>85739480</v>
      </c>
      <c r="D77">
        <v>85229932</v>
      </c>
      <c r="E77">
        <v>1</v>
      </c>
      <c r="F77">
        <v>1</v>
      </c>
      <c r="G77">
        <v>1081</v>
      </c>
      <c r="H77">
        <v>2</v>
      </c>
      <c r="I77" t="s">
        <v>482</v>
      </c>
      <c r="J77" t="s">
        <v>483</v>
      </c>
      <c r="K77" t="s">
        <v>484</v>
      </c>
      <c r="L77">
        <v>1368</v>
      </c>
      <c r="N77">
        <v>1011</v>
      </c>
      <c r="O77" t="s">
        <v>478</v>
      </c>
      <c r="P77" t="s">
        <v>478</v>
      </c>
      <c r="Q77">
        <v>1</v>
      </c>
      <c r="X77">
        <v>0.06</v>
      </c>
      <c r="Y77">
        <v>0</v>
      </c>
      <c r="Z77">
        <v>83.1</v>
      </c>
      <c r="AA77">
        <v>12.62</v>
      </c>
      <c r="AB77">
        <v>0</v>
      </c>
      <c r="AC77">
        <v>0</v>
      </c>
      <c r="AD77">
        <v>1</v>
      </c>
      <c r="AE77">
        <v>0</v>
      </c>
      <c r="AF77" t="s">
        <v>36</v>
      </c>
      <c r="AG77">
        <v>7.1999999999999995E-2</v>
      </c>
      <c r="AH77">
        <v>2</v>
      </c>
      <c r="AI77">
        <v>85739508</v>
      </c>
      <c r="AJ77">
        <v>69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ROW(Source!A37)</f>
        <v>37</v>
      </c>
      <c r="B78">
        <v>85739509</v>
      </c>
      <c r="C78">
        <v>85739480</v>
      </c>
      <c r="D78">
        <v>85229983</v>
      </c>
      <c r="E78">
        <v>1</v>
      </c>
      <c r="F78">
        <v>1</v>
      </c>
      <c r="G78">
        <v>1081</v>
      </c>
      <c r="H78">
        <v>2</v>
      </c>
      <c r="I78" t="s">
        <v>528</v>
      </c>
      <c r="J78" t="s">
        <v>529</v>
      </c>
      <c r="K78" t="s">
        <v>530</v>
      </c>
      <c r="L78">
        <v>1368</v>
      </c>
      <c r="N78">
        <v>1011</v>
      </c>
      <c r="O78" t="s">
        <v>478</v>
      </c>
      <c r="P78" t="s">
        <v>478</v>
      </c>
      <c r="Q78">
        <v>1</v>
      </c>
      <c r="X78">
        <v>0.19</v>
      </c>
      <c r="Y78">
        <v>0</v>
      </c>
      <c r="Z78">
        <v>1.1499999999999999</v>
      </c>
      <c r="AA78">
        <v>0</v>
      </c>
      <c r="AB78">
        <v>0</v>
      </c>
      <c r="AC78">
        <v>0</v>
      </c>
      <c r="AD78">
        <v>1</v>
      </c>
      <c r="AE78">
        <v>0</v>
      </c>
      <c r="AF78" t="s">
        <v>36</v>
      </c>
      <c r="AG78">
        <v>0.22799999999999998</v>
      </c>
      <c r="AH78">
        <v>2</v>
      </c>
      <c r="AI78">
        <v>85739509</v>
      </c>
      <c r="AJ78">
        <v>70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ROW(Source!A37)</f>
        <v>37</v>
      </c>
      <c r="B79">
        <v>85739510</v>
      </c>
      <c r="C79">
        <v>85739480</v>
      </c>
      <c r="D79">
        <v>85200033</v>
      </c>
      <c r="E79">
        <v>1</v>
      </c>
      <c r="F79">
        <v>1</v>
      </c>
      <c r="G79">
        <v>1081</v>
      </c>
      <c r="H79">
        <v>3</v>
      </c>
      <c r="I79" t="s">
        <v>531</v>
      </c>
      <c r="J79" t="s">
        <v>532</v>
      </c>
      <c r="K79" t="s">
        <v>533</v>
      </c>
      <c r="L79">
        <v>1346</v>
      </c>
      <c r="N79">
        <v>1009</v>
      </c>
      <c r="O79" t="s">
        <v>502</v>
      </c>
      <c r="P79" t="s">
        <v>502</v>
      </c>
      <c r="Q79">
        <v>1</v>
      </c>
      <c r="X79">
        <v>0.02</v>
      </c>
      <c r="Y79">
        <v>29.89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 t="s">
        <v>35</v>
      </c>
      <c r="AG79">
        <v>0.02</v>
      </c>
      <c r="AH79">
        <v>2</v>
      </c>
      <c r="AI79">
        <v>85739510</v>
      </c>
      <c r="AJ79">
        <v>71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ROW(Source!A37)</f>
        <v>37</v>
      </c>
      <c r="B80">
        <v>85739511</v>
      </c>
      <c r="C80">
        <v>85739480</v>
      </c>
      <c r="D80">
        <v>85200103</v>
      </c>
      <c r="E80">
        <v>1</v>
      </c>
      <c r="F80">
        <v>1</v>
      </c>
      <c r="G80">
        <v>1081</v>
      </c>
      <c r="H80">
        <v>3</v>
      </c>
      <c r="I80" t="s">
        <v>534</v>
      </c>
      <c r="J80" t="s">
        <v>535</v>
      </c>
      <c r="K80" t="s">
        <v>536</v>
      </c>
      <c r="L80">
        <v>1348</v>
      </c>
      <c r="N80">
        <v>1009</v>
      </c>
      <c r="O80" t="s">
        <v>266</v>
      </c>
      <c r="P80" t="s">
        <v>266</v>
      </c>
      <c r="Q80">
        <v>1000</v>
      </c>
      <c r="X80">
        <v>1E-4</v>
      </c>
      <c r="Y80">
        <v>8590.86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 t="s">
        <v>35</v>
      </c>
      <c r="AG80">
        <v>1E-4</v>
      </c>
      <c r="AH80">
        <v>2</v>
      </c>
      <c r="AI80">
        <v>85739511</v>
      </c>
      <c r="AJ80">
        <v>72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ROW(Source!A37)</f>
        <v>37</v>
      </c>
      <c r="B81">
        <v>85739512</v>
      </c>
      <c r="C81">
        <v>85739480</v>
      </c>
      <c r="D81">
        <v>85156727</v>
      </c>
      <c r="E81">
        <v>1081</v>
      </c>
      <c r="F81">
        <v>1</v>
      </c>
      <c r="G81">
        <v>1081</v>
      </c>
      <c r="H81">
        <v>3</v>
      </c>
      <c r="I81" t="s">
        <v>630</v>
      </c>
      <c r="J81" t="s">
        <v>3</v>
      </c>
      <c r="K81" t="s">
        <v>631</v>
      </c>
      <c r="L81">
        <v>1346</v>
      </c>
      <c r="N81">
        <v>1009</v>
      </c>
      <c r="O81" t="s">
        <v>502</v>
      </c>
      <c r="P81" t="s">
        <v>502</v>
      </c>
      <c r="Q81">
        <v>1</v>
      </c>
      <c r="X81">
        <v>0.1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35</v>
      </c>
      <c r="AG81">
        <v>0.1</v>
      </c>
      <c r="AH81">
        <v>3</v>
      </c>
      <c r="AI81">
        <v>-1</v>
      </c>
      <c r="AJ81" t="s">
        <v>3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ROW(Source!A37)</f>
        <v>37</v>
      </c>
      <c r="B82">
        <v>85739513</v>
      </c>
      <c r="C82">
        <v>85739480</v>
      </c>
      <c r="D82">
        <v>85171174</v>
      </c>
      <c r="E82">
        <v>1081</v>
      </c>
      <c r="F82">
        <v>1</v>
      </c>
      <c r="G82">
        <v>1081</v>
      </c>
      <c r="H82">
        <v>3</v>
      </c>
      <c r="I82" t="s">
        <v>632</v>
      </c>
      <c r="J82" t="s">
        <v>3</v>
      </c>
      <c r="K82" t="s">
        <v>633</v>
      </c>
      <c r="L82">
        <v>1354</v>
      </c>
      <c r="N82">
        <v>1010</v>
      </c>
      <c r="O82" t="s">
        <v>99</v>
      </c>
      <c r="P82" t="s">
        <v>99</v>
      </c>
      <c r="Q82">
        <v>1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35</v>
      </c>
      <c r="AG82">
        <v>1</v>
      </c>
      <c r="AH82">
        <v>3</v>
      </c>
      <c r="AI82">
        <v>-1</v>
      </c>
      <c r="AJ82" t="s">
        <v>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ROW(Source!A38)</f>
        <v>38</v>
      </c>
      <c r="B83">
        <v>85739558</v>
      </c>
      <c r="C83">
        <v>85739516</v>
      </c>
      <c r="D83">
        <v>85164021</v>
      </c>
      <c r="E83">
        <v>1081</v>
      </c>
      <c r="F83">
        <v>1</v>
      </c>
      <c r="G83">
        <v>1081</v>
      </c>
      <c r="H83">
        <v>1</v>
      </c>
      <c r="I83" t="s">
        <v>472</v>
      </c>
      <c r="J83" t="s">
        <v>3</v>
      </c>
      <c r="K83" t="s">
        <v>473</v>
      </c>
      <c r="L83">
        <v>1191</v>
      </c>
      <c r="N83">
        <v>1013</v>
      </c>
      <c r="O83" t="s">
        <v>474</v>
      </c>
      <c r="P83" t="s">
        <v>474</v>
      </c>
      <c r="Q83">
        <v>1</v>
      </c>
      <c r="X83">
        <v>4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1</v>
      </c>
      <c r="AF83" t="s">
        <v>36</v>
      </c>
      <c r="AG83">
        <v>4.8</v>
      </c>
      <c r="AH83">
        <v>2</v>
      </c>
      <c r="AI83">
        <v>85739558</v>
      </c>
      <c r="AJ83">
        <v>73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ROW(Source!A38)</f>
        <v>38</v>
      </c>
      <c r="B84">
        <v>85739559</v>
      </c>
      <c r="C84">
        <v>85739516</v>
      </c>
      <c r="D84">
        <v>85229932</v>
      </c>
      <c r="E84">
        <v>1</v>
      </c>
      <c r="F84">
        <v>1</v>
      </c>
      <c r="G84">
        <v>1081</v>
      </c>
      <c r="H84">
        <v>2</v>
      </c>
      <c r="I84" t="s">
        <v>482</v>
      </c>
      <c r="J84" t="s">
        <v>483</v>
      </c>
      <c r="K84" t="s">
        <v>484</v>
      </c>
      <c r="L84">
        <v>1368</v>
      </c>
      <c r="N84">
        <v>1011</v>
      </c>
      <c r="O84" t="s">
        <v>478</v>
      </c>
      <c r="P84" t="s">
        <v>478</v>
      </c>
      <c r="Q84">
        <v>1</v>
      </c>
      <c r="X84">
        <v>0.02</v>
      </c>
      <c r="Y84">
        <v>0</v>
      </c>
      <c r="Z84">
        <v>83.1</v>
      </c>
      <c r="AA84">
        <v>12.62</v>
      </c>
      <c r="AB84">
        <v>0</v>
      </c>
      <c r="AC84">
        <v>0</v>
      </c>
      <c r="AD84">
        <v>1</v>
      </c>
      <c r="AE84">
        <v>0</v>
      </c>
      <c r="AF84" t="s">
        <v>36</v>
      </c>
      <c r="AG84">
        <v>2.4E-2</v>
      </c>
      <c r="AH84">
        <v>2</v>
      </c>
      <c r="AI84">
        <v>85739559</v>
      </c>
      <c r="AJ84">
        <v>74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ROW(Source!A38)</f>
        <v>38</v>
      </c>
      <c r="B85">
        <v>85739560</v>
      </c>
      <c r="C85">
        <v>85739516</v>
      </c>
      <c r="D85">
        <v>85199562</v>
      </c>
      <c r="E85">
        <v>1</v>
      </c>
      <c r="F85">
        <v>1</v>
      </c>
      <c r="G85">
        <v>1081</v>
      </c>
      <c r="H85">
        <v>3</v>
      </c>
      <c r="I85" t="s">
        <v>537</v>
      </c>
      <c r="J85" t="s">
        <v>538</v>
      </c>
      <c r="K85" t="s">
        <v>539</v>
      </c>
      <c r="L85">
        <v>1348</v>
      </c>
      <c r="N85">
        <v>1009</v>
      </c>
      <c r="O85" t="s">
        <v>266</v>
      </c>
      <c r="P85" t="s">
        <v>266</v>
      </c>
      <c r="Q85">
        <v>1000</v>
      </c>
      <c r="X85">
        <v>1.2E-4</v>
      </c>
      <c r="Y85">
        <v>23114.43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35</v>
      </c>
      <c r="AG85">
        <v>1.2E-4</v>
      </c>
      <c r="AH85">
        <v>2</v>
      </c>
      <c r="AI85">
        <v>85739560</v>
      </c>
      <c r="AJ85">
        <v>75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ROW(Source!A38)</f>
        <v>38</v>
      </c>
      <c r="B86">
        <v>85739561</v>
      </c>
      <c r="C86">
        <v>85739516</v>
      </c>
      <c r="D86">
        <v>85156727</v>
      </c>
      <c r="E86">
        <v>1081</v>
      </c>
      <c r="F86">
        <v>1</v>
      </c>
      <c r="G86">
        <v>1081</v>
      </c>
      <c r="H86">
        <v>3</v>
      </c>
      <c r="I86" t="s">
        <v>630</v>
      </c>
      <c r="J86" t="s">
        <v>3</v>
      </c>
      <c r="K86" t="s">
        <v>631</v>
      </c>
      <c r="L86">
        <v>1346</v>
      </c>
      <c r="N86">
        <v>1009</v>
      </c>
      <c r="O86" t="s">
        <v>502</v>
      </c>
      <c r="P86" t="s">
        <v>502</v>
      </c>
      <c r="Q86">
        <v>1</v>
      </c>
      <c r="X86">
        <v>3.6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 t="s">
        <v>35</v>
      </c>
      <c r="AG86">
        <v>3.6</v>
      </c>
      <c r="AH86">
        <v>3</v>
      </c>
      <c r="AI86">
        <v>-1</v>
      </c>
      <c r="AJ86" t="s">
        <v>3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ROW(Source!A38)</f>
        <v>38</v>
      </c>
      <c r="B87">
        <v>85739562</v>
      </c>
      <c r="C87">
        <v>85739516</v>
      </c>
      <c r="D87">
        <v>85179477</v>
      </c>
      <c r="E87">
        <v>1081</v>
      </c>
      <c r="F87">
        <v>1</v>
      </c>
      <c r="G87">
        <v>1081</v>
      </c>
      <c r="H87">
        <v>3</v>
      </c>
      <c r="I87" t="s">
        <v>634</v>
      </c>
      <c r="J87" t="s">
        <v>3</v>
      </c>
      <c r="K87" t="s">
        <v>635</v>
      </c>
      <c r="L87">
        <v>1354</v>
      </c>
      <c r="N87">
        <v>1010</v>
      </c>
      <c r="O87" t="s">
        <v>99</v>
      </c>
      <c r="P87" t="s">
        <v>99</v>
      </c>
      <c r="Q87">
        <v>1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 t="s">
        <v>35</v>
      </c>
      <c r="AG87">
        <v>1</v>
      </c>
      <c r="AH87">
        <v>3</v>
      </c>
      <c r="AI87">
        <v>-1</v>
      </c>
      <c r="AJ87" t="s">
        <v>3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ROW(Source!A39)</f>
        <v>39</v>
      </c>
      <c r="B88">
        <v>85739558</v>
      </c>
      <c r="C88">
        <v>85739516</v>
      </c>
      <c r="D88">
        <v>85164021</v>
      </c>
      <c r="E88">
        <v>1081</v>
      </c>
      <c r="F88">
        <v>1</v>
      </c>
      <c r="G88">
        <v>1081</v>
      </c>
      <c r="H88">
        <v>1</v>
      </c>
      <c r="I88" t="s">
        <v>472</v>
      </c>
      <c r="J88" t="s">
        <v>3</v>
      </c>
      <c r="K88" t="s">
        <v>473</v>
      </c>
      <c r="L88">
        <v>1191</v>
      </c>
      <c r="N88">
        <v>1013</v>
      </c>
      <c r="O88" t="s">
        <v>474</v>
      </c>
      <c r="P88" t="s">
        <v>474</v>
      </c>
      <c r="Q88">
        <v>1</v>
      </c>
      <c r="X88">
        <v>4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1</v>
      </c>
      <c r="AF88" t="s">
        <v>36</v>
      </c>
      <c r="AG88">
        <v>4.8</v>
      </c>
      <c r="AH88">
        <v>2</v>
      </c>
      <c r="AI88">
        <v>85739558</v>
      </c>
      <c r="AJ88">
        <v>76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ROW(Source!A39)</f>
        <v>39</v>
      </c>
      <c r="B89">
        <v>85739559</v>
      </c>
      <c r="C89">
        <v>85739516</v>
      </c>
      <c r="D89">
        <v>85229932</v>
      </c>
      <c r="E89">
        <v>1</v>
      </c>
      <c r="F89">
        <v>1</v>
      </c>
      <c r="G89">
        <v>1081</v>
      </c>
      <c r="H89">
        <v>2</v>
      </c>
      <c r="I89" t="s">
        <v>482</v>
      </c>
      <c r="J89" t="s">
        <v>483</v>
      </c>
      <c r="K89" t="s">
        <v>484</v>
      </c>
      <c r="L89">
        <v>1368</v>
      </c>
      <c r="N89">
        <v>1011</v>
      </c>
      <c r="O89" t="s">
        <v>478</v>
      </c>
      <c r="P89" t="s">
        <v>478</v>
      </c>
      <c r="Q89">
        <v>1</v>
      </c>
      <c r="X89">
        <v>0.02</v>
      </c>
      <c r="Y89">
        <v>0</v>
      </c>
      <c r="Z89">
        <v>83.1</v>
      </c>
      <c r="AA89">
        <v>12.62</v>
      </c>
      <c r="AB89">
        <v>0</v>
      </c>
      <c r="AC89">
        <v>0</v>
      </c>
      <c r="AD89">
        <v>1</v>
      </c>
      <c r="AE89">
        <v>0</v>
      </c>
      <c r="AF89" t="s">
        <v>36</v>
      </c>
      <c r="AG89">
        <v>2.4E-2</v>
      </c>
      <c r="AH89">
        <v>2</v>
      </c>
      <c r="AI89">
        <v>85739559</v>
      </c>
      <c r="AJ89">
        <v>77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ROW(Source!A39)</f>
        <v>39</v>
      </c>
      <c r="B90">
        <v>85739560</v>
      </c>
      <c r="C90">
        <v>85739516</v>
      </c>
      <c r="D90">
        <v>85199562</v>
      </c>
      <c r="E90">
        <v>1</v>
      </c>
      <c r="F90">
        <v>1</v>
      </c>
      <c r="G90">
        <v>1081</v>
      </c>
      <c r="H90">
        <v>3</v>
      </c>
      <c r="I90" t="s">
        <v>537</v>
      </c>
      <c r="J90" t="s">
        <v>538</v>
      </c>
      <c r="K90" t="s">
        <v>539</v>
      </c>
      <c r="L90">
        <v>1348</v>
      </c>
      <c r="N90">
        <v>1009</v>
      </c>
      <c r="O90" t="s">
        <v>266</v>
      </c>
      <c r="P90" t="s">
        <v>266</v>
      </c>
      <c r="Q90">
        <v>1000</v>
      </c>
      <c r="X90">
        <v>1.2E-4</v>
      </c>
      <c r="Y90">
        <v>23114.43</v>
      </c>
      <c r="Z90">
        <v>0</v>
      </c>
      <c r="AA90">
        <v>0</v>
      </c>
      <c r="AB90">
        <v>0</v>
      </c>
      <c r="AC90">
        <v>0</v>
      </c>
      <c r="AD90">
        <v>1</v>
      </c>
      <c r="AE90">
        <v>0</v>
      </c>
      <c r="AF90" t="s">
        <v>35</v>
      </c>
      <c r="AG90">
        <v>1.2E-4</v>
      </c>
      <c r="AH90">
        <v>2</v>
      </c>
      <c r="AI90">
        <v>85739560</v>
      </c>
      <c r="AJ90">
        <v>78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ROW(Source!A39)</f>
        <v>39</v>
      </c>
      <c r="B91">
        <v>85739561</v>
      </c>
      <c r="C91">
        <v>85739516</v>
      </c>
      <c r="D91">
        <v>85156727</v>
      </c>
      <c r="E91">
        <v>1081</v>
      </c>
      <c r="F91">
        <v>1</v>
      </c>
      <c r="G91">
        <v>1081</v>
      </c>
      <c r="H91">
        <v>3</v>
      </c>
      <c r="I91" t="s">
        <v>630</v>
      </c>
      <c r="J91" t="s">
        <v>3</v>
      </c>
      <c r="K91" t="s">
        <v>631</v>
      </c>
      <c r="L91">
        <v>1346</v>
      </c>
      <c r="N91">
        <v>1009</v>
      </c>
      <c r="O91" t="s">
        <v>502</v>
      </c>
      <c r="P91" t="s">
        <v>502</v>
      </c>
      <c r="Q91">
        <v>1</v>
      </c>
      <c r="X91">
        <v>3.6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 t="s">
        <v>35</v>
      </c>
      <c r="AG91">
        <v>3.6</v>
      </c>
      <c r="AH91">
        <v>3</v>
      </c>
      <c r="AI91">
        <v>-1</v>
      </c>
      <c r="AJ91" t="s">
        <v>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ROW(Source!A39)</f>
        <v>39</v>
      </c>
      <c r="B92">
        <v>85739562</v>
      </c>
      <c r="C92">
        <v>85739516</v>
      </c>
      <c r="D92">
        <v>85179477</v>
      </c>
      <c r="E92">
        <v>1081</v>
      </c>
      <c r="F92">
        <v>1</v>
      </c>
      <c r="G92">
        <v>1081</v>
      </c>
      <c r="H92">
        <v>3</v>
      </c>
      <c r="I92" t="s">
        <v>634</v>
      </c>
      <c r="J92" t="s">
        <v>3</v>
      </c>
      <c r="K92" t="s">
        <v>635</v>
      </c>
      <c r="L92">
        <v>1354</v>
      </c>
      <c r="N92">
        <v>1010</v>
      </c>
      <c r="O92" t="s">
        <v>99</v>
      </c>
      <c r="P92" t="s">
        <v>99</v>
      </c>
      <c r="Q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35</v>
      </c>
      <c r="AG92">
        <v>1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ROW(Source!A40)</f>
        <v>40</v>
      </c>
      <c r="B93">
        <v>85739573</v>
      </c>
      <c r="C93">
        <v>85739517</v>
      </c>
      <c r="D93">
        <v>85164021</v>
      </c>
      <c r="E93">
        <v>1081</v>
      </c>
      <c r="F93">
        <v>1</v>
      </c>
      <c r="G93">
        <v>1081</v>
      </c>
      <c r="H93">
        <v>1</v>
      </c>
      <c r="I93" t="s">
        <v>472</v>
      </c>
      <c r="J93" t="s">
        <v>3</v>
      </c>
      <c r="K93" t="s">
        <v>473</v>
      </c>
      <c r="L93">
        <v>1191</v>
      </c>
      <c r="N93">
        <v>1013</v>
      </c>
      <c r="O93" t="s">
        <v>474</v>
      </c>
      <c r="P93" t="s">
        <v>474</v>
      </c>
      <c r="Q93">
        <v>1</v>
      </c>
      <c r="X93">
        <v>5.4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36</v>
      </c>
      <c r="AG93">
        <v>6.48</v>
      </c>
      <c r="AH93">
        <v>2</v>
      </c>
      <c r="AI93">
        <v>85739573</v>
      </c>
      <c r="AJ93">
        <v>79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ROW(Source!A40)</f>
        <v>40</v>
      </c>
      <c r="B94">
        <v>85739574</v>
      </c>
      <c r="C94">
        <v>85739517</v>
      </c>
      <c r="D94">
        <v>85229932</v>
      </c>
      <c r="E94">
        <v>1</v>
      </c>
      <c r="F94">
        <v>1</v>
      </c>
      <c r="G94">
        <v>1081</v>
      </c>
      <c r="H94">
        <v>2</v>
      </c>
      <c r="I94" t="s">
        <v>482</v>
      </c>
      <c r="J94" t="s">
        <v>483</v>
      </c>
      <c r="K94" t="s">
        <v>484</v>
      </c>
      <c r="L94">
        <v>1368</v>
      </c>
      <c r="N94">
        <v>1011</v>
      </c>
      <c r="O94" t="s">
        <v>478</v>
      </c>
      <c r="P94" t="s">
        <v>478</v>
      </c>
      <c r="Q94">
        <v>1</v>
      </c>
      <c r="X94">
        <v>0.04</v>
      </c>
      <c r="Y94">
        <v>0</v>
      </c>
      <c r="Z94">
        <v>83.1</v>
      </c>
      <c r="AA94">
        <v>12.62</v>
      </c>
      <c r="AB94">
        <v>0</v>
      </c>
      <c r="AC94">
        <v>0</v>
      </c>
      <c r="AD94">
        <v>1</v>
      </c>
      <c r="AE94">
        <v>0</v>
      </c>
      <c r="AF94" t="s">
        <v>36</v>
      </c>
      <c r="AG94">
        <v>4.8000000000000001E-2</v>
      </c>
      <c r="AH94">
        <v>2</v>
      </c>
      <c r="AI94">
        <v>85739574</v>
      </c>
      <c r="AJ94">
        <v>80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ROW(Source!A40)</f>
        <v>40</v>
      </c>
      <c r="B95">
        <v>85739575</v>
      </c>
      <c r="C95">
        <v>85739517</v>
      </c>
      <c r="D95">
        <v>85199562</v>
      </c>
      <c r="E95">
        <v>1</v>
      </c>
      <c r="F95">
        <v>1</v>
      </c>
      <c r="G95">
        <v>1081</v>
      </c>
      <c r="H95">
        <v>3</v>
      </c>
      <c r="I95" t="s">
        <v>537</v>
      </c>
      <c r="J95" t="s">
        <v>538</v>
      </c>
      <c r="K95" t="s">
        <v>539</v>
      </c>
      <c r="L95">
        <v>1348</v>
      </c>
      <c r="N95">
        <v>1009</v>
      </c>
      <c r="O95" t="s">
        <v>266</v>
      </c>
      <c r="P95" t="s">
        <v>266</v>
      </c>
      <c r="Q95">
        <v>1000</v>
      </c>
      <c r="X95">
        <v>1.7000000000000001E-4</v>
      </c>
      <c r="Y95">
        <v>23114.43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 t="s">
        <v>35</v>
      </c>
      <c r="AG95">
        <v>1.7000000000000001E-4</v>
      </c>
      <c r="AH95">
        <v>2</v>
      </c>
      <c r="AI95">
        <v>85739575</v>
      </c>
      <c r="AJ95">
        <v>81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ROW(Source!A40)</f>
        <v>40</v>
      </c>
      <c r="B96">
        <v>85739576</v>
      </c>
      <c r="C96">
        <v>85739517</v>
      </c>
      <c r="D96">
        <v>85156727</v>
      </c>
      <c r="E96">
        <v>1081</v>
      </c>
      <c r="F96">
        <v>1</v>
      </c>
      <c r="G96">
        <v>1081</v>
      </c>
      <c r="H96">
        <v>3</v>
      </c>
      <c r="I96" t="s">
        <v>630</v>
      </c>
      <c r="J96" t="s">
        <v>3</v>
      </c>
      <c r="K96" t="s">
        <v>631</v>
      </c>
      <c r="L96">
        <v>1346</v>
      </c>
      <c r="N96">
        <v>1009</v>
      </c>
      <c r="O96" t="s">
        <v>502</v>
      </c>
      <c r="P96" t="s">
        <v>502</v>
      </c>
      <c r="Q96">
        <v>1</v>
      </c>
      <c r="X96">
        <v>11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35</v>
      </c>
      <c r="AG96">
        <v>11</v>
      </c>
      <c r="AH96">
        <v>3</v>
      </c>
      <c r="AI96">
        <v>-1</v>
      </c>
      <c r="AJ96" t="s">
        <v>3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ROW(Source!A40)</f>
        <v>40</v>
      </c>
      <c r="B97">
        <v>85739577</v>
      </c>
      <c r="C97">
        <v>85739517</v>
      </c>
      <c r="D97">
        <v>85179477</v>
      </c>
      <c r="E97">
        <v>1081</v>
      </c>
      <c r="F97">
        <v>1</v>
      </c>
      <c r="G97">
        <v>1081</v>
      </c>
      <c r="H97">
        <v>3</v>
      </c>
      <c r="I97" t="s">
        <v>634</v>
      </c>
      <c r="J97" t="s">
        <v>3</v>
      </c>
      <c r="K97" t="s">
        <v>635</v>
      </c>
      <c r="L97">
        <v>1354</v>
      </c>
      <c r="N97">
        <v>1010</v>
      </c>
      <c r="O97" t="s">
        <v>99</v>
      </c>
      <c r="P97" t="s">
        <v>99</v>
      </c>
      <c r="Q97">
        <v>1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 t="s">
        <v>35</v>
      </c>
      <c r="AG97">
        <v>1</v>
      </c>
      <c r="AH97">
        <v>3</v>
      </c>
      <c r="AI97">
        <v>-1</v>
      </c>
      <c r="AJ97" t="s">
        <v>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ROW(Source!A41)</f>
        <v>41</v>
      </c>
      <c r="B98">
        <v>85739573</v>
      </c>
      <c r="C98">
        <v>85739517</v>
      </c>
      <c r="D98">
        <v>85164021</v>
      </c>
      <c r="E98">
        <v>1081</v>
      </c>
      <c r="F98">
        <v>1</v>
      </c>
      <c r="G98">
        <v>1081</v>
      </c>
      <c r="H98">
        <v>1</v>
      </c>
      <c r="I98" t="s">
        <v>472</v>
      </c>
      <c r="J98" t="s">
        <v>3</v>
      </c>
      <c r="K98" t="s">
        <v>473</v>
      </c>
      <c r="L98">
        <v>1191</v>
      </c>
      <c r="N98">
        <v>1013</v>
      </c>
      <c r="O98" t="s">
        <v>474</v>
      </c>
      <c r="P98" t="s">
        <v>474</v>
      </c>
      <c r="Q98">
        <v>1</v>
      </c>
      <c r="X98">
        <v>5.4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1</v>
      </c>
      <c r="AF98" t="s">
        <v>36</v>
      </c>
      <c r="AG98">
        <v>6.48</v>
      </c>
      <c r="AH98">
        <v>2</v>
      </c>
      <c r="AI98">
        <v>85739573</v>
      </c>
      <c r="AJ98">
        <v>82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ROW(Source!A41)</f>
        <v>41</v>
      </c>
      <c r="B99">
        <v>85739574</v>
      </c>
      <c r="C99">
        <v>85739517</v>
      </c>
      <c r="D99">
        <v>85229932</v>
      </c>
      <c r="E99">
        <v>1</v>
      </c>
      <c r="F99">
        <v>1</v>
      </c>
      <c r="G99">
        <v>1081</v>
      </c>
      <c r="H99">
        <v>2</v>
      </c>
      <c r="I99" t="s">
        <v>482</v>
      </c>
      <c r="J99" t="s">
        <v>483</v>
      </c>
      <c r="K99" t="s">
        <v>484</v>
      </c>
      <c r="L99">
        <v>1368</v>
      </c>
      <c r="N99">
        <v>1011</v>
      </c>
      <c r="O99" t="s">
        <v>478</v>
      </c>
      <c r="P99" t="s">
        <v>478</v>
      </c>
      <c r="Q99">
        <v>1</v>
      </c>
      <c r="X99">
        <v>0.04</v>
      </c>
      <c r="Y99">
        <v>0</v>
      </c>
      <c r="Z99">
        <v>83.1</v>
      </c>
      <c r="AA99">
        <v>12.62</v>
      </c>
      <c r="AB99">
        <v>0</v>
      </c>
      <c r="AC99">
        <v>0</v>
      </c>
      <c r="AD99">
        <v>1</v>
      </c>
      <c r="AE99">
        <v>0</v>
      </c>
      <c r="AF99" t="s">
        <v>36</v>
      </c>
      <c r="AG99">
        <v>4.8000000000000001E-2</v>
      </c>
      <c r="AH99">
        <v>2</v>
      </c>
      <c r="AI99">
        <v>85739574</v>
      </c>
      <c r="AJ99">
        <v>83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ROW(Source!A41)</f>
        <v>41</v>
      </c>
      <c r="B100">
        <v>85739575</v>
      </c>
      <c r="C100">
        <v>85739517</v>
      </c>
      <c r="D100">
        <v>85199562</v>
      </c>
      <c r="E100">
        <v>1</v>
      </c>
      <c r="F100">
        <v>1</v>
      </c>
      <c r="G100">
        <v>1081</v>
      </c>
      <c r="H100">
        <v>3</v>
      </c>
      <c r="I100" t="s">
        <v>537</v>
      </c>
      <c r="J100" t="s">
        <v>538</v>
      </c>
      <c r="K100" t="s">
        <v>539</v>
      </c>
      <c r="L100">
        <v>1348</v>
      </c>
      <c r="N100">
        <v>1009</v>
      </c>
      <c r="O100" t="s">
        <v>266</v>
      </c>
      <c r="P100" t="s">
        <v>266</v>
      </c>
      <c r="Q100">
        <v>1000</v>
      </c>
      <c r="X100">
        <v>1.7000000000000001E-4</v>
      </c>
      <c r="Y100">
        <v>23114.43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35</v>
      </c>
      <c r="AG100">
        <v>1.7000000000000001E-4</v>
      </c>
      <c r="AH100">
        <v>2</v>
      </c>
      <c r="AI100">
        <v>85739575</v>
      </c>
      <c r="AJ100">
        <v>84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ROW(Source!A41)</f>
        <v>41</v>
      </c>
      <c r="B101">
        <v>85739576</v>
      </c>
      <c r="C101">
        <v>85739517</v>
      </c>
      <c r="D101">
        <v>85156727</v>
      </c>
      <c r="E101">
        <v>1081</v>
      </c>
      <c r="F101">
        <v>1</v>
      </c>
      <c r="G101">
        <v>1081</v>
      </c>
      <c r="H101">
        <v>3</v>
      </c>
      <c r="I101" t="s">
        <v>630</v>
      </c>
      <c r="J101" t="s">
        <v>3</v>
      </c>
      <c r="K101" t="s">
        <v>631</v>
      </c>
      <c r="L101">
        <v>1346</v>
      </c>
      <c r="N101">
        <v>1009</v>
      </c>
      <c r="O101" t="s">
        <v>502</v>
      </c>
      <c r="P101" t="s">
        <v>502</v>
      </c>
      <c r="Q101">
        <v>1</v>
      </c>
      <c r="X101">
        <v>11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 t="s">
        <v>35</v>
      </c>
      <c r="AG101">
        <v>11</v>
      </c>
      <c r="AH101">
        <v>3</v>
      </c>
      <c r="AI101">
        <v>-1</v>
      </c>
      <c r="AJ101" t="s">
        <v>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ROW(Source!A41)</f>
        <v>41</v>
      </c>
      <c r="B102">
        <v>85739577</v>
      </c>
      <c r="C102">
        <v>85739517</v>
      </c>
      <c r="D102">
        <v>85179477</v>
      </c>
      <c r="E102">
        <v>1081</v>
      </c>
      <c r="F102">
        <v>1</v>
      </c>
      <c r="G102">
        <v>1081</v>
      </c>
      <c r="H102">
        <v>3</v>
      </c>
      <c r="I102" t="s">
        <v>634</v>
      </c>
      <c r="J102" t="s">
        <v>3</v>
      </c>
      <c r="K102" t="s">
        <v>635</v>
      </c>
      <c r="L102">
        <v>1354</v>
      </c>
      <c r="N102">
        <v>1010</v>
      </c>
      <c r="O102" t="s">
        <v>99</v>
      </c>
      <c r="P102" t="s">
        <v>99</v>
      </c>
      <c r="Q102">
        <v>1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35</v>
      </c>
      <c r="AG102">
        <v>1</v>
      </c>
      <c r="AH102">
        <v>3</v>
      </c>
      <c r="AI102">
        <v>-1</v>
      </c>
      <c r="AJ102" t="s">
        <v>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ROW(Source!A42)</f>
        <v>42</v>
      </c>
      <c r="B103">
        <v>85739608</v>
      </c>
      <c r="C103">
        <v>85739518</v>
      </c>
      <c r="D103">
        <v>85164021</v>
      </c>
      <c r="E103">
        <v>1081</v>
      </c>
      <c r="F103">
        <v>1</v>
      </c>
      <c r="G103">
        <v>1081</v>
      </c>
      <c r="H103">
        <v>1</v>
      </c>
      <c r="I103" t="s">
        <v>472</v>
      </c>
      <c r="J103" t="s">
        <v>3</v>
      </c>
      <c r="K103" t="s">
        <v>473</v>
      </c>
      <c r="L103">
        <v>1191</v>
      </c>
      <c r="N103">
        <v>1013</v>
      </c>
      <c r="O103" t="s">
        <v>474</v>
      </c>
      <c r="P103" t="s">
        <v>474</v>
      </c>
      <c r="Q103">
        <v>1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 t="s">
        <v>36</v>
      </c>
      <c r="AG103">
        <v>3.5999999999999996</v>
      </c>
      <c r="AH103">
        <v>2</v>
      </c>
      <c r="AI103">
        <v>85739608</v>
      </c>
      <c r="AJ103">
        <v>85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ROW(Source!A42)</f>
        <v>42</v>
      </c>
      <c r="B104">
        <v>85739609</v>
      </c>
      <c r="C104">
        <v>85739518</v>
      </c>
      <c r="D104">
        <v>85199562</v>
      </c>
      <c r="E104">
        <v>1</v>
      </c>
      <c r="F104">
        <v>1</v>
      </c>
      <c r="G104">
        <v>1081</v>
      </c>
      <c r="H104">
        <v>3</v>
      </c>
      <c r="I104" t="s">
        <v>537</v>
      </c>
      <c r="J104" t="s">
        <v>538</v>
      </c>
      <c r="K104" t="s">
        <v>539</v>
      </c>
      <c r="L104">
        <v>1348</v>
      </c>
      <c r="N104">
        <v>1009</v>
      </c>
      <c r="O104" t="s">
        <v>266</v>
      </c>
      <c r="P104" t="s">
        <v>266</v>
      </c>
      <c r="Q104">
        <v>1000</v>
      </c>
      <c r="X104">
        <v>3.0000000000000001E-5</v>
      </c>
      <c r="Y104">
        <v>23114.43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35</v>
      </c>
      <c r="AG104">
        <v>3.0000000000000001E-5</v>
      </c>
      <c r="AH104">
        <v>2</v>
      </c>
      <c r="AI104">
        <v>85739609</v>
      </c>
      <c r="AJ104">
        <v>86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ROW(Source!A42)</f>
        <v>42</v>
      </c>
      <c r="B105">
        <v>85739610</v>
      </c>
      <c r="C105">
        <v>85739518</v>
      </c>
      <c r="D105">
        <v>85156727</v>
      </c>
      <c r="E105">
        <v>1081</v>
      </c>
      <c r="F105">
        <v>1</v>
      </c>
      <c r="G105">
        <v>1081</v>
      </c>
      <c r="H105">
        <v>3</v>
      </c>
      <c r="I105" t="s">
        <v>630</v>
      </c>
      <c r="J105" t="s">
        <v>3</v>
      </c>
      <c r="K105" t="s">
        <v>631</v>
      </c>
      <c r="L105">
        <v>1346</v>
      </c>
      <c r="N105">
        <v>1009</v>
      </c>
      <c r="O105" t="s">
        <v>502</v>
      </c>
      <c r="P105" t="s">
        <v>502</v>
      </c>
      <c r="Q105">
        <v>1</v>
      </c>
      <c r="X105">
        <v>0.84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35</v>
      </c>
      <c r="AG105">
        <v>0.84</v>
      </c>
      <c r="AH105">
        <v>3</v>
      </c>
      <c r="AI105">
        <v>-1</v>
      </c>
      <c r="AJ105" t="s">
        <v>3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ROW(Source!A42)</f>
        <v>42</v>
      </c>
      <c r="B106">
        <v>85739611</v>
      </c>
      <c r="C106">
        <v>85739518</v>
      </c>
      <c r="D106">
        <v>85179477</v>
      </c>
      <c r="E106">
        <v>1081</v>
      </c>
      <c r="F106">
        <v>1</v>
      </c>
      <c r="G106">
        <v>1081</v>
      </c>
      <c r="H106">
        <v>3</v>
      </c>
      <c r="I106" t="s">
        <v>634</v>
      </c>
      <c r="J106" t="s">
        <v>3</v>
      </c>
      <c r="K106" t="s">
        <v>635</v>
      </c>
      <c r="L106">
        <v>1354</v>
      </c>
      <c r="N106">
        <v>1010</v>
      </c>
      <c r="O106" t="s">
        <v>99</v>
      </c>
      <c r="P106" t="s">
        <v>99</v>
      </c>
      <c r="Q106">
        <v>1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35</v>
      </c>
      <c r="AG106">
        <v>1</v>
      </c>
      <c r="AH106">
        <v>3</v>
      </c>
      <c r="AI106">
        <v>-1</v>
      </c>
      <c r="AJ106" t="s">
        <v>3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ROW(Source!A43)</f>
        <v>43</v>
      </c>
      <c r="B107">
        <v>85739608</v>
      </c>
      <c r="C107">
        <v>85739518</v>
      </c>
      <c r="D107">
        <v>85164021</v>
      </c>
      <c r="E107">
        <v>1081</v>
      </c>
      <c r="F107">
        <v>1</v>
      </c>
      <c r="G107">
        <v>1081</v>
      </c>
      <c r="H107">
        <v>1</v>
      </c>
      <c r="I107" t="s">
        <v>472</v>
      </c>
      <c r="J107" t="s">
        <v>3</v>
      </c>
      <c r="K107" t="s">
        <v>473</v>
      </c>
      <c r="L107">
        <v>1191</v>
      </c>
      <c r="N107">
        <v>1013</v>
      </c>
      <c r="O107" t="s">
        <v>474</v>
      </c>
      <c r="P107" t="s">
        <v>474</v>
      </c>
      <c r="Q107">
        <v>1</v>
      </c>
      <c r="X107">
        <v>3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 t="s">
        <v>36</v>
      </c>
      <c r="AG107">
        <v>3.5999999999999996</v>
      </c>
      <c r="AH107">
        <v>2</v>
      </c>
      <c r="AI107">
        <v>85739608</v>
      </c>
      <c r="AJ107">
        <v>87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ROW(Source!A43)</f>
        <v>43</v>
      </c>
      <c r="B108">
        <v>85739609</v>
      </c>
      <c r="C108">
        <v>85739518</v>
      </c>
      <c r="D108">
        <v>85199562</v>
      </c>
      <c r="E108">
        <v>1</v>
      </c>
      <c r="F108">
        <v>1</v>
      </c>
      <c r="G108">
        <v>1081</v>
      </c>
      <c r="H108">
        <v>3</v>
      </c>
      <c r="I108" t="s">
        <v>537</v>
      </c>
      <c r="J108" t="s">
        <v>538</v>
      </c>
      <c r="K108" t="s">
        <v>539</v>
      </c>
      <c r="L108">
        <v>1348</v>
      </c>
      <c r="N108">
        <v>1009</v>
      </c>
      <c r="O108" t="s">
        <v>266</v>
      </c>
      <c r="P108" t="s">
        <v>266</v>
      </c>
      <c r="Q108">
        <v>1000</v>
      </c>
      <c r="X108">
        <v>3.0000000000000001E-5</v>
      </c>
      <c r="Y108">
        <v>23114.43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35</v>
      </c>
      <c r="AG108">
        <v>3.0000000000000001E-5</v>
      </c>
      <c r="AH108">
        <v>2</v>
      </c>
      <c r="AI108">
        <v>85739609</v>
      </c>
      <c r="AJ108">
        <v>88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ROW(Source!A43)</f>
        <v>43</v>
      </c>
      <c r="B109">
        <v>85739610</v>
      </c>
      <c r="C109">
        <v>85739518</v>
      </c>
      <c r="D109">
        <v>85156727</v>
      </c>
      <c r="E109">
        <v>1081</v>
      </c>
      <c r="F109">
        <v>1</v>
      </c>
      <c r="G109">
        <v>1081</v>
      </c>
      <c r="H109">
        <v>3</v>
      </c>
      <c r="I109" t="s">
        <v>630</v>
      </c>
      <c r="J109" t="s">
        <v>3</v>
      </c>
      <c r="K109" t="s">
        <v>631</v>
      </c>
      <c r="L109">
        <v>1346</v>
      </c>
      <c r="N109">
        <v>1009</v>
      </c>
      <c r="O109" t="s">
        <v>502</v>
      </c>
      <c r="P109" t="s">
        <v>502</v>
      </c>
      <c r="Q109">
        <v>1</v>
      </c>
      <c r="X109">
        <v>0.84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 t="s">
        <v>35</v>
      </c>
      <c r="AG109">
        <v>0.84</v>
      </c>
      <c r="AH109">
        <v>3</v>
      </c>
      <c r="AI109">
        <v>-1</v>
      </c>
      <c r="AJ109" t="s">
        <v>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ROW(Source!A43)</f>
        <v>43</v>
      </c>
      <c r="B110">
        <v>85739611</v>
      </c>
      <c r="C110">
        <v>85739518</v>
      </c>
      <c r="D110">
        <v>85179477</v>
      </c>
      <c r="E110">
        <v>1081</v>
      </c>
      <c r="F110">
        <v>1</v>
      </c>
      <c r="G110">
        <v>1081</v>
      </c>
      <c r="H110">
        <v>3</v>
      </c>
      <c r="I110" t="s">
        <v>634</v>
      </c>
      <c r="J110" t="s">
        <v>3</v>
      </c>
      <c r="K110" t="s">
        <v>635</v>
      </c>
      <c r="L110">
        <v>1354</v>
      </c>
      <c r="N110">
        <v>1010</v>
      </c>
      <c r="O110" t="s">
        <v>99</v>
      </c>
      <c r="P110" t="s">
        <v>99</v>
      </c>
      <c r="Q110">
        <v>1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t="s">
        <v>35</v>
      </c>
      <c r="AG110">
        <v>1</v>
      </c>
      <c r="AH110">
        <v>3</v>
      </c>
      <c r="AI110">
        <v>-1</v>
      </c>
      <c r="AJ110" t="s">
        <v>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ROW(Source!A44)</f>
        <v>44</v>
      </c>
      <c r="B111">
        <v>85739620</v>
      </c>
      <c r="C111">
        <v>85739615</v>
      </c>
      <c r="D111">
        <v>85164021</v>
      </c>
      <c r="E111">
        <v>1081</v>
      </c>
      <c r="F111">
        <v>1</v>
      </c>
      <c r="G111">
        <v>1081</v>
      </c>
      <c r="H111">
        <v>1</v>
      </c>
      <c r="I111" t="s">
        <v>472</v>
      </c>
      <c r="J111" t="s">
        <v>3</v>
      </c>
      <c r="K111" t="s">
        <v>473</v>
      </c>
      <c r="L111">
        <v>1191</v>
      </c>
      <c r="N111">
        <v>1013</v>
      </c>
      <c r="O111" t="s">
        <v>474</v>
      </c>
      <c r="P111" t="s">
        <v>474</v>
      </c>
      <c r="Q111">
        <v>1</v>
      </c>
      <c r="X111">
        <v>0.22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1</v>
      </c>
      <c r="AF111" t="s">
        <v>79</v>
      </c>
      <c r="AG111">
        <v>0.30359999999999998</v>
      </c>
      <c r="AH111">
        <v>2</v>
      </c>
      <c r="AI111">
        <v>85739620</v>
      </c>
      <c r="AJ111">
        <v>89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ROW(Source!A44)</f>
        <v>44</v>
      </c>
      <c r="B112">
        <v>85739621</v>
      </c>
      <c r="C112">
        <v>85739615</v>
      </c>
      <c r="D112">
        <v>85200671</v>
      </c>
      <c r="E112">
        <v>1</v>
      </c>
      <c r="F112">
        <v>1</v>
      </c>
      <c r="G112">
        <v>1081</v>
      </c>
      <c r="H112">
        <v>3</v>
      </c>
      <c r="I112" t="s">
        <v>516</v>
      </c>
      <c r="J112" t="s">
        <v>517</v>
      </c>
      <c r="K112" t="s">
        <v>518</v>
      </c>
      <c r="L112">
        <v>1346</v>
      </c>
      <c r="N112">
        <v>1009</v>
      </c>
      <c r="O112" t="s">
        <v>502</v>
      </c>
      <c r="P112" t="s">
        <v>502</v>
      </c>
      <c r="Q112">
        <v>1</v>
      </c>
      <c r="X112">
        <v>0.01</v>
      </c>
      <c r="Y112">
        <v>37.979999999999997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77</v>
      </c>
      <c r="AG112">
        <v>0.01</v>
      </c>
      <c r="AH112">
        <v>2</v>
      </c>
      <c r="AI112">
        <v>85739621</v>
      </c>
      <c r="AJ112">
        <v>90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ROW(Source!A44)</f>
        <v>44</v>
      </c>
      <c r="B113">
        <v>85739622</v>
      </c>
      <c r="C113">
        <v>85739615</v>
      </c>
      <c r="D113">
        <v>85199230</v>
      </c>
      <c r="E113">
        <v>1</v>
      </c>
      <c r="F113">
        <v>1</v>
      </c>
      <c r="G113">
        <v>1081</v>
      </c>
      <c r="H113">
        <v>3</v>
      </c>
      <c r="I113" t="s">
        <v>519</v>
      </c>
      <c r="J113" t="s">
        <v>520</v>
      </c>
      <c r="K113" t="s">
        <v>521</v>
      </c>
      <c r="L113">
        <v>1348</v>
      </c>
      <c r="N113">
        <v>1009</v>
      </c>
      <c r="O113" t="s">
        <v>266</v>
      </c>
      <c r="P113" t="s">
        <v>266</v>
      </c>
      <c r="Q113">
        <v>1000</v>
      </c>
      <c r="X113">
        <v>3.0000000000000001E-5</v>
      </c>
      <c r="Y113">
        <v>16214.84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77</v>
      </c>
      <c r="AG113">
        <v>3.0000000000000001E-5</v>
      </c>
      <c r="AH113">
        <v>2</v>
      </c>
      <c r="AI113">
        <v>85739622</v>
      </c>
      <c r="AJ113">
        <v>91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ROW(Source!A44)</f>
        <v>44</v>
      </c>
      <c r="B114">
        <v>85739623</v>
      </c>
      <c r="C114">
        <v>85739615</v>
      </c>
      <c r="D114">
        <v>85199398</v>
      </c>
      <c r="E114">
        <v>1</v>
      </c>
      <c r="F114">
        <v>1</v>
      </c>
      <c r="G114">
        <v>1081</v>
      </c>
      <c r="H114">
        <v>3</v>
      </c>
      <c r="I114" t="s">
        <v>522</v>
      </c>
      <c r="J114" t="s">
        <v>523</v>
      </c>
      <c r="K114" t="s">
        <v>524</v>
      </c>
      <c r="L114">
        <v>1346</v>
      </c>
      <c r="N114">
        <v>1009</v>
      </c>
      <c r="O114" t="s">
        <v>502</v>
      </c>
      <c r="P114" t="s">
        <v>502</v>
      </c>
      <c r="Q114">
        <v>1</v>
      </c>
      <c r="X114">
        <v>3.0000000000000001E-3</v>
      </c>
      <c r="Y114">
        <v>20.190000000000001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77</v>
      </c>
      <c r="AG114">
        <v>3.0000000000000001E-3</v>
      </c>
      <c r="AH114">
        <v>2</v>
      </c>
      <c r="AI114">
        <v>85739623</v>
      </c>
      <c r="AJ114">
        <v>92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ROW(Source!A44)</f>
        <v>44</v>
      </c>
      <c r="B115">
        <v>85739624</v>
      </c>
      <c r="C115">
        <v>85739615</v>
      </c>
      <c r="D115">
        <v>85179520</v>
      </c>
      <c r="E115">
        <v>1081</v>
      </c>
      <c r="F115">
        <v>1</v>
      </c>
      <c r="G115">
        <v>1081</v>
      </c>
      <c r="H115">
        <v>3</v>
      </c>
      <c r="I115" t="s">
        <v>636</v>
      </c>
      <c r="J115" t="s">
        <v>3</v>
      </c>
      <c r="K115" t="s">
        <v>637</v>
      </c>
      <c r="L115">
        <v>1354</v>
      </c>
      <c r="N115">
        <v>1010</v>
      </c>
      <c r="O115" t="s">
        <v>99</v>
      </c>
      <c r="P115" t="s">
        <v>99</v>
      </c>
      <c r="Q115">
        <v>1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 t="s">
        <v>77</v>
      </c>
      <c r="AG115">
        <v>1</v>
      </c>
      <c r="AH115">
        <v>3</v>
      </c>
      <c r="AI115">
        <v>-1</v>
      </c>
      <c r="AJ115" t="s">
        <v>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ROW(Source!A44)</f>
        <v>44</v>
      </c>
      <c r="B116">
        <v>85739625</v>
      </c>
      <c r="C116">
        <v>85739615</v>
      </c>
      <c r="D116">
        <v>85180667</v>
      </c>
      <c r="E116">
        <v>1081</v>
      </c>
      <c r="F116">
        <v>1</v>
      </c>
      <c r="G116">
        <v>1081</v>
      </c>
      <c r="H116">
        <v>3</v>
      </c>
      <c r="I116" t="s">
        <v>638</v>
      </c>
      <c r="J116" t="s">
        <v>3</v>
      </c>
      <c r="K116" t="s">
        <v>639</v>
      </c>
      <c r="L116">
        <v>1354</v>
      </c>
      <c r="N116">
        <v>1010</v>
      </c>
      <c r="O116" t="s">
        <v>99</v>
      </c>
      <c r="P116" t="s">
        <v>99</v>
      </c>
      <c r="Q116">
        <v>1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77</v>
      </c>
      <c r="AG116">
        <v>1</v>
      </c>
      <c r="AH116">
        <v>3</v>
      </c>
      <c r="AI116">
        <v>-1</v>
      </c>
      <c r="AJ116" t="s">
        <v>3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ROW(Source!A45)</f>
        <v>45</v>
      </c>
      <c r="B117">
        <v>85739620</v>
      </c>
      <c r="C117">
        <v>85739615</v>
      </c>
      <c r="D117">
        <v>85164021</v>
      </c>
      <c r="E117">
        <v>1081</v>
      </c>
      <c r="F117">
        <v>1</v>
      </c>
      <c r="G117">
        <v>1081</v>
      </c>
      <c r="H117">
        <v>1</v>
      </c>
      <c r="I117" t="s">
        <v>472</v>
      </c>
      <c r="J117" t="s">
        <v>3</v>
      </c>
      <c r="K117" t="s">
        <v>473</v>
      </c>
      <c r="L117">
        <v>1191</v>
      </c>
      <c r="N117">
        <v>1013</v>
      </c>
      <c r="O117" t="s">
        <v>474</v>
      </c>
      <c r="P117" t="s">
        <v>474</v>
      </c>
      <c r="Q117">
        <v>1</v>
      </c>
      <c r="X117">
        <v>0.22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1</v>
      </c>
      <c r="AF117" t="s">
        <v>79</v>
      </c>
      <c r="AG117">
        <v>0.30359999999999998</v>
      </c>
      <c r="AH117">
        <v>2</v>
      </c>
      <c r="AI117">
        <v>85739620</v>
      </c>
      <c r="AJ117">
        <v>93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ROW(Source!A45)</f>
        <v>45</v>
      </c>
      <c r="B118">
        <v>85739621</v>
      </c>
      <c r="C118">
        <v>85739615</v>
      </c>
      <c r="D118">
        <v>85200671</v>
      </c>
      <c r="E118">
        <v>1</v>
      </c>
      <c r="F118">
        <v>1</v>
      </c>
      <c r="G118">
        <v>1081</v>
      </c>
      <c r="H118">
        <v>3</v>
      </c>
      <c r="I118" t="s">
        <v>516</v>
      </c>
      <c r="J118" t="s">
        <v>517</v>
      </c>
      <c r="K118" t="s">
        <v>518</v>
      </c>
      <c r="L118">
        <v>1346</v>
      </c>
      <c r="N118">
        <v>1009</v>
      </c>
      <c r="O118" t="s">
        <v>502</v>
      </c>
      <c r="P118" t="s">
        <v>502</v>
      </c>
      <c r="Q118">
        <v>1</v>
      </c>
      <c r="X118">
        <v>0.01</v>
      </c>
      <c r="Y118">
        <v>37.979999999999997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77</v>
      </c>
      <c r="AG118">
        <v>0.01</v>
      </c>
      <c r="AH118">
        <v>2</v>
      </c>
      <c r="AI118">
        <v>85739621</v>
      </c>
      <c r="AJ118">
        <v>94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ROW(Source!A45)</f>
        <v>45</v>
      </c>
      <c r="B119">
        <v>85739622</v>
      </c>
      <c r="C119">
        <v>85739615</v>
      </c>
      <c r="D119">
        <v>85199230</v>
      </c>
      <c r="E119">
        <v>1</v>
      </c>
      <c r="F119">
        <v>1</v>
      </c>
      <c r="G119">
        <v>1081</v>
      </c>
      <c r="H119">
        <v>3</v>
      </c>
      <c r="I119" t="s">
        <v>519</v>
      </c>
      <c r="J119" t="s">
        <v>520</v>
      </c>
      <c r="K119" t="s">
        <v>521</v>
      </c>
      <c r="L119">
        <v>1348</v>
      </c>
      <c r="N119">
        <v>1009</v>
      </c>
      <c r="O119" t="s">
        <v>266</v>
      </c>
      <c r="P119" t="s">
        <v>266</v>
      </c>
      <c r="Q119">
        <v>1000</v>
      </c>
      <c r="X119">
        <v>3.0000000000000001E-5</v>
      </c>
      <c r="Y119">
        <v>16214.84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 t="s">
        <v>77</v>
      </c>
      <c r="AG119">
        <v>3.0000000000000001E-5</v>
      </c>
      <c r="AH119">
        <v>2</v>
      </c>
      <c r="AI119">
        <v>85739622</v>
      </c>
      <c r="AJ119">
        <v>95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ROW(Source!A45)</f>
        <v>45</v>
      </c>
      <c r="B120">
        <v>85739623</v>
      </c>
      <c r="C120">
        <v>85739615</v>
      </c>
      <c r="D120">
        <v>85199398</v>
      </c>
      <c r="E120">
        <v>1</v>
      </c>
      <c r="F120">
        <v>1</v>
      </c>
      <c r="G120">
        <v>1081</v>
      </c>
      <c r="H120">
        <v>3</v>
      </c>
      <c r="I120" t="s">
        <v>522</v>
      </c>
      <c r="J120" t="s">
        <v>523</v>
      </c>
      <c r="K120" t="s">
        <v>524</v>
      </c>
      <c r="L120">
        <v>1346</v>
      </c>
      <c r="N120">
        <v>1009</v>
      </c>
      <c r="O120" t="s">
        <v>502</v>
      </c>
      <c r="P120" t="s">
        <v>502</v>
      </c>
      <c r="Q120">
        <v>1</v>
      </c>
      <c r="X120">
        <v>3.0000000000000001E-3</v>
      </c>
      <c r="Y120">
        <v>20.190000000000001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0</v>
      </c>
      <c r="AF120" t="s">
        <v>77</v>
      </c>
      <c r="AG120">
        <v>3.0000000000000001E-3</v>
      </c>
      <c r="AH120">
        <v>2</v>
      </c>
      <c r="AI120">
        <v>85739623</v>
      </c>
      <c r="AJ120">
        <v>96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ROW(Source!A45)</f>
        <v>45</v>
      </c>
      <c r="B121">
        <v>85739624</v>
      </c>
      <c r="C121">
        <v>85739615</v>
      </c>
      <c r="D121">
        <v>85179520</v>
      </c>
      <c r="E121">
        <v>1081</v>
      </c>
      <c r="F121">
        <v>1</v>
      </c>
      <c r="G121">
        <v>1081</v>
      </c>
      <c r="H121">
        <v>3</v>
      </c>
      <c r="I121" t="s">
        <v>636</v>
      </c>
      <c r="J121" t="s">
        <v>3</v>
      </c>
      <c r="K121" t="s">
        <v>637</v>
      </c>
      <c r="L121">
        <v>1354</v>
      </c>
      <c r="N121">
        <v>1010</v>
      </c>
      <c r="O121" t="s">
        <v>99</v>
      </c>
      <c r="P121" t="s">
        <v>99</v>
      </c>
      <c r="Q121">
        <v>1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t="s">
        <v>77</v>
      </c>
      <c r="AG121">
        <v>1</v>
      </c>
      <c r="AH121">
        <v>3</v>
      </c>
      <c r="AI121">
        <v>-1</v>
      </c>
      <c r="AJ121" t="s">
        <v>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ROW(Source!A45)</f>
        <v>45</v>
      </c>
      <c r="B122">
        <v>85739625</v>
      </c>
      <c r="C122">
        <v>85739615</v>
      </c>
      <c r="D122">
        <v>85180667</v>
      </c>
      <c r="E122">
        <v>1081</v>
      </c>
      <c r="F122">
        <v>1</v>
      </c>
      <c r="G122">
        <v>1081</v>
      </c>
      <c r="H122">
        <v>3</v>
      </c>
      <c r="I122" t="s">
        <v>638</v>
      </c>
      <c r="J122" t="s">
        <v>3</v>
      </c>
      <c r="K122" t="s">
        <v>639</v>
      </c>
      <c r="L122">
        <v>1354</v>
      </c>
      <c r="N122">
        <v>1010</v>
      </c>
      <c r="O122" t="s">
        <v>99</v>
      </c>
      <c r="P122" t="s">
        <v>99</v>
      </c>
      <c r="Q122">
        <v>1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 t="s">
        <v>77</v>
      </c>
      <c r="AG122">
        <v>1</v>
      </c>
      <c r="AH122">
        <v>3</v>
      </c>
      <c r="AI122">
        <v>-1</v>
      </c>
      <c r="AJ122" t="s">
        <v>3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ROW(Source!A48)</f>
        <v>48</v>
      </c>
      <c r="B123">
        <v>85739637</v>
      </c>
      <c r="C123">
        <v>85739616</v>
      </c>
      <c r="D123">
        <v>85164021</v>
      </c>
      <c r="E123">
        <v>1081</v>
      </c>
      <c r="F123">
        <v>1</v>
      </c>
      <c r="G123">
        <v>1081</v>
      </c>
      <c r="H123">
        <v>1</v>
      </c>
      <c r="I123" t="s">
        <v>472</v>
      </c>
      <c r="J123" t="s">
        <v>3</v>
      </c>
      <c r="K123" t="s">
        <v>473</v>
      </c>
      <c r="L123">
        <v>1191</v>
      </c>
      <c r="N123">
        <v>1013</v>
      </c>
      <c r="O123" t="s">
        <v>474</v>
      </c>
      <c r="P123" t="s">
        <v>474</v>
      </c>
      <c r="Q123">
        <v>1</v>
      </c>
      <c r="X123">
        <v>5.5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1</v>
      </c>
      <c r="AF123" t="s">
        <v>36</v>
      </c>
      <c r="AG123">
        <v>6.6</v>
      </c>
      <c r="AH123">
        <v>2</v>
      </c>
      <c r="AI123">
        <v>85739637</v>
      </c>
      <c r="AJ123">
        <v>97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ROW(Source!A48)</f>
        <v>48</v>
      </c>
      <c r="B124">
        <v>85739638</v>
      </c>
      <c r="C124">
        <v>85739616</v>
      </c>
      <c r="D124">
        <v>85229932</v>
      </c>
      <c r="E124">
        <v>1</v>
      </c>
      <c r="F124">
        <v>1</v>
      </c>
      <c r="G124">
        <v>1081</v>
      </c>
      <c r="H124">
        <v>2</v>
      </c>
      <c r="I124" t="s">
        <v>482</v>
      </c>
      <c r="J124" t="s">
        <v>483</v>
      </c>
      <c r="K124" t="s">
        <v>484</v>
      </c>
      <c r="L124">
        <v>1368</v>
      </c>
      <c r="N124">
        <v>1011</v>
      </c>
      <c r="O124" t="s">
        <v>478</v>
      </c>
      <c r="P124" t="s">
        <v>478</v>
      </c>
      <c r="Q124">
        <v>1</v>
      </c>
      <c r="X124">
        <v>0.09</v>
      </c>
      <c r="Y124">
        <v>0</v>
      </c>
      <c r="Z124">
        <v>83.1</v>
      </c>
      <c r="AA124">
        <v>12.62</v>
      </c>
      <c r="AB124">
        <v>0</v>
      </c>
      <c r="AC124">
        <v>0</v>
      </c>
      <c r="AD124">
        <v>1</v>
      </c>
      <c r="AE124">
        <v>0</v>
      </c>
      <c r="AF124" t="s">
        <v>36</v>
      </c>
      <c r="AG124">
        <v>0.108</v>
      </c>
      <c r="AH124">
        <v>2</v>
      </c>
      <c r="AI124">
        <v>85739638</v>
      </c>
      <c r="AJ124">
        <v>98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ROW(Source!A48)</f>
        <v>48</v>
      </c>
      <c r="B125">
        <v>85739639</v>
      </c>
      <c r="C125">
        <v>85739616</v>
      </c>
      <c r="D125">
        <v>85199562</v>
      </c>
      <c r="E125">
        <v>1</v>
      </c>
      <c r="F125">
        <v>1</v>
      </c>
      <c r="G125">
        <v>1081</v>
      </c>
      <c r="H125">
        <v>3</v>
      </c>
      <c r="I125" t="s">
        <v>537</v>
      </c>
      <c r="J125" t="s">
        <v>538</v>
      </c>
      <c r="K125" t="s">
        <v>539</v>
      </c>
      <c r="L125">
        <v>1348</v>
      </c>
      <c r="N125">
        <v>1009</v>
      </c>
      <c r="O125" t="s">
        <v>266</v>
      </c>
      <c r="P125" t="s">
        <v>266</v>
      </c>
      <c r="Q125">
        <v>1000</v>
      </c>
      <c r="X125">
        <v>1.7000000000000001E-4</v>
      </c>
      <c r="Y125">
        <v>23114.43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 t="s">
        <v>35</v>
      </c>
      <c r="AG125">
        <v>1.7000000000000001E-4</v>
      </c>
      <c r="AH125">
        <v>2</v>
      </c>
      <c r="AI125">
        <v>85739639</v>
      </c>
      <c r="AJ125">
        <v>99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ROW(Source!A48)</f>
        <v>48</v>
      </c>
      <c r="B126">
        <v>85739640</v>
      </c>
      <c r="C126">
        <v>85739616</v>
      </c>
      <c r="D126">
        <v>85156727</v>
      </c>
      <c r="E126">
        <v>1081</v>
      </c>
      <c r="F126">
        <v>1</v>
      </c>
      <c r="G126">
        <v>1081</v>
      </c>
      <c r="H126">
        <v>3</v>
      </c>
      <c r="I126" t="s">
        <v>630</v>
      </c>
      <c r="J126" t="s">
        <v>3</v>
      </c>
      <c r="K126" t="s">
        <v>631</v>
      </c>
      <c r="L126">
        <v>1346</v>
      </c>
      <c r="N126">
        <v>1009</v>
      </c>
      <c r="O126" t="s">
        <v>502</v>
      </c>
      <c r="P126" t="s">
        <v>502</v>
      </c>
      <c r="Q126">
        <v>1</v>
      </c>
      <c r="X126">
        <v>7.1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 t="s">
        <v>35</v>
      </c>
      <c r="AG126">
        <v>7.1</v>
      </c>
      <c r="AH126">
        <v>3</v>
      </c>
      <c r="AI126">
        <v>-1</v>
      </c>
      <c r="AJ126" t="s">
        <v>3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ROW(Source!A48)</f>
        <v>48</v>
      </c>
      <c r="B127">
        <v>85739641</v>
      </c>
      <c r="C127">
        <v>85739616</v>
      </c>
      <c r="D127">
        <v>85179477</v>
      </c>
      <c r="E127">
        <v>1081</v>
      </c>
      <c r="F127">
        <v>1</v>
      </c>
      <c r="G127">
        <v>1081</v>
      </c>
      <c r="H127">
        <v>3</v>
      </c>
      <c r="I127" t="s">
        <v>634</v>
      </c>
      <c r="J127" t="s">
        <v>3</v>
      </c>
      <c r="K127" t="s">
        <v>635</v>
      </c>
      <c r="L127">
        <v>1354</v>
      </c>
      <c r="N127">
        <v>1010</v>
      </c>
      <c r="O127" t="s">
        <v>99</v>
      </c>
      <c r="P127" t="s">
        <v>99</v>
      </c>
      <c r="Q127">
        <v>1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 t="s">
        <v>35</v>
      </c>
      <c r="AG127">
        <v>1</v>
      </c>
      <c r="AH127">
        <v>3</v>
      </c>
      <c r="AI127">
        <v>-1</v>
      </c>
      <c r="AJ127" t="s">
        <v>3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ROW(Source!A49)</f>
        <v>49</v>
      </c>
      <c r="B128">
        <v>85739637</v>
      </c>
      <c r="C128">
        <v>85739616</v>
      </c>
      <c r="D128">
        <v>85164021</v>
      </c>
      <c r="E128">
        <v>1081</v>
      </c>
      <c r="F128">
        <v>1</v>
      </c>
      <c r="G128">
        <v>1081</v>
      </c>
      <c r="H128">
        <v>1</v>
      </c>
      <c r="I128" t="s">
        <v>472</v>
      </c>
      <c r="J128" t="s">
        <v>3</v>
      </c>
      <c r="K128" t="s">
        <v>473</v>
      </c>
      <c r="L128">
        <v>1191</v>
      </c>
      <c r="N128">
        <v>1013</v>
      </c>
      <c r="O128" t="s">
        <v>474</v>
      </c>
      <c r="P128" t="s">
        <v>474</v>
      </c>
      <c r="Q128">
        <v>1</v>
      </c>
      <c r="X128">
        <v>5.5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1</v>
      </c>
      <c r="AF128" t="s">
        <v>36</v>
      </c>
      <c r="AG128">
        <v>6.6</v>
      </c>
      <c r="AH128">
        <v>2</v>
      </c>
      <c r="AI128">
        <v>85739637</v>
      </c>
      <c r="AJ128">
        <v>101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ROW(Source!A49)</f>
        <v>49</v>
      </c>
      <c r="B129">
        <v>85739638</v>
      </c>
      <c r="C129">
        <v>85739616</v>
      </c>
      <c r="D129">
        <v>85229932</v>
      </c>
      <c r="E129">
        <v>1</v>
      </c>
      <c r="F129">
        <v>1</v>
      </c>
      <c r="G129">
        <v>1081</v>
      </c>
      <c r="H129">
        <v>2</v>
      </c>
      <c r="I129" t="s">
        <v>482</v>
      </c>
      <c r="J129" t="s">
        <v>483</v>
      </c>
      <c r="K129" t="s">
        <v>484</v>
      </c>
      <c r="L129">
        <v>1368</v>
      </c>
      <c r="N129">
        <v>1011</v>
      </c>
      <c r="O129" t="s">
        <v>478</v>
      </c>
      <c r="P129" t="s">
        <v>478</v>
      </c>
      <c r="Q129">
        <v>1</v>
      </c>
      <c r="X129">
        <v>0.09</v>
      </c>
      <c r="Y129">
        <v>0</v>
      </c>
      <c r="Z129">
        <v>83.1</v>
      </c>
      <c r="AA129">
        <v>12.62</v>
      </c>
      <c r="AB129">
        <v>0</v>
      </c>
      <c r="AC129">
        <v>0</v>
      </c>
      <c r="AD129">
        <v>1</v>
      </c>
      <c r="AE129">
        <v>0</v>
      </c>
      <c r="AF129" t="s">
        <v>36</v>
      </c>
      <c r="AG129">
        <v>0.108</v>
      </c>
      <c r="AH129">
        <v>2</v>
      </c>
      <c r="AI129">
        <v>85739638</v>
      </c>
      <c r="AJ129">
        <v>102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ROW(Source!A49)</f>
        <v>49</v>
      </c>
      <c r="B130">
        <v>85739639</v>
      </c>
      <c r="C130">
        <v>85739616</v>
      </c>
      <c r="D130">
        <v>85199562</v>
      </c>
      <c r="E130">
        <v>1</v>
      </c>
      <c r="F130">
        <v>1</v>
      </c>
      <c r="G130">
        <v>1081</v>
      </c>
      <c r="H130">
        <v>3</v>
      </c>
      <c r="I130" t="s">
        <v>537</v>
      </c>
      <c r="J130" t="s">
        <v>538</v>
      </c>
      <c r="K130" t="s">
        <v>539</v>
      </c>
      <c r="L130">
        <v>1348</v>
      </c>
      <c r="N130">
        <v>1009</v>
      </c>
      <c r="O130" t="s">
        <v>266</v>
      </c>
      <c r="P130" t="s">
        <v>266</v>
      </c>
      <c r="Q130">
        <v>1000</v>
      </c>
      <c r="X130">
        <v>1.7000000000000001E-4</v>
      </c>
      <c r="Y130">
        <v>23114.43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35</v>
      </c>
      <c r="AG130">
        <v>1.7000000000000001E-4</v>
      </c>
      <c r="AH130">
        <v>2</v>
      </c>
      <c r="AI130">
        <v>85739639</v>
      </c>
      <c r="AJ130">
        <v>103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ROW(Source!A49)</f>
        <v>49</v>
      </c>
      <c r="B131">
        <v>85739640</v>
      </c>
      <c r="C131">
        <v>85739616</v>
      </c>
      <c r="D131">
        <v>85156727</v>
      </c>
      <c r="E131">
        <v>1081</v>
      </c>
      <c r="F131">
        <v>1</v>
      </c>
      <c r="G131">
        <v>1081</v>
      </c>
      <c r="H131">
        <v>3</v>
      </c>
      <c r="I131" t="s">
        <v>630</v>
      </c>
      <c r="J131" t="s">
        <v>3</v>
      </c>
      <c r="K131" t="s">
        <v>631</v>
      </c>
      <c r="L131">
        <v>1346</v>
      </c>
      <c r="N131">
        <v>1009</v>
      </c>
      <c r="O131" t="s">
        <v>502</v>
      </c>
      <c r="P131" t="s">
        <v>502</v>
      </c>
      <c r="Q131">
        <v>1</v>
      </c>
      <c r="X131">
        <v>7.1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t="s">
        <v>35</v>
      </c>
      <c r="AG131">
        <v>7.1</v>
      </c>
      <c r="AH131">
        <v>3</v>
      </c>
      <c r="AI131">
        <v>-1</v>
      </c>
      <c r="AJ131" t="s">
        <v>3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ROW(Source!A49)</f>
        <v>49</v>
      </c>
      <c r="B132">
        <v>85739641</v>
      </c>
      <c r="C132">
        <v>85739616</v>
      </c>
      <c r="D132">
        <v>85179477</v>
      </c>
      <c r="E132">
        <v>1081</v>
      </c>
      <c r="F132">
        <v>1</v>
      </c>
      <c r="G132">
        <v>1081</v>
      </c>
      <c r="H132">
        <v>3</v>
      </c>
      <c r="I132" t="s">
        <v>634</v>
      </c>
      <c r="J132" t="s">
        <v>3</v>
      </c>
      <c r="K132" t="s">
        <v>635</v>
      </c>
      <c r="L132">
        <v>1354</v>
      </c>
      <c r="N132">
        <v>1010</v>
      </c>
      <c r="O132" t="s">
        <v>99</v>
      </c>
      <c r="P132" t="s">
        <v>99</v>
      </c>
      <c r="Q132">
        <v>1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 t="s">
        <v>35</v>
      </c>
      <c r="AG132">
        <v>1</v>
      </c>
      <c r="AH132">
        <v>3</v>
      </c>
      <c r="AI132">
        <v>-1</v>
      </c>
      <c r="AJ132" t="s">
        <v>3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ROW(Source!A52)</f>
        <v>52</v>
      </c>
      <c r="B133">
        <v>85739653</v>
      </c>
      <c r="C133">
        <v>85739647</v>
      </c>
      <c r="D133">
        <v>85164021</v>
      </c>
      <c r="E133">
        <v>1081</v>
      </c>
      <c r="F133">
        <v>1</v>
      </c>
      <c r="G133">
        <v>1081</v>
      </c>
      <c r="H133">
        <v>1</v>
      </c>
      <c r="I133" t="s">
        <v>472</v>
      </c>
      <c r="J133" t="s">
        <v>3</v>
      </c>
      <c r="K133" t="s">
        <v>473</v>
      </c>
      <c r="L133">
        <v>1191</v>
      </c>
      <c r="N133">
        <v>1013</v>
      </c>
      <c r="O133" t="s">
        <v>474</v>
      </c>
      <c r="P133" t="s">
        <v>474</v>
      </c>
      <c r="Q133">
        <v>1</v>
      </c>
      <c r="X133">
        <v>4.0999999999999996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36</v>
      </c>
      <c r="AG133">
        <v>4.919999999999999</v>
      </c>
      <c r="AH133">
        <v>2</v>
      </c>
      <c r="AI133">
        <v>85739653</v>
      </c>
      <c r="AJ133">
        <v>105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ROW(Source!A52)</f>
        <v>52</v>
      </c>
      <c r="B134">
        <v>85739654</v>
      </c>
      <c r="C134">
        <v>85739647</v>
      </c>
      <c r="D134">
        <v>85229932</v>
      </c>
      <c r="E134">
        <v>1</v>
      </c>
      <c r="F134">
        <v>1</v>
      </c>
      <c r="G134">
        <v>1081</v>
      </c>
      <c r="H134">
        <v>2</v>
      </c>
      <c r="I134" t="s">
        <v>482</v>
      </c>
      <c r="J134" t="s">
        <v>483</v>
      </c>
      <c r="K134" t="s">
        <v>484</v>
      </c>
      <c r="L134">
        <v>1368</v>
      </c>
      <c r="N134">
        <v>1011</v>
      </c>
      <c r="O134" t="s">
        <v>478</v>
      </c>
      <c r="P134" t="s">
        <v>478</v>
      </c>
      <c r="Q134">
        <v>1</v>
      </c>
      <c r="X134">
        <v>0.03</v>
      </c>
      <c r="Y134">
        <v>0</v>
      </c>
      <c r="Z134">
        <v>83.1</v>
      </c>
      <c r="AA134">
        <v>12.62</v>
      </c>
      <c r="AB134">
        <v>0</v>
      </c>
      <c r="AC134">
        <v>0</v>
      </c>
      <c r="AD134">
        <v>1</v>
      </c>
      <c r="AE134">
        <v>0</v>
      </c>
      <c r="AF134" t="s">
        <v>36</v>
      </c>
      <c r="AG134">
        <v>3.5999999999999997E-2</v>
      </c>
      <c r="AH134">
        <v>2</v>
      </c>
      <c r="AI134">
        <v>85739654</v>
      </c>
      <c r="AJ134">
        <v>106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ROW(Source!A52)</f>
        <v>52</v>
      </c>
      <c r="B135">
        <v>85739655</v>
      </c>
      <c r="C135">
        <v>85739647</v>
      </c>
      <c r="D135">
        <v>85199562</v>
      </c>
      <c r="E135">
        <v>1</v>
      </c>
      <c r="F135">
        <v>1</v>
      </c>
      <c r="G135">
        <v>1081</v>
      </c>
      <c r="H135">
        <v>3</v>
      </c>
      <c r="I135" t="s">
        <v>537</v>
      </c>
      <c r="J135" t="s">
        <v>538</v>
      </c>
      <c r="K135" t="s">
        <v>539</v>
      </c>
      <c r="L135">
        <v>1348</v>
      </c>
      <c r="N135">
        <v>1009</v>
      </c>
      <c r="O135" t="s">
        <v>266</v>
      </c>
      <c r="P135" t="s">
        <v>266</v>
      </c>
      <c r="Q135">
        <v>1000</v>
      </c>
      <c r="X135">
        <v>1.7000000000000001E-4</v>
      </c>
      <c r="Y135">
        <v>23114.43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 t="s">
        <v>35</v>
      </c>
      <c r="AG135">
        <v>1.7000000000000001E-4</v>
      </c>
      <c r="AH135">
        <v>2</v>
      </c>
      <c r="AI135">
        <v>85739655</v>
      </c>
      <c r="AJ135">
        <v>107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ROW(Source!A52)</f>
        <v>52</v>
      </c>
      <c r="B136">
        <v>85739656</v>
      </c>
      <c r="C136">
        <v>85739647</v>
      </c>
      <c r="D136">
        <v>85156727</v>
      </c>
      <c r="E136">
        <v>1081</v>
      </c>
      <c r="F136">
        <v>1</v>
      </c>
      <c r="G136">
        <v>1081</v>
      </c>
      <c r="H136">
        <v>3</v>
      </c>
      <c r="I136" t="s">
        <v>630</v>
      </c>
      <c r="J136" t="s">
        <v>3</v>
      </c>
      <c r="K136" t="s">
        <v>631</v>
      </c>
      <c r="L136">
        <v>1346</v>
      </c>
      <c r="N136">
        <v>1009</v>
      </c>
      <c r="O136" t="s">
        <v>502</v>
      </c>
      <c r="P136" t="s">
        <v>502</v>
      </c>
      <c r="Q136">
        <v>1</v>
      </c>
      <c r="X136">
        <v>7.1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35</v>
      </c>
      <c r="AG136">
        <v>7.1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ROW(Source!A52)</f>
        <v>52</v>
      </c>
      <c r="B137">
        <v>85739657</v>
      </c>
      <c r="C137">
        <v>85739647</v>
      </c>
      <c r="D137">
        <v>85179477</v>
      </c>
      <c r="E137">
        <v>1081</v>
      </c>
      <c r="F137">
        <v>1</v>
      </c>
      <c r="G137">
        <v>1081</v>
      </c>
      <c r="H137">
        <v>3</v>
      </c>
      <c r="I137" t="s">
        <v>634</v>
      </c>
      <c r="J137" t="s">
        <v>3</v>
      </c>
      <c r="K137" t="s">
        <v>635</v>
      </c>
      <c r="L137">
        <v>1354</v>
      </c>
      <c r="N137">
        <v>1010</v>
      </c>
      <c r="O137" t="s">
        <v>99</v>
      </c>
      <c r="P137" t="s">
        <v>99</v>
      </c>
      <c r="Q137">
        <v>1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 t="s">
        <v>35</v>
      </c>
      <c r="AG137">
        <v>1</v>
      </c>
      <c r="AH137">
        <v>3</v>
      </c>
      <c r="AI137">
        <v>-1</v>
      </c>
      <c r="AJ137" t="s">
        <v>3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ROW(Source!A53)</f>
        <v>53</v>
      </c>
      <c r="B138">
        <v>85739653</v>
      </c>
      <c r="C138">
        <v>85739647</v>
      </c>
      <c r="D138">
        <v>85164021</v>
      </c>
      <c r="E138">
        <v>1081</v>
      </c>
      <c r="F138">
        <v>1</v>
      </c>
      <c r="G138">
        <v>1081</v>
      </c>
      <c r="H138">
        <v>1</v>
      </c>
      <c r="I138" t="s">
        <v>472</v>
      </c>
      <c r="J138" t="s">
        <v>3</v>
      </c>
      <c r="K138" t="s">
        <v>473</v>
      </c>
      <c r="L138">
        <v>1191</v>
      </c>
      <c r="N138">
        <v>1013</v>
      </c>
      <c r="O138" t="s">
        <v>474</v>
      </c>
      <c r="P138" t="s">
        <v>474</v>
      </c>
      <c r="Q138">
        <v>1</v>
      </c>
      <c r="X138">
        <v>4.0999999999999996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1</v>
      </c>
      <c r="AF138" t="s">
        <v>36</v>
      </c>
      <c r="AG138">
        <v>4.919999999999999</v>
      </c>
      <c r="AH138">
        <v>2</v>
      </c>
      <c r="AI138">
        <v>85739653</v>
      </c>
      <c r="AJ138">
        <v>109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ROW(Source!A53)</f>
        <v>53</v>
      </c>
      <c r="B139">
        <v>85739654</v>
      </c>
      <c r="C139">
        <v>85739647</v>
      </c>
      <c r="D139">
        <v>85229932</v>
      </c>
      <c r="E139">
        <v>1</v>
      </c>
      <c r="F139">
        <v>1</v>
      </c>
      <c r="G139">
        <v>1081</v>
      </c>
      <c r="H139">
        <v>2</v>
      </c>
      <c r="I139" t="s">
        <v>482</v>
      </c>
      <c r="J139" t="s">
        <v>483</v>
      </c>
      <c r="K139" t="s">
        <v>484</v>
      </c>
      <c r="L139">
        <v>1368</v>
      </c>
      <c r="N139">
        <v>1011</v>
      </c>
      <c r="O139" t="s">
        <v>478</v>
      </c>
      <c r="P139" t="s">
        <v>478</v>
      </c>
      <c r="Q139">
        <v>1</v>
      </c>
      <c r="X139">
        <v>0.03</v>
      </c>
      <c r="Y139">
        <v>0</v>
      </c>
      <c r="Z139">
        <v>83.1</v>
      </c>
      <c r="AA139">
        <v>12.62</v>
      </c>
      <c r="AB139">
        <v>0</v>
      </c>
      <c r="AC139">
        <v>0</v>
      </c>
      <c r="AD139">
        <v>1</v>
      </c>
      <c r="AE139">
        <v>0</v>
      </c>
      <c r="AF139" t="s">
        <v>36</v>
      </c>
      <c r="AG139">
        <v>3.5999999999999997E-2</v>
      </c>
      <c r="AH139">
        <v>2</v>
      </c>
      <c r="AI139">
        <v>85739654</v>
      </c>
      <c r="AJ139">
        <v>110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ROW(Source!A53)</f>
        <v>53</v>
      </c>
      <c r="B140">
        <v>85739655</v>
      </c>
      <c r="C140">
        <v>85739647</v>
      </c>
      <c r="D140">
        <v>85199562</v>
      </c>
      <c r="E140">
        <v>1</v>
      </c>
      <c r="F140">
        <v>1</v>
      </c>
      <c r="G140">
        <v>1081</v>
      </c>
      <c r="H140">
        <v>3</v>
      </c>
      <c r="I140" t="s">
        <v>537</v>
      </c>
      <c r="J140" t="s">
        <v>538</v>
      </c>
      <c r="K140" t="s">
        <v>539</v>
      </c>
      <c r="L140">
        <v>1348</v>
      </c>
      <c r="N140">
        <v>1009</v>
      </c>
      <c r="O140" t="s">
        <v>266</v>
      </c>
      <c r="P140" t="s">
        <v>266</v>
      </c>
      <c r="Q140">
        <v>1000</v>
      </c>
      <c r="X140">
        <v>1.7000000000000001E-4</v>
      </c>
      <c r="Y140">
        <v>23114.43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 t="s">
        <v>35</v>
      </c>
      <c r="AG140">
        <v>1.7000000000000001E-4</v>
      </c>
      <c r="AH140">
        <v>2</v>
      </c>
      <c r="AI140">
        <v>85739655</v>
      </c>
      <c r="AJ140">
        <v>111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ROW(Source!A53)</f>
        <v>53</v>
      </c>
      <c r="B141">
        <v>85739656</v>
      </c>
      <c r="C141">
        <v>85739647</v>
      </c>
      <c r="D141">
        <v>85156727</v>
      </c>
      <c r="E141">
        <v>1081</v>
      </c>
      <c r="F141">
        <v>1</v>
      </c>
      <c r="G141">
        <v>1081</v>
      </c>
      <c r="H141">
        <v>3</v>
      </c>
      <c r="I141" t="s">
        <v>630</v>
      </c>
      <c r="J141" t="s">
        <v>3</v>
      </c>
      <c r="K141" t="s">
        <v>631</v>
      </c>
      <c r="L141">
        <v>1346</v>
      </c>
      <c r="N141">
        <v>1009</v>
      </c>
      <c r="O141" t="s">
        <v>502</v>
      </c>
      <c r="P141" t="s">
        <v>502</v>
      </c>
      <c r="Q141">
        <v>1</v>
      </c>
      <c r="X141">
        <v>7.1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 t="s">
        <v>35</v>
      </c>
      <c r="AG141">
        <v>7.1</v>
      </c>
      <c r="AH141">
        <v>3</v>
      </c>
      <c r="AI141">
        <v>-1</v>
      </c>
      <c r="AJ141" t="s">
        <v>3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ROW(Source!A53)</f>
        <v>53</v>
      </c>
      <c r="B142">
        <v>85739657</v>
      </c>
      <c r="C142">
        <v>85739647</v>
      </c>
      <c r="D142">
        <v>85179477</v>
      </c>
      <c r="E142">
        <v>1081</v>
      </c>
      <c r="F142">
        <v>1</v>
      </c>
      <c r="G142">
        <v>1081</v>
      </c>
      <c r="H142">
        <v>3</v>
      </c>
      <c r="I142" t="s">
        <v>634</v>
      </c>
      <c r="J142" t="s">
        <v>3</v>
      </c>
      <c r="K142" t="s">
        <v>635</v>
      </c>
      <c r="L142">
        <v>1354</v>
      </c>
      <c r="N142">
        <v>1010</v>
      </c>
      <c r="O142" t="s">
        <v>99</v>
      </c>
      <c r="P142" t="s">
        <v>99</v>
      </c>
      <c r="Q142">
        <v>1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35</v>
      </c>
      <c r="AG142">
        <v>1</v>
      </c>
      <c r="AH142">
        <v>3</v>
      </c>
      <c r="AI142">
        <v>-1</v>
      </c>
      <c r="AJ142" t="s">
        <v>3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ROW(Source!A56)</f>
        <v>56</v>
      </c>
      <c r="B143">
        <v>85739663</v>
      </c>
      <c r="C143">
        <v>85739648</v>
      </c>
      <c r="D143">
        <v>85164021</v>
      </c>
      <c r="E143">
        <v>1081</v>
      </c>
      <c r="F143">
        <v>1</v>
      </c>
      <c r="G143">
        <v>1081</v>
      </c>
      <c r="H143">
        <v>1</v>
      </c>
      <c r="I143" t="s">
        <v>472</v>
      </c>
      <c r="J143" t="s">
        <v>3</v>
      </c>
      <c r="K143" t="s">
        <v>473</v>
      </c>
      <c r="L143">
        <v>1191</v>
      </c>
      <c r="N143">
        <v>1013</v>
      </c>
      <c r="O143" t="s">
        <v>474</v>
      </c>
      <c r="P143" t="s">
        <v>474</v>
      </c>
      <c r="Q143">
        <v>1</v>
      </c>
      <c r="X143">
        <v>4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1</v>
      </c>
      <c r="AF143" t="s">
        <v>36</v>
      </c>
      <c r="AG143">
        <v>4.8</v>
      </c>
      <c r="AH143">
        <v>2</v>
      </c>
      <c r="AI143">
        <v>85739663</v>
      </c>
      <c r="AJ143">
        <v>113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ROW(Source!A56)</f>
        <v>56</v>
      </c>
      <c r="B144">
        <v>85739664</v>
      </c>
      <c r="C144">
        <v>85739648</v>
      </c>
      <c r="D144">
        <v>85229932</v>
      </c>
      <c r="E144">
        <v>1</v>
      </c>
      <c r="F144">
        <v>1</v>
      </c>
      <c r="G144">
        <v>1081</v>
      </c>
      <c r="H144">
        <v>2</v>
      </c>
      <c r="I144" t="s">
        <v>482</v>
      </c>
      <c r="J144" t="s">
        <v>483</v>
      </c>
      <c r="K144" t="s">
        <v>484</v>
      </c>
      <c r="L144">
        <v>1368</v>
      </c>
      <c r="N144">
        <v>1011</v>
      </c>
      <c r="O144" t="s">
        <v>478</v>
      </c>
      <c r="P144" t="s">
        <v>478</v>
      </c>
      <c r="Q144">
        <v>1</v>
      </c>
      <c r="X144">
        <v>0.02</v>
      </c>
      <c r="Y144">
        <v>0</v>
      </c>
      <c r="Z144">
        <v>83.1</v>
      </c>
      <c r="AA144">
        <v>12.62</v>
      </c>
      <c r="AB144">
        <v>0</v>
      </c>
      <c r="AC144">
        <v>0</v>
      </c>
      <c r="AD144">
        <v>1</v>
      </c>
      <c r="AE144">
        <v>0</v>
      </c>
      <c r="AF144" t="s">
        <v>36</v>
      </c>
      <c r="AG144">
        <v>2.4E-2</v>
      </c>
      <c r="AH144">
        <v>2</v>
      </c>
      <c r="AI144">
        <v>85739664</v>
      </c>
      <c r="AJ144">
        <v>114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ROW(Source!A56)</f>
        <v>56</v>
      </c>
      <c r="B145">
        <v>85739665</v>
      </c>
      <c r="C145">
        <v>85739648</v>
      </c>
      <c r="D145">
        <v>85199562</v>
      </c>
      <c r="E145">
        <v>1</v>
      </c>
      <c r="F145">
        <v>1</v>
      </c>
      <c r="G145">
        <v>1081</v>
      </c>
      <c r="H145">
        <v>3</v>
      </c>
      <c r="I145" t="s">
        <v>537</v>
      </c>
      <c r="J145" t="s">
        <v>538</v>
      </c>
      <c r="K145" t="s">
        <v>539</v>
      </c>
      <c r="L145">
        <v>1348</v>
      </c>
      <c r="N145">
        <v>1009</v>
      </c>
      <c r="O145" t="s">
        <v>266</v>
      </c>
      <c r="P145" t="s">
        <v>266</v>
      </c>
      <c r="Q145">
        <v>1000</v>
      </c>
      <c r="X145">
        <v>1.2E-4</v>
      </c>
      <c r="Y145">
        <v>23114.43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35</v>
      </c>
      <c r="AG145">
        <v>1.2E-4</v>
      </c>
      <c r="AH145">
        <v>2</v>
      </c>
      <c r="AI145">
        <v>85739665</v>
      </c>
      <c r="AJ145">
        <v>115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ROW(Source!A56)</f>
        <v>56</v>
      </c>
      <c r="B146">
        <v>85739666</v>
      </c>
      <c r="C146">
        <v>85739648</v>
      </c>
      <c r="D146">
        <v>85156727</v>
      </c>
      <c r="E146">
        <v>1081</v>
      </c>
      <c r="F146">
        <v>1</v>
      </c>
      <c r="G146">
        <v>1081</v>
      </c>
      <c r="H146">
        <v>3</v>
      </c>
      <c r="I146" t="s">
        <v>630</v>
      </c>
      <c r="J146" t="s">
        <v>3</v>
      </c>
      <c r="K146" t="s">
        <v>631</v>
      </c>
      <c r="L146">
        <v>1346</v>
      </c>
      <c r="N146">
        <v>1009</v>
      </c>
      <c r="O146" t="s">
        <v>502</v>
      </c>
      <c r="P146" t="s">
        <v>502</v>
      </c>
      <c r="Q146">
        <v>1</v>
      </c>
      <c r="X146">
        <v>3.6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35</v>
      </c>
      <c r="AG146">
        <v>3.6</v>
      </c>
      <c r="AH146">
        <v>3</v>
      </c>
      <c r="AI146">
        <v>-1</v>
      </c>
      <c r="AJ146" t="s">
        <v>3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ROW(Source!A56)</f>
        <v>56</v>
      </c>
      <c r="B147">
        <v>85739667</v>
      </c>
      <c r="C147">
        <v>85739648</v>
      </c>
      <c r="D147">
        <v>85179477</v>
      </c>
      <c r="E147">
        <v>1081</v>
      </c>
      <c r="F147">
        <v>1</v>
      </c>
      <c r="G147">
        <v>1081</v>
      </c>
      <c r="H147">
        <v>3</v>
      </c>
      <c r="I147" t="s">
        <v>634</v>
      </c>
      <c r="J147" t="s">
        <v>3</v>
      </c>
      <c r="K147" t="s">
        <v>635</v>
      </c>
      <c r="L147">
        <v>1354</v>
      </c>
      <c r="N147">
        <v>1010</v>
      </c>
      <c r="O147" t="s">
        <v>99</v>
      </c>
      <c r="P147" t="s">
        <v>99</v>
      </c>
      <c r="Q147">
        <v>1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 t="s">
        <v>35</v>
      </c>
      <c r="AG147">
        <v>1</v>
      </c>
      <c r="AH147">
        <v>3</v>
      </c>
      <c r="AI147">
        <v>-1</v>
      </c>
      <c r="AJ147" t="s">
        <v>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ROW(Source!A57)</f>
        <v>57</v>
      </c>
      <c r="B148">
        <v>85739663</v>
      </c>
      <c r="C148">
        <v>85739648</v>
      </c>
      <c r="D148">
        <v>85164021</v>
      </c>
      <c r="E148">
        <v>1081</v>
      </c>
      <c r="F148">
        <v>1</v>
      </c>
      <c r="G148">
        <v>1081</v>
      </c>
      <c r="H148">
        <v>1</v>
      </c>
      <c r="I148" t="s">
        <v>472</v>
      </c>
      <c r="J148" t="s">
        <v>3</v>
      </c>
      <c r="K148" t="s">
        <v>473</v>
      </c>
      <c r="L148">
        <v>1191</v>
      </c>
      <c r="N148">
        <v>1013</v>
      </c>
      <c r="O148" t="s">
        <v>474</v>
      </c>
      <c r="P148" t="s">
        <v>474</v>
      </c>
      <c r="Q148">
        <v>1</v>
      </c>
      <c r="X148">
        <v>4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1</v>
      </c>
      <c r="AF148" t="s">
        <v>36</v>
      </c>
      <c r="AG148">
        <v>4.8</v>
      </c>
      <c r="AH148">
        <v>2</v>
      </c>
      <c r="AI148">
        <v>85739663</v>
      </c>
      <c r="AJ148">
        <v>118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ROW(Source!A57)</f>
        <v>57</v>
      </c>
      <c r="B149">
        <v>85739664</v>
      </c>
      <c r="C149">
        <v>85739648</v>
      </c>
      <c r="D149">
        <v>85229932</v>
      </c>
      <c r="E149">
        <v>1</v>
      </c>
      <c r="F149">
        <v>1</v>
      </c>
      <c r="G149">
        <v>1081</v>
      </c>
      <c r="H149">
        <v>2</v>
      </c>
      <c r="I149" t="s">
        <v>482</v>
      </c>
      <c r="J149" t="s">
        <v>483</v>
      </c>
      <c r="K149" t="s">
        <v>484</v>
      </c>
      <c r="L149">
        <v>1368</v>
      </c>
      <c r="N149">
        <v>1011</v>
      </c>
      <c r="O149" t="s">
        <v>478</v>
      </c>
      <c r="P149" t="s">
        <v>478</v>
      </c>
      <c r="Q149">
        <v>1</v>
      </c>
      <c r="X149">
        <v>0.02</v>
      </c>
      <c r="Y149">
        <v>0</v>
      </c>
      <c r="Z149">
        <v>83.1</v>
      </c>
      <c r="AA149">
        <v>12.62</v>
      </c>
      <c r="AB149">
        <v>0</v>
      </c>
      <c r="AC149">
        <v>0</v>
      </c>
      <c r="AD149">
        <v>1</v>
      </c>
      <c r="AE149">
        <v>0</v>
      </c>
      <c r="AF149" t="s">
        <v>36</v>
      </c>
      <c r="AG149">
        <v>2.4E-2</v>
      </c>
      <c r="AH149">
        <v>2</v>
      </c>
      <c r="AI149">
        <v>85739664</v>
      </c>
      <c r="AJ149">
        <v>119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ROW(Source!A57)</f>
        <v>57</v>
      </c>
      <c r="B150">
        <v>85739665</v>
      </c>
      <c r="C150">
        <v>85739648</v>
      </c>
      <c r="D150">
        <v>85199562</v>
      </c>
      <c r="E150">
        <v>1</v>
      </c>
      <c r="F150">
        <v>1</v>
      </c>
      <c r="G150">
        <v>1081</v>
      </c>
      <c r="H150">
        <v>3</v>
      </c>
      <c r="I150" t="s">
        <v>537</v>
      </c>
      <c r="J150" t="s">
        <v>538</v>
      </c>
      <c r="K150" t="s">
        <v>539</v>
      </c>
      <c r="L150">
        <v>1348</v>
      </c>
      <c r="N150">
        <v>1009</v>
      </c>
      <c r="O150" t="s">
        <v>266</v>
      </c>
      <c r="P150" t="s">
        <v>266</v>
      </c>
      <c r="Q150">
        <v>1000</v>
      </c>
      <c r="X150">
        <v>1.2E-4</v>
      </c>
      <c r="Y150">
        <v>23114.43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 t="s">
        <v>35</v>
      </c>
      <c r="AG150">
        <v>1.2E-4</v>
      </c>
      <c r="AH150">
        <v>2</v>
      </c>
      <c r="AI150">
        <v>85739665</v>
      </c>
      <c r="AJ150">
        <v>120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ROW(Source!A57)</f>
        <v>57</v>
      </c>
      <c r="B151">
        <v>85739666</v>
      </c>
      <c r="C151">
        <v>85739648</v>
      </c>
      <c r="D151">
        <v>85156727</v>
      </c>
      <c r="E151">
        <v>1081</v>
      </c>
      <c r="F151">
        <v>1</v>
      </c>
      <c r="G151">
        <v>1081</v>
      </c>
      <c r="H151">
        <v>3</v>
      </c>
      <c r="I151" t="s">
        <v>630</v>
      </c>
      <c r="J151" t="s">
        <v>3</v>
      </c>
      <c r="K151" t="s">
        <v>631</v>
      </c>
      <c r="L151">
        <v>1346</v>
      </c>
      <c r="N151">
        <v>1009</v>
      </c>
      <c r="O151" t="s">
        <v>502</v>
      </c>
      <c r="P151" t="s">
        <v>502</v>
      </c>
      <c r="Q151">
        <v>1</v>
      </c>
      <c r="X151">
        <v>3.6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t="s">
        <v>35</v>
      </c>
      <c r="AG151">
        <v>3.6</v>
      </c>
      <c r="AH151">
        <v>3</v>
      </c>
      <c r="AI151">
        <v>-1</v>
      </c>
      <c r="AJ151" t="s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ROW(Source!A57)</f>
        <v>57</v>
      </c>
      <c r="B152">
        <v>85739667</v>
      </c>
      <c r="C152">
        <v>85739648</v>
      </c>
      <c r="D152">
        <v>85179477</v>
      </c>
      <c r="E152">
        <v>1081</v>
      </c>
      <c r="F152">
        <v>1</v>
      </c>
      <c r="G152">
        <v>1081</v>
      </c>
      <c r="H152">
        <v>3</v>
      </c>
      <c r="I152" t="s">
        <v>634</v>
      </c>
      <c r="J152" t="s">
        <v>3</v>
      </c>
      <c r="K152" t="s">
        <v>635</v>
      </c>
      <c r="L152">
        <v>1354</v>
      </c>
      <c r="N152">
        <v>1010</v>
      </c>
      <c r="O152" t="s">
        <v>99</v>
      </c>
      <c r="P152" t="s">
        <v>99</v>
      </c>
      <c r="Q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35</v>
      </c>
      <c r="AG152">
        <v>1</v>
      </c>
      <c r="AH152">
        <v>3</v>
      </c>
      <c r="AI152">
        <v>-1</v>
      </c>
      <c r="AJ152" t="s">
        <v>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ROW(Source!A62)</f>
        <v>62</v>
      </c>
      <c r="B153">
        <v>85739783</v>
      </c>
      <c r="C153">
        <v>85739772</v>
      </c>
      <c r="D153">
        <v>85164021</v>
      </c>
      <c r="E153">
        <v>1081</v>
      </c>
      <c r="F153">
        <v>1</v>
      </c>
      <c r="G153">
        <v>1081</v>
      </c>
      <c r="H153">
        <v>1</v>
      </c>
      <c r="I153" t="s">
        <v>472</v>
      </c>
      <c r="J153" t="s">
        <v>3</v>
      </c>
      <c r="K153" t="s">
        <v>473</v>
      </c>
      <c r="L153">
        <v>1191</v>
      </c>
      <c r="N153">
        <v>1013</v>
      </c>
      <c r="O153" t="s">
        <v>474</v>
      </c>
      <c r="P153" t="s">
        <v>474</v>
      </c>
      <c r="Q153">
        <v>1</v>
      </c>
      <c r="X153">
        <v>7.6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1</v>
      </c>
      <c r="AF153" t="s">
        <v>36</v>
      </c>
      <c r="AG153">
        <v>9.1199999999999992</v>
      </c>
      <c r="AH153">
        <v>2</v>
      </c>
      <c r="AI153">
        <v>85739783</v>
      </c>
      <c r="AJ153">
        <v>123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ROW(Source!A62)</f>
        <v>62</v>
      </c>
      <c r="B154">
        <v>85739784</v>
      </c>
      <c r="C154">
        <v>85739772</v>
      </c>
      <c r="D154">
        <v>85229633</v>
      </c>
      <c r="E154">
        <v>1</v>
      </c>
      <c r="F154">
        <v>1</v>
      </c>
      <c r="G154">
        <v>1081</v>
      </c>
      <c r="H154">
        <v>2</v>
      </c>
      <c r="I154" t="s">
        <v>475</v>
      </c>
      <c r="J154" t="s">
        <v>476</v>
      </c>
      <c r="K154" t="s">
        <v>477</v>
      </c>
      <c r="L154">
        <v>1368</v>
      </c>
      <c r="N154">
        <v>1011</v>
      </c>
      <c r="O154" t="s">
        <v>478</v>
      </c>
      <c r="P154" t="s">
        <v>478</v>
      </c>
      <c r="Q154">
        <v>1</v>
      </c>
      <c r="X154">
        <v>1.7</v>
      </c>
      <c r="Y154">
        <v>0</v>
      </c>
      <c r="Z154">
        <v>7.11</v>
      </c>
      <c r="AA154">
        <v>0</v>
      </c>
      <c r="AB154">
        <v>0</v>
      </c>
      <c r="AC154">
        <v>0</v>
      </c>
      <c r="AD154">
        <v>1</v>
      </c>
      <c r="AE154">
        <v>0</v>
      </c>
      <c r="AF154" t="s">
        <v>36</v>
      </c>
      <c r="AG154">
        <v>2.04</v>
      </c>
      <c r="AH154">
        <v>2</v>
      </c>
      <c r="AI154">
        <v>85739784</v>
      </c>
      <c r="AJ154">
        <v>124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ROW(Source!A62)</f>
        <v>62</v>
      </c>
      <c r="B155">
        <v>85739785</v>
      </c>
      <c r="C155">
        <v>85739772</v>
      </c>
      <c r="D155">
        <v>85229932</v>
      </c>
      <c r="E155">
        <v>1</v>
      </c>
      <c r="F155">
        <v>1</v>
      </c>
      <c r="G155">
        <v>1081</v>
      </c>
      <c r="H155">
        <v>2</v>
      </c>
      <c r="I155" t="s">
        <v>482</v>
      </c>
      <c r="J155" t="s">
        <v>483</v>
      </c>
      <c r="K155" t="s">
        <v>484</v>
      </c>
      <c r="L155">
        <v>1368</v>
      </c>
      <c r="N155">
        <v>1011</v>
      </c>
      <c r="O155" t="s">
        <v>478</v>
      </c>
      <c r="P155" t="s">
        <v>478</v>
      </c>
      <c r="Q155">
        <v>1</v>
      </c>
      <c r="X155">
        <v>0.03</v>
      </c>
      <c r="Y155">
        <v>0</v>
      </c>
      <c r="Z155">
        <v>83.1</v>
      </c>
      <c r="AA155">
        <v>12.62</v>
      </c>
      <c r="AB155">
        <v>0</v>
      </c>
      <c r="AC155">
        <v>0</v>
      </c>
      <c r="AD155">
        <v>1</v>
      </c>
      <c r="AE155">
        <v>0</v>
      </c>
      <c r="AF155" t="s">
        <v>36</v>
      </c>
      <c r="AG155">
        <v>3.5999999999999997E-2</v>
      </c>
      <c r="AH155">
        <v>2</v>
      </c>
      <c r="AI155">
        <v>85739785</v>
      </c>
      <c r="AJ155">
        <v>125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ROW(Source!A62)</f>
        <v>62</v>
      </c>
      <c r="B156">
        <v>85739786</v>
      </c>
      <c r="C156">
        <v>85739772</v>
      </c>
      <c r="D156">
        <v>85200111</v>
      </c>
      <c r="E156">
        <v>1</v>
      </c>
      <c r="F156">
        <v>1</v>
      </c>
      <c r="G156">
        <v>1081</v>
      </c>
      <c r="H156">
        <v>3</v>
      </c>
      <c r="I156" t="s">
        <v>492</v>
      </c>
      <c r="J156" t="s">
        <v>493</v>
      </c>
      <c r="K156" t="s">
        <v>494</v>
      </c>
      <c r="L156">
        <v>1348</v>
      </c>
      <c r="N156">
        <v>1009</v>
      </c>
      <c r="O156" t="s">
        <v>266</v>
      </c>
      <c r="P156" t="s">
        <v>266</v>
      </c>
      <c r="Q156">
        <v>1000</v>
      </c>
      <c r="X156">
        <v>6.6E-4</v>
      </c>
      <c r="Y156">
        <v>9112.49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35</v>
      </c>
      <c r="AG156">
        <v>6.6E-4</v>
      </c>
      <c r="AH156">
        <v>2</v>
      </c>
      <c r="AI156">
        <v>85739786</v>
      </c>
      <c r="AJ156">
        <v>126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ROW(Source!A62)</f>
        <v>62</v>
      </c>
      <c r="B157">
        <v>85739787</v>
      </c>
      <c r="C157">
        <v>85739772</v>
      </c>
      <c r="D157">
        <v>85200784</v>
      </c>
      <c r="E157">
        <v>1</v>
      </c>
      <c r="F157">
        <v>1</v>
      </c>
      <c r="G157">
        <v>1081</v>
      </c>
      <c r="H157">
        <v>3</v>
      </c>
      <c r="I157" t="s">
        <v>499</v>
      </c>
      <c r="J157" t="s">
        <v>500</v>
      </c>
      <c r="K157" t="s">
        <v>501</v>
      </c>
      <c r="L157">
        <v>1346</v>
      </c>
      <c r="N157">
        <v>1009</v>
      </c>
      <c r="O157" t="s">
        <v>502</v>
      </c>
      <c r="P157" t="s">
        <v>502</v>
      </c>
      <c r="Q157">
        <v>1</v>
      </c>
      <c r="X157">
        <v>2.1000000000000001E-2</v>
      </c>
      <c r="Y157">
        <v>6.25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35</v>
      </c>
      <c r="AG157">
        <v>2.1000000000000001E-2</v>
      </c>
      <c r="AH157">
        <v>2</v>
      </c>
      <c r="AI157">
        <v>85739787</v>
      </c>
      <c r="AJ157">
        <v>127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ROW(Source!A62)</f>
        <v>62</v>
      </c>
      <c r="B158">
        <v>85739788</v>
      </c>
      <c r="C158">
        <v>85739772</v>
      </c>
      <c r="D158">
        <v>85199158</v>
      </c>
      <c r="E158">
        <v>1</v>
      </c>
      <c r="F158">
        <v>1</v>
      </c>
      <c r="G158">
        <v>1081</v>
      </c>
      <c r="H158">
        <v>3</v>
      </c>
      <c r="I158" t="s">
        <v>503</v>
      </c>
      <c r="J158" t="s">
        <v>504</v>
      </c>
      <c r="K158" t="s">
        <v>505</v>
      </c>
      <c r="L158">
        <v>1339</v>
      </c>
      <c r="N158">
        <v>1007</v>
      </c>
      <c r="O158" t="s">
        <v>506</v>
      </c>
      <c r="P158" t="s">
        <v>506</v>
      </c>
      <c r="Q158">
        <v>1</v>
      </c>
      <c r="X158">
        <v>8.6999999999999994E-2</v>
      </c>
      <c r="Y158">
        <v>5.82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35</v>
      </c>
      <c r="AG158">
        <v>8.6999999999999994E-2</v>
      </c>
      <c r="AH158">
        <v>2</v>
      </c>
      <c r="AI158">
        <v>85739788</v>
      </c>
      <c r="AJ158">
        <v>128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ROW(Source!A62)</f>
        <v>62</v>
      </c>
      <c r="B159">
        <v>85739789</v>
      </c>
      <c r="C159">
        <v>85739772</v>
      </c>
      <c r="D159">
        <v>85179477</v>
      </c>
      <c r="E159">
        <v>1081</v>
      </c>
      <c r="F159">
        <v>1</v>
      </c>
      <c r="G159">
        <v>1081</v>
      </c>
      <c r="H159">
        <v>3</v>
      </c>
      <c r="I159" t="s">
        <v>634</v>
      </c>
      <c r="J159" t="s">
        <v>3</v>
      </c>
      <c r="K159" t="s">
        <v>635</v>
      </c>
      <c r="L159">
        <v>1354</v>
      </c>
      <c r="N159">
        <v>1010</v>
      </c>
      <c r="O159" t="s">
        <v>99</v>
      </c>
      <c r="P159" t="s">
        <v>99</v>
      </c>
      <c r="Q159">
        <v>1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t="s">
        <v>35</v>
      </c>
      <c r="AG159">
        <v>1</v>
      </c>
      <c r="AH159">
        <v>3</v>
      </c>
      <c r="AI159">
        <v>-1</v>
      </c>
      <c r="AJ159" t="s">
        <v>3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ROW(Source!A63)</f>
        <v>63</v>
      </c>
      <c r="B160">
        <v>85739783</v>
      </c>
      <c r="C160">
        <v>85739772</v>
      </c>
      <c r="D160">
        <v>85164021</v>
      </c>
      <c r="E160">
        <v>1081</v>
      </c>
      <c r="F160">
        <v>1</v>
      </c>
      <c r="G160">
        <v>1081</v>
      </c>
      <c r="H160">
        <v>1</v>
      </c>
      <c r="I160" t="s">
        <v>472</v>
      </c>
      <c r="J160" t="s">
        <v>3</v>
      </c>
      <c r="K160" t="s">
        <v>473</v>
      </c>
      <c r="L160">
        <v>1191</v>
      </c>
      <c r="N160">
        <v>1013</v>
      </c>
      <c r="O160" t="s">
        <v>474</v>
      </c>
      <c r="P160" t="s">
        <v>474</v>
      </c>
      <c r="Q160">
        <v>1</v>
      </c>
      <c r="X160">
        <v>7.6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1</v>
      </c>
      <c r="AF160" t="s">
        <v>36</v>
      </c>
      <c r="AG160">
        <v>9.1199999999999992</v>
      </c>
      <c r="AH160">
        <v>2</v>
      </c>
      <c r="AI160">
        <v>85739783</v>
      </c>
      <c r="AJ160">
        <v>130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ROW(Source!A63)</f>
        <v>63</v>
      </c>
      <c r="B161">
        <v>85739784</v>
      </c>
      <c r="C161">
        <v>85739772</v>
      </c>
      <c r="D161">
        <v>85229633</v>
      </c>
      <c r="E161">
        <v>1</v>
      </c>
      <c r="F161">
        <v>1</v>
      </c>
      <c r="G161">
        <v>1081</v>
      </c>
      <c r="H161">
        <v>2</v>
      </c>
      <c r="I161" t="s">
        <v>475</v>
      </c>
      <c r="J161" t="s">
        <v>476</v>
      </c>
      <c r="K161" t="s">
        <v>477</v>
      </c>
      <c r="L161">
        <v>1368</v>
      </c>
      <c r="N161">
        <v>1011</v>
      </c>
      <c r="O161" t="s">
        <v>478</v>
      </c>
      <c r="P161" t="s">
        <v>478</v>
      </c>
      <c r="Q161">
        <v>1</v>
      </c>
      <c r="X161">
        <v>1.7</v>
      </c>
      <c r="Y161">
        <v>0</v>
      </c>
      <c r="Z161">
        <v>7.11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36</v>
      </c>
      <c r="AG161">
        <v>2.04</v>
      </c>
      <c r="AH161">
        <v>2</v>
      </c>
      <c r="AI161">
        <v>85739784</v>
      </c>
      <c r="AJ161">
        <v>131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ROW(Source!A63)</f>
        <v>63</v>
      </c>
      <c r="B162">
        <v>85739785</v>
      </c>
      <c r="C162">
        <v>85739772</v>
      </c>
      <c r="D162">
        <v>85229932</v>
      </c>
      <c r="E162">
        <v>1</v>
      </c>
      <c r="F162">
        <v>1</v>
      </c>
      <c r="G162">
        <v>1081</v>
      </c>
      <c r="H162">
        <v>2</v>
      </c>
      <c r="I162" t="s">
        <v>482</v>
      </c>
      <c r="J162" t="s">
        <v>483</v>
      </c>
      <c r="K162" t="s">
        <v>484</v>
      </c>
      <c r="L162">
        <v>1368</v>
      </c>
      <c r="N162">
        <v>1011</v>
      </c>
      <c r="O162" t="s">
        <v>478</v>
      </c>
      <c r="P162" t="s">
        <v>478</v>
      </c>
      <c r="Q162">
        <v>1</v>
      </c>
      <c r="X162">
        <v>0.03</v>
      </c>
      <c r="Y162">
        <v>0</v>
      </c>
      <c r="Z162">
        <v>83.1</v>
      </c>
      <c r="AA162">
        <v>12.62</v>
      </c>
      <c r="AB162">
        <v>0</v>
      </c>
      <c r="AC162">
        <v>0</v>
      </c>
      <c r="AD162">
        <v>1</v>
      </c>
      <c r="AE162">
        <v>0</v>
      </c>
      <c r="AF162" t="s">
        <v>36</v>
      </c>
      <c r="AG162">
        <v>3.5999999999999997E-2</v>
      </c>
      <c r="AH162">
        <v>2</v>
      </c>
      <c r="AI162">
        <v>85739785</v>
      </c>
      <c r="AJ162">
        <v>132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ROW(Source!A63)</f>
        <v>63</v>
      </c>
      <c r="B163">
        <v>85739786</v>
      </c>
      <c r="C163">
        <v>85739772</v>
      </c>
      <c r="D163">
        <v>85200111</v>
      </c>
      <c r="E163">
        <v>1</v>
      </c>
      <c r="F163">
        <v>1</v>
      </c>
      <c r="G163">
        <v>1081</v>
      </c>
      <c r="H163">
        <v>3</v>
      </c>
      <c r="I163" t="s">
        <v>492</v>
      </c>
      <c r="J163" t="s">
        <v>493</v>
      </c>
      <c r="K163" t="s">
        <v>494</v>
      </c>
      <c r="L163">
        <v>1348</v>
      </c>
      <c r="N163">
        <v>1009</v>
      </c>
      <c r="O163" t="s">
        <v>266</v>
      </c>
      <c r="P163" t="s">
        <v>266</v>
      </c>
      <c r="Q163">
        <v>1000</v>
      </c>
      <c r="X163">
        <v>6.6E-4</v>
      </c>
      <c r="Y163">
        <v>9112.49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35</v>
      </c>
      <c r="AG163">
        <v>6.6E-4</v>
      </c>
      <c r="AH163">
        <v>2</v>
      </c>
      <c r="AI163">
        <v>85739786</v>
      </c>
      <c r="AJ163">
        <v>133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ROW(Source!A63)</f>
        <v>63</v>
      </c>
      <c r="B164">
        <v>85739787</v>
      </c>
      <c r="C164">
        <v>85739772</v>
      </c>
      <c r="D164">
        <v>85200784</v>
      </c>
      <c r="E164">
        <v>1</v>
      </c>
      <c r="F164">
        <v>1</v>
      </c>
      <c r="G164">
        <v>1081</v>
      </c>
      <c r="H164">
        <v>3</v>
      </c>
      <c r="I164" t="s">
        <v>499</v>
      </c>
      <c r="J164" t="s">
        <v>500</v>
      </c>
      <c r="K164" t="s">
        <v>501</v>
      </c>
      <c r="L164">
        <v>1346</v>
      </c>
      <c r="N164">
        <v>1009</v>
      </c>
      <c r="O164" t="s">
        <v>502</v>
      </c>
      <c r="P164" t="s">
        <v>502</v>
      </c>
      <c r="Q164">
        <v>1</v>
      </c>
      <c r="X164">
        <v>2.1000000000000001E-2</v>
      </c>
      <c r="Y164">
        <v>6.25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 t="s">
        <v>35</v>
      </c>
      <c r="AG164">
        <v>2.1000000000000001E-2</v>
      </c>
      <c r="AH164">
        <v>2</v>
      </c>
      <c r="AI164">
        <v>85739787</v>
      </c>
      <c r="AJ164">
        <v>134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ROW(Source!A63)</f>
        <v>63</v>
      </c>
      <c r="B165">
        <v>85739788</v>
      </c>
      <c r="C165">
        <v>85739772</v>
      </c>
      <c r="D165">
        <v>85199158</v>
      </c>
      <c r="E165">
        <v>1</v>
      </c>
      <c r="F165">
        <v>1</v>
      </c>
      <c r="G165">
        <v>1081</v>
      </c>
      <c r="H165">
        <v>3</v>
      </c>
      <c r="I165" t="s">
        <v>503</v>
      </c>
      <c r="J165" t="s">
        <v>504</v>
      </c>
      <c r="K165" t="s">
        <v>505</v>
      </c>
      <c r="L165">
        <v>1339</v>
      </c>
      <c r="N165">
        <v>1007</v>
      </c>
      <c r="O165" t="s">
        <v>506</v>
      </c>
      <c r="P165" t="s">
        <v>506</v>
      </c>
      <c r="Q165">
        <v>1</v>
      </c>
      <c r="X165">
        <v>8.6999999999999994E-2</v>
      </c>
      <c r="Y165">
        <v>5.82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 t="s">
        <v>35</v>
      </c>
      <c r="AG165">
        <v>8.6999999999999994E-2</v>
      </c>
      <c r="AH165">
        <v>2</v>
      </c>
      <c r="AI165">
        <v>85739788</v>
      </c>
      <c r="AJ165">
        <v>135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ROW(Source!A63)</f>
        <v>63</v>
      </c>
      <c r="B166">
        <v>85739789</v>
      </c>
      <c r="C166">
        <v>85739772</v>
      </c>
      <c r="D166">
        <v>85179477</v>
      </c>
      <c r="E166">
        <v>1081</v>
      </c>
      <c r="F166">
        <v>1</v>
      </c>
      <c r="G166">
        <v>1081</v>
      </c>
      <c r="H166">
        <v>3</v>
      </c>
      <c r="I166" t="s">
        <v>634</v>
      </c>
      <c r="J166" t="s">
        <v>3</v>
      </c>
      <c r="K166" t="s">
        <v>635</v>
      </c>
      <c r="L166">
        <v>1354</v>
      </c>
      <c r="N166">
        <v>1010</v>
      </c>
      <c r="O166" t="s">
        <v>99</v>
      </c>
      <c r="P166" t="s">
        <v>99</v>
      </c>
      <c r="Q166">
        <v>1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35</v>
      </c>
      <c r="AG166">
        <v>1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ROW(Source!A66)</f>
        <v>66</v>
      </c>
      <c r="B167">
        <v>85739791</v>
      </c>
      <c r="C167">
        <v>85739773</v>
      </c>
      <c r="D167">
        <v>85164021</v>
      </c>
      <c r="E167">
        <v>1081</v>
      </c>
      <c r="F167">
        <v>1</v>
      </c>
      <c r="G167">
        <v>1081</v>
      </c>
      <c r="H167">
        <v>1</v>
      </c>
      <c r="I167" t="s">
        <v>472</v>
      </c>
      <c r="J167" t="s">
        <v>3</v>
      </c>
      <c r="K167" t="s">
        <v>473</v>
      </c>
      <c r="L167">
        <v>1191</v>
      </c>
      <c r="N167">
        <v>1013</v>
      </c>
      <c r="O167" t="s">
        <v>474</v>
      </c>
      <c r="P167" t="s">
        <v>474</v>
      </c>
      <c r="Q167">
        <v>1</v>
      </c>
      <c r="X167">
        <v>5.4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 t="s">
        <v>36</v>
      </c>
      <c r="AG167">
        <v>6.48</v>
      </c>
      <c r="AH167">
        <v>2</v>
      </c>
      <c r="AI167">
        <v>85739791</v>
      </c>
      <c r="AJ167">
        <v>137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ROW(Source!A66)</f>
        <v>66</v>
      </c>
      <c r="B168">
        <v>85739792</v>
      </c>
      <c r="C168">
        <v>85739773</v>
      </c>
      <c r="D168">
        <v>85229633</v>
      </c>
      <c r="E168">
        <v>1</v>
      </c>
      <c r="F168">
        <v>1</v>
      </c>
      <c r="G168">
        <v>1081</v>
      </c>
      <c r="H168">
        <v>2</v>
      </c>
      <c r="I168" t="s">
        <v>475</v>
      </c>
      <c r="J168" t="s">
        <v>476</v>
      </c>
      <c r="K168" t="s">
        <v>477</v>
      </c>
      <c r="L168">
        <v>1368</v>
      </c>
      <c r="N168">
        <v>1011</v>
      </c>
      <c r="O168" t="s">
        <v>478</v>
      </c>
      <c r="P168" t="s">
        <v>478</v>
      </c>
      <c r="Q168">
        <v>1</v>
      </c>
      <c r="X168">
        <v>0.9</v>
      </c>
      <c r="Y168">
        <v>0</v>
      </c>
      <c r="Z168">
        <v>7.11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36</v>
      </c>
      <c r="AG168">
        <v>1.08</v>
      </c>
      <c r="AH168">
        <v>2</v>
      </c>
      <c r="AI168">
        <v>85739792</v>
      </c>
      <c r="AJ168">
        <v>138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ROW(Source!A66)</f>
        <v>66</v>
      </c>
      <c r="B169">
        <v>85739793</v>
      </c>
      <c r="C169">
        <v>85739773</v>
      </c>
      <c r="D169">
        <v>85229932</v>
      </c>
      <c r="E169">
        <v>1</v>
      </c>
      <c r="F169">
        <v>1</v>
      </c>
      <c r="G169">
        <v>1081</v>
      </c>
      <c r="H169">
        <v>2</v>
      </c>
      <c r="I169" t="s">
        <v>482</v>
      </c>
      <c r="J169" t="s">
        <v>483</v>
      </c>
      <c r="K169" t="s">
        <v>484</v>
      </c>
      <c r="L169">
        <v>1368</v>
      </c>
      <c r="N169">
        <v>1011</v>
      </c>
      <c r="O169" t="s">
        <v>478</v>
      </c>
      <c r="P169" t="s">
        <v>478</v>
      </c>
      <c r="Q169">
        <v>1</v>
      </c>
      <c r="X169">
        <v>0.02</v>
      </c>
      <c r="Y169">
        <v>0</v>
      </c>
      <c r="Z169">
        <v>83.1</v>
      </c>
      <c r="AA169">
        <v>12.62</v>
      </c>
      <c r="AB169">
        <v>0</v>
      </c>
      <c r="AC169">
        <v>0</v>
      </c>
      <c r="AD169">
        <v>1</v>
      </c>
      <c r="AE169">
        <v>0</v>
      </c>
      <c r="AF169" t="s">
        <v>36</v>
      </c>
      <c r="AG169">
        <v>2.4E-2</v>
      </c>
      <c r="AH169">
        <v>2</v>
      </c>
      <c r="AI169">
        <v>85739793</v>
      </c>
      <c r="AJ169">
        <v>139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ROW(Source!A66)</f>
        <v>66</v>
      </c>
      <c r="B170">
        <v>85739794</v>
      </c>
      <c r="C170">
        <v>85739773</v>
      </c>
      <c r="D170">
        <v>85200111</v>
      </c>
      <c r="E170">
        <v>1</v>
      </c>
      <c r="F170">
        <v>1</v>
      </c>
      <c r="G170">
        <v>1081</v>
      </c>
      <c r="H170">
        <v>3</v>
      </c>
      <c r="I170" t="s">
        <v>492</v>
      </c>
      <c r="J170" t="s">
        <v>493</v>
      </c>
      <c r="K170" t="s">
        <v>494</v>
      </c>
      <c r="L170">
        <v>1348</v>
      </c>
      <c r="N170">
        <v>1009</v>
      </c>
      <c r="O170" t="s">
        <v>266</v>
      </c>
      <c r="P170" t="s">
        <v>266</v>
      </c>
      <c r="Q170">
        <v>1000</v>
      </c>
      <c r="X170">
        <v>4.4000000000000002E-4</v>
      </c>
      <c r="Y170">
        <v>9112.49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0</v>
      </c>
      <c r="AF170" t="s">
        <v>35</v>
      </c>
      <c r="AG170">
        <v>4.4000000000000002E-4</v>
      </c>
      <c r="AH170">
        <v>2</v>
      </c>
      <c r="AI170">
        <v>85739794</v>
      </c>
      <c r="AJ170">
        <v>140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ROW(Source!A66)</f>
        <v>66</v>
      </c>
      <c r="B171">
        <v>85739795</v>
      </c>
      <c r="C171">
        <v>85739773</v>
      </c>
      <c r="D171">
        <v>85200784</v>
      </c>
      <c r="E171">
        <v>1</v>
      </c>
      <c r="F171">
        <v>1</v>
      </c>
      <c r="G171">
        <v>1081</v>
      </c>
      <c r="H171">
        <v>3</v>
      </c>
      <c r="I171" t="s">
        <v>499</v>
      </c>
      <c r="J171" t="s">
        <v>500</v>
      </c>
      <c r="K171" t="s">
        <v>501</v>
      </c>
      <c r="L171">
        <v>1346</v>
      </c>
      <c r="N171">
        <v>1009</v>
      </c>
      <c r="O171" t="s">
        <v>502</v>
      </c>
      <c r="P171" t="s">
        <v>502</v>
      </c>
      <c r="Q171">
        <v>1</v>
      </c>
      <c r="X171">
        <v>1.0999999999999999E-2</v>
      </c>
      <c r="Y171">
        <v>6.25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35</v>
      </c>
      <c r="AG171">
        <v>1.0999999999999999E-2</v>
      </c>
      <c r="AH171">
        <v>2</v>
      </c>
      <c r="AI171">
        <v>85739795</v>
      </c>
      <c r="AJ171">
        <v>141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ROW(Source!A66)</f>
        <v>66</v>
      </c>
      <c r="B172">
        <v>85739796</v>
      </c>
      <c r="C172">
        <v>85739773</v>
      </c>
      <c r="D172">
        <v>85199158</v>
      </c>
      <c r="E172">
        <v>1</v>
      </c>
      <c r="F172">
        <v>1</v>
      </c>
      <c r="G172">
        <v>1081</v>
      </c>
      <c r="H172">
        <v>3</v>
      </c>
      <c r="I172" t="s">
        <v>503</v>
      </c>
      <c r="J172" t="s">
        <v>504</v>
      </c>
      <c r="K172" t="s">
        <v>505</v>
      </c>
      <c r="L172">
        <v>1339</v>
      </c>
      <c r="N172">
        <v>1007</v>
      </c>
      <c r="O172" t="s">
        <v>506</v>
      </c>
      <c r="P172" t="s">
        <v>506</v>
      </c>
      <c r="Q172">
        <v>1</v>
      </c>
      <c r="X172">
        <v>4.3999999999999997E-2</v>
      </c>
      <c r="Y172">
        <v>5.82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35</v>
      </c>
      <c r="AG172">
        <v>4.3999999999999997E-2</v>
      </c>
      <c r="AH172">
        <v>2</v>
      </c>
      <c r="AI172">
        <v>85739796</v>
      </c>
      <c r="AJ172">
        <v>142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ROW(Source!A66)</f>
        <v>66</v>
      </c>
      <c r="B173">
        <v>85739797</v>
      </c>
      <c r="C173">
        <v>85739773</v>
      </c>
      <c r="D173">
        <v>85179477</v>
      </c>
      <c r="E173">
        <v>1081</v>
      </c>
      <c r="F173">
        <v>1</v>
      </c>
      <c r="G173">
        <v>1081</v>
      </c>
      <c r="H173">
        <v>3</v>
      </c>
      <c r="I173" t="s">
        <v>634</v>
      </c>
      <c r="J173" t="s">
        <v>3</v>
      </c>
      <c r="K173" t="s">
        <v>635</v>
      </c>
      <c r="L173">
        <v>1354</v>
      </c>
      <c r="N173">
        <v>1010</v>
      </c>
      <c r="O173" t="s">
        <v>99</v>
      </c>
      <c r="P173" t="s">
        <v>99</v>
      </c>
      <c r="Q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35</v>
      </c>
      <c r="AG173">
        <v>1</v>
      </c>
      <c r="AH173">
        <v>3</v>
      </c>
      <c r="AI173">
        <v>-1</v>
      </c>
      <c r="AJ173" t="s">
        <v>3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ROW(Source!A67)</f>
        <v>67</v>
      </c>
      <c r="B174">
        <v>85739791</v>
      </c>
      <c r="C174">
        <v>85739773</v>
      </c>
      <c r="D174">
        <v>85164021</v>
      </c>
      <c r="E174">
        <v>1081</v>
      </c>
      <c r="F174">
        <v>1</v>
      </c>
      <c r="G174">
        <v>1081</v>
      </c>
      <c r="H174">
        <v>1</v>
      </c>
      <c r="I174" t="s">
        <v>472</v>
      </c>
      <c r="J174" t="s">
        <v>3</v>
      </c>
      <c r="K174" t="s">
        <v>473</v>
      </c>
      <c r="L174">
        <v>1191</v>
      </c>
      <c r="N174">
        <v>1013</v>
      </c>
      <c r="O174" t="s">
        <v>474</v>
      </c>
      <c r="P174" t="s">
        <v>474</v>
      </c>
      <c r="Q174">
        <v>1</v>
      </c>
      <c r="X174">
        <v>5.4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1</v>
      </c>
      <c r="AF174" t="s">
        <v>36</v>
      </c>
      <c r="AG174">
        <v>6.48</v>
      </c>
      <c r="AH174">
        <v>2</v>
      </c>
      <c r="AI174">
        <v>85739791</v>
      </c>
      <c r="AJ174">
        <v>145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ROW(Source!A67)</f>
        <v>67</v>
      </c>
      <c r="B175">
        <v>85739792</v>
      </c>
      <c r="C175">
        <v>85739773</v>
      </c>
      <c r="D175">
        <v>85229633</v>
      </c>
      <c r="E175">
        <v>1</v>
      </c>
      <c r="F175">
        <v>1</v>
      </c>
      <c r="G175">
        <v>1081</v>
      </c>
      <c r="H175">
        <v>2</v>
      </c>
      <c r="I175" t="s">
        <v>475</v>
      </c>
      <c r="J175" t="s">
        <v>476</v>
      </c>
      <c r="K175" t="s">
        <v>477</v>
      </c>
      <c r="L175">
        <v>1368</v>
      </c>
      <c r="N175">
        <v>1011</v>
      </c>
      <c r="O175" t="s">
        <v>478</v>
      </c>
      <c r="P175" t="s">
        <v>478</v>
      </c>
      <c r="Q175">
        <v>1</v>
      </c>
      <c r="X175">
        <v>0.9</v>
      </c>
      <c r="Y175">
        <v>0</v>
      </c>
      <c r="Z175">
        <v>7.11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36</v>
      </c>
      <c r="AG175">
        <v>1.08</v>
      </c>
      <c r="AH175">
        <v>2</v>
      </c>
      <c r="AI175">
        <v>85739792</v>
      </c>
      <c r="AJ175">
        <v>146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ROW(Source!A67)</f>
        <v>67</v>
      </c>
      <c r="B176">
        <v>85739793</v>
      </c>
      <c r="C176">
        <v>85739773</v>
      </c>
      <c r="D176">
        <v>85229932</v>
      </c>
      <c r="E176">
        <v>1</v>
      </c>
      <c r="F176">
        <v>1</v>
      </c>
      <c r="G176">
        <v>1081</v>
      </c>
      <c r="H176">
        <v>2</v>
      </c>
      <c r="I176" t="s">
        <v>482</v>
      </c>
      <c r="J176" t="s">
        <v>483</v>
      </c>
      <c r="K176" t="s">
        <v>484</v>
      </c>
      <c r="L176">
        <v>1368</v>
      </c>
      <c r="N176">
        <v>1011</v>
      </c>
      <c r="O176" t="s">
        <v>478</v>
      </c>
      <c r="P176" t="s">
        <v>478</v>
      </c>
      <c r="Q176">
        <v>1</v>
      </c>
      <c r="X176">
        <v>0.02</v>
      </c>
      <c r="Y176">
        <v>0</v>
      </c>
      <c r="Z176">
        <v>83.1</v>
      </c>
      <c r="AA176">
        <v>12.62</v>
      </c>
      <c r="AB176">
        <v>0</v>
      </c>
      <c r="AC176">
        <v>0</v>
      </c>
      <c r="AD176">
        <v>1</v>
      </c>
      <c r="AE176">
        <v>0</v>
      </c>
      <c r="AF176" t="s">
        <v>36</v>
      </c>
      <c r="AG176">
        <v>2.4E-2</v>
      </c>
      <c r="AH176">
        <v>2</v>
      </c>
      <c r="AI176">
        <v>85739793</v>
      </c>
      <c r="AJ176">
        <v>147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ROW(Source!A67)</f>
        <v>67</v>
      </c>
      <c r="B177">
        <v>85739794</v>
      </c>
      <c r="C177">
        <v>85739773</v>
      </c>
      <c r="D177">
        <v>85200111</v>
      </c>
      <c r="E177">
        <v>1</v>
      </c>
      <c r="F177">
        <v>1</v>
      </c>
      <c r="G177">
        <v>1081</v>
      </c>
      <c r="H177">
        <v>3</v>
      </c>
      <c r="I177" t="s">
        <v>492</v>
      </c>
      <c r="J177" t="s">
        <v>493</v>
      </c>
      <c r="K177" t="s">
        <v>494</v>
      </c>
      <c r="L177">
        <v>1348</v>
      </c>
      <c r="N177">
        <v>1009</v>
      </c>
      <c r="O177" t="s">
        <v>266</v>
      </c>
      <c r="P177" t="s">
        <v>266</v>
      </c>
      <c r="Q177">
        <v>1000</v>
      </c>
      <c r="X177">
        <v>4.4000000000000002E-4</v>
      </c>
      <c r="Y177">
        <v>9112.49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35</v>
      </c>
      <c r="AG177">
        <v>4.4000000000000002E-4</v>
      </c>
      <c r="AH177">
        <v>2</v>
      </c>
      <c r="AI177">
        <v>85739794</v>
      </c>
      <c r="AJ177">
        <v>148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ROW(Source!A67)</f>
        <v>67</v>
      </c>
      <c r="B178">
        <v>85739795</v>
      </c>
      <c r="C178">
        <v>85739773</v>
      </c>
      <c r="D178">
        <v>85200784</v>
      </c>
      <c r="E178">
        <v>1</v>
      </c>
      <c r="F178">
        <v>1</v>
      </c>
      <c r="G178">
        <v>1081</v>
      </c>
      <c r="H178">
        <v>3</v>
      </c>
      <c r="I178" t="s">
        <v>499</v>
      </c>
      <c r="J178" t="s">
        <v>500</v>
      </c>
      <c r="K178" t="s">
        <v>501</v>
      </c>
      <c r="L178">
        <v>1346</v>
      </c>
      <c r="N178">
        <v>1009</v>
      </c>
      <c r="O178" t="s">
        <v>502</v>
      </c>
      <c r="P178" t="s">
        <v>502</v>
      </c>
      <c r="Q178">
        <v>1</v>
      </c>
      <c r="X178">
        <v>1.0999999999999999E-2</v>
      </c>
      <c r="Y178">
        <v>6.25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35</v>
      </c>
      <c r="AG178">
        <v>1.0999999999999999E-2</v>
      </c>
      <c r="AH178">
        <v>2</v>
      </c>
      <c r="AI178">
        <v>85739795</v>
      </c>
      <c r="AJ178">
        <v>149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ROW(Source!A67)</f>
        <v>67</v>
      </c>
      <c r="B179">
        <v>85739796</v>
      </c>
      <c r="C179">
        <v>85739773</v>
      </c>
      <c r="D179">
        <v>85199158</v>
      </c>
      <c r="E179">
        <v>1</v>
      </c>
      <c r="F179">
        <v>1</v>
      </c>
      <c r="G179">
        <v>1081</v>
      </c>
      <c r="H179">
        <v>3</v>
      </c>
      <c r="I179" t="s">
        <v>503</v>
      </c>
      <c r="J179" t="s">
        <v>504</v>
      </c>
      <c r="K179" t="s">
        <v>505</v>
      </c>
      <c r="L179">
        <v>1339</v>
      </c>
      <c r="N179">
        <v>1007</v>
      </c>
      <c r="O179" t="s">
        <v>506</v>
      </c>
      <c r="P179" t="s">
        <v>506</v>
      </c>
      <c r="Q179">
        <v>1</v>
      </c>
      <c r="X179">
        <v>4.3999999999999997E-2</v>
      </c>
      <c r="Y179">
        <v>5.82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 t="s">
        <v>35</v>
      </c>
      <c r="AG179">
        <v>4.3999999999999997E-2</v>
      </c>
      <c r="AH179">
        <v>2</v>
      </c>
      <c r="AI179">
        <v>85739796</v>
      </c>
      <c r="AJ179">
        <v>150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ROW(Source!A67)</f>
        <v>67</v>
      </c>
      <c r="B180">
        <v>85739797</v>
      </c>
      <c r="C180">
        <v>85739773</v>
      </c>
      <c r="D180">
        <v>85179477</v>
      </c>
      <c r="E180">
        <v>1081</v>
      </c>
      <c r="F180">
        <v>1</v>
      </c>
      <c r="G180">
        <v>1081</v>
      </c>
      <c r="H180">
        <v>3</v>
      </c>
      <c r="I180" t="s">
        <v>634</v>
      </c>
      <c r="J180" t="s">
        <v>3</v>
      </c>
      <c r="K180" t="s">
        <v>635</v>
      </c>
      <c r="L180">
        <v>1354</v>
      </c>
      <c r="N180">
        <v>1010</v>
      </c>
      <c r="O180" t="s">
        <v>99</v>
      </c>
      <c r="P180" t="s">
        <v>99</v>
      </c>
      <c r="Q180">
        <v>1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35</v>
      </c>
      <c r="AG180">
        <v>1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ROW(Source!A72)</f>
        <v>72</v>
      </c>
      <c r="B181">
        <v>85739802</v>
      </c>
      <c r="C181">
        <v>85739774</v>
      </c>
      <c r="D181">
        <v>85164021</v>
      </c>
      <c r="E181">
        <v>1081</v>
      </c>
      <c r="F181">
        <v>1</v>
      </c>
      <c r="G181">
        <v>1081</v>
      </c>
      <c r="H181">
        <v>1</v>
      </c>
      <c r="I181" t="s">
        <v>472</v>
      </c>
      <c r="J181" t="s">
        <v>3</v>
      </c>
      <c r="K181" t="s">
        <v>473</v>
      </c>
      <c r="L181">
        <v>1191</v>
      </c>
      <c r="N181">
        <v>1013</v>
      </c>
      <c r="O181" t="s">
        <v>474</v>
      </c>
      <c r="P181" t="s">
        <v>474</v>
      </c>
      <c r="Q181">
        <v>1</v>
      </c>
      <c r="X181">
        <v>5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  <c r="AE181">
        <v>1</v>
      </c>
      <c r="AF181" t="s">
        <v>36</v>
      </c>
      <c r="AG181">
        <v>6</v>
      </c>
      <c r="AH181">
        <v>2</v>
      </c>
      <c r="AI181">
        <v>85739802</v>
      </c>
      <c r="AJ181">
        <v>153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ROW(Source!A72)</f>
        <v>72</v>
      </c>
      <c r="B182">
        <v>85739803</v>
      </c>
      <c r="C182">
        <v>85739774</v>
      </c>
      <c r="D182">
        <v>85229633</v>
      </c>
      <c r="E182">
        <v>1</v>
      </c>
      <c r="F182">
        <v>1</v>
      </c>
      <c r="G182">
        <v>1081</v>
      </c>
      <c r="H182">
        <v>2</v>
      </c>
      <c r="I182" t="s">
        <v>475</v>
      </c>
      <c r="J182" t="s">
        <v>476</v>
      </c>
      <c r="K182" t="s">
        <v>477</v>
      </c>
      <c r="L182">
        <v>1368</v>
      </c>
      <c r="N182">
        <v>1011</v>
      </c>
      <c r="O182" t="s">
        <v>478</v>
      </c>
      <c r="P182" t="s">
        <v>478</v>
      </c>
      <c r="Q182">
        <v>1</v>
      </c>
      <c r="X182">
        <v>0.6</v>
      </c>
      <c r="Y182">
        <v>0</v>
      </c>
      <c r="Z182">
        <v>7.11</v>
      </c>
      <c r="AA182">
        <v>0</v>
      </c>
      <c r="AB182">
        <v>0</v>
      </c>
      <c r="AC182">
        <v>0</v>
      </c>
      <c r="AD182">
        <v>1</v>
      </c>
      <c r="AE182">
        <v>0</v>
      </c>
      <c r="AF182" t="s">
        <v>36</v>
      </c>
      <c r="AG182">
        <v>0.72</v>
      </c>
      <c r="AH182">
        <v>2</v>
      </c>
      <c r="AI182">
        <v>85739803</v>
      </c>
      <c r="AJ182">
        <v>154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ROW(Source!A72)</f>
        <v>72</v>
      </c>
      <c r="B183">
        <v>85739804</v>
      </c>
      <c r="C183">
        <v>85739774</v>
      </c>
      <c r="D183">
        <v>85229932</v>
      </c>
      <c r="E183">
        <v>1</v>
      </c>
      <c r="F183">
        <v>1</v>
      </c>
      <c r="G183">
        <v>1081</v>
      </c>
      <c r="H183">
        <v>2</v>
      </c>
      <c r="I183" t="s">
        <v>482</v>
      </c>
      <c r="J183" t="s">
        <v>483</v>
      </c>
      <c r="K183" t="s">
        <v>484</v>
      </c>
      <c r="L183">
        <v>1368</v>
      </c>
      <c r="N183">
        <v>1011</v>
      </c>
      <c r="O183" t="s">
        <v>478</v>
      </c>
      <c r="P183" t="s">
        <v>478</v>
      </c>
      <c r="Q183">
        <v>1</v>
      </c>
      <c r="X183">
        <v>0.02</v>
      </c>
      <c r="Y183">
        <v>0</v>
      </c>
      <c r="Z183">
        <v>83.1</v>
      </c>
      <c r="AA183">
        <v>12.62</v>
      </c>
      <c r="AB183">
        <v>0</v>
      </c>
      <c r="AC183">
        <v>0</v>
      </c>
      <c r="AD183">
        <v>1</v>
      </c>
      <c r="AE183">
        <v>0</v>
      </c>
      <c r="AF183" t="s">
        <v>36</v>
      </c>
      <c r="AG183">
        <v>2.4E-2</v>
      </c>
      <c r="AH183">
        <v>2</v>
      </c>
      <c r="AI183">
        <v>85739804</v>
      </c>
      <c r="AJ183">
        <v>155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ROW(Source!A72)</f>
        <v>72</v>
      </c>
      <c r="B184">
        <v>85739805</v>
      </c>
      <c r="C184">
        <v>85739774</v>
      </c>
      <c r="D184">
        <v>85200111</v>
      </c>
      <c r="E184">
        <v>1</v>
      </c>
      <c r="F184">
        <v>1</v>
      </c>
      <c r="G184">
        <v>1081</v>
      </c>
      <c r="H184">
        <v>3</v>
      </c>
      <c r="I184" t="s">
        <v>492</v>
      </c>
      <c r="J184" t="s">
        <v>493</v>
      </c>
      <c r="K184" t="s">
        <v>494</v>
      </c>
      <c r="L184">
        <v>1348</v>
      </c>
      <c r="N184">
        <v>1009</v>
      </c>
      <c r="O184" t="s">
        <v>266</v>
      </c>
      <c r="P184" t="s">
        <v>266</v>
      </c>
      <c r="Q184">
        <v>1000</v>
      </c>
      <c r="X184">
        <v>3.6000000000000002E-4</v>
      </c>
      <c r="Y184">
        <v>9112.49</v>
      </c>
      <c r="Z184">
        <v>0</v>
      </c>
      <c r="AA184">
        <v>0</v>
      </c>
      <c r="AB184">
        <v>0</v>
      </c>
      <c r="AC184">
        <v>0</v>
      </c>
      <c r="AD184">
        <v>1</v>
      </c>
      <c r="AE184">
        <v>0</v>
      </c>
      <c r="AF184" t="s">
        <v>35</v>
      </c>
      <c r="AG184">
        <v>3.6000000000000002E-4</v>
      </c>
      <c r="AH184">
        <v>2</v>
      </c>
      <c r="AI184">
        <v>85739805</v>
      </c>
      <c r="AJ184">
        <v>156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ROW(Source!A72)</f>
        <v>72</v>
      </c>
      <c r="B185">
        <v>85739806</v>
      </c>
      <c r="C185">
        <v>85739774</v>
      </c>
      <c r="D185">
        <v>85200784</v>
      </c>
      <c r="E185">
        <v>1</v>
      </c>
      <c r="F185">
        <v>1</v>
      </c>
      <c r="G185">
        <v>1081</v>
      </c>
      <c r="H185">
        <v>3</v>
      </c>
      <c r="I185" t="s">
        <v>499</v>
      </c>
      <c r="J185" t="s">
        <v>500</v>
      </c>
      <c r="K185" t="s">
        <v>501</v>
      </c>
      <c r="L185">
        <v>1346</v>
      </c>
      <c r="N185">
        <v>1009</v>
      </c>
      <c r="O185" t="s">
        <v>502</v>
      </c>
      <c r="P185" t="s">
        <v>502</v>
      </c>
      <c r="Q185">
        <v>1</v>
      </c>
      <c r="X185">
        <v>7.0000000000000001E-3</v>
      </c>
      <c r="Y185">
        <v>6.25</v>
      </c>
      <c r="Z185">
        <v>0</v>
      </c>
      <c r="AA185">
        <v>0</v>
      </c>
      <c r="AB185">
        <v>0</v>
      </c>
      <c r="AC185">
        <v>0</v>
      </c>
      <c r="AD185">
        <v>1</v>
      </c>
      <c r="AE185">
        <v>0</v>
      </c>
      <c r="AF185" t="s">
        <v>35</v>
      </c>
      <c r="AG185">
        <v>7.0000000000000001E-3</v>
      </c>
      <c r="AH185">
        <v>2</v>
      </c>
      <c r="AI185">
        <v>85739806</v>
      </c>
      <c r="AJ185">
        <v>157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ROW(Source!A72)</f>
        <v>72</v>
      </c>
      <c r="B186">
        <v>85739807</v>
      </c>
      <c r="C186">
        <v>85739774</v>
      </c>
      <c r="D186">
        <v>85199158</v>
      </c>
      <c r="E186">
        <v>1</v>
      </c>
      <c r="F186">
        <v>1</v>
      </c>
      <c r="G186">
        <v>1081</v>
      </c>
      <c r="H186">
        <v>3</v>
      </c>
      <c r="I186" t="s">
        <v>503</v>
      </c>
      <c r="J186" t="s">
        <v>504</v>
      </c>
      <c r="K186" t="s">
        <v>505</v>
      </c>
      <c r="L186">
        <v>1339</v>
      </c>
      <c r="N186">
        <v>1007</v>
      </c>
      <c r="O186" t="s">
        <v>506</v>
      </c>
      <c r="P186" t="s">
        <v>506</v>
      </c>
      <c r="Q186">
        <v>1</v>
      </c>
      <c r="X186">
        <v>0.03</v>
      </c>
      <c r="Y186">
        <v>5.82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35</v>
      </c>
      <c r="AG186">
        <v>0.03</v>
      </c>
      <c r="AH186">
        <v>2</v>
      </c>
      <c r="AI186">
        <v>85739807</v>
      </c>
      <c r="AJ186">
        <v>158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ROW(Source!A72)</f>
        <v>72</v>
      </c>
      <c r="B187">
        <v>85739808</v>
      </c>
      <c r="C187">
        <v>85739774</v>
      </c>
      <c r="D187">
        <v>85179477</v>
      </c>
      <c r="E187">
        <v>1081</v>
      </c>
      <c r="F187">
        <v>1</v>
      </c>
      <c r="G187">
        <v>1081</v>
      </c>
      <c r="H187">
        <v>3</v>
      </c>
      <c r="I187" t="s">
        <v>634</v>
      </c>
      <c r="J187" t="s">
        <v>3</v>
      </c>
      <c r="K187" t="s">
        <v>635</v>
      </c>
      <c r="L187">
        <v>1354</v>
      </c>
      <c r="N187">
        <v>1010</v>
      </c>
      <c r="O187" t="s">
        <v>99</v>
      </c>
      <c r="P187" t="s">
        <v>99</v>
      </c>
      <c r="Q187">
        <v>1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 t="s">
        <v>35</v>
      </c>
      <c r="AG187">
        <v>1</v>
      </c>
      <c r="AH187">
        <v>3</v>
      </c>
      <c r="AI187">
        <v>-1</v>
      </c>
      <c r="AJ187" t="s">
        <v>3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ROW(Source!A73)</f>
        <v>73</v>
      </c>
      <c r="B188">
        <v>85739802</v>
      </c>
      <c r="C188">
        <v>85739774</v>
      </c>
      <c r="D188">
        <v>85164021</v>
      </c>
      <c r="E188">
        <v>1081</v>
      </c>
      <c r="F188">
        <v>1</v>
      </c>
      <c r="G188">
        <v>1081</v>
      </c>
      <c r="H188">
        <v>1</v>
      </c>
      <c r="I188" t="s">
        <v>472</v>
      </c>
      <c r="J188" t="s">
        <v>3</v>
      </c>
      <c r="K188" t="s">
        <v>473</v>
      </c>
      <c r="L188">
        <v>1191</v>
      </c>
      <c r="N188">
        <v>1013</v>
      </c>
      <c r="O188" t="s">
        <v>474</v>
      </c>
      <c r="P188" t="s">
        <v>474</v>
      </c>
      <c r="Q188">
        <v>1</v>
      </c>
      <c r="X188">
        <v>5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1</v>
      </c>
      <c r="AF188" t="s">
        <v>36</v>
      </c>
      <c r="AG188">
        <v>6</v>
      </c>
      <c r="AH188">
        <v>2</v>
      </c>
      <c r="AI188">
        <v>85739802</v>
      </c>
      <c r="AJ188">
        <v>161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ROW(Source!A73)</f>
        <v>73</v>
      </c>
      <c r="B189">
        <v>85739803</v>
      </c>
      <c r="C189">
        <v>85739774</v>
      </c>
      <c r="D189">
        <v>85229633</v>
      </c>
      <c r="E189">
        <v>1</v>
      </c>
      <c r="F189">
        <v>1</v>
      </c>
      <c r="G189">
        <v>1081</v>
      </c>
      <c r="H189">
        <v>2</v>
      </c>
      <c r="I189" t="s">
        <v>475</v>
      </c>
      <c r="J189" t="s">
        <v>476</v>
      </c>
      <c r="K189" t="s">
        <v>477</v>
      </c>
      <c r="L189">
        <v>1368</v>
      </c>
      <c r="N189">
        <v>1011</v>
      </c>
      <c r="O189" t="s">
        <v>478</v>
      </c>
      <c r="P189" t="s">
        <v>478</v>
      </c>
      <c r="Q189">
        <v>1</v>
      </c>
      <c r="X189">
        <v>0.6</v>
      </c>
      <c r="Y189">
        <v>0</v>
      </c>
      <c r="Z189">
        <v>7.11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36</v>
      </c>
      <c r="AG189">
        <v>0.72</v>
      </c>
      <c r="AH189">
        <v>2</v>
      </c>
      <c r="AI189">
        <v>85739803</v>
      </c>
      <c r="AJ189">
        <v>162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ROW(Source!A73)</f>
        <v>73</v>
      </c>
      <c r="B190">
        <v>85739804</v>
      </c>
      <c r="C190">
        <v>85739774</v>
      </c>
      <c r="D190">
        <v>85229932</v>
      </c>
      <c r="E190">
        <v>1</v>
      </c>
      <c r="F190">
        <v>1</v>
      </c>
      <c r="G190">
        <v>1081</v>
      </c>
      <c r="H190">
        <v>2</v>
      </c>
      <c r="I190" t="s">
        <v>482</v>
      </c>
      <c r="J190" t="s">
        <v>483</v>
      </c>
      <c r="K190" t="s">
        <v>484</v>
      </c>
      <c r="L190">
        <v>1368</v>
      </c>
      <c r="N190">
        <v>1011</v>
      </c>
      <c r="O190" t="s">
        <v>478</v>
      </c>
      <c r="P190" t="s">
        <v>478</v>
      </c>
      <c r="Q190">
        <v>1</v>
      </c>
      <c r="X190">
        <v>0.02</v>
      </c>
      <c r="Y190">
        <v>0</v>
      </c>
      <c r="Z190">
        <v>83.1</v>
      </c>
      <c r="AA190">
        <v>12.62</v>
      </c>
      <c r="AB190">
        <v>0</v>
      </c>
      <c r="AC190">
        <v>0</v>
      </c>
      <c r="AD190">
        <v>1</v>
      </c>
      <c r="AE190">
        <v>0</v>
      </c>
      <c r="AF190" t="s">
        <v>36</v>
      </c>
      <c r="AG190">
        <v>2.4E-2</v>
      </c>
      <c r="AH190">
        <v>2</v>
      </c>
      <c r="AI190">
        <v>85739804</v>
      </c>
      <c r="AJ190">
        <v>163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ROW(Source!A73)</f>
        <v>73</v>
      </c>
      <c r="B191">
        <v>85739805</v>
      </c>
      <c r="C191">
        <v>85739774</v>
      </c>
      <c r="D191">
        <v>85200111</v>
      </c>
      <c r="E191">
        <v>1</v>
      </c>
      <c r="F191">
        <v>1</v>
      </c>
      <c r="G191">
        <v>1081</v>
      </c>
      <c r="H191">
        <v>3</v>
      </c>
      <c r="I191" t="s">
        <v>492</v>
      </c>
      <c r="J191" t="s">
        <v>493</v>
      </c>
      <c r="K191" t="s">
        <v>494</v>
      </c>
      <c r="L191">
        <v>1348</v>
      </c>
      <c r="N191">
        <v>1009</v>
      </c>
      <c r="O191" t="s">
        <v>266</v>
      </c>
      <c r="P191" t="s">
        <v>266</v>
      </c>
      <c r="Q191">
        <v>1000</v>
      </c>
      <c r="X191">
        <v>3.6000000000000002E-4</v>
      </c>
      <c r="Y191">
        <v>9112.49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35</v>
      </c>
      <c r="AG191">
        <v>3.6000000000000002E-4</v>
      </c>
      <c r="AH191">
        <v>2</v>
      </c>
      <c r="AI191">
        <v>85739805</v>
      </c>
      <c r="AJ191">
        <v>164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ROW(Source!A73)</f>
        <v>73</v>
      </c>
      <c r="B192">
        <v>85739806</v>
      </c>
      <c r="C192">
        <v>85739774</v>
      </c>
      <c r="D192">
        <v>85200784</v>
      </c>
      <c r="E192">
        <v>1</v>
      </c>
      <c r="F192">
        <v>1</v>
      </c>
      <c r="G192">
        <v>1081</v>
      </c>
      <c r="H192">
        <v>3</v>
      </c>
      <c r="I192" t="s">
        <v>499</v>
      </c>
      <c r="J192" t="s">
        <v>500</v>
      </c>
      <c r="K192" t="s">
        <v>501</v>
      </c>
      <c r="L192">
        <v>1346</v>
      </c>
      <c r="N192">
        <v>1009</v>
      </c>
      <c r="O192" t="s">
        <v>502</v>
      </c>
      <c r="P192" t="s">
        <v>502</v>
      </c>
      <c r="Q192">
        <v>1</v>
      </c>
      <c r="X192">
        <v>7.0000000000000001E-3</v>
      </c>
      <c r="Y192">
        <v>6.25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35</v>
      </c>
      <c r="AG192">
        <v>7.0000000000000001E-3</v>
      </c>
      <c r="AH192">
        <v>2</v>
      </c>
      <c r="AI192">
        <v>85739806</v>
      </c>
      <c r="AJ192">
        <v>165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ROW(Source!A73)</f>
        <v>73</v>
      </c>
      <c r="B193">
        <v>85739807</v>
      </c>
      <c r="C193">
        <v>85739774</v>
      </c>
      <c r="D193">
        <v>85199158</v>
      </c>
      <c r="E193">
        <v>1</v>
      </c>
      <c r="F193">
        <v>1</v>
      </c>
      <c r="G193">
        <v>1081</v>
      </c>
      <c r="H193">
        <v>3</v>
      </c>
      <c r="I193" t="s">
        <v>503</v>
      </c>
      <c r="J193" t="s">
        <v>504</v>
      </c>
      <c r="K193" t="s">
        <v>505</v>
      </c>
      <c r="L193">
        <v>1339</v>
      </c>
      <c r="N193">
        <v>1007</v>
      </c>
      <c r="O193" t="s">
        <v>506</v>
      </c>
      <c r="P193" t="s">
        <v>506</v>
      </c>
      <c r="Q193">
        <v>1</v>
      </c>
      <c r="X193">
        <v>0.03</v>
      </c>
      <c r="Y193">
        <v>5.82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35</v>
      </c>
      <c r="AG193">
        <v>0.03</v>
      </c>
      <c r="AH193">
        <v>2</v>
      </c>
      <c r="AI193">
        <v>85739807</v>
      </c>
      <c r="AJ193">
        <v>166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ROW(Source!A73)</f>
        <v>73</v>
      </c>
      <c r="B194">
        <v>85739808</v>
      </c>
      <c r="C194">
        <v>85739774</v>
      </c>
      <c r="D194">
        <v>85179477</v>
      </c>
      <c r="E194">
        <v>1081</v>
      </c>
      <c r="F194">
        <v>1</v>
      </c>
      <c r="G194">
        <v>1081</v>
      </c>
      <c r="H194">
        <v>3</v>
      </c>
      <c r="I194" t="s">
        <v>634</v>
      </c>
      <c r="J194" t="s">
        <v>3</v>
      </c>
      <c r="K194" t="s">
        <v>635</v>
      </c>
      <c r="L194">
        <v>1354</v>
      </c>
      <c r="N194">
        <v>1010</v>
      </c>
      <c r="O194" t="s">
        <v>99</v>
      </c>
      <c r="P194" t="s">
        <v>99</v>
      </c>
      <c r="Q194">
        <v>1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35</v>
      </c>
      <c r="AG194">
        <v>1</v>
      </c>
      <c r="AH194">
        <v>3</v>
      </c>
      <c r="AI194">
        <v>-1</v>
      </c>
      <c r="AJ194" t="s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ROW(Source!A78)</f>
        <v>78</v>
      </c>
      <c r="B195">
        <v>85739681</v>
      </c>
      <c r="C195">
        <v>85739649</v>
      </c>
      <c r="D195">
        <v>85164021</v>
      </c>
      <c r="E195">
        <v>1081</v>
      </c>
      <c r="F195">
        <v>1</v>
      </c>
      <c r="G195">
        <v>1081</v>
      </c>
      <c r="H195">
        <v>1</v>
      </c>
      <c r="I195" t="s">
        <v>472</v>
      </c>
      <c r="J195" t="s">
        <v>3</v>
      </c>
      <c r="K195" t="s">
        <v>473</v>
      </c>
      <c r="L195">
        <v>1191</v>
      </c>
      <c r="N195">
        <v>1013</v>
      </c>
      <c r="O195" t="s">
        <v>474</v>
      </c>
      <c r="P195" t="s">
        <v>474</v>
      </c>
      <c r="Q195">
        <v>1</v>
      </c>
      <c r="X195">
        <v>7.6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1</v>
      </c>
      <c r="AF195" t="s">
        <v>36</v>
      </c>
      <c r="AG195">
        <v>9.1199999999999992</v>
      </c>
      <c r="AH195">
        <v>2</v>
      </c>
      <c r="AI195">
        <v>85739681</v>
      </c>
      <c r="AJ195">
        <v>169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ROW(Source!A78)</f>
        <v>78</v>
      </c>
      <c r="B196">
        <v>85739682</v>
      </c>
      <c r="C196">
        <v>85739649</v>
      </c>
      <c r="D196">
        <v>85229633</v>
      </c>
      <c r="E196">
        <v>1</v>
      </c>
      <c r="F196">
        <v>1</v>
      </c>
      <c r="G196">
        <v>1081</v>
      </c>
      <c r="H196">
        <v>2</v>
      </c>
      <c r="I196" t="s">
        <v>475</v>
      </c>
      <c r="J196" t="s">
        <v>476</v>
      </c>
      <c r="K196" t="s">
        <v>477</v>
      </c>
      <c r="L196">
        <v>1368</v>
      </c>
      <c r="N196">
        <v>1011</v>
      </c>
      <c r="O196" t="s">
        <v>478</v>
      </c>
      <c r="P196" t="s">
        <v>478</v>
      </c>
      <c r="Q196">
        <v>1</v>
      </c>
      <c r="X196">
        <v>1</v>
      </c>
      <c r="Y196">
        <v>0</v>
      </c>
      <c r="Z196">
        <v>7.11</v>
      </c>
      <c r="AA196">
        <v>0</v>
      </c>
      <c r="AB196">
        <v>0</v>
      </c>
      <c r="AC196">
        <v>0</v>
      </c>
      <c r="AD196">
        <v>1</v>
      </c>
      <c r="AE196">
        <v>0</v>
      </c>
      <c r="AF196" t="s">
        <v>36</v>
      </c>
      <c r="AG196">
        <v>1.2</v>
      </c>
      <c r="AH196">
        <v>2</v>
      </c>
      <c r="AI196">
        <v>85739682</v>
      </c>
      <c r="AJ196">
        <v>170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ROW(Source!A78)</f>
        <v>78</v>
      </c>
      <c r="B197">
        <v>85739683</v>
      </c>
      <c r="C197">
        <v>85739649</v>
      </c>
      <c r="D197">
        <v>85229932</v>
      </c>
      <c r="E197">
        <v>1</v>
      </c>
      <c r="F197">
        <v>1</v>
      </c>
      <c r="G197">
        <v>1081</v>
      </c>
      <c r="H197">
        <v>2</v>
      </c>
      <c r="I197" t="s">
        <v>482</v>
      </c>
      <c r="J197" t="s">
        <v>483</v>
      </c>
      <c r="K197" t="s">
        <v>484</v>
      </c>
      <c r="L197">
        <v>1368</v>
      </c>
      <c r="N197">
        <v>1011</v>
      </c>
      <c r="O197" t="s">
        <v>478</v>
      </c>
      <c r="P197" t="s">
        <v>478</v>
      </c>
      <c r="Q197">
        <v>1</v>
      </c>
      <c r="X197">
        <v>0.01</v>
      </c>
      <c r="Y197">
        <v>0</v>
      </c>
      <c r="Z197">
        <v>83.1</v>
      </c>
      <c r="AA197">
        <v>12.62</v>
      </c>
      <c r="AB197">
        <v>0</v>
      </c>
      <c r="AC197">
        <v>0</v>
      </c>
      <c r="AD197">
        <v>1</v>
      </c>
      <c r="AE197">
        <v>0</v>
      </c>
      <c r="AF197" t="s">
        <v>36</v>
      </c>
      <c r="AG197">
        <v>1.2E-2</v>
      </c>
      <c r="AH197">
        <v>2</v>
      </c>
      <c r="AI197">
        <v>85739683</v>
      </c>
      <c r="AJ197">
        <v>171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ROW(Source!A78)</f>
        <v>78</v>
      </c>
      <c r="B198">
        <v>85739684</v>
      </c>
      <c r="C198">
        <v>85739649</v>
      </c>
      <c r="D198">
        <v>85200111</v>
      </c>
      <c r="E198">
        <v>1</v>
      </c>
      <c r="F198">
        <v>1</v>
      </c>
      <c r="G198">
        <v>1081</v>
      </c>
      <c r="H198">
        <v>3</v>
      </c>
      <c r="I198" t="s">
        <v>492</v>
      </c>
      <c r="J198" t="s">
        <v>493</v>
      </c>
      <c r="K198" t="s">
        <v>494</v>
      </c>
      <c r="L198">
        <v>1348</v>
      </c>
      <c r="N198">
        <v>1009</v>
      </c>
      <c r="O198" t="s">
        <v>266</v>
      </c>
      <c r="P198" t="s">
        <v>266</v>
      </c>
      <c r="Q198">
        <v>1000</v>
      </c>
      <c r="X198">
        <v>3.6000000000000002E-4</v>
      </c>
      <c r="Y198">
        <v>9112.49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35</v>
      </c>
      <c r="AG198">
        <v>3.6000000000000002E-4</v>
      </c>
      <c r="AH198">
        <v>2</v>
      </c>
      <c r="AI198">
        <v>85739684</v>
      </c>
      <c r="AJ198">
        <v>172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ROW(Source!A78)</f>
        <v>78</v>
      </c>
      <c r="B199">
        <v>85739685</v>
      </c>
      <c r="C199">
        <v>85739649</v>
      </c>
      <c r="D199">
        <v>85200784</v>
      </c>
      <c r="E199">
        <v>1</v>
      </c>
      <c r="F199">
        <v>1</v>
      </c>
      <c r="G199">
        <v>1081</v>
      </c>
      <c r="H199">
        <v>3</v>
      </c>
      <c r="I199" t="s">
        <v>499</v>
      </c>
      <c r="J199" t="s">
        <v>500</v>
      </c>
      <c r="K199" t="s">
        <v>501</v>
      </c>
      <c r="L199">
        <v>1346</v>
      </c>
      <c r="N199">
        <v>1009</v>
      </c>
      <c r="O199" t="s">
        <v>502</v>
      </c>
      <c r="P199" t="s">
        <v>502</v>
      </c>
      <c r="Q199">
        <v>1</v>
      </c>
      <c r="X199">
        <v>7.0000000000000001E-3</v>
      </c>
      <c r="Y199">
        <v>6.25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 t="s">
        <v>35</v>
      </c>
      <c r="AG199">
        <v>7.0000000000000001E-3</v>
      </c>
      <c r="AH199">
        <v>2</v>
      </c>
      <c r="AI199">
        <v>85739685</v>
      </c>
      <c r="AJ199">
        <v>173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ROW(Source!A78)</f>
        <v>78</v>
      </c>
      <c r="B200">
        <v>85739686</v>
      </c>
      <c r="C200">
        <v>85739649</v>
      </c>
      <c r="D200">
        <v>85199158</v>
      </c>
      <c r="E200">
        <v>1</v>
      </c>
      <c r="F200">
        <v>1</v>
      </c>
      <c r="G200">
        <v>1081</v>
      </c>
      <c r="H200">
        <v>3</v>
      </c>
      <c r="I200" t="s">
        <v>503</v>
      </c>
      <c r="J200" t="s">
        <v>504</v>
      </c>
      <c r="K200" t="s">
        <v>505</v>
      </c>
      <c r="L200">
        <v>1339</v>
      </c>
      <c r="N200">
        <v>1007</v>
      </c>
      <c r="O200" t="s">
        <v>506</v>
      </c>
      <c r="P200" t="s">
        <v>506</v>
      </c>
      <c r="Q200">
        <v>1</v>
      </c>
      <c r="X200">
        <v>0.03</v>
      </c>
      <c r="Y200">
        <v>5.82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 t="s">
        <v>35</v>
      </c>
      <c r="AG200">
        <v>0.03</v>
      </c>
      <c r="AH200">
        <v>2</v>
      </c>
      <c r="AI200">
        <v>85739686</v>
      </c>
      <c r="AJ200">
        <v>174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ROW(Source!A78)</f>
        <v>78</v>
      </c>
      <c r="B201">
        <v>85739687</v>
      </c>
      <c r="C201">
        <v>85739649</v>
      </c>
      <c r="D201">
        <v>85179477</v>
      </c>
      <c r="E201">
        <v>1081</v>
      </c>
      <c r="F201">
        <v>1</v>
      </c>
      <c r="G201">
        <v>1081</v>
      </c>
      <c r="H201">
        <v>3</v>
      </c>
      <c r="I201" t="s">
        <v>634</v>
      </c>
      <c r="J201" t="s">
        <v>3</v>
      </c>
      <c r="K201" t="s">
        <v>635</v>
      </c>
      <c r="L201">
        <v>1354</v>
      </c>
      <c r="N201">
        <v>1010</v>
      </c>
      <c r="O201" t="s">
        <v>99</v>
      </c>
      <c r="P201" t="s">
        <v>99</v>
      </c>
      <c r="Q201">
        <v>1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35</v>
      </c>
      <c r="AG201">
        <v>1</v>
      </c>
      <c r="AH201">
        <v>3</v>
      </c>
      <c r="AI201">
        <v>-1</v>
      </c>
      <c r="AJ201" t="s">
        <v>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ROW(Source!A79)</f>
        <v>79</v>
      </c>
      <c r="B202">
        <v>85739681</v>
      </c>
      <c r="C202">
        <v>85739649</v>
      </c>
      <c r="D202">
        <v>85164021</v>
      </c>
      <c r="E202">
        <v>1081</v>
      </c>
      <c r="F202">
        <v>1</v>
      </c>
      <c r="G202">
        <v>1081</v>
      </c>
      <c r="H202">
        <v>1</v>
      </c>
      <c r="I202" t="s">
        <v>472</v>
      </c>
      <c r="J202" t="s">
        <v>3</v>
      </c>
      <c r="K202" t="s">
        <v>473</v>
      </c>
      <c r="L202">
        <v>1191</v>
      </c>
      <c r="N202">
        <v>1013</v>
      </c>
      <c r="O202" t="s">
        <v>474</v>
      </c>
      <c r="P202" t="s">
        <v>474</v>
      </c>
      <c r="Q202">
        <v>1</v>
      </c>
      <c r="X202">
        <v>7.6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1</v>
      </c>
      <c r="AF202" t="s">
        <v>36</v>
      </c>
      <c r="AG202">
        <v>9.1199999999999992</v>
      </c>
      <c r="AH202">
        <v>2</v>
      </c>
      <c r="AI202">
        <v>85739681</v>
      </c>
      <c r="AJ202">
        <v>176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ROW(Source!A79)</f>
        <v>79</v>
      </c>
      <c r="B203">
        <v>85739682</v>
      </c>
      <c r="C203">
        <v>85739649</v>
      </c>
      <c r="D203">
        <v>85229633</v>
      </c>
      <c r="E203">
        <v>1</v>
      </c>
      <c r="F203">
        <v>1</v>
      </c>
      <c r="G203">
        <v>1081</v>
      </c>
      <c r="H203">
        <v>2</v>
      </c>
      <c r="I203" t="s">
        <v>475</v>
      </c>
      <c r="J203" t="s">
        <v>476</v>
      </c>
      <c r="K203" t="s">
        <v>477</v>
      </c>
      <c r="L203">
        <v>1368</v>
      </c>
      <c r="N203">
        <v>1011</v>
      </c>
      <c r="O203" t="s">
        <v>478</v>
      </c>
      <c r="P203" t="s">
        <v>478</v>
      </c>
      <c r="Q203">
        <v>1</v>
      </c>
      <c r="X203">
        <v>1</v>
      </c>
      <c r="Y203">
        <v>0</v>
      </c>
      <c r="Z203">
        <v>7.11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36</v>
      </c>
      <c r="AG203">
        <v>1.2</v>
      </c>
      <c r="AH203">
        <v>2</v>
      </c>
      <c r="AI203">
        <v>85739682</v>
      </c>
      <c r="AJ203">
        <v>177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ROW(Source!A79)</f>
        <v>79</v>
      </c>
      <c r="B204">
        <v>85739683</v>
      </c>
      <c r="C204">
        <v>85739649</v>
      </c>
      <c r="D204">
        <v>85229932</v>
      </c>
      <c r="E204">
        <v>1</v>
      </c>
      <c r="F204">
        <v>1</v>
      </c>
      <c r="G204">
        <v>1081</v>
      </c>
      <c r="H204">
        <v>2</v>
      </c>
      <c r="I204" t="s">
        <v>482</v>
      </c>
      <c r="J204" t="s">
        <v>483</v>
      </c>
      <c r="K204" t="s">
        <v>484</v>
      </c>
      <c r="L204">
        <v>1368</v>
      </c>
      <c r="N204">
        <v>1011</v>
      </c>
      <c r="O204" t="s">
        <v>478</v>
      </c>
      <c r="P204" t="s">
        <v>478</v>
      </c>
      <c r="Q204">
        <v>1</v>
      </c>
      <c r="X204">
        <v>0.01</v>
      </c>
      <c r="Y204">
        <v>0</v>
      </c>
      <c r="Z204">
        <v>83.1</v>
      </c>
      <c r="AA204">
        <v>12.62</v>
      </c>
      <c r="AB204">
        <v>0</v>
      </c>
      <c r="AC204">
        <v>0</v>
      </c>
      <c r="AD204">
        <v>1</v>
      </c>
      <c r="AE204">
        <v>0</v>
      </c>
      <c r="AF204" t="s">
        <v>36</v>
      </c>
      <c r="AG204">
        <v>1.2E-2</v>
      </c>
      <c r="AH204">
        <v>2</v>
      </c>
      <c r="AI204">
        <v>85739683</v>
      </c>
      <c r="AJ204">
        <v>178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ROW(Source!A79)</f>
        <v>79</v>
      </c>
      <c r="B205">
        <v>85739684</v>
      </c>
      <c r="C205">
        <v>85739649</v>
      </c>
      <c r="D205">
        <v>85200111</v>
      </c>
      <c r="E205">
        <v>1</v>
      </c>
      <c r="F205">
        <v>1</v>
      </c>
      <c r="G205">
        <v>1081</v>
      </c>
      <c r="H205">
        <v>3</v>
      </c>
      <c r="I205" t="s">
        <v>492</v>
      </c>
      <c r="J205" t="s">
        <v>493</v>
      </c>
      <c r="K205" t="s">
        <v>494</v>
      </c>
      <c r="L205">
        <v>1348</v>
      </c>
      <c r="N205">
        <v>1009</v>
      </c>
      <c r="O205" t="s">
        <v>266</v>
      </c>
      <c r="P205" t="s">
        <v>266</v>
      </c>
      <c r="Q205">
        <v>1000</v>
      </c>
      <c r="X205">
        <v>3.6000000000000002E-4</v>
      </c>
      <c r="Y205">
        <v>9112.49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35</v>
      </c>
      <c r="AG205">
        <v>3.6000000000000002E-4</v>
      </c>
      <c r="AH205">
        <v>2</v>
      </c>
      <c r="AI205">
        <v>85739684</v>
      </c>
      <c r="AJ205">
        <v>179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ROW(Source!A79)</f>
        <v>79</v>
      </c>
      <c r="B206">
        <v>85739685</v>
      </c>
      <c r="C206">
        <v>85739649</v>
      </c>
      <c r="D206">
        <v>85200784</v>
      </c>
      <c r="E206">
        <v>1</v>
      </c>
      <c r="F206">
        <v>1</v>
      </c>
      <c r="G206">
        <v>1081</v>
      </c>
      <c r="H206">
        <v>3</v>
      </c>
      <c r="I206" t="s">
        <v>499</v>
      </c>
      <c r="J206" t="s">
        <v>500</v>
      </c>
      <c r="K206" t="s">
        <v>501</v>
      </c>
      <c r="L206">
        <v>1346</v>
      </c>
      <c r="N206">
        <v>1009</v>
      </c>
      <c r="O206" t="s">
        <v>502</v>
      </c>
      <c r="P206" t="s">
        <v>502</v>
      </c>
      <c r="Q206">
        <v>1</v>
      </c>
      <c r="X206">
        <v>7.0000000000000001E-3</v>
      </c>
      <c r="Y206">
        <v>6.25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35</v>
      </c>
      <c r="AG206">
        <v>7.0000000000000001E-3</v>
      </c>
      <c r="AH206">
        <v>2</v>
      </c>
      <c r="AI206">
        <v>85739685</v>
      </c>
      <c r="AJ206">
        <v>180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ROW(Source!A79)</f>
        <v>79</v>
      </c>
      <c r="B207">
        <v>85739686</v>
      </c>
      <c r="C207">
        <v>85739649</v>
      </c>
      <c r="D207">
        <v>85199158</v>
      </c>
      <c r="E207">
        <v>1</v>
      </c>
      <c r="F207">
        <v>1</v>
      </c>
      <c r="G207">
        <v>1081</v>
      </c>
      <c r="H207">
        <v>3</v>
      </c>
      <c r="I207" t="s">
        <v>503</v>
      </c>
      <c r="J207" t="s">
        <v>504</v>
      </c>
      <c r="K207" t="s">
        <v>505</v>
      </c>
      <c r="L207">
        <v>1339</v>
      </c>
      <c r="N207">
        <v>1007</v>
      </c>
      <c r="O207" t="s">
        <v>506</v>
      </c>
      <c r="P207" t="s">
        <v>506</v>
      </c>
      <c r="Q207">
        <v>1</v>
      </c>
      <c r="X207">
        <v>0.03</v>
      </c>
      <c r="Y207">
        <v>5.82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35</v>
      </c>
      <c r="AG207">
        <v>0.03</v>
      </c>
      <c r="AH207">
        <v>2</v>
      </c>
      <c r="AI207">
        <v>85739686</v>
      </c>
      <c r="AJ207">
        <v>181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ROW(Source!A79)</f>
        <v>79</v>
      </c>
      <c r="B208">
        <v>85739687</v>
      </c>
      <c r="C208">
        <v>85739649</v>
      </c>
      <c r="D208">
        <v>85179477</v>
      </c>
      <c r="E208">
        <v>1081</v>
      </c>
      <c r="F208">
        <v>1</v>
      </c>
      <c r="G208">
        <v>1081</v>
      </c>
      <c r="H208">
        <v>3</v>
      </c>
      <c r="I208" t="s">
        <v>634</v>
      </c>
      <c r="J208" t="s">
        <v>3</v>
      </c>
      <c r="K208" t="s">
        <v>635</v>
      </c>
      <c r="L208">
        <v>1354</v>
      </c>
      <c r="N208">
        <v>1010</v>
      </c>
      <c r="O208" t="s">
        <v>99</v>
      </c>
      <c r="P208" t="s">
        <v>99</v>
      </c>
      <c r="Q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35</v>
      </c>
      <c r="AG208">
        <v>1</v>
      </c>
      <c r="AH208">
        <v>3</v>
      </c>
      <c r="AI208">
        <v>-1</v>
      </c>
      <c r="AJ208" t="s">
        <v>3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ROW(Source!A82)</f>
        <v>82</v>
      </c>
      <c r="B209">
        <v>85739691</v>
      </c>
      <c r="C209">
        <v>85739650</v>
      </c>
      <c r="D209">
        <v>85164021</v>
      </c>
      <c r="E209">
        <v>1081</v>
      </c>
      <c r="F209">
        <v>1</v>
      </c>
      <c r="G209">
        <v>1081</v>
      </c>
      <c r="H209">
        <v>1</v>
      </c>
      <c r="I209" t="s">
        <v>472</v>
      </c>
      <c r="J209" t="s">
        <v>3</v>
      </c>
      <c r="K209" t="s">
        <v>473</v>
      </c>
      <c r="L209">
        <v>1191</v>
      </c>
      <c r="N209">
        <v>1013</v>
      </c>
      <c r="O209" t="s">
        <v>474</v>
      </c>
      <c r="P209" t="s">
        <v>474</v>
      </c>
      <c r="Q209">
        <v>1</v>
      </c>
      <c r="X209">
        <v>4.8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1</v>
      </c>
      <c r="AF209" t="s">
        <v>36</v>
      </c>
      <c r="AG209">
        <v>5.76</v>
      </c>
      <c r="AH209">
        <v>2</v>
      </c>
      <c r="AI209">
        <v>85739691</v>
      </c>
      <c r="AJ209">
        <v>183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ROW(Source!A82)</f>
        <v>82</v>
      </c>
      <c r="B210">
        <v>85739692</v>
      </c>
      <c r="C210">
        <v>85739650</v>
      </c>
      <c r="D210">
        <v>85229633</v>
      </c>
      <c r="E210">
        <v>1</v>
      </c>
      <c r="F210">
        <v>1</v>
      </c>
      <c r="G210">
        <v>1081</v>
      </c>
      <c r="H210">
        <v>2</v>
      </c>
      <c r="I210" t="s">
        <v>475</v>
      </c>
      <c r="J210" t="s">
        <v>476</v>
      </c>
      <c r="K210" t="s">
        <v>477</v>
      </c>
      <c r="L210">
        <v>1368</v>
      </c>
      <c r="N210">
        <v>1011</v>
      </c>
      <c r="O210" t="s">
        <v>478</v>
      </c>
      <c r="P210" t="s">
        <v>478</v>
      </c>
      <c r="Q210">
        <v>1</v>
      </c>
      <c r="X210">
        <v>0.53</v>
      </c>
      <c r="Y210">
        <v>0</v>
      </c>
      <c r="Z210">
        <v>7.11</v>
      </c>
      <c r="AA210">
        <v>0</v>
      </c>
      <c r="AB210">
        <v>0</v>
      </c>
      <c r="AC210">
        <v>0</v>
      </c>
      <c r="AD210">
        <v>1</v>
      </c>
      <c r="AE210">
        <v>0</v>
      </c>
      <c r="AF210" t="s">
        <v>36</v>
      </c>
      <c r="AG210">
        <v>0.63600000000000001</v>
      </c>
      <c r="AH210">
        <v>2</v>
      </c>
      <c r="AI210">
        <v>85739692</v>
      </c>
      <c r="AJ210">
        <v>184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ROW(Source!A82)</f>
        <v>82</v>
      </c>
      <c r="B211">
        <v>85739693</v>
      </c>
      <c r="C211">
        <v>85739650</v>
      </c>
      <c r="D211">
        <v>85200098</v>
      </c>
      <c r="E211">
        <v>1</v>
      </c>
      <c r="F211">
        <v>1</v>
      </c>
      <c r="G211">
        <v>1081</v>
      </c>
      <c r="H211">
        <v>3</v>
      </c>
      <c r="I211" t="s">
        <v>540</v>
      </c>
      <c r="J211" t="s">
        <v>541</v>
      </c>
      <c r="K211" t="s">
        <v>542</v>
      </c>
      <c r="L211">
        <v>1346</v>
      </c>
      <c r="N211">
        <v>1009</v>
      </c>
      <c r="O211" t="s">
        <v>502</v>
      </c>
      <c r="P211" t="s">
        <v>502</v>
      </c>
      <c r="Q211">
        <v>1</v>
      </c>
      <c r="X211">
        <v>0.56000000000000005</v>
      </c>
      <c r="Y211">
        <v>21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 t="s">
        <v>35</v>
      </c>
      <c r="AG211">
        <v>0.56000000000000005</v>
      </c>
      <c r="AH211">
        <v>2</v>
      </c>
      <c r="AI211">
        <v>85739693</v>
      </c>
      <c r="AJ211">
        <v>185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ROW(Source!A82)</f>
        <v>82</v>
      </c>
      <c r="B212">
        <v>85739694</v>
      </c>
      <c r="C212">
        <v>85739650</v>
      </c>
      <c r="D212">
        <v>85198892</v>
      </c>
      <c r="E212">
        <v>1</v>
      </c>
      <c r="F212">
        <v>1</v>
      </c>
      <c r="G212">
        <v>1081</v>
      </c>
      <c r="H212">
        <v>3</v>
      </c>
      <c r="I212" t="s">
        <v>543</v>
      </c>
      <c r="J212" t="s">
        <v>544</v>
      </c>
      <c r="K212" t="s">
        <v>545</v>
      </c>
      <c r="L212">
        <v>1339</v>
      </c>
      <c r="N212">
        <v>1007</v>
      </c>
      <c r="O212" t="s">
        <v>506</v>
      </c>
      <c r="P212" t="s">
        <v>506</v>
      </c>
      <c r="Q212">
        <v>1</v>
      </c>
      <c r="X212">
        <v>2.5999999999999999E-2</v>
      </c>
      <c r="Y212">
        <v>53.42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 t="s">
        <v>35</v>
      </c>
      <c r="AG212">
        <v>2.5999999999999999E-2</v>
      </c>
      <c r="AH212">
        <v>2</v>
      </c>
      <c r="AI212">
        <v>85739694</v>
      </c>
      <c r="AJ212">
        <v>186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ROW(Source!A82)</f>
        <v>82</v>
      </c>
      <c r="B213">
        <v>85739695</v>
      </c>
      <c r="C213">
        <v>85739650</v>
      </c>
      <c r="D213">
        <v>85200784</v>
      </c>
      <c r="E213">
        <v>1</v>
      </c>
      <c r="F213">
        <v>1</v>
      </c>
      <c r="G213">
        <v>1081</v>
      </c>
      <c r="H213">
        <v>3</v>
      </c>
      <c r="I213" t="s">
        <v>499</v>
      </c>
      <c r="J213" t="s">
        <v>500</v>
      </c>
      <c r="K213" t="s">
        <v>501</v>
      </c>
      <c r="L213">
        <v>1346</v>
      </c>
      <c r="N213">
        <v>1009</v>
      </c>
      <c r="O213" t="s">
        <v>502</v>
      </c>
      <c r="P213" t="s">
        <v>502</v>
      </c>
      <c r="Q213">
        <v>1</v>
      </c>
      <c r="X213">
        <v>5.0000000000000001E-3</v>
      </c>
      <c r="Y213">
        <v>6.25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35</v>
      </c>
      <c r="AG213">
        <v>5.0000000000000001E-3</v>
      </c>
      <c r="AH213">
        <v>2</v>
      </c>
      <c r="AI213">
        <v>85739695</v>
      </c>
      <c r="AJ213">
        <v>187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ROW(Source!A82)</f>
        <v>82</v>
      </c>
      <c r="B214">
        <v>85739696</v>
      </c>
      <c r="C214">
        <v>85739650</v>
      </c>
      <c r="D214">
        <v>85199158</v>
      </c>
      <c r="E214">
        <v>1</v>
      </c>
      <c r="F214">
        <v>1</v>
      </c>
      <c r="G214">
        <v>1081</v>
      </c>
      <c r="H214">
        <v>3</v>
      </c>
      <c r="I214" t="s">
        <v>503</v>
      </c>
      <c r="J214" t="s">
        <v>504</v>
      </c>
      <c r="K214" t="s">
        <v>505</v>
      </c>
      <c r="L214">
        <v>1339</v>
      </c>
      <c r="N214">
        <v>1007</v>
      </c>
      <c r="O214" t="s">
        <v>506</v>
      </c>
      <c r="P214" t="s">
        <v>506</v>
      </c>
      <c r="Q214">
        <v>1</v>
      </c>
      <c r="X214">
        <v>5.1999999999999998E-2</v>
      </c>
      <c r="Y214">
        <v>5.82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 t="s">
        <v>35</v>
      </c>
      <c r="AG214">
        <v>5.1999999999999998E-2</v>
      </c>
      <c r="AH214">
        <v>2</v>
      </c>
      <c r="AI214">
        <v>85739696</v>
      </c>
      <c r="AJ214">
        <v>188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ROW(Source!A82)</f>
        <v>82</v>
      </c>
      <c r="B215">
        <v>85739697</v>
      </c>
      <c r="C215">
        <v>85739650</v>
      </c>
      <c r="D215">
        <v>85179477</v>
      </c>
      <c r="E215">
        <v>1081</v>
      </c>
      <c r="F215">
        <v>1</v>
      </c>
      <c r="G215">
        <v>1081</v>
      </c>
      <c r="H215">
        <v>3</v>
      </c>
      <c r="I215" t="s">
        <v>634</v>
      </c>
      <c r="J215" t="s">
        <v>3</v>
      </c>
      <c r="K215" t="s">
        <v>635</v>
      </c>
      <c r="L215">
        <v>1354</v>
      </c>
      <c r="N215">
        <v>1010</v>
      </c>
      <c r="O215" t="s">
        <v>99</v>
      </c>
      <c r="P215" t="s">
        <v>99</v>
      </c>
      <c r="Q215">
        <v>1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 t="s">
        <v>35</v>
      </c>
      <c r="AG215">
        <v>1</v>
      </c>
      <c r="AH215">
        <v>3</v>
      </c>
      <c r="AI215">
        <v>-1</v>
      </c>
      <c r="AJ215" t="s">
        <v>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ROW(Source!A83)</f>
        <v>83</v>
      </c>
      <c r="B216">
        <v>85739691</v>
      </c>
      <c r="C216">
        <v>85739650</v>
      </c>
      <c r="D216">
        <v>85164021</v>
      </c>
      <c r="E216">
        <v>1081</v>
      </c>
      <c r="F216">
        <v>1</v>
      </c>
      <c r="G216">
        <v>1081</v>
      </c>
      <c r="H216">
        <v>1</v>
      </c>
      <c r="I216" t="s">
        <v>472</v>
      </c>
      <c r="J216" t="s">
        <v>3</v>
      </c>
      <c r="K216" t="s">
        <v>473</v>
      </c>
      <c r="L216">
        <v>1191</v>
      </c>
      <c r="N216">
        <v>1013</v>
      </c>
      <c r="O216" t="s">
        <v>474</v>
      </c>
      <c r="P216" t="s">
        <v>474</v>
      </c>
      <c r="Q216">
        <v>1</v>
      </c>
      <c r="X216">
        <v>4.8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1</v>
      </c>
      <c r="AF216" t="s">
        <v>36</v>
      </c>
      <c r="AG216">
        <v>5.76</v>
      </c>
      <c r="AH216">
        <v>2</v>
      </c>
      <c r="AI216">
        <v>85739691</v>
      </c>
      <c r="AJ216">
        <v>191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ROW(Source!A83)</f>
        <v>83</v>
      </c>
      <c r="B217">
        <v>85739692</v>
      </c>
      <c r="C217">
        <v>85739650</v>
      </c>
      <c r="D217">
        <v>85229633</v>
      </c>
      <c r="E217">
        <v>1</v>
      </c>
      <c r="F217">
        <v>1</v>
      </c>
      <c r="G217">
        <v>1081</v>
      </c>
      <c r="H217">
        <v>2</v>
      </c>
      <c r="I217" t="s">
        <v>475</v>
      </c>
      <c r="J217" t="s">
        <v>476</v>
      </c>
      <c r="K217" t="s">
        <v>477</v>
      </c>
      <c r="L217">
        <v>1368</v>
      </c>
      <c r="N217">
        <v>1011</v>
      </c>
      <c r="O217" t="s">
        <v>478</v>
      </c>
      <c r="P217" t="s">
        <v>478</v>
      </c>
      <c r="Q217">
        <v>1</v>
      </c>
      <c r="X217">
        <v>0.53</v>
      </c>
      <c r="Y217">
        <v>0</v>
      </c>
      <c r="Z217">
        <v>7.11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36</v>
      </c>
      <c r="AG217">
        <v>0.63600000000000001</v>
      </c>
      <c r="AH217">
        <v>2</v>
      </c>
      <c r="AI217">
        <v>85739692</v>
      </c>
      <c r="AJ217">
        <v>192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ROW(Source!A83)</f>
        <v>83</v>
      </c>
      <c r="B218">
        <v>85739693</v>
      </c>
      <c r="C218">
        <v>85739650</v>
      </c>
      <c r="D218">
        <v>85200098</v>
      </c>
      <c r="E218">
        <v>1</v>
      </c>
      <c r="F218">
        <v>1</v>
      </c>
      <c r="G218">
        <v>1081</v>
      </c>
      <c r="H218">
        <v>3</v>
      </c>
      <c r="I218" t="s">
        <v>540</v>
      </c>
      <c r="J218" t="s">
        <v>541</v>
      </c>
      <c r="K218" t="s">
        <v>542</v>
      </c>
      <c r="L218">
        <v>1346</v>
      </c>
      <c r="N218">
        <v>1009</v>
      </c>
      <c r="O218" t="s">
        <v>502</v>
      </c>
      <c r="P218" t="s">
        <v>502</v>
      </c>
      <c r="Q218">
        <v>1</v>
      </c>
      <c r="X218">
        <v>0.56000000000000005</v>
      </c>
      <c r="Y218">
        <v>21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35</v>
      </c>
      <c r="AG218">
        <v>0.56000000000000005</v>
      </c>
      <c r="AH218">
        <v>2</v>
      </c>
      <c r="AI218">
        <v>85739693</v>
      </c>
      <c r="AJ218">
        <v>193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ROW(Source!A83)</f>
        <v>83</v>
      </c>
      <c r="B219">
        <v>85739694</v>
      </c>
      <c r="C219">
        <v>85739650</v>
      </c>
      <c r="D219">
        <v>85198892</v>
      </c>
      <c r="E219">
        <v>1</v>
      </c>
      <c r="F219">
        <v>1</v>
      </c>
      <c r="G219">
        <v>1081</v>
      </c>
      <c r="H219">
        <v>3</v>
      </c>
      <c r="I219" t="s">
        <v>543</v>
      </c>
      <c r="J219" t="s">
        <v>544</v>
      </c>
      <c r="K219" t="s">
        <v>545</v>
      </c>
      <c r="L219">
        <v>1339</v>
      </c>
      <c r="N219">
        <v>1007</v>
      </c>
      <c r="O219" t="s">
        <v>506</v>
      </c>
      <c r="P219" t="s">
        <v>506</v>
      </c>
      <c r="Q219">
        <v>1</v>
      </c>
      <c r="X219">
        <v>2.5999999999999999E-2</v>
      </c>
      <c r="Y219">
        <v>53.42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35</v>
      </c>
      <c r="AG219">
        <v>2.5999999999999999E-2</v>
      </c>
      <c r="AH219">
        <v>2</v>
      </c>
      <c r="AI219">
        <v>85739694</v>
      </c>
      <c r="AJ219">
        <v>194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ROW(Source!A83)</f>
        <v>83</v>
      </c>
      <c r="B220">
        <v>85739695</v>
      </c>
      <c r="C220">
        <v>85739650</v>
      </c>
      <c r="D220">
        <v>85200784</v>
      </c>
      <c r="E220">
        <v>1</v>
      </c>
      <c r="F220">
        <v>1</v>
      </c>
      <c r="G220">
        <v>1081</v>
      </c>
      <c r="H220">
        <v>3</v>
      </c>
      <c r="I220" t="s">
        <v>499</v>
      </c>
      <c r="J220" t="s">
        <v>500</v>
      </c>
      <c r="K220" t="s">
        <v>501</v>
      </c>
      <c r="L220">
        <v>1346</v>
      </c>
      <c r="N220">
        <v>1009</v>
      </c>
      <c r="O220" t="s">
        <v>502</v>
      </c>
      <c r="P220" t="s">
        <v>502</v>
      </c>
      <c r="Q220">
        <v>1</v>
      </c>
      <c r="X220">
        <v>5.0000000000000001E-3</v>
      </c>
      <c r="Y220">
        <v>6.25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35</v>
      </c>
      <c r="AG220">
        <v>5.0000000000000001E-3</v>
      </c>
      <c r="AH220">
        <v>2</v>
      </c>
      <c r="AI220">
        <v>85739695</v>
      </c>
      <c r="AJ220">
        <v>195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ROW(Source!A83)</f>
        <v>83</v>
      </c>
      <c r="B221">
        <v>85739696</v>
      </c>
      <c r="C221">
        <v>85739650</v>
      </c>
      <c r="D221">
        <v>85199158</v>
      </c>
      <c r="E221">
        <v>1</v>
      </c>
      <c r="F221">
        <v>1</v>
      </c>
      <c r="G221">
        <v>1081</v>
      </c>
      <c r="H221">
        <v>3</v>
      </c>
      <c r="I221" t="s">
        <v>503</v>
      </c>
      <c r="J221" t="s">
        <v>504</v>
      </c>
      <c r="K221" t="s">
        <v>505</v>
      </c>
      <c r="L221">
        <v>1339</v>
      </c>
      <c r="N221">
        <v>1007</v>
      </c>
      <c r="O221" t="s">
        <v>506</v>
      </c>
      <c r="P221" t="s">
        <v>506</v>
      </c>
      <c r="Q221">
        <v>1</v>
      </c>
      <c r="X221">
        <v>5.1999999999999998E-2</v>
      </c>
      <c r="Y221">
        <v>5.82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35</v>
      </c>
      <c r="AG221">
        <v>5.1999999999999998E-2</v>
      </c>
      <c r="AH221">
        <v>2</v>
      </c>
      <c r="AI221">
        <v>85739696</v>
      </c>
      <c r="AJ221">
        <v>196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ROW(Source!A83)</f>
        <v>83</v>
      </c>
      <c r="B222">
        <v>85739697</v>
      </c>
      <c r="C222">
        <v>85739650</v>
      </c>
      <c r="D222">
        <v>85179477</v>
      </c>
      <c r="E222">
        <v>1081</v>
      </c>
      <c r="F222">
        <v>1</v>
      </c>
      <c r="G222">
        <v>1081</v>
      </c>
      <c r="H222">
        <v>3</v>
      </c>
      <c r="I222" t="s">
        <v>634</v>
      </c>
      <c r="J222" t="s">
        <v>3</v>
      </c>
      <c r="K222" t="s">
        <v>635</v>
      </c>
      <c r="L222">
        <v>1354</v>
      </c>
      <c r="N222">
        <v>1010</v>
      </c>
      <c r="O222" t="s">
        <v>99</v>
      </c>
      <c r="P222" t="s">
        <v>99</v>
      </c>
      <c r="Q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 t="s">
        <v>35</v>
      </c>
      <c r="AG222">
        <v>1</v>
      </c>
      <c r="AH222">
        <v>3</v>
      </c>
      <c r="AI222">
        <v>-1</v>
      </c>
      <c r="AJ222" t="s">
        <v>3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ROW(Source!A88)</f>
        <v>88</v>
      </c>
      <c r="B223">
        <v>85739704</v>
      </c>
      <c r="C223">
        <v>85739651</v>
      </c>
      <c r="D223">
        <v>85164021</v>
      </c>
      <c r="E223">
        <v>1081</v>
      </c>
      <c r="F223">
        <v>1</v>
      </c>
      <c r="G223">
        <v>1081</v>
      </c>
      <c r="H223">
        <v>1</v>
      </c>
      <c r="I223" t="s">
        <v>472</v>
      </c>
      <c r="J223" t="s">
        <v>3</v>
      </c>
      <c r="K223" t="s">
        <v>473</v>
      </c>
      <c r="L223">
        <v>1191</v>
      </c>
      <c r="N223">
        <v>1013</v>
      </c>
      <c r="O223" t="s">
        <v>474</v>
      </c>
      <c r="P223" t="s">
        <v>474</v>
      </c>
      <c r="Q223">
        <v>1</v>
      </c>
      <c r="X223">
        <v>202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1</v>
      </c>
      <c r="AF223" t="s">
        <v>36</v>
      </c>
      <c r="AG223">
        <v>242.39999999999998</v>
      </c>
      <c r="AH223">
        <v>2</v>
      </c>
      <c r="AI223">
        <v>85739704</v>
      </c>
      <c r="AJ223">
        <v>199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ROW(Source!A88)</f>
        <v>88</v>
      </c>
      <c r="B224">
        <v>85739705</v>
      </c>
      <c r="C224">
        <v>85739651</v>
      </c>
      <c r="D224">
        <v>85229527</v>
      </c>
      <c r="E224">
        <v>1</v>
      </c>
      <c r="F224">
        <v>1</v>
      </c>
      <c r="G224">
        <v>1081</v>
      </c>
      <c r="H224">
        <v>2</v>
      </c>
      <c r="I224" t="s">
        <v>546</v>
      </c>
      <c r="J224" t="s">
        <v>547</v>
      </c>
      <c r="K224" t="s">
        <v>548</v>
      </c>
      <c r="L224">
        <v>1368</v>
      </c>
      <c r="N224">
        <v>1011</v>
      </c>
      <c r="O224" t="s">
        <v>478</v>
      </c>
      <c r="P224" t="s">
        <v>478</v>
      </c>
      <c r="Q224">
        <v>1</v>
      </c>
      <c r="X224">
        <v>11.8</v>
      </c>
      <c r="Y224">
        <v>0</v>
      </c>
      <c r="Z224">
        <v>48.07</v>
      </c>
      <c r="AA224">
        <v>12.62</v>
      </c>
      <c r="AB224">
        <v>0</v>
      </c>
      <c r="AC224">
        <v>0</v>
      </c>
      <c r="AD224">
        <v>1</v>
      </c>
      <c r="AE224">
        <v>0</v>
      </c>
      <c r="AF224" t="s">
        <v>36</v>
      </c>
      <c r="AG224">
        <v>14.16</v>
      </c>
      <c r="AH224">
        <v>2</v>
      </c>
      <c r="AI224">
        <v>85739705</v>
      </c>
      <c r="AJ224">
        <v>200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ROW(Source!A88)</f>
        <v>88</v>
      </c>
      <c r="B225">
        <v>85739706</v>
      </c>
      <c r="C225">
        <v>85739651</v>
      </c>
      <c r="D225">
        <v>85229564</v>
      </c>
      <c r="E225">
        <v>1</v>
      </c>
      <c r="F225">
        <v>1</v>
      </c>
      <c r="G225">
        <v>1081</v>
      </c>
      <c r="H225">
        <v>2</v>
      </c>
      <c r="I225" t="s">
        <v>549</v>
      </c>
      <c r="J225" t="s">
        <v>550</v>
      </c>
      <c r="K225" t="s">
        <v>551</v>
      </c>
      <c r="L225">
        <v>1368</v>
      </c>
      <c r="N225">
        <v>1011</v>
      </c>
      <c r="O225" t="s">
        <v>478</v>
      </c>
      <c r="P225" t="s">
        <v>478</v>
      </c>
      <c r="Q225">
        <v>1</v>
      </c>
      <c r="X225">
        <v>11</v>
      </c>
      <c r="Y225">
        <v>0</v>
      </c>
      <c r="Z225">
        <v>5.79</v>
      </c>
      <c r="AA225">
        <v>0</v>
      </c>
      <c r="AB225">
        <v>0</v>
      </c>
      <c r="AC225">
        <v>0</v>
      </c>
      <c r="AD225">
        <v>1</v>
      </c>
      <c r="AE225">
        <v>0</v>
      </c>
      <c r="AF225" t="s">
        <v>36</v>
      </c>
      <c r="AG225">
        <v>13.2</v>
      </c>
      <c r="AH225">
        <v>2</v>
      </c>
      <c r="AI225">
        <v>85739706</v>
      </c>
      <c r="AJ225">
        <v>201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ROW(Source!A88)</f>
        <v>88</v>
      </c>
      <c r="B226">
        <v>85739707</v>
      </c>
      <c r="C226">
        <v>85739651</v>
      </c>
      <c r="D226">
        <v>85229633</v>
      </c>
      <c r="E226">
        <v>1</v>
      </c>
      <c r="F226">
        <v>1</v>
      </c>
      <c r="G226">
        <v>1081</v>
      </c>
      <c r="H226">
        <v>2</v>
      </c>
      <c r="I226" t="s">
        <v>475</v>
      </c>
      <c r="J226" t="s">
        <v>476</v>
      </c>
      <c r="K226" t="s">
        <v>477</v>
      </c>
      <c r="L226">
        <v>1368</v>
      </c>
      <c r="N226">
        <v>1011</v>
      </c>
      <c r="O226" t="s">
        <v>478</v>
      </c>
      <c r="P226" t="s">
        <v>478</v>
      </c>
      <c r="Q226">
        <v>1</v>
      </c>
      <c r="X226">
        <v>27.7</v>
      </c>
      <c r="Y226">
        <v>0</v>
      </c>
      <c r="Z226">
        <v>7.11</v>
      </c>
      <c r="AA226">
        <v>0</v>
      </c>
      <c r="AB226">
        <v>0</v>
      </c>
      <c r="AC226">
        <v>0</v>
      </c>
      <c r="AD226">
        <v>1</v>
      </c>
      <c r="AE226">
        <v>0</v>
      </c>
      <c r="AF226" t="s">
        <v>36</v>
      </c>
      <c r="AG226">
        <v>33.239999999999995</v>
      </c>
      <c r="AH226">
        <v>2</v>
      </c>
      <c r="AI226">
        <v>85739707</v>
      </c>
      <c r="AJ226">
        <v>202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ROW(Source!A88)</f>
        <v>88</v>
      </c>
      <c r="B227">
        <v>85739708</v>
      </c>
      <c r="C227">
        <v>85739651</v>
      </c>
      <c r="D227">
        <v>85229932</v>
      </c>
      <c r="E227">
        <v>1</v>
      </c>
      <c r="F227">
        <v>1</v>
      </c>
      <c r="G227">
        <v>1081</v>
      </c>
      <c r="H227">
        <v>2</v>
      </c>
      <c r="I227" t="s">
        <v>482</v>
      </c>
      <c r="J227" t="s">
        <v>483</v>
      </c>
      <c r="K227" t="s">
        <v>484</v>
      </c>
      <c r="L227">
        <v>1368</v>
      </c>
      <c r="N227">
        <v>1011</v>
      </c>
      <c r="O227" t="s">
        <v>478</v>
      </c>
      <c r="P227" t="s">
        <v>478</v>
      </c>
      <c r="Q227">
        <v>1</v>
      </c>
      <c r="X227">
        <v>2.5499999999999998</v>
      </c>
      <c r="Y227">
        <v>0</v>
      </c>
      <c r="Z227">
        <v>83.1</v>
      </c>
      <c r="AA227">
        <v>12.62</v>
      </c>
      <c r="AB227">
        <v>0</v>
      </c>
      <c r="AC227">
        <v>0</v>
      </c>
      <c r="AD227">
        <v>1</v>
      </c>
      <c r="AE227">
        <v>0</v>
      </c>
      <c r="AF227" t="s">
        <v>36</v>
      </c>
      <c r="AG227">
        <v>3.0599999999999996</v>
      </c>
      <c r="AH227">
        <v>2</v>
      </c>
      <c r="AI227">
        <v>85739708</v>
      </c>
      <c r="AJ227">
        <v>203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ROW(Source!A88)</f>
        <v>88</v>
      </c>
      <c r="B228">
        <v>85739709</v>
      </c>
      <c r="C228">
        <v>85739651</v>
      </c>
      <c r="D228">
        <v>85229250</v>
      </c>
      <c r="E228">
        <v>1</v>
      </c>
      <c r="F228">
        <v>1</v>
      </c>
      <c r="G228">
        <v>1081</v>
      </c>
      <c r="H228">
        <v>2</v>
      </c>
      <c r="I228" t="s">
        <v>552</v>
      </c>
      <c r="J228" t="s">
        <v>553</v>
      </c>
      <c r="K228" t="s">
        <v>554</v>
      </c>
      <c r="L228">
        <v>1368</v>
      </c>
      <c r="N228">
        <v>1011</v>
      </c>
      <c r="O228" t="s">
        <v>478</v>
      </c>
      <c r="P228" t="s">
        <v>478</v>
      </c>
      <c r="Q228">
        <v>1</v>
      </c>
      <c r="X228">
        <v>1.88</v>
      </c>
      <c r="Y228">
        <v>0</v>
      </c>
      <c r="Z228">
        <v>3.18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36</v>
      </c>
      <c r="AG228">
        <v>2.2559999999999998</v>
      </c>
      <c r="AH228">
        <v>2</v>
      </c>
      <c r="AI228">
        <v>85739709</v>
      </c>
      <c r="AJ228">
        <v>204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ROW(Source!A88)</f>
        <v>88</v>
      </c>
      <c r="B229">
        <v>85739710</v>
      </c>
      <c r="C229">
        <v>85739651</v>
      </c>
      <c r="D229">
        <v>85198960</v>
      </c>
      <c r="E229">
        <v>1</v>
      </c>
      <c r="F229">
        <v>1</v>
      </c>
      <c r="G229">
        <v>1081</v>
      </c>
      <c r="H229">
        <v>3</v>
      </c>
      <c r="I229" t="s">
        <v>513</v>
      </c>
      <c r="J229" t="s">
        <v>514</v>
      </c>
      <c r="K229" t="s">
        <v>515</v>
      </c>
      <c r="L229">
        <v>1339</v>
      </c>
      <c r="N229">
        <v>1007</v>
      </c>
      <c r="O229" t="s">
        <v>506</v>
      </c>
      <c r="P229" t="s">
        <v>506</v>
      </c>
      <c r="Q229">
        <v>1</v>
      </c>
      <c r="X229">
        <v>20</v>
      </c>
      <c r="Y229">
        <v>7.07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 t="s">
        <v>35</v>
      </c>
      <c r="AG229">
        <v>20</v>
      </c>
      <c r="AH229">
        <v>2</v>
      </c>
      <c r="AI229">
        <v>85739710</v>
      </c>
      <c r="AJ229">
        <v>205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ROW(Source!A88)</f>
        <v>88</v>
      </c>
      <c r="B230">
        <v>85739711</v>
      </c>
      <c r="C230">
        <v>85739651</v>
      </c>
      <c r="D230">
        <v>85200023</v>
      </c>
      <c r="E230">
        <v>1</v>
      </c>
      <c r="F230">
        <v>1</v>
      </c>
      <c r="G230">
        <v>1081</v>
      </c>
      <c r="H230">
        <v>3</v>
      </c>
      <c r="I230" t="s">
        <v>555</v>
      </c>
      <c r="J230" t="s">
        <v>556</v>
      </c>
      <c r="K230" t="s">
        <v>557</v>
      </c>
      <c r="L230">
        <v>1348</v>
      </c>
      <c r="N230">
        <v>1009</v>
      </c>
      <c r="O230" t="s">
        <v>266</v>
      </c>
      <c r="P230" t="s">
        <v>266</v>
      </c>
      <c r="Q230">
        <v>1000</v>
      </c>
      <c r="X230">
        <v>8.8000000000000005E-3</v>
      </c>
      <c r="Y230">
        <v>7185.82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 t="s">
        <v>35</v>
      </c>
      <c r="AG230">
        <v>8.8000000000000005E-3</v>
      </c>
      <c r="AH230">
        <v>2</v>
      </c>
      <c r="AI230">
        <v>85739711</v>
      </c>
      <c r="AJ230">
        <v>206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ROW(Source!A88)</f>
        <v>88</v>
      </c>
      <c r="B231">
        <v>85739712</v>
      </c>
      <c r="C231">
        <v>85739651</v>
      </c>
      <c r="D231">
        <v>85156878</v>
      </c>
      <c r="E231">
        <v>1081</v>
      </c>
      <c r="F231">
        <v>1</v>
      </c>
      <c r="G231">
        <v>1081</v>
      </c>
      <c r="H231">
        <v>3</v>
      </c>
      <c r="I231" t="s">
        <v>640</v>
      </c>
      <c r="J231" t="s">
        <v>3</v>
      </c>
      <c r="K231" t="s">
        <v>641</v>
      </c>
      <c r="L231">
        <v>1301</v>
      </c>
      <c r="N231">
        <v>1003</v>
      </c>
      <c r="O231" t="s">
        <v>179</v>
      </c>
      <c r="P231" t="s">
        <v>179</v>
      </c>
      <c r="Q231">
        <v>1</v>
      </c>
      <c r="X231">
        <v>100.5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35</v>
      </c>
      <c r="AG231">
        <v>100.5</v>
      </c>
      <c r="AH231">
        <v>3</v>
      </c>
      <c r="AI231">
        <v>-1</v>
      </c>
      <c r="AJ231" t="s">
        <v>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ROW(Source!A89)</f>
        <v>89</v>
      </c>
      <c r="B232">
        <v>85739704</v>
      </c>
      <c r="C232">
        <v>85739651</v>
      </c>
      <c r="D232">
        <v>85164021</v>
      </c>
      <c r="E232">
        <v>1081</v>
      </c>
      <c r="F232">
        <v>1</v>
      </c>
      <c r="G232">
        <v>1081</v>
      </c>
      <c r="H232">
        <v>1</v>
      </c>
      <c r="I232" t="s">
        <v>472</v>
      </c>
      <c r="J232" t="s">
        <v>3</v>
      </c>
      <c r="K232" t="s">
        <v>473</v>
      </c>
      <c r="L232">
        <v>1191</v>
      </c>
      <c r="N232">
        <v>1013</v>
      </c>
      <c r="O232" t="s">
        <v>474</v>
      </c>
      <c r="P232" t="s">
        <v>474</v>
      </c>
      <c r="Q232">
        <v>1</v>
      </c>
      <c r="X232">
        <v>202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1</v>
      </c>
      <c r="AF232" t="s">
        <v>36</v>
      </c>
      <c r="AG232">
        <v>242.39999999999998</v>
      </c>
      <c r="AH232">
        <v>2</v>
      </c>
      <c r="AI232">
        <v>85739704</v>
      </c>
      <c r="AJ232">
        <v>208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ROW(Source!A89)</f>
        <v>89</v>
      </c>
      <c r="B233">
        <v>85739705</v>
      </c>
      <c r="C233">
        <v>85739651</v>
      </c>
      <c r="D233">
        <v>85229527</v>
      </c>
      <c r="E233">
        <v>1</v>
      </c>
      <c r="F233">
        <v>1</v>
      </c>
      <c r="G233">
        <v>1081</v>
      </c>
      <c r="H233">
        <v>2</v>
      </c>
      <c r="I233" t="s">
        <v>546</v>
      </c>
      <c r="J233" t="s">
        <v>547</v>
      </c>
      <c r="K233" t="s">
        <v>548</v>
      </c>
      <c r="L233">
        <v>1368</v>
      </c>
      <c r="N233">
        <v>1011</v>
      </c>
      <c r="O233" t="s">
        <v>478</v>
      </c>
      <c r="P233" t="s">
        <v>478</v>
      </c>
      <c r="Q233">
        <v>1</v>
      </c>
      <c r="X233">
        <v>11.8</v>
      </c>
      <c r="Y233">
        <v>0</v>
      </c>
      <c r="Z233">
        <v>48.07</v>
      </c>
      <c r="AA233">
        <v>12.62</v>
      </c>
      <c r="AB233">
        <v>0</v>
      </c>
      <c r="AC233">
        <v>0</v>
      </c>
      <c r="AD233">
        <v>1</v>
      </c>
      <c r="AE233">
        <v>0</v>
      </c>
      <c r="AF233" t="s">
        <v>36</v>
      </c>
      <c r="AG233">
        <v>14.16</v>
      </c>
      <c r="AH233">
        <v>2</v>
      </c>
      <c r="AI233">
        <v>85739705</v>
      </c>
      <c r="AJ233">
        <v>209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ROW(Source!A89)</f>
        <v>89</v>
      </c>
      <c r="B234">
        <v>85739706</v>
      </c>
      <c r="C234">
        <v>85739651</v>
      </c>
      <c r="D234">
        <v>85229564</v>
      </c>
      <c r="E234">
        <v>1</v>
      </c>
      <c r="F234">
        <v>1</v>
      </c>
      <c r="G234">
        <v>1081</v>
      </c>
      <c r="H234">
        <v>2</v>
      </c>
      <c r="I234" t="s">
        <v>549</v>
      </c>
      <c r="J234" t="s">
        <v>550</v>
      </c>
      <c r="K234" t="s">
        <v>551</v>
      </c>
      <c r="L234">
        <v>1368</v>
      </c>
      <c r="N234">
        <v>1011</v>
      </c>
      <c r="O234" t="s">
        <v>478</v>
      </c>
      <c r="P234" t="s">
        <v>478</v>
      </c>
      <c r="Q234">
        <v>1</v>
      </c>
      <c r="X234">
        <v>11</v>
      </c>
      <c r="Y234">
        <v>0</v>
      </c>
      <c r="Z234">
        <v>5.79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36</v>
      </c>
      <c r="AG234">
        <v>13.2</v>
      </c>
      <c r="AH234">
        <v>2</v>
      </c>
      <c r="AI234">
        <v>85739706</v>
      </c>
      <c r="AJ234">
        <v>210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ROW(Source!A89)</f>
        <v>89</v>
      </c>
      <c r="B235">
        <v>85739707</v>
      </c>
      <c r="C235">
        <v>85739651</v>
      </c>
      <c r="D235">
        <v>85229633</v>
      </c>
      <c r="E235">
        <v>1</v>
      </c>
      <c r="F235">
        <v>1</v>
      </c>
      <c r="G235">
        <v>1081</v>
      </c>
      <c r="H235">
        <v>2</v>
      </c>
      <c r="I235" t="s">
        <v>475</v>
      </c>
      <c r="J235" t="s">
        <v>476</v>
      </c>
      <c r="K235" t="s">
        <v>477</v>
      </c>
      <c r="L235">
        <v>1368</v>
      </c>
      <c r="N235">
        <v>1011</v>
      </c>
      <c r="O235" t="s">
        <v>478</v>
      </c>
      <c r="P235" t="s">
        <v>478</v>
      </c>
      <c r="Q235">
        <v>1</v>
      </c>
      <c r="X235">
        <v>27.7</v>
      </c>
      <c r="Y235">
        <v>0</v>
      </c>
      <c r="Z235">
        <v>7.11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36</v>
      </c>
      <c r="AG235">
        <v>33.239999999999995</v>
      </c>
      <c r="AH235">
        <v>2</v>
      </c>
      <c r="AI235">
        <v>85739707</v>
      </c>
      <c r="AJ235">
        <v>211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ROW(Source!A89)</f>
        <v>89</v>
      </c>
      <c r="B236">
        <v>85739708</v>
      </c>
      <c r="C236">
        <v>85739651</v>
      </c>
      <c r="D236">
        <v>85229932</v>
      </c>
      <c r="E236">
        <v>1</v>
      </c>
      <c r="F236">
        <v>1</v>
      </c>
      <c r="G236">
        <v>1081</v>
      </c>
      <c r="H236">
        <v>2</v>
      </c>
      <c r="I236" t="s">
        <v>482</v>
      </c>
      <c r="J236" t="s">
        <v>483</v>
      </c>
      <c r="K236" t="s">
        <v>484</v>
      </c>
      <c r="L236">
        <v>1368</v>
      </c>
      <c r="N236">
        <v>1011</v>
      </c>
      <c r="O236" t="s">
        <v>478</v>
      </c>
      <c r="P236" t="s">
        <v>478</v>
      </c>
      <c r="Q236">
        <v>1</v>
      </c>
      <c r="X236">
        <v>2.5499999999999998</v>
      </c>
      <c r="Y236">
        <v>0</v>
      </c>
      <c r="Z236">
        <v>83.1</v>
      </c>
      <c r="AA236">
        <v>12.62</v>
      </c>
      <c r="AB236">
        <v>0</v>
      </c>
      <c r="AC236">
        <v>0</v>
      </c>
      <c r="AD236">
        <v>1</v>
      </c>
      <c r="AE236">
        <v>0</v>
      </c>
      <c r="AF236" t="s">
        <v>36</v>
      </c>
      <c r="AG236">
        <v>3.0599999999999996</v>
      </c>
      <c r="AH236">
        <v>2</v>
      </c>
      <c r="AI236">
        <v>85739708</v>
      </c>
      <c r="AJ236">
        <v>212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ROW(Source!A89)</f>
        <v>89</v>
      </c>
      <c r="B237">
        <v>85739709</v>
      </c>
      <c r="C237">
        <v>85739651</v>
      </c>
      <c r="D237">
        <v>85229250</v>
      </c>
      <c r="E237">
        <v>1</v>
      </c>
      <c r="F237">
        <v>1</v>
      </c>
      <c r="G237">
        <v>1081</v>
      </c>
      <c r="H237">
        <v>2</v>
      </c>
      <c r="I237" t="s">
        <v>552</v>
      </c>
      <c r="J237" t="s">
        <v>553</v>
      </c>
      <c r="K237" t="s">
        <v>554</v>
      </c>
      <c r="L237">
        <v>1368</v>
      </c>
      <c r="N237">
        <v>1011</v>
      </c>
      <c r="O237" t="s">
        <v>478</v>
      </c>
      <c r="P237" t="s">
        <v>478</v>
      </c>
      <c r="Q237">
        <v>1</v>
      </c>
      <c r="X237">
        <v>1.88</v>
      </c>
      <c r="Y237">
        <v>0</v>
      </c>
      <c r="Z237">
        <v>3.18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36</v>
      </c>
      <c r="AG237">
        <v>2.2559999999999998</v>
      </c>
      <c r="AH237">
        <v>2</v>
      </c>
      <c r="AI237">
        <v>85739709</v>
      </c>
      <c r="AJ237">
        <v>213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ROW(Source!A89)</f>
        <v>89</v>
      </c>
      <c r="B238">
        <v>85739710</v>
      </c>
      <c r="C238">
        <v>85739651</v>
      </c>
      <c r="D238">
        <v>85198960</v>
      </c>
      <c r="E238">
        <v>1</v>
      </c>
      <c r="F238">
        <v>1</v>
      </c>
      <c r="G238">
        <v>1081</v>
      </c>
      <c r="H238">
        <v>3</v>
      </c>
      <c r="I238" t="s">
        <v>513</v>
      </c>
      <c r="J238" t="s">
        <v>514</v>
      </c>
      <c r="K238" t="s">
        <v>515</v>
      </c>
      <c r="L238">
        <v>1339</v>
      </c>
      <c r="N238">
        <v>1007</v>
      </c>
      <c r="O238" t="s">
        <v>506</v>
      </c>
      <c r="P238" t="s">
        <v>506</v>
      </c>
      <c r="Q238">
        <v>1</v>
      </c>
      <c r="X238">
        <v>20</v>
      </c>
      <c r="Y238">
        <v>7.07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35</v>
      </c>
      <c r="AG238">
        <v>20</v>
      </c>
      <c r="AH238">
        <v>2</v>
      </c>
      <c r="AI238">
        <v>85739710</v>
      </c>
      <c r="AJ238">
        <v>214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ROW(Source!A89)</f>
        <v>89</v>
      </c>
      <c r="B239">
        <v>85739711</v>
      </c>
      <c r="C239">
        <v>85739651</v>
      </c>
      <c r="D239">
        <v>85200023</v>
      </c>
      <c r="E239">
        <v>1</v>
      </c>
      <c r="F239">
        <v>1</v>
      </c>
      <c r="G239">
        <v>1081</v>
      </c>
      <c r="H239">
        <v>3</v>
      </c>
      <c r="I239" t="s">
        <v>555</v>
      </c>
      <c r="J239" t="s">
        <v>556</v>
      </c>
      <c r="K239" t="s">
        <v>557</v>
      </c>
      <c r="L239">
        <v>1348</v>
      </c>
      <c r="N239">
        <v>1009</v>
      </c>
      <c r="O239" t="s">
        <v>266</v>
      </c>
      <c r="P239" t="s">
        <v>266</v>
      </c>
      <c r="Q239">
        <v>1000</v>
      </c>
      <c r="X239">
        <v>8.8000000000000005E-3</v>
      </c>
      <c r="Y239">
        <v>7185.82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 t="s">
        <v>35</v>
      </c>
      <c r="AG239">
        <v>8.8000000000000005E-3</v>
      </c>
      <c r="AH239">
        <v>2</v>
      </c>
      <c r="AI239">
        <v>85739711</v>
      </c>
      <c r="AJ239">
        <v>215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ROW(Source!A89)</f>
        <v>89</v>
      </c>
      <c r="B240">
        <v>85739712</v>
      </c>
      <c r="C240">
        <v>85739651</v>
      </c>
      <c r="D240">
        <v>85156878</v>
      </c>
      <c r="E240">
        <v>1081</v>
      </c>
      <c r="F240">
        <v>1</v>
      </c>
      <c r="G240">
        <v>1081</v>
      </c>
      <c r="H240">
        <v>3</v>
      </c>
      <c r="I240" t="s">
        <v>640</v>
      </c>
      <c r="J240" t="s">
        <v>3</v>
      </c>
      <c r="K240" t="s">
        <v>641</v>
      </c>
      <c r="L240">
        <v>1301</v>
      </c>
      <c r="N240">
        <v>1003</v>
      </c>
      <c r="O240" t="s">
        <v>179</v>
      </c>
      <c r="P240" t="s">
        <v>179</v>
      </c>
      <c r="Q240">
        <v>1</v>
      </c>
      <c r="X240">
        <v>100.5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35</v>
      </c>
      <c r="AG240">
        <v>100.5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ROW(Source!A92)</f>
        <v>92</v>
      </c>
      <c r="B241">
        <v>85739714</v>
      </c>
      <c r="C241">
        <v>85739652</v>
      </c>
      <c r="D241">
        <v>85164021</v>
      </c>
      <c r="E241">
        <v>1081</v>
      </c>
      <c r="F241">
        <v>1</v>
      </c>
      <c r="G241">
        <v>1081</v>
      </c>
      <c r="H241">
        <v>1</v>
      </c>
      <c r="I241" t="s">
        <v>472</v>
      </c>
      <c r="J241" t="s">
        <v>3</v>
      </c>
      <c r="K241" t="s">
        <v>473</v>
      </c>
      <c r="L241">
        <v>1191</v>
      </c>
      <c r="N241">
        <v>1013</v>
      </c>
      <c r="O241" t="s">
        <v>474</v>
      </c>
      <c r="P241" t="s">
        <v>474</v>
      </c>
      <c r="Q241">
        <v>1</v>
      </c>
      <c r="X241">
        <v>159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1</v>
      </c>
      <c r="AF241" t="s">
        <v>36</v>
      </c>
      <c r="AG241">
        <v>190.79999999999998</v>
      </c>
      <c r="AH241">
        <v>2</v>
      </c>
      <c r="AI241">
        <v>85739714</v>
      </c>
      <c r="AJ241">
        <v>217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ROW(Source!A92)</f>
        <v>92</v>
      </c>
      <c r="B242">
        <v>85739715</v>
      </c>
      <c r="C242">
        <v>85739652</v>
      </c>
      <c r="D242">
        <v>85229527</v>
      </c>
      <c r="E242">
        <v>1</v>
      </c>
      <c r="F242">
        <v>1</v>
      </c>
      <c r="G242">
        <v>1081</v>
      </c>
      <c r="H242">
        <v>2</v>
      </c>
      <c r="I242" t="s">
        <v>546</v>
      </c>
      <c r="J242" t="s">
        <v>547</v>
      </c>
      <c r="K242" t="s">
        <v>548</v>
      </c>
      <c r="L242">
        <v>1368</v>
      </c>
      <c r="N242">
        <v>1011</v>
      </c>
      <c r="O242" t="s">
        <v>478</v>
      </c>
      <c r="P242" t="s">
        <v>478</v>
      </c>
      <c r="Q242">
        <v>1</v>
      </c>
      <c r="X242">
        <v>9.4</v>
      </c>
      <c r="Y242">
        <v>0</v>
      </c>
      <c r="Z242">
        <v>48.07</v>
      </c>
      <c r="AA242">
        <v>12.62</v>
      </c>
      <c r="AB242">
        <v>0</v>
      </c>
      <c r="AC242">
        <v>0</v>
      </c>
      <c r="AD242">
        <v>1</v>
      </c>
      <c r="AE242">
        <v>0</v>
      </c>
      <c r="AF242" t="s">
        <v>36</v>
      </c>
      <c r="AG242">
        <v>11.28</v>
      </c>
      <c r="AH242">
        <v>2</v>
      </c>
      <c r="AI242">
        <v>85739715</v>
      </c>
      <c r="AJ242">
        <v>218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ROW(Source!A92)</f>
        <v>92</v>
      </c>
      <c r="B243">
        <v>85739716</v>
      </c>
      <c r="C243">
        <v>85739652</v>
      </c>
      <c r="D243">
        <v>85229564</v>
      </c>
      <c r="E243">
        <v>1</v>
      </c>
      <c r="F243">
        <v>1</v>
      </c>
      <c r="G243">
        <v>1081</v>
      </c>
      <c r="H243">
        <v>2</v>
      </c>
      <c r="I243" t="s">
        <v>549</v>
      </c>
      <c r="J243" t="s">
        <v>550</v>
      </c>
      <c r="K243" t="s">
        <v>551</v>
      </c>
      <c r="L243">
        <v>1368</v>
      </c>
      <c r="N243">
        <v>1011</v>
      </c>
      <c r="O243" t="s">
        <v>478</v>
      </c>
      <c r="P243" t="s">
        <v>478</v>
      </c>
      <c r="Q243">
        <v>1</v>
      </c>
      <c r="X243">
        <v>8.5</v>
      </c>
      <c r="Y243">
        <v>0</v>
      </c>
      <c r="Z243">
        <v>5.79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36</v>
      </c>
      <c r="AG243">
        <v>10.199999999999999</v>
      </c>
      <c r="AH243">
        <v>2</v>
      </c>
      <c r="AI243">
        <v>85739716</v>
      </c>
      <c r="AJ243">
        <v>219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ROW(Source!A92)</f>
        <v>92</v>
      </c>
      <c r="B244">
        <v>85739717</v>
      </c>
      <c r="C244">
        <v>85739652</v>
      </c>
      <c r="D244">
        <v>85229633</v>
      </c>
      <c r="E244">
        <v>1</v>
      </c>
      <c r="F244">
        <v>1</v>
      </c>
      <c r="G244">
        <v>1081</v>
      </c>
      <c r="H244">
        <v>2</v>
      </c>
      <c r="I244" t="s">
        <v>475</v>
      </c>
      <c r="J244" t="s">
        <v>476</v>
      </c>
      <c r="K244" t="s">
        <v>477</v>
      </c>
      <c r="L244">
        <v>1368</v>
      </c>
      <c r="N244">
        <v>1011</v>
      </c>
      <c r="O244" t="s">
        <v>478</v>
      </c>
      <c r="P244" t="s">
        <v>478</v>
      </c>
      <c r="Q244">
        <v>1</v>
      </c>
      <c r="X244">
        <v>25</v>
      </c>
      <c r="Y244">
        <v>0</v>
      </c>
      <c r="Z244">
        <v>7.11</v>
      </c>
      <c r="AA244">
        <v>0</v>
      </c>
      <c r="AB244">
        <v>0</v>
      </c>
      <c r="AC244">
        <v>0</v>
      </c>
      <c r="AD244">
        <v>1</v>
      </c>
      <c r="AE244">
        <v>0</v>
      </c>
      <c r="AF244" t="s">
        <v>36</v>
      </c>
      <c r="AG244">
        <v>30</v>
      </c>
      <c r="AH244">
        <v>2</v>
      </c>
      <c r="AI244">
        <v>85739717</v>
      </c>
      <c r="AJ244">
        <v>220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ROW(Source!A92)</f>
        <v>92</v>
      </c>
      <c r="B245">
        <v>85739718</v>
      </c>
      <c r="C245">
        <v>85739652</v>
      </c>
      <c r="D245">
        <v>85229932</v>
      </c>
      <c r="E245">
        <v>1</v>
      </c>
      <c r="F245">
        <v>1</v>
      </c>
      <c r="G245">
        <v>1081</v>
      </c>
      <c r="H245">
        <v>2</v>
      </c>
      <c r="I245" t="s">
        <v>482</v>
      </c>
      <c r="J245" t="s">
        <v>483</v>
      </c>
      <c r="K245" t="s">
        <v>484</v>
      </c>
      <c r="L245">
        <v>1368</v>
      </c>
      <c r="N245">
        <v>1011</v>
      </c>
      <c r="O245" t="s">
        <v>478</v>
      </c>
      <c r="P245" t="s">
        <v>478</v>
      </c>
      <c r="Q245">
        <v>1</v>
      </c>
      <c r="X245">
        <v>1.66</v>
      </c>
      <c r="Y245">
        <v>0</v>
      </c>
      <c r="Z245">
        <v>83.1</v>
      </c>
      <c r="AA245">
        <v>12.62</v>
      </c>
      <c r="AB245">
        <v>0</v>
      </c>
      <c r="AC245">
        <v>0</v>
      </c>
      <c r="AD245">
        <v>1</v>
      </c>
      <c r="AE245">
        <v>0</v>
      </c>
      <c r="AF245" t="s">
        <v>36</v>
      </c>
      <c r="AG245">
        <v>1.9919999999999998</v>
      </c>
      <c r="AH245">
        <v>2</v>
      </c>
      <c r="AI245">
        <v>85739718</v>
      </c>
      <c r="AJ245">
        <v>221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ROW(Source!A92)</f>
        <v>92</v>
      </c>
      <c r="B246">
        <v>85739719</v>
      </c>
      <c r="C246">
        <v>85739652</v>
      </c>
      <c r="D246">
        <v>85229250</v>
      </c>
      <c r="E246">
        <v>1</v>
      </c>
      <c r="F246">
        <v>1</v>
      </c>
      <c r="G246">
        <v>1081</v>
      </c>
      <c r="H246">
        <v>2</v>
      </c>
      <c r="I246" t="s">
        <v>552</v>
      </c>
      <c r="J246" t="s">
        <v>553</v>
      </c>
      <c r="K246" t="s">
        <v>554</v>
      </c>
      <c r="L246">
        <v>1368</v>
      </c>
      <c r="N246">
        <v>1011</v>
      </c>
      <c r="O246" t="s">
        <v>478</v>
      </c>
      <c r="P246" t="s">
        <v>478</v>
      </c>
      <c r="Q246">
        <v>1</v>
      </c>
      <c r="X246">
        <v>1.22</v>
      </c>
      <c r="Y246">
        <v>0</v>
      </c>
      <c r="Z246">
        <v>3.18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36</v>
      </c>
      <c r="AG246">
        <v>1.464</v>
      </c>
      <c r="AH246">
        <v>2</v>
      </c>
      <c r="AI246">
        <v>85739719</v>
      </c>
      <c r="AJ246">
        <v>222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ROW(Source!A92)</f>
        <v>92</v>
      </c>
      <c r="B247">
        <v>85739720</v>
      </c>
      <c r="C247">
        <v>85739652</v>
      </c>
      <c r="D247">
        <v>85198960</v>
      </c>
      <c r="E247">
        <v>1</v>
      </c>
      <c r="F247">
        <v>1</v>
      </c>
      <c r="G247">
        <v>1081</v>
      </c>
      <c r="H247">
        <v>3</v>
      </c>
      <c r="I247" t="s">
        <v>513</v>
      </c>
      <c r="J247" t="s">
        <v>514</v>
      </c>
      <c r="K247" t="s">
        <v>515</v>
      </c>
      <c r="L247">
        <v>1339</v>
      </c>
      <c r="N247">
        <v>1007</v>
      </c>
      <c r="O247" t="s">
        <v>506</v>
      </c>
      <c r="P247" t="s">
        <v>506</v>
      </c>
      <c r="Q247">
        <v>1</v>
      </c>
      <c r="X247">
        <v>10</v>
      </c>
      <c r="Y247">
        <v>7.07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35</v>
      </c>
      <c r="AG247">
        <v>10</v>
      </c>
      <c r="AH247">
        <v>2</v>
      </c>
      <c r="AI247">
        <v>85739720</v>
      </c>
      <c r="AJ247">
        <v>223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ROW(Source!A92)</f>
        <v>92</v>
      </c>
      <c r="B248">
        <v>85739721</v>
      </c>
      <c r="C248">
        <v>85739652</v>
      </c>
      <c r="D248">
        <v>85200023</v>
      </c>
      <c r="E248">
        <v>1</v>
      </c>
      <c r="F248">
        <v>1</v>
      </c>
      <c r="G248">
        <v>1081</v>
      </c>
      <c r="H248">
        <v>3</v>
      </c>
      <c r="I248" t="s">
        <v>555</v>
      </c>
      <c r="J248" t="s">
        <v>556</v>
      </c>
      <c r="K248" t="s">
        <v>557</v>
      </c>
      <c r="L248">
        <v>1348</v>
      </c>
      <c r="N248">
        <v>1009</v>
      </c>
      <c r="O248" t="s">
        <v>266</v>
      </c>
      <c r="P248" t="s">
        <v>266</v>
      </c>
      <c r="Q248">
        <v>1000</v>
      </c>
      <c r="X248">
        <v>7.7000000000000002E-3</v>
      </c>
      <c r="Y248">
        <v>7185.82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35</v>
      </c>
      <c r="AG248">
        <v>7.7000000000000002E-3</v>
      </c>
      <c r="AH248">
        <v>2</v>
      </c>
      <c r="AI248">
        <v>85739721</v>
      </c>
      <c r="AJ248">
        <v>224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ROW(Source!A92)</f>
        <v>92</v>
      </c>
      <c r="B249">
        <v>85739722</v>
      </c>
      <c r="C249">
        <v>85739652</v>
      </c>
      <c r="D249">
        <v>85156878</v>
      </c>
      <c r="E249">
        <v>1081</v>
      </c>
      <c r="F249">
        <v>1</v>
      </c>
      <c r="G249">
        <v>1081</v>
      </c>
      <c r="H249">
        <v>3</v>
      </c>
      <c r="I249" t="s">
        <v>640</v>
      </c>
      <c r="J249" t="s">
        <v>3</v>
      </c>
      <c r="K249" t="s">
        <v>641</v>
      </c>
      <c r="L249">
        <v>1301</v>
      </c>
      <c r="N249">
        <v>1003</v>
      </c>
      <c r="O249" t="s">
        <v>179</v>
      </c>
      <c r="P249" t="s">
        <v>179</v>
      </c>
      <c r="Q249">
        <v>1</v>
      </c>
      <c r="X249">
        <v>100.5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35</v>
      </c>
      <c r="AG249">
        <v>100.5</v>
      </c>
      <c r="AH249">
        <v>3</v>
      </c>
      <c r="AI249">
        <v>-1</v>
      </c>
      <c r="AJ249" t="s">
        <v>3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ROW(Source!A93)</f>
        <v>93</v>
      </c>
      <c r="B250">
        <v>85739714</v>
      </c>
      <c r="C250">
        <v>85739652</v>
      </c>
      <c r="D250">
        <v>85164021</v>
      </c>
      <c r="E250">
        <v>1081</v>
      </c>
      <c r="F250">
        <v>1</v>
      </c>
      <c r="G250">
        <v>1081</v>
      </c>
      <c r="H250">
        <v>1</v>
      </c>
      <c r="I250" t="s">
        <v>472</v>
      </c>
      <c r="J250" t="s">
        <v>3</v>
      </c>
      <c r="K250" t="s">
        <v>473</v>
      </c>
      <c r="L250">
        <v>1191</v>
      </c>
      <c r="N250">
        <v>1013</v>
      </c>
      <c r="O250" t="s">
        <v>474</v>
      </c>
      <c r="P250" t="s">
        <v>474</v>
      </c>
      <c r="Q250">
        <v>1</v>
      </c>
      <c r="X250">
        <v>159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1</v>
      </c>
      <c r="AF250" t="s">
        <v>36</v>
      </c>
      <c r="AG250">
        <v>190.79999999999998</v>
      </c>
      <c r="AH250">
        <v>2</v>
      </c>
      <c r="AI250">
        <v>85739714</v>
      </c>
      <c r="AJ250">
        <v>227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ROW(Source!A93)</f>
        <v>93</v>
      </c>
      <c r="B251">
        <v>85739715</v>
      </c>
      <c r="C251">
        <v>85739652</v>
      </c>
      <c r="D251">
        <v>85229527</v>
      </c>
      <c r="E251">
        <v>1</v>
      </c>
      <c r="F251">
        <v>1</v>
      </c>
      <c r="G251">
        <v>1081</v>
      </c>
      <c r="H251">
        <v>2</v>
      </c>
      <c r="I251" t="s">
        <v>546</v>
      </c>
      <c r="J251" t="s">
        <v>547</v>
      </c>
      <c r="K251" t="s">
        <v>548</v>
      </c>
      <c r="L251">
        <v>1368</v>
      </c>
      <c r="N251">
        <v>1011</v>
      </c>
      <c r="O251" t="s">
        <v>478</v>
      </c>
      <c r="P251" t="s">
        <v>478</v>
      </c>
      <c r="Q251">
        <v>1</v>
      </c>
      <c r="X251">
        <v>9.4</v>
      </c>
      <c r="Y251">
        <v>0</v>
      </c>
      <c r="Z251">
        <v>48.07</v>
      </c>
      <c r="AA251">
        <v>12.62</v>
      </c>
      <c r="AB251">
        <v>0</v>
      </c>
      <c r="AC251">
        <v>0</v>
      </c>
      <c r="AD251">
        <v>1</v>
      </c>
      <c r="AE251">
        <v>0</v>
      </c>
      <c r="AF251" t="s">
        <v>36</v>
      </c>
      <c r="AG251">
        <v>11.28</v>
      </c>
      <c r="AH251">
        <v>2</v>
      </c>
      <c r="AI251">
        <v>85739715</v>
      </c>
      <c r="AJ251">
        <v>228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ROW(Source!A93)</f>
        <v>93</v>
      </c>
      <c r="B252">
        <v>85739716</v>
      </c>
      <c r="C252">
        <v>85739652</v>
      </c>
      <c r="D252">
        <v>85229564</v>
      </c>
      <c r="E252">
        <v>1</v>
      </c>
      <c r="F252">
        <v>1</v>
      </c>
      <c r="G252">
        <v>1081</v>
      </c>
      <c r="H252">
        <v>2</v>
      </c>
      <c r="I252" t="s">
        <v>549</v>
      </c>
      <c r="J252" t="s">
        <v>550</v>
      </c>
      <c r="K252" t="s">
        <v>551</v>
      </c>
      <c r="L252">
        <v>1368</v>
      </c>
      <c r="N252">
        <v>1011</v>
      </c>
      <c r="O252" t="s">
        <v>478</v>
      </c>
      <c r="P252" t="s">
        <v>478</v>
      </c>
      <c r="Q252">
        <v>1</v>
      </c>
      <c r="X252">
        <v>8.5</v>
      </c>
      <c r="Y252">
        <v>0</v>
      </c>
      <c r="Z252">
        <v>5.79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36</v>
      </c>
      <c r="AG252">
        <v>10.199999999999999</v>
      </c>
      <c r="AH252">
        <v>2</v>
      </c>
      <c r="AI252">
        <v>85739716</v>
      </c>
      <c r="AJ252">
        <v>229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ROW(Source!A93)</f>
        <v>93</v>
      </c>
      <c r="B253">
        <v>85739717</v>
      </c>
      <c r="C253">
        <v>85739652</v>
      </c>
      <c r="D253">
        <v>85229633</v>
      </c>
      <c r="E253">
        <v>1</v>
      </c>
      <c r="F253">
        <v>1</v>
      </c>
      <c r="G253">
        <v>1081</v>
      </c>
      <c r="H253">
        <v>2</v>
      </c>
      <c r="I253" t="s">
        <v>475</v>
      </c>
      <c r="J253" t="s">
        <v>476</v>
      </c>
      <c r="K253" t="s">
        <v>477</v>
      </c>
      <c r="L253">
        <v>1368</v>
      </c>
      <c r="N253">
        <v>1011</v>
      </c>
      <c r="O253" t="s">
        <v>478</v>
      </c>
      <c r="P253" t="s">
        <v>478</v>
      </c>
      <c r="Q253">
        <v>1</v>
      </c>
      <c r="X253">
        <v>25</v>
      </c>
      <c r="Y253">
        <v>0</v>
      </c>
      <c r="Z253">
        <v>7.11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36</v>
      </c>
      <c r="AG253">
        <v>30</v>
      </c>
      <c r="AH253">
        <v>2</v>
      </c>
      <c r="AI253">
        <v>85739717</v>
      </c>
      <c r="AJ253">
        <v>230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ROW(Source!A93)</f>
        <v>93</v>
      </c>
      <c r="B254">
        <v>85739718</v>
      </c>
      <c r="C254">
        <v>85739652</v>
      </c>
      <c r="D254">
        <v>85229932</v>
      </c>
      <c r="E254">
        <v>1</v>
      </c>
      <c r="F254">
        <v>1</v>
      </c>
      <c r="G254">
        <v>1081</v>
      </c>
      <c r="H254">
        <v>2</v>
      </c>
      <c r="I254" t="s">
        <v>482</v>
      </c>
      <c r="J254" t="s">
        <v>483</v>
      </c>
      <c r="K254" t="s">
        <v>484</v>
      </c>
      <c r="L254">
        <v>1368</v>
      </c>
      <c r="N254">
        <v>1011</v>
      </c>
      <c r="O254" t="s">
        <v>478</v>
      </c>
      <c r="P254" t="s">
        <v>478</v>
      </c>
      <c r="Q254">
        <v>1</v>
      </c>
      <c r="X254">
        <v>1.66</v>
      </c>
      <c r="Y254">
        <v>0</v>
      </c>
      <c r="Z254">
        <v>83.1</v>
      </c>
      <c r="AA254">
        <v>12.62</v>
      </c>
      <c r="AB254">
        <v>0</v>
      </c>
      <c r="AC254">
        <v>0</v>
      </c>
      <c r="AD254">
        <v>1</v>
      </c>
      <c r="AE254">
        <v>0</v>
      </c>
      <c r="AF254" t="s">
        <v>36</v>
      </c>
      <c r="AG254">
        <v>1.9919999999999998</v>
      </c>
      <c r="AH254">
        <v>2</v>
      </c>
      <c r="AI254">
        <v>85739718</v>
      </c>
      <c r="AJ254">
        <v>231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ROW(Source!A93)</f>
        <v>93</v>
      </c>
      <c r="B255">
        <v>85739719</v>
      </c>
      <c r="C255">
        <v>85739652</v>
      </c>
      <c r="D255">
        <v>85229250</v>
      </c>
      <c r="E255">
        <v>1</v>
      </c>
      <c r="F255">
        <v>1</v>
      </c>
      <c r="G255">
        <v>1081</v>
      </c>
      <c r="H255">
        <v>2</v>
      </c>
      <c r="I255" t="s">
        <v>552</v>
      </c>
      <c r="J255" t="s">
        <v>553</v>
      </c>
      <c r="K255" t="s">
        <v>554</v>
      </c>
      <c r="L255">
        <v>1368</v>
      </c>
      <c r="N255">
        <v>1011</v>
      </c>
      <c r="O255" t="s">
        <v>478</v>
      </c>
      <c r="P255" t="s">
        <v>478</v>
      </c>
      <c r="Q255">
        <v>1</v>
      </c>
      <c r="X255">
        <v>1.22</v>
      </c>
      <c r="Y255">
        <v>0</v>
      </c>
      <c r="Z255">
        <v>3.18</v>
      </c>
      <c r="AA255">
        <v>0</v>
      </c>
      <c r="AB255">
        <v>0</v>
      </c>
      <c r="AC255">
        <v>0</v>
      </c>
      <c r="AD255">
        <v>1</v>
      </c>
      <c r="AE255">
        <v>0</v>
      </c>
      <c r="AF255" t="s">
        <v>36</v>
      </c>
      <c r="AG255">
        <v>1.464</v>
      </c>
      <c r="AH255">
        <v>2</v>
      </c>
      <c r="AI255">
        <v>85739719</v>
      </c>
      <c r="AJ255">
        <v>232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ROW(Source!A93)</f>
        <v>93</v>
      </c>
      <c r="B256">
        <v>85739720</v>
      </c>
      <c r="C256">
        <v>85739652</v>
      </c>
      <c r="D256">
        <v>85198960</v>
      </c>
      <c r="E256">
        <v>1</v>
      </c>
      <c r="F256">
        <v>1</v>
      </c>
      <c r="G256">
        <v>1081</v>
      </c>
      <c r="H256">
        <v>3</v>
      </c>
      <c r="I256" t="s">
        <v>513</v>
      </c>
      <c r="J256" t="s">
        <v>514</v>
      </c>
      <c r="K256" t="s">
        <v>515</v>
      </c>
      <c r="L256">
        <v>1339</v>
      </c>
      <c r="N256">
        <v>1007</v>
      </c>
      <c r="O256" t="s">
        <v>506</v>
      </c>
      <c r="P256" t="s">
        <v>506</v>
      </c>
      <c r="Q256">
        <v>1</v>
      </c>
      <c r="X256">
        <v>10</v>
      </c>
      <c r="Y256">
        <v>7.07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 t="s">
        <v>35</v>
      </c>
      <c r="AG256">
        <v>10</v>
      </c>
      <c r="AH256">
        <v>2</v>
      </c>
      <c r="AI256">
        <v>85739720</v>
      </c>
      <c r="AJ256">
        <v>233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ROW(Source!A93)</f>
        <v>93</v>
      </c>
      <c r="B257">
        <v>85739721</v>
      </c>
      <c r="C257">
        <v>85739652</v>
      </c>
      <c r="D257">
        <v>85200023</v>
      </c>
      <c r="E257">
        <v>1</v>
      </c>
      <c r="F257">
        <v>1</v>
      </c>
      <c r="G257">
        <v>1081</v>
      </c>
      <c r="H257">
        <v>3</v>
      </c>
      <c r="I257" t="s">
        <v>555</v>
      </c>
      <c r="J257" t="s">
        <v>556</v>
      </c>
      <c r="K257" t="s">
        <v>557</v>
      </c>
      <c r="L257">
        <v>1348</v>
      </c>
      <c r="N257">
        <v>1009</v>
      </c>
      <c r="O257" t="s">
        <v>266</v>
      </c>
      <c r="P257" t="s">
        <v>266</v>
      </c>
      <c r="Q257">
        <v>1000</v>
      </c>
      <c r="X257">
        <v>7.7000000000000002E-3</v>
      </c>
      <c r="Y257">
        <v>7185.82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 t="s">
        <v>35</v>
      </c>
      <c r="AG257">
        <v>7.7000000000000002E-3</v>
      </c>
      <c r="AH257">
        <v>2</v>
      </c>
      <c r="AI257">
        <v>85739721</v>
      </c>
      <c r="AJ257">
        <v>234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ROW(Source!A93)</f>
        <v>93</v>
      </c>
      <c r="B258">
        <v>85739722</v>
      </c>
      <c r="C258">
        <v>85739652</v>
      </c>
      <c r="D258">
        <v>85156878</v>
      </c>
      <c r="E258">
        <v>1081</v>
      </c>
      <c r="F258">
        <v>1</v>
      </c>
      <c r="G258">
        <v>1081</v>
      </c>
      <c r="H258">
        <v>3</v>
      </c>
      <c r="I258" t="s">
        <v>640</v>
      </c>
      <c r="J258" t="s">
        <v>3</v>
      </c>
      <c r="K258" t="s">
        <v>641</v>
      </c>
      <c r="L258">
        <v>1301</v>
      </c>
      <c r="N258">
        <v>1003</v>
      </c>
      <c r="O258" t="s">
        <v>179</v>
      </c>
      <c r="P258" t="s">
        <v>179</v>
      </c>
      <c r="Q258">
        <v>1</v>
      </c>
      <c r="X258">
        <v>100.5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35</v>
      </c>
      <c r="AG258">
        <v>100.5</v>
      </c>
      <c r="AH258">
        <v>3</v>
      </c>
      <c r="AI258">
        <v>-1</v>
      </c>
      <c r="AJ258" t="s">
        <v>3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ROW(Source!A98)</f>
        <v>98</v>
      </c>
      <c r="B259">
        <v>85739728</v>
      </c>
      <c r="C259">
        <v>85739726</v>
      </c>
      <c r="D259">
        <v>85164021</v>
      </c>
      <c r="E259">
        <v>1081</v>
      </c>
      <c r="F259">
        <v>1</v>
      </c>
      <c r="G259">
        <v>1081</v>
      </c>
      <c r="H259">
        <v>1</v>
      </c>
      <c r="I259" t="s">
        <v>472</v>
      </c>
      <c r="J259" t="s">
        <v>3</v>
      </c>
      <c r="K259" t="s">
        <v>473</v>
      </c>
      <c r="L259">
        <v>1191</v>
      </c>
      <c r="N259">
        <v>1013</v>
      </c>
      <c r="O259" t="s">
        <v>474</v>
      </c>
      <c r="P259" t="s">
        <v>474</v>
      </c>
      <c r="Q259">
        <v>1</v>
      </c>
      <c r="X259">
        <v>140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1</v>
      </c>
      <c r="AF259" t="s">
        <v>36</v>
      </c>
      <c r="AG259">
        <v>168</v>
      </c>
      <c r="AH259">
        <v>2</v>
      </c>
      <c r="AI259">
        <v>85739728</v>
      </c>
      <c r="AJ259">
        <v>237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ROW(Source!A98)</f>
        <v>98</v>
      </c>
      <c r="B260">
        <v>85739729</v>
      </c>
      <c r="C260">
        <v>85739726</v>
      </c>
      <c r="D260">
        <v>85229527</v>
      </c>
      <c r="E260">
        <v>1</v>
      </c>
      <c r="F260">
        <v>1</v>
      </c>
      <c r="G260">
        <v>1081</v>
      </c>
      <c r="H260">
        <v>2</v>
      </c>
      <c r="I260" t="s">
        <v>546</v>
      </c>
      <c r="J260" t="s">
        <v>547</v>
      </c>
      <c r="K260" t="s">
        <v>548</v>
      </c>
      <c r="L260">
        <v>1368</v>
      </c>
      <c r="N260">
        <v>1011</v>
      </c>
      <c r="O260" t="s">
        <v>478</v>
      </c>
      <c r="P260" t="s">
        <v>478</v>
      </c>
      <c r="Q260">
        <v>1</v>
      </c>
      <c r="X260">
        <v>7.5</v>
      </c>
      <c r="Y260">
        <v>0</v>
      </c>
      <c r="Z260">
        <v>48.07</v>
      </c>
      <c r="AA260">
        <v>12.62</v>
      </c>
      <c r="AB260">
        <v>0</v>
      </c>
      <c r="AC260">
        <v>0</v>
      </c>
      <c r="AD260">
        <v>1</v>
      </c>
      <c r="AE260">
        <v>0</v>
      </c>
      <c r="AF260" t="s">
        <v>36</v>
      </c>
      <c r="AG260">
        <v>9</v>
      </c>
      <c r="AH260">
        <v>2</v>
      </c>
      <c r="AI260">
        <v>85739729</v>
      </c>
      <c r="AJ260">
        <v>238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ROW(Source!A98)</f>
        <v>98</v>
      </c>
      <c r="B261">
        <v>85739730</v>
      </c>
      <c r="C261">
        <v>85739726</v>
      </c>
      <c r="D261">
        <v>85229564</v>
      </c>
      <c r="E261">
        <v>1</v>
      </c>
      <c r="F261">
        <v>1</v>
      </c>
      <c r="G261">
        <v>1081</v>
      </c>
      <c r="H261">
        <v>2</v>
      </c>
      <c r="I261" t="s">
        <v>549</v>
      </c>
      <c r="J261" t="s">
        <v>550</v>
      </c>
      <c r="K261" t="s">
        <v>551</v>
      </c>
      <c r="L261">
        <v>1368</v>
      </c>
      <c r="N261">
        <v>1011</v>
      </c>
      <c r="O261" t="s">
        <v>478</v>
      </c>
      <c r="P261" t="s">
        <v>478</v>
      </c>
      <c r="Q261">
        <v>1</v>
      </c>
      <c r="X261">
        <v>7</v>
      </c>
      <c r="Y261">
        <v>0</v>
      </c>
      <c r="Z261">
        <v>5.79</v>
      </c>
      <c r="AA261">
        <v>0</v>
      </c>
      <c r="AB261">
        <v>0</v>
      </c>
      <c r="AC261">
        <v>0</v>
      </c>
      <c r="AD261">
        <v>1</v>
      </c>
      <c r="AE261">
        <v>0</v>
      </c>
      <c r="AF261" t="s">
        <v>36</v>
      </c>
      <c r="AG261">
        <v>8.4</v>
      </c>
      <c r="AH261">
        <v>2</v>
      </c>
      <c r="AI261">
        <v>85739730</v>
      </c>
      <c r="AJ261">
        <v>239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ROW(Source!A98)</f>
        <v>98</v>
      </c>
      <c r="B262">
        <v>85739731</v>
      </c>
      <c r="C262">
        <v>85739726</v>
      </c>
      <c r="D262">
        <v>85229633</v>
      </c>
      <c r="E262">
        <v>1</v>
      </c>
      <c r="F262">
        <v>1</v>
      </c>
      <c r="G262">
        <v>1081</v>
      </c>
      <c r="H262">
        <v>2</v>
      </c>
      <c r="I262" t="s">
        <v>475</v>
      </c>
      <c r="J262" t="s">
        <v>476</v>
      </c>
      <c r="K262" t="s">
        <v>477</v>
      </c>
      <c r="L262">
        <v>1368</v>
      </c>
      <c r="N262">
        <v>1011</v>
      </c>
      <c r="O262" t="s">
        <v>478</v>
      </c>
      <c r="P262" t="s">
        <v>478</v>
      </c>
      <c r="Q262">
        <v>1</v>
      </c>
      <c r="X262">
        <v>9.3000000000000007</v>
      </c>
      <c r="Y262">
        <v>0</v>
      </c>
      <c r="Z262">
        <v>7.11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36</v>
      </c>
      <c r="AG262">
        <v>11.16</v>
      </c>
      <c r="AH262">
        <v>2</v>
      </c>
      <c r="AI262">
        <v>85739731</v>
      </c>
      <c r="AJ262">
        <v>240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ROW(Source!A98)</f>
        <v>98</v>
      </c>
      <c r="B263">
        <v>85739732</v>
      </c>
      <c r="C263">
        <v>85739726</v>
      </c>
      <c r="D263">
        <v>85229932</v>
      </c>
      <c r="E263">
        <v>1</v>
      </c>
      <c r="F263">
        <v>1</v>
      </c>
      <c r="G263">
        <v>1081</v>
      </c>
      <c r="H263">
        <v>2</v>
      </c>
      <c r="I263" t="s">
        <v>482</v>
      </c>
      <c r="J263" t="s">
        <v>483</v>
      </c>
      <c r="K263" t="s">
        <v>484</v>
      </c>
      <c r="L263">
        <v>1368</v>
      </c>
      <c r="N263">
        <v>1011</v>
      </c>
      <c r="O263" t="s">
        <v>478</v>
      </c>
      <c r="P263" t="s">
        <v>478</v>
      </c>
      <c r="Q263">
        <v>1</v>
      </c>
      <c r="X263">
        <v>0.72</v>
      </c>
      <c r="Y263">
        <v>0</v>
      </c>
      <c r="Z263">
        <v>83.1</v>
      </c>
      <c r="AA263">
        <v>12.62</v>
      </c>
      <c r="AB263">
        <v>0</v>
      </c>
      <c r="AC263">
        <v>0</v>
      </c>
      <c r="AD263">
        <v>1</v>
      </c>
      <c r="AE263">
        <v>0</v>
      </c>
      <c r="AF263" t="s">
        <v>36</v>
      </c>
      <c r="AG263">
        <v>0.86399999999999999</v>
      </c>
      <c r="AH263">
        <v>2</v>
      </c>
      <c r="AI263">
        <v>85739732</v>
      </c>
      <c r="AJ263">
        <v>241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ROW(Source!A98)</f>
        <v>98</v>
      </c>
      <c r="B264">
        <v>85739733</v>
      </c>
      <c r="C264">
        <v>85739726</v>
      </c>
      <c r="D264">
        <v>85229250</v>
      </c>
      <c r="E264">
        <v>1</v>
      </c>
      <c r="F264">
        <v>1</v>
      </c>
      <c r="G264">
        <v>1081</v>
      </c>
      <c r="H264">
        <v>2</v>
      </c>
      <c r="I264" t="s">
        <v>552</v>
      </c>
      <c r="J264" t="s">
        <v>553</v>
      </c>
      <c r="K264" t="s">
        <v>554</v>
      </c>
      <c r="L264">
        <v>1368</v>
      </c>
      <c r="N264">
        <v>1011</v>
      </c>
      <c r="O264" t="s">
        <v>478</v>
      </c>
      <c r="P264" t="s">
        <v>478</v>
      </c>
      <c r="Q264">
        <v>1</v>
      </c>
      <c r="X264">
        <v>0.53</v>
      </c>
      <c r="Y264">
        <v>0</v>
      </c>
      <c r="Z264">
        <v>3.18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36</v>
      </c>
      <c r="AG264">
        <v>0.63600000000000001</v>
      </c>
      <c r="AH264">
        <v>2</v>
      </c>
      <c r="AI264">
        <v>85739733</v>
      </c>
      <c r="AJ264">
        <v>242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ROW(Source!A98)</f>
        <v>98</v>
      </c>
      <c r="B265">
        <v>85739734</v>
      </c>
      <c r="C265">
        <v>85739726</v>
      </c>
      <c r="D265">
        <v>85198960</v>
      </c>
      <c r="E265">
        <v>1</v>
      </c>
      <c r="F265">
        <v>1</v>
      </c>
      <c r="G265">
        <v>1081</v>
      </c>
      <c r="H265">
        <v>3</v>
      </c>
      <c r="I265" t="s">
        <v>513</v>
      </c>
      <c r="J265" t="s">
        <v>514</v>
      </c>
      <c r="K265" t="s">
        <v>515</v>
      </c>
      <c r="L265">
        <v>1339</v>
      </c>
      <c r="N265">
        <v>1007</v>
      </c>
      <c r="O265" t="s">
        <v>506</v>
      </c>
      <c r="P265" t="s">
        <v>506</v>
      </c>
      <c r="Q265">
        <v>1</v>
      </c>
      <c r="X265">
        <v>3</v>
      </c>
      <c r="Y265">
        <v>7.07</v>
      </c>
      <c r="Z265">
        <v>0</v>
      </c>
      <c r="AA265">
        <v>0</v>
      </c>
      <c r="AB265">
        <v>0</v>
      </c>
      <c r="AC265">
        <v>0</v>
      </c>
      <c r="AD265">
        <v>1</v>
      </c>
      <c r="AE265">
        <v>0</v>
      </c>
      <c r="AF265" t="s">
        <v>35</v>
      </c>
      <c r="AG265">
        <v>3</v>
      </c>
      <c r="AH265">
        <v>2</v>
      </c>
      <c r="AI265">
        <v>85739734</v>
      </c>
      <c r="AJ265">
        <v>243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ROW(Source!A98)</f>
        <v>98</v>
      </c>
      <c r="B266">
        <v>85739735</v>
      </c>
      <c r="C266">
        <v>85739726</v>
      </c>
      <c r="D266">
        <v>85200023</v>
      </c>
      <c r="E266">
        <v>1</v>
      </c>
      <c r="F266">
        <v>1</v>
      </c>
      <c r="G266">
        <v>1081</v>
      </c>
      <c r="H266">
        <v>3</v>
      </c>
      <c r="I266" t="s">
        <v>555</v>
      </c>
      <c r="J266" t="s">
        <v>556</v>
      </c>
      <c r="K266" t="s">
        <v>557</v>
      </c>
      <c r="L266">
        <v>1348</v>
      </c>
      <c r="N266">
        <v>1009</v>
      </c>
      <c r="O266" t="s">
        <v>266</v>
      </c>
      <c r="P266" t="s">
        <v>266</v>
      </c>
      <c r="Q266">
        <v>1000</v>
      </c>
      <c r="X266">
        <v>1.6800000000000001E-3</v>
      </c>
      <c r="Y266">
        <v>7185.82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0</v>
      </c>
      <c r="AF266" t="s">
        <v>35</v>
      </c>
      <c r="AG266">
        <v>1.6800000000000001E-3</v>
      </c>
      <c r="AH266">
        <v>2</v>
      </c>
      <c r="AI266">
        <v>85739735</v>
      </c>
      <c r="AJ266">
        <v>244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ROW(Source!A98)</f>
        <v>98</v>
      </c>
      <c r="B267">
        <v>85739736</v>
      </c>
      <c r="C267">
        <v>85739726</v>
      </c>
      <c r="D267">
        <v>85200098</v>
      </c>
      <c r="E267">
        <v>1</v>
      </c>
      <c r="F267">
        <v>1</v>
      </c>
      <c r="G267">
        <v>1081</v>
      </c>
      <c r="H267">
        <v>3</v>
      </c>
      <c r="I267" t="s">
        <v>540</v>
      </c>
      <c r="J267" t="s">
        <v>541</v>
      </c>
      <c r="K267" t="s">
        <v>542</v>
      </c>
      <c r="L267">
        <v>1346</v>
      </c>
      <c r="N267">
        <v>1009</v>
      </c>
      <c r="O267" t="s">
        <v>502</v>
      </c>
      <c r="P267" t="s">
        <v>502</v>
      </c>
      <c r="Q267">
        <v>1</v>
      </c>
      <c r="X267">
        <v>0.81</v>
      </c>
      <c r="Y267">
        <v>21</v>
      </c>
      <c r="Z267">
        <v>0</v>
      </c>
      <c r="AA267">
        <v>0</v>
      </c>
      <c r="AB267">
        <v>0</v>
      </c>
      <c r="AC267">
        <v>0</v>
      </c>
      <c r="AD267">
        <v>1</v>
      </c>
      <c r="AE267">
        <v>0</v>
      </c>
      <c r="AF267" t="s">
        <v>35</v>
      </c>
      <c r="AG267">
        <v>0.81</v>
      </c>
      <c r="AH267">
        <v>2</v>
      </c>
      <c r="AI267">
        <v>85739736</v>
      </c>
      <c r="AJ267">
        <v>245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ROW(Source!A98)</f>
        <v>98</v>
      </c>
      <c r="B268">
        <v>85739737</v>
      </c>
      <c r="C268">
        <v>85739726</v>
      </c>
      <c r="D268">
        <v>85200296</v>
      </c>
      <c r="E268">
        <v>1</v>
      </c>
      <c r="F268">
        <v>1</v>
      </c>
      <c r="G268">
        <v>1081</v>
      </c>
      <c r="H268">
        <v>3</v>
      </c>
      <c r="I268" t="s">
        <v>558</v>
      </c>
      <c r="J268" t="s">
        <v>559</v>
      </c>
      <c r="K268" t="s">
        <v>560</v>
      </c>
      <c r="L268">
        <v>1355</v>
      </c>
      <c r="N268">
        <v>1010</v>
      </c>
      <c r="O268" t="s">
        <v>240</v>
      </c>
      <c r="P268" t="s">
        <v>240</v>
      </c>
      <c r="Q268">
        <v>100</v>
      </c>
      <c r="X268">
        <v>0.72</v>
      </c>
      <c r="Y268">
        <v>496.79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0</v>
      </c>
      <c r="AF268" t="s">
        <v>35</v>
      </c>
      <c r="AG268">
        <v>0.72</v>
      </c>
      <c r="AH268">
        <v>2</v>
      </c>
      <c r="AI268">
        <v>85739737</v>
      </c>
      <c r="AJ268">
        <v>246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ROW(Source!A98)</f>
        <v>98</v>
      </c>
      <c r="B269">
        <v>85739738</v>
      </c>
      <c r="C269">
        <v>85739726</v>
      </c>
      <c r="D269">
        <v>85200297</v>
      </c>
      <c r="E269">
        <v>1</v>
      </c>
      <c r="F269">
        <v>1</v>
      </c>
      <c r="G269">
        <v>1081</v>
      </c>
      <c r="H269">
        <v>3</v>
      </c>
      <c r="I269" t="s">
        <v>561</v>
      </c>
      <c r="J269" t="s">
        <v>562</v>
      </c>
      <c r="K269" t="s">
        <v>563</v>
      </c>
      <c r="L269">
        <v>1355</v>
      </c>
      <c r="N269">
        <v>1010</v>
      </c>
      <c r="O269" t="s">
        <v>240</v>
      </c>
      <c r="P269" t="s">
        <v>240</v>
      </c>
      <c r="Q269">
        <v>100</v>
      </c>
      <c r="X269">
        <v>0.72</v>
      </c>
      <c r="Y269">
        <v>243.75</v>
      </c>
      <c r="Z269">
        <v>0</v>
      </c>
      <c r="AA269">
        <v>0</v>
      </c>
      <c r="AB269">
        <v>0</v>
      </c>
      <c r="AC269">
        <v>0</v>
      </c>
      <c r="AD269">
        <v>1</v>
      </c>
      <c r="AE269">
        <v>0</v>
      </c>
      <c r="AF269" t="s">
        <v>35</v>
      </c>
      <c r="AG269">
        <v>0.72</v>
      </c>
      <c r="AH269">
        <v>2</v>
      </c>
      <c r="AI269">
        <v>85739738</v>
      </c>
      <c r="AJ269">
        <v>247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ROW(Source!A98)</f>
        <v>98</v>
      </c>
      <c r="B270">
        <v>85739739</v>
      </c>
      <c r="C270">
        <v>85739726</v>
      </c>
      <c r="D270">
        <v>85198892</v>
      </c>
      <c r="E270">
        <v>1</v>
      </c>
      <c r="F270">
        <v>1</v>
      </c>
      <c r="G270">
        <v>1081</v>
      </c>
      <c r="H270">
        <v>3</v>
      </c>
      <c r="I270" t="s">
        <v>543</v>
      </c>
      <c r="J270" t="s">
        <v>544</v>
      </c>
      <c r="K270" t="s">
        <v>545</v>
      </c>
      <c r="L270">
        <v>1339</v>
      </c>
      <c r="N270">
        <v>1007</v>
      </c>
      <c r="O270" t="s">
        <v>506</v>
      </c>
      <c r="P270" t="s">
        <v>506</v>
      </c>
      <c r="Q270">
        <v>1</v>
      </c>
      <c r="X270">
        <v>0.54</v>
      </c>
      <c r="Y270">
        <v>53.42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 t="s">
        <v>35</v>
      </c>
      <c r="AG270">
        <v>0.54</v>
      </c>
      <c r="AH270">
        <v>2</v>
      </c>
      <c r="AI270">
        <v>85739739</v>
      </c>
      <c r="AJ270">
        <v>248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ROW(Source!A98)</f>
        <v>98</v>
      </c>
      <c r="B271">
        <v>85739740</v>
      </c>
      <c r="C271">
        <v>85739726</v>
      </c>
      <c r="D271">
        <v>85199158</v>
      </c>
      <c r="E271">
        <v>1</v>
      </c>
      <c r="F271">
        <v>1</v>
      </c>
      <c r="G271">
        <v>1081</v>
      </c>
      <c r="H271">
        <v>3</v>
      </c>
      <c r="I271" t="s">
        <v>503</v>
      </c>
      <c r="J271" t="s">
        <v>504</v>
      </c>
      <c r="K271" t="s">
        <v>505</v>
      </c>
      <c r="L271">
        <v>1339</v>
      </c>
      <c r="N271">
        <v>1007</v>
      </c>
      <c r="O271" t="s">
        <v>506</v>
      </c>
      <c r="P271" t="s">
        <v>506</v>
      </c>
      <c r="Q271">
        <v>1</v>
      </c>
      <c r="X271">
        <v>0.81</v>
      </c>
      <c r="Y271">
        <v>5.82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35</v>
      </c>
      <c r="AG271">
        <v>0.81</v>
      </c>
      <c r="AH271">
        <v>2</v>
      </c>
      <c r="AI271">
        <v>85739740</v>
      </c>
      <c r="AJ271">
        <v>249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ROW(Source!A98)</f>
        <v>98</v>
      </c>
      <c r="B272">
        <v>85739741</v>
      </c>
      <c r="C272">
        <v>85739726</v>
      </c>
      <c r="D272">
        <v>85221547</v>
      </c>
      <c r="E272">
        <v>1</v>
      </c>
      <c r="F272">
        <v>1</v>
      </c>
      <c r="G272">
        <v>1081</v>
      </c>
      <c r="H272">
        <v>3</v>
      </c>
      <c r="I272" t="s">
        <v>564</v>
      </c>
      <c r="J272" t="s">
        <v>565</v>
      </c>
      <c r="K272" t="s">
        <v>566</v>
      </c>
      <c r="L272">
        <v>1354</v>
      </c>
      <c r="N272">
        <v>1010</v>
      </c>
      <c r="O272" t="s">
        <v>99</v>
      </c>
      <c r="P272" t="s">
        <v>99</v>
      </c>
      <c r="Q272">
        <v>1</v>
      </c>
      <c r="X272">
        <v>72</v>
      </c>
      <c r="Y272">
        <v>14.28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 t="s">
        <v>35</v>
      </c>
      <c r="AG272">
        <v>72</v>
      </c>
      <c r="AH272">
        <v>2</v>
      </c>
      <c r="AI272">
        <v>85739741</v>
      </c>
      <c r="AJ272">
        <v>251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ROW(Source!A98)</f>
        <v>98</v>
      </c>
      <c r="B273">
        <v>85739742</v>
      </c>
      <c r="C273">
        <v>85739726</v>
      </c>
      <c r="D273">
        <v>85156878</v>
      </c>
      <c r="E273">
        <v>1081</v>
      </c>
      <c r="F273">
        <v>1</v>
      </c>
      <c r="G273">
        <v>1081</v>
      </c>
      <c r="H273">
        <v>3</v>
      </c>
      <c r="I273" t="s">
        <v>640</v>
      </c>
      <c r="J273" t="s">
        <v>3</v>
      </c>
      <c r="K273" t="s">
        <v>641</v>
      </c>
      <c r="L273">
        <v>1301</v>
      </c>
      <c r="N273">
        <v>1003</v>
      </c>
      <c r="O273" t="s">
        <v>179</v>
      </c>
      <c r="P273" t="s">
        <v>179</v>
      </c>
      <c r="Q273">
        <v>1</v>
      </c>
      <c r="X273">
        <v>100.5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 t="s">
        <v>35</v>
      </c>
      <c r="AG273">
        <v>100.5</v>
      </c>
      <c r="AH273">
        <v>3</v>
      </c>
      <c r="AI273">
        <v>-1</v>
      </c>
      <c r="AJ273" t="s">
        <v>3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ROW(Source!A99)</f>
        <v>99</v>
      </c>
      <c r="B274">
        <v>85739728</v>
      </c>
      <c r="C274">
        <v>85739726</v>
      </c>
      <c r="D274">
        <v>85164021</v>
      </c>
      <c r="E274">
        <v>1081</v>
      </c>
      <c r="F274">
        <v>1</v>
      </c>
      <c r="G274">
        <v>1081</v>
      </c>
      <c r="H274">
        <v>1</v>
      </c>
      <c r="I274" t="s">
        <v>472</v>
      </c>
      <c r="J274" t="s">
        <v>3</v>
      </c>
      <c r="K274" t="s">
        <v>473</v>
      </c>
      <c r="L274">
        <v>1191</v>
      </c>
      <c r="N274">
        <v>1013</v>
      </c>
      <c r="O274" t="s">
        <v>474</v>
      </c>
      <c r="P274" t="s">
        <v>474</v>
      </c>
      <c r="Q274">
        <v>1</v>
      </c>
      <c r="X274">
        <v>140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1</v>
      </c>
      <c r="AF274" t="s">
        <v>36</v>
      </c>
      <c r="AG274">
        <v>168</v>
      </c>
      <c r="AH274">
        <v>2</v>
      </c>
      <c r="AI274">
        <v>85739728</v>
      </c>
      <c r="AJ274">
        <v>252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ROW(Source!A99)</f>
        <v>99</v>
      </c>
      <c r="B275">
        <v>85739729</v>
      </c>
      <c r="C275">
        <v>85739726</v>
      </c>
      <c r="D275">
        <v>85229527</v>
      </c>
      <c r="E275">
        <v>1</v>
      </c>
      <c r="F275">
        <v>1</v>
      </c>
      <c r="G275">
        <v>1081</v>
      </c>
      <c r="H275">
        <v>2</v>
      </c>
      <c r="I275" t="s">
        <v>546</v>
      </c>
      <c r="J275" t="s">
        <v>547</v>
      </c>
      <c r="K275" t="s">
        <v>548</v>
      </c>
      <c r="L275">
        <v>1368</v>
      </c>
      <c r="N275">
        <v>1011</v>
      </c>
      <c r="O275" t="s">
        <v>478</v>
      </c>
      <c r="P275" t="s">
        <v>478</v>
      </c>
      <c r="Q275">
        <v>1</v>
      </c>
      <c r="X275">
        <v>7.5</v>
      </c>
      <c r="Y275">
        <v>0</v>
      </c>
      <c r="Z275">
        <v>48.07</v>
      </c>
      <c r="AA275">
        <v>12.62</v>
      </c>
      <c r="AB275">
        <v>0</v>
      </c>
      <c r="AC275">
        <v>0</v>
      </c>
      <c r="AD275">
        <v>1</v>
      </c>
      <c r="AE275">
        <v>0</v>
      </c>
      <c r="AF275" t="s">
        <v>36</v>
      </c>
      <c r="AG275">
        <v>9</v>
      </c>
      <c r="AH275">
        <v>2</v>
      </c>
      <c r="AI275">
        <v>85739729</v>
      </c>
      <c r="AJ275">
        <v>253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ROW(Source!A99)</f>
        <v>99</v>
      </c>
      <c r="B276">
        <v>85739730</v>
      </c>
      <c r="C276">
        <v>85739726</v>
      </c>
      <c r="D276">
        <v>85229564</v>
      </c>
      <c r="E276">
        <v>1</v>
      </c>
      <c r="F276">
        <v>1</v>
      </c>
      <c r="G276">
        <v>1081</v>
      </c>
      <c r="H276">
        <v>2</v>
      </c>
      <c r="I276" t="s">
        <v>549</v>
      </c>
      <c r="J276" t="s">
        <v>550</v>
      </c>
      <c r="K276" t="s">
        <v>551</v>
      </c>
      <c r="L276">
        <v>1368</v>
      </c>
      <c r="N276">
        <v>1011</v>
      </c>
      <c r="O276" t="s">
        <v>478</v>
      </c>
      <c r="P276" t="s">
        <v>478</v>
      </c>
      <c r="Q276">
        <v>1</v>
      </c>
      <c r="X276">
        <v>7</v>
      </c>
      <c r="Y276">
        <v>0</v>
      </c>
      <c r="Z276">
        <v>5.79</v>
      </c>
      <c r="AA276">
        <v>0</v>
      </c>
      <c r="AB276">
        <v>0</v>
      </c>
      <c r="AC276">
        <v>0</v>
      </c>
      <c r="AD276">
        <v>1</v>
      </c>
      <c r="AE276">
        <v>0</v>
      </c>
      <c r="AF276" t="s">
        <v>36</v>
      </c>
      <c r="AG276">
        <v>8.4</v>
      </c>
      <c r="AH276">
        <v>2</v>
      </c>
      <c r="AI276">
        <v>85739730</v>
      </c>
      <c r="AJ276">
        <v>254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ROW(Source!A99)</f>
        <v>99</v>
      </c>
      <c r="B277">
        <v>85739731</v>
      </c>
      <c r="C277">
        <v>85739726</v>
      </c>
      <c r="D277">
        <v>85229633</v>
      </c>
      <c r="E277">
        <v>1</v>
      </c>
      <c r="F277">
        <v>1</v>
      </c>
      <c r="G277">
        <v>1081</v>
      </c>
      <c r="H277">
        <v>2</v>
      </c>
      <c r="I277" t="s">
        <v>475</v>
      </c>
      <c r="J277" t="s">
        <v>476</v>
      </c>
      <c r="K277" t="s">
        <v>477</v>
      </c>
      <c r="L277">
        <v>1368</v>
      </c>
      <c r="N277">
        <v>1011</v>
      </c>
      <c r="O277" t="s">
        <v>478</v>
      </c>
      <c r="P277" t="s">
        <v>478</v>
      </c>
      <c r="Q277">
        <v>1</v>
      </c>
      <c r="X277">
        <v>9.3000000000000007</v>
      </c>
      <c r="Y277">
        <v>0</v>
      </c>
      <c r="Z277">
        <v>7.11</v>
      </c>
      <c r="AA277">
        <v>0</v>
      </c>
      <c r="AB277">
        <v>0</v>
      </c>
      <c r="AC277">
        <v>0</v>
      </c>
      <c r="AD277">
        <v>1</v>
      </c>
      <c r="AE277">
        <v>0</v>
      </c>
      <c r="AF277" t="s">
        <v>36</v>
      </c>
      <c r="AG277">
        <v>11.16</v>
      </c>
      <c r="AH277">
        <v>2</v>
      </c>
      <c r="AI277">
        <v>85739731</v>
      </c>
      <c r="AJ277">
        <v>255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ROW(Source!A99)</f>
        <v>99</v>
      </c>
      <c r="B278">
        <v>85739732</v>
      </c>
      <c r="C278">
        <v>85739726</v>
      </c>
      <c r="D278">
        <v>85229932</v>
      </c>
      <c r="E278">
        <v>1</v>
      </c>
      <c r="F278">
        <v>1</v>
      </c>
      <c r="G278">
        <v>1081</v>
      </c>
      <c r="H278">
        <v>2</v>
      </c>
      <c r="I278" t="s">
        <v>482</v>
      </c>
      <c r="J278" t="s">
        <v>483</v>
      </c>
      <c r="K278" t="s">
        <v>484</v>
      </c>
      <c r="L278">
        <v>1368</v>
      </c>
      <c r="N278">
        <v>1011</v>
      </c>
      <c r="O278" t="s">
        <v>478</v>
      </c>
      <c r="P278" t="s">
        <v>478</v>
      </c>
      <c r="Q278">
        <v>1</v>
      </c>
      <c r="X278">
        <v>0.72</v>
      </c>
      <c r="Y278">
        <v>0</v>
      </c>
      <c r="Z278">
        <v>83.1</v>
      </c>
      <c r="AA278">
        <v>12.62</v>
      </c>
      <c r="AB278">
        <v>0</v>
      </c>
      <c r="AC278">
        <v>0</v>
      </c>
      <c r="AD278">
        <v>1</v>
      </c>
      <c r="AE278">
        <v>0</v>
      </c>
      <c r="AF278" t="s">
        <v>36</v>
      </c>
      <c r="AG278">
        <v>0.86399999999999999</v>
      </c>
      <c r="AH278">
        <v>2</v>
      </c>
      <c r="AI278">
        <v>85739732</v>
      </c>
      <c r="AJ278">
        <v>256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ROW(Source!A99)</f>
        <v>99</v>
      </c>
      <c r="B279">
        <v>85739733</v>
      </c>
      <c r="C279">
        <v>85739726</v>
      </c>
      <c r="D279">
        <v>85229250</v>
      </c>
      <c r="E279">
        <v>1</v>
      </c>
      <c r="F279">
        <v>1</v>
      </c>
      <c r="G279">
        <v>1081</v>
      </c>
      <c r="H279">
        <v>2</v>
      </c>
      <c r="I279" t="s">
        <v>552</v>
      </c>
      <c r="J279" t="s">
        <v>553</v>
      </c>
      <c r="K279" t="s">
        <v>554</v>
      </c>
      <c r="L279">
        <v>1368</v>
      </c>
      <c r="N279">
        <v>1011</v>
      </c>
      <c r="O279" t="s">
        <v>478</v>
      </c>
      <c r="P279" t="s">
        <v>478</v>
      </c>
      <c r="Q279">
        <v>1</v>
      </c>
      <c r="X279">
        <v>0.53</v>
      </c>
      <c r="Y279">
        <v>0</v>
      </c>
      <c r="Z279">
        <v>3.18</v>
      </c>
      <c r="AA279">
        <v>0</v>
      </c>
      <c r="AB279">
        <v>0</v>
      </c>
      <c r="AC279">
        <v>0</v>
      </c>
      <c r="AD279">
        <v>1</v>
      </c>
      <c r="AE279">
        <v>0</v>
      </c>
      <c r="AF279" t="s">
        <v>36</v>
      </c>
      <c r="AG279">
        <v>0.63600000000000001</v>
      </c>
      <c r="AH279">
        <v>2</v>
      </c>
      <c r="AI279">
        <v>85739733</v>
      </c>
      <c r="AJ279">
        <v>257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ROW(Source!A99)</f>
        <v>99</v>
      </c>
      <c r="B280">
        <v>85739734</v>
      </c>
      <c r="C280">
        <v>85739726</v>
      </c>
      <c r="D280">
        <v>85198960</v>
      </c>
      <c r="E280">
        <v>1</v>
      </c>
      <c r="F280">
        <v>1</v>
      </c>
      <c r="G280">
        <v>1081</v>
      </c>
      <c r="H280">
        <v>3</v>
      </c>
      <c r="I280" t="s">
        <v>513</v>
      </c>
      <c r="J280" t="s">
        <v>514</v>
      </c>
      <c r="K280" t="s">
        <v>515</v>
      </c>
      <c r="L280">
        <v>1339</v>
      </c>
      <c r="N280">
        <v>1007</v>
      </c>
      <c r="O280" t="s">
        <v>506</v>
      </c>
      <c r="P280" t="s">
        <v>506</v>
      </c>
      <c r="Q280">
        <v>1</v>
      </c>
      <c r="X280">
        <v>3</v>
      </c>
      <c r="Y280">
        <v>7.07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 t="s">
        <v>35</v>
      </c>
      <c r="AG280">
        <v>3</v>
      </c>
      <c r="AH280">
        <v>2</v>
      </c>
      <c r="AI280">
        <v>85739734</v>
      </c>
      <c r="AJ280">
        <v>258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ROW(Source!A99)</f>
        <v>99</v>
      </c>
      <c r="B281">
        <v>85739735</v>
      </c>
      <c r="C281">
        <v>85739726</v>
      </c>
      <c r="D281">
        <v>85200023</v>
      </c>
      <c r="E281">
        <v>1</v>
      </c>
      <c r="F281">
        <v>1</v>
      </c>
      <c r="G281">
        <v>1081</v>
      </c>
      <c r="H281">
        <v>3</v>
      </c>
      <c r="I281" t="s">
        <v>555</v>
      </c>
      <c r="J281" t="s">
        <v>556</v>
      </c>
      <c r="K281" t="s">
        <v>557</v>
      </c>
      <c r="L281">
        <v>1348</v>
      </c>
      <c r="N281">
        <v>1009</v>
      </c>
      <c r="O281" t="s">
        <v>266</v>
      </c>
      <c r="P281" t="s">
        <v>266</v>
      </c>
      <c r="Q281">
        <v>1000</v>
      </c>
      <c r="X281">
        <v>1.6800000000000001E-3</v>
      </c>
      <c r="Y281">
        <v>7185.82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35</v>
      </c>
      <c r="AG281">
        <v>1.6800000000000001E-3</v>
      </c>
      <c r="AH281">
        <v>2</v>
      </c>
      <c r="AI281">
        <v>85739735</v>
      </c>
      <c r="AJ281">
        <v>259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ROW(Source!A99)</f>
        <v>99</v>
      </c>
      <c r="B282">
        <v>85739736</v>
      </c>
      <c r="C282">
        <v>85739726</v>
      </c>
      <c r="D282">
        <v>85200098</v>
      </c>
      <c r="E282">
        <v>1</v>
      </c>
      <c r="F282">
        <v>1</v>
      </c>
      <c r="G282">
        <v>1081</v>
      </c>
      <c r="H282">
        <v>3</v>
      </c>
      <c r="I282" t="s">
        <v>540</v>
      </c>
      <c r="J282" t="s">
        <v>541</v>
      </c>
      <c r="K282" t="s">
        <v>542</v>
      </c>
      <c r="L282">
        <v>1346</v>
      </c>
      <c r="N282">
        <v>1009</v>
      </c>
      <c r="O282" t="s">
        <v>502</v>
      </c>
      <c r="P282" t="s">
        <v>502</v>
      </c>
      <c r="Q282">
        <v>1</v>
      </c>
      <c r="X282">
        <v>0.81</v>
      </c>
      <c r="Y282">
        <v>21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0</v>
      </c>
      <c r="AF282" t="s">
        <v>35</v>
      </c>
      <c r="AG282">
        <v>0.81</v>
      </c>
      <c r="AH282">
        <v>2</v>
      </c>
      <c r="AI282">
        <v>85739736</v>
      </c>
      <c r="AJ282">
        <v>260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ROW(Source!A99)</f>
        <v>99</v>
      </c>
      <c r="B283">
        <v>85739737</v>
      </c>
      <c r="C283">
        <v>85739726</v>
      </c>
      <c r="D283">
        <v>85200296</v>
      </c>
      <c r="E283">
        <v>1</v>
      </c>
      <c r="F283">
        <v>1</v>
      </c>
      <c r="G283">
        <v>1081</v>
      </c>
      <c r="H283">
        <v>3</v>
      </c>
      <c r="I283" t="s">
        <v>558</v>
      </c>
      <c r="J283" t="s">
        <v>559</v>
      </c>
      <c r="K283" t="s">
        <v>560</v>
      </c>
      <c r="L283">
        <v>1355</v>
      </c>
      <c r="N283">
        <v>1010</v>
      </c>
      <c r="O283" t="s">
        <v>240</v>
      </c>
      <c r="P283" t="s">
        <v>240</v>
      </c>
      <c r="Q283">
        <v>100</v>
      </c>
      <c r="X283">
        <v>0.72</v>
      </c>
      <c r="Y283">
        <v>496.79</v>
      </c>
      <c r="Z283">
        <v>0</v>
      </c>
      <c r="AA283">
        <v>0</v>
      </c>
      <c r="AB283">
        <v>0</v>
      </c>
      <c r="AC283">
        <v>0</v>
      </c>
      <c r="AD283">
        <v>1</v>
      </c>
      <c r="AE283">
        <v>0</v>
      </c>
      <c r="AF283" t="s">
        <v>35</v>
      </c>
      <c r="AG283">
        <v>0.72</v>
      </c>
      <c r="AH283">
        <v>2</v>
      </c>
      <c r="AI283">
        <v>85739737</v>
      </c>
      <c r="AJ283">
        <v>261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ROW(Source!A99)</f>
        <v>99</v>
      </c>
      <c r="B284">
        <v>85739738</v>
      </c>
      <c r="C284">
        <v>85739726</v>
      </c>
      <c r="D284">
        <v>85200297</v>
      </c>
      <c r="E284">
        <v>1</v>
      </c>
      <c r="F284">
        <v>1</v>
      </c>
      <c r="G284">
        <v>1081</v>
      </c>
      <c r="H284">
        <v>3</v>
      </c>
      <c r="I284" t="s">
        <v>561</v>
      </c>
      <c r="J284" t="s">
        <v>562</v>
      </c>
      <c r="K284" t="s">
        <v>563</v>
      </c>
      <c r="L284">
        <v>1355</v>
      </c>
      <c r="N284">
        <v>1010</v>
      </c>
      <c r="O284" t="s">
        <v>240</v>
      </c>
      <c r="P284" t="s">
        <v>240</v>
      </c>
      <c r="Q284">
        <v>100</v>
      </c>
      <c r="X284">
        <v>0.72</v>
      </c>
      <c r="Y284">
        <v>243.75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35</v>
      </c>
      <c r="AG284">
        <v>0.72</v>
      </c>
      <c r="AH284">
        <v>2</v>
      </c>
      <c r="AI284">
        <v>85739738</v>
      </c>
      <c r="AJ284">
        <v>262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ROW(Source!A99)</f>
        <v>99</v>
      </c>
      <c r="B285">
        <v>85739739</v>
      </c>
      <c r="C285">
        <v>85739726</v>
      </c>
      <c r="D285">
        <v>85198892</v>
      </c>
      <c r="E285">
        <v>1</v>
      </c>
      <c r="F285">
        <v>1</v>
      </c>
      <c r="G285">
        <v>1081</v>
      </c>
      <c r="H285">
        <v>3</v>
      </c>
      <c r="I285" t="s">
        <v>543</v>
      </c>
      <c r="J285" t="s">
        <v>544</v>
      </c>
      <c r="K285" t="s">
        <v>545</v>
      </c>
      <c r="L285">
        <v>1339</v>
      </c>
      <c r="N285">
        <v>1007</v>
      </c>
      <c r="O285" t="s">
        <v>506</v>
      </c>
      <c r="P285" t="s">
        <v>506</v>
      </c>
      <c r="Q285">
        <v>1</v>
      </c>
      <c r="X285">
        <v>0.54</v>
      </c>
      <c r="Y285">
        <v>53.42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35</v>
      </c>
      <c r="AG285">
        <v>0.54</v>
      </c>
      <c r="AH285">
        <v>2</v>
      </c>
      <c r="AI285">
        <v>85739739</v>
      </c>
      <c r="AJ285">
        <v>263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ROW(Source!A99)</f>
        <v>99</v>
      </c>
      <c r="B286">
        <v>85739740</v>
      </c>
      <c r="C286">
        <v>85739726</v>
      </c>
      <c r="D286">
        <v>85199158</v>
      </c>
      <c r="E286">
        <v>1</v>
      </c>
      <c r="F286">
        <v>1</v>
      </c>
      <c r="G286">
        <v>1081</v>
      </c>
      <c r="H286">
        <v>3</v>
      </c>
      <c r="I286" t="s">
        <v>503</v>
      </c>
      <c r="J286" t="s">
        <v>504</v>
      </c>
      <c r="K286" t="s">
        <v>505</v>
      </c>
      <c r="L286">
        <v>1339</v>
      </c>
      <c r="N286">
        <v>1007</v>
      </c>
      <c r="O286" t="s">
        <v>506</v>
      </c>
      <c r="P286" t="s">
        <v>506</v>
      </c>
      <c r="Q286">
        <v>1</v>
      </c>
      <c r="X286">
        <v>0.81</v>
      </c>
      <c r="Y286">
        <v>5.82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35</v>
      </c>
      <c r="AG286">
        <v>0.81</v>
      </c>
      <c r="AH286">
        <v>2</v>
      </c>
      <c r="AI286">
        <v>85739740</v>
      </c>
      <c r="AJ286">
        <v>264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ROW(Source!A99)</f>
        <v>99</v>
      </c>
      <c r="B287">
        <v>85739741</v>
      </c>
      <c r="C287">
        <v>85739726</v>
      </c>
      <c r="D287">
        <v>85221547</v>
      </c>
      <c r="E287">
        <v>1</v>
      </c>
      <c r="F287">
        <v>1</v>
      </c>
      <c r="G287">
        <v>1081</v>
      </c>
      <c r="H287">
        <v>3</v>
      </c>
      <c r="I287" t="s">
        <v>564</v>
      </c>
      <c r="J287" t="s">
        <v>565</v>
      </c>
      <c r="K287" t="s">
        <v>566</v>
      </c>
      <c r="L287">
        <v>1354</v>
      </c>
      <c r="N287">
        <v>1010</v>
      </c>
      <c r="O287" t="s">
        <v>99</v>
      </c>
      <c r="P287" t="s">
        <v>99</v>
      </c>
      <c r="Q287">
        <v>1</v>
      </c>
      <c r="X287">
        <v>72</v>
      </c>
      <c r="Y287">
        <v>14.28</v>
      </c>
      <c r="Z287">
        <v>0</v>
      </c>
      <c r="AA287">
        <v>0</v>
      </c>
      <c r="AB287">
        <v>0</v>
      </c>
      <c r="AC287">
        <v>0</v>
      </c>
      <c r="AD287">
        <v>1</v>
      </c>
      <c r="AE287">
        <v>0</v>
      </c>
      <c r="AF287" t="s">
        <v>35</v>
      </c>
      <c r="AG287">
        <v>72</v>
      </c>
      <c r="AH287">
        <v>2</v>
      </c>
      <c r="AI287">
        <v>85739741</v>
      </c>
      <c r="AJ287">
        <v>266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ROW(Source!A99)</f>
        <v>99</v>
      </c>
      <c r="B288">
        <v>85739742</v>
      </c>
      <c r="C288">
        <v>85739726</v>
      </c>
      <c r="D288">
        <v>85156878</v>
      </c>
      <c r="E288">
        <v>1081</v>
      </c>
      <c r="F288">
        <v>1</v>
      </c>
      <c r="G288">
        <v>1081</v>
      </c>
      <c r="H288">
        <v>3</v>
      </c>
      <c r="I288" t="s">
        <v>640</v>
      </c>
      <c r="J288" t="s">
        <v>3</v>
      </c>
      <c r="K288" t="s">
        <v>641</v>
      </c>
      <c r="L288">
        <v>1301</v>
      </c>
      <c r="N288">
        <v>1003</v>
      </c>
      <c r="O288" t="s">
        <v>179</v>
      </c>
      <c r="P288" t="s">
        <v>179</v>
      </c>
      <c r="Q288">
        <v>1</v>
      </c>
      <c r="X288">
        <v>100.5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35</v>
      </c>
      <c r="AG288">
        <v>100.5</v>
      </c>
      <c r="AH288">
        <v>3</v>
      </c>
      <c r="AI288">
        <v>-1</v>
      </c>
      <c r="AJ288" t="s">
        <v>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ROW(Source!A102)</f>
        <v>102</v>
      </c>
      <c r="B289">
        <v>85739940</v>
      </c>
      <c r="C289">
        <v>85739937</v>
      </c>
      <c r="D289">
        <v>85164021</v>
      </c>
      <c r="E289">
        <v>1081</v>
      </c>
      <c r="F289">
        <v>1</v>
      </c>
      <c r="G289">
        <v>1081</v>
      </c>
      <c r="H289">
        <v>1</v>
      </c>
      <c r="I289" t="s">
        <v>472</v>
      </c>
      <c r="J289" t="s">
        <v>3</v>
      </c>
      <c r="K289" t="s">
        <v>473</v>
      </c>
      <c r="L289">
        <v>1191</v>
      </c>
      <c r="N289">
        <v>1013</v>
      </c>
      <c r="O289" t="s">
        <v>474</v>
      </c>
      <c r="P289" t="s">
        <v>474</v>
      </c>
      <c r="Q289">
        <v>1</v>
      </c>
      <c r="X289">
        <v>1730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1</v>
      </c>
      <c r="AF289" t="s">
        <v>3</v>
      </c>
      <c r="AG289">
        <v>1730</v>
      </c>
      <c r="AH289">
        <v>2</v>
      </c>
      <c r="AI289">
        <v>85739940</v>
      </c>
      <c r="AJ289">
        <v>267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ROW(Source!A102)</f>
        <v>102</v>
      </c>
      <c r="B290">
        <v>85739941</v>
      </c>
      <c r="C290">
        <v>85739937</v>
      </c>
      <c r="D290">
        <v>85229527</v>
      </c>
      <c r="E290">
        <v>1</v>
      </c>
      <c r="F290">
        <v>1</v>
      </c>
      <c r="G290">
        <v>1081</v>
      </c>
      <c r="H290">
        <v>2</v>
      </c>
      <c r="I290" t="s">
        <v>546</v>
      </c>
      <c r="J290" t="s">
        <v>547</v>
      </c>
      <c r="K290" t="s">
        <v>548</v>
      </c>
      <c r="L290">
        <v>1368</v>
      </c>
      <c r="N290">
        <v>1011</v>
      </c>
      <c r="O290" t="s">
        <v>478</v>
      </c>
      <c r="P290" t="s">
        <v>478</v>
      </c>
      <c r="Q290">
        <v>1</v>
      </c>
      <c r="X290">
        <v>13.5</v>
      </c>
      <c r="Y290">
        <v>0</v>
      </c>
      <c r="Z290">
        <v>48.07</v>
      </c>
      <c r="AA290">
        <v>12.62</v>
      </c>
      <c r="AB290">
        <v>0</v>
      </c>
      <c r="AC290">
        <v>0</v>
      </c>
      <c r="AD290">
        <v>1</v>
      </c>
      <c r="AE290">
        <v>0</v>
      </c>
      <c r="AF290" t="s">
        <v>3</v>
      </c>
      <c r="AG290">
        <v>13.5</v>
      </c>
      <c r="AH290">
        <v>2</v>
      </c>
      <c r="AI290">
        <v>85739941</v>
      </c>
      <c r="AJ290">
        <v>268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ROW(Source!A102)</f>
        <v>102</v>
      </c>
      <c r="B291">
        <v>85739942</v>
      </c>
      <c r="C291">
        <v>85739937</v>
      </c>
      <c r="D291">
        <v>85229564</v>
      </c>
      <c r="E291">
        <v>1</v>
      </c>
      <c r="F291">
        <v>1</v>
      </c>
      <c r="G291">
        <v>1081</v>
      </c>
      <c r="H291">
        <v>2</v>
      </c>
      <c r="I291" t="s">
        <v>549</v>
      </c>
      <c r="J291" t="s">
        <v>550</v>
      </c>
      <c r="K291" t="s">
        <v>551</v>
      </c>
      <c r="L291">
        <v>1368</v>
      </c>
      <c r="N291">
        <v>1011</v>
      </c>
      <c r="O291" t="s">
        <v>478</v>
      </c>
      <c r="P291" t="s">
        <v>478</v>
      </c>
      <c r="Q291">
        <v>1</v>
      </c>
      <c r="X291">
        <v>110</v>
      </c>
      <c r="Y291">
        <v>0</v>
      </c>
      <c r="Z291">
        <v>5.79</v>
      </c>
      <c r="AA291">
        <v>0</v>
      </c>
      <c r="AB291">
        <v>0</v>
      </c>
      <c r="AC291">
        <v>0</v>
      </c>
      <c r="AD291">
        <v>1</v>
      </c>
      <c r="AE291">
        <v>0</v>
      </c>
      <c r="AF291" t="s">
        <v>3</v>
      </c>
      <c r="AG291">
        <v>110</v>
      </c>
      <c r="AH291">
        <v>2</v>
      </c>
      <c r="AI291">
        <v>85739942</v>
      </c>
      <c r="AJ291">
        <v>269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ROW(Source!A102)</f>
        <v>102</v>
      </c>
      <c r="B292">
        <v>85739943</v>
      </c>
      <c r="C292">
        <v>85739937</v>
      </c>
      <c r="D292">
        <v>85229633</v>
      </c>
      <c r="E292">
        <v>1</v>
      </c>
      <c r="F292">
        <v>1</v>
      </c>
      <c r="G292">
        <v>1081</v>
      </c>
      <c r="H292">
        <v>2</v>
      </c>
      <c r="I292" t="s">
        <v>475</v>
      </c>
      <c r="J292" t="s">
        <v>476</v>
      </c>
      <c r="K292" t="s">
        <v>477</v>
      </c>
      <c r="L292">
        <v>1368</v>
      </c>
      <c r="N292">
        <v>1011</v>
      </c>
      <c r="O292" t="s">
        <v>478</v>
      </c>
      <c r="P292" t="s">
        <v>478</v>
      </c>
      <c r="Q292">
        <v>1</v>
      </c>
      <c r="X292">
        <v>114</v>
      </c>
      <c r="Y292">
        <v>0</v>
      </c>
      <c r="Z292">
        <v>7.11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3</v>
      </c>
      <c r="AG292">
        <v>114</v>
      </c>
      <c r="AH292">
        <v>2</v>
      </c>
      <c r="AI292">
        <v>85739943</v>
      </c>
      <c r="AJ292">
        <v>270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ROW(Source!A102)</f>
        <v>102</v>
      </c>
      <c r="B293">
        <v>85739944</v>
      </c>
      <c r="C293">
        <v>85739937</v>
      </c>
      <c r="D293">
        <v>85229932</v>
      </c>
      <c r="E293">
        <v>1</v>
      </c>
      <c r="F293">
        <v>1</v>
      </c>
      <c r="G293">
        <v>1081</v>
      </c>
      <c r="H293">
        <v>2</v>
      </c>
      <c r="I293" t="s">
        <v>482</v>
      </c>
      <c r="J293" t="s">
        <v>483</v>
      </c>
      <c r="K293" t="s">
        <v>484</v>
      </c>
      <c r="L293">
        <v>1368</v>
      </c>
      <c r="N293">
        <v>1011</v>
      </c>
      <c r="O293" t="s">
        <v>478</v>
      </c>
      <c r="P293" t="s">
        <v>478</v>
      </c>
      <c r="Q293">
        <v>1</v>
      </c>
      <c r="X293">
        <v>5.36</v>
      </c>
      <c r="Y293">
        <v>0</v>
      </c>
      <c r="Z293">
        <v>83.1</v>
      </c>
      <c r="AA293">
        <v>12.62</v>
      </c>
      <c r="AB293">
        <v>0</v>
      </c>
      <c r="AC293">
        <v>0</v>
      </c>
      <c r="AD293">
        <v>1</v>
      </c>
      <c r="AE293">
        <v>0</v>
      </c>
      <c r="AF293" t="s">
        <v>3</v>
      </c>
      <c r="AG293">
        <v>5.36</v>
      </c>
      <c r="AH293">
        <v>2</v>
      </c>
      <c r="AI293">
        <v>85739944</v>
      </c>
      <c r="AJ293">
        <v>271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ROW(Source!A102)</f>
        <v>102</v>
      </c>
      <c r="B294">
        <v>85739945</v>
      </c>
      <c r="C294">
        <v>85739937</v>
      </c>
      <c r="D294">
        <v>85229250</v>
      </c>
      <c r="E294">
        <v>1</v>
      </c>
      <c r="F294">
        <v>1</v>
      </c>
      <c r="G294">
        <v>1081</v>
      </c>
      <c r="H294">
        <v>2</v>
      </c>
      <c r="I294" t="s">
        <v>552</v>
      </c>
      <c r="J294" t="s">
        <v>553</v>
      </c>
      <c r="K294" t="s">
        <v>554</v>
      </c>
      <c r="L294">
        <v>1368</v>
      </c>
      <c r="N294">
        <v>1011</v>
      </c>
      <c r="O294" t="s">
        <v>478</v>
      </c>
      <c r="P294" t="s">
        <v>478</v>
      </c>
      <c r="Q294">
        <v>1</v>
      </c>
      <c r="X294">
        <v>4</v>
      </c>
      <c r="Y294">
        <v>0</v>
      </c>
      <c r="Z294">
        <v>3.18</v>
      </c>
      <c r="AA294">
        <v>0</v>
      </c>
      <c r="AB294">
        <v>0</v>
      </c>
      <c r="AC294">
        <v>0</v>
      </c>
      <c r="AD294">
        <v>1</v>
      </c>
      <c r="AE294">
        <v>0</v>
      </c>
      <c r="AF294" t="s">
        <v>3</v>
      </c>
      <c r="AG294">
        <v>4</v>
      </c>
      <c r="AH294">
        <v>2</v>
      </c>
      <c r="AI294">
        <v>85739945</v>
      </c>
      <c r="AJ294">
        <v>272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ROW(Source!A102)</f>
        <v>102</v>
      </c>
      <c r="B295">
        <v>85739946</v>
      </c>
      <c r="C295">
        <v>85739937</v>
      </c>
      <c r="D295">
        <v>85198960</v>
      </c>
      <c r="E295">
        <v>1</v>
      </c>
      <c r="F295">
        <v>1</v>
      </c>
      <c r="G295">
        <v>1081</v>
      </c>
      <c r="H295">
        <v>3</v>
      </c>
      <c r="I295" t="s">
        <v>513</v>
      </c>
      <c r="J295" t="s">
        <v>514</v>
      </c>
      <c r="K295" t="s">
        <v>515</v>
      </c>
      <c r="L295">
        <v>1339</v>
      </c>
      <c r="N295">
        <v>1007</v>
      </c>
      <c r="O295" t="s">
        <v>506</v>
      </c>
      <c r="P295" t="s">
        <v>506</v>
      </c>
      <c r="Q295">
        <v>1</v>
      </c>
      <c r="X295">
        <v>30</v>
      </c>
      <c r="Y295">
        <v>7.07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3</v>
      </c>
      <c r="AG295">
        <v>30</v>
      </c>
      <c r="AH295">
        <v>2</v>
      </c>
      <c r="AI295">
        <v>85739946</v>
      </c>
      <c r="AJ295">
        <v>273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ROW(Source!A102)</f>
        <v>102</v>
      </c>
      <c r="B296">
        <v>85739947</v>
      </c>
      <c r="C296">
        <v>85739937</v>
      </c>
      <c r="D296">
        <v>85200023</v>
      </c>
      <c r="E296">
        <v>1</v>
      </c>
      <c r="F296">
        <v>1</v>
      </c>
      <c r="G296">
        <v>1081</v>
      </c>
      <c r="H296">
        <v>3</v>
      </c>
      <c r="I296" t="s">
        <v>555</v>
      </c>
      <c r="J296" t="s">
        <v>556</v>
      </c>
      <c r="K296" t="s">
        <v>557</v>
      </c>
      <c r="L296">
        <v>1348</v>
      </c>
      <c r="N296">
        <v>1009</v>
      </c>
      <c r="O296" t="s">
        <v>266</v>
      </c>
      <c r="P296" t="s">
        <v>266</v>
      </c>
      <c r="Q296">
        <v>1000</v>
      </c>
      <c r="X296">
        <v>2.3599999999999999E-2</v>
      </c>
      <c r="Y296">
        <v>7185.82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3</v>
      </c>
      <c r="AG296">
        <v>2.3599999999999999E-2</v>
      </c>
      <c r="AH296">
        <v>2</v>
      </c>
      <c r="AI296">
        <v>85739947</v>
      </c>
      <c r="AJ296">
        <v>274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ROW(Source!A102)</f>
        <v>102</v>
      </c>
      <c r="B297">
        <v>85739948</v>
      </c>
      <c r="C297">
        <v>85739937</v>
      </c>
      <c r="D297">
        <v>85200098</v>
      </c>
      <c r="E297">
        <v>1</v>
      </c>
      <c r="F297">
        <v>1</v>
      </c>
      <c r="G297">
        <v>1081</v>
      </c>
      <c r="H297">
        <v>3</v>
      </c>
      <c r="I297" t="s">
        <v>540</v>
      </c>
      <c r="J297" t="s">
        <v>541</v>
      </c>
      <c r="K297" t="s">
        <v>542</v>
      </c>
      <c r="L297">
        <v>1346</v>
      </c>
      <c r="N297">
        <v>1009</v>
      </c>
      <c r="O297" t="s">
        <v>502</v>
      </c>
      <c r="P297" t="s">
        <v>502</v>
      </c>
      <c r="Q297">
        <v>1</v>
      </c>
      <c r="X297">
        <v>11.6</v>
      </c>
      <c r="Y297">
        <v>21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 t="s">
        <v>3</v>
      </c>
      <c r="AG297">
        <v>11.6</v>
      </c>
      <c r="AH297">
        <v>2</v>
      </c>
      <c r="AI297">
        <v>85739948</v>
      </c>
      <c r="AJ297">
        <v>275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ROW(Source!A102)</f>
        <v>102</v>
      </c>
      <c r="B298">
        <v>85739949</v>
      </c>
      <c r="C298">
        <v>85739937</v>
      </c>
      <c r="D298">
        <v>85200296</v>
      </c>
      <c r="E298">
        <v>1</v>
      </c>
      <c r="F298">
        <v>1</v>
      </c>
      <c r="G298">
        <v>1081</v>
      </c>
      <c r="H298">
        <v>3</v>
      </c>
      <c r="I298" t="s">
        <v>558</v>
      </c>
      <c r="J298" t="s">
        <v>559</v>
      </c>
      <c r="K298" t="s">
        <v>560</v>
      </c>
      <c r="L298">
        <v>1355</v>
      </c>
      <c r="N298">
        <v>1010</v>
      </c>
      <c r="O298" t="s">
        <v>240</v>
      </c>
      <c r="P298" t="s">
        <v>240</v>
      </c>
      <c r="Q298">
        <v>100</v>
      </c>
      <c r="X298">
        <v>3.6</v>
      </c>
      <c r="Y298">
        <v>496.79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 t="s">
        <v>3</v>
      </c>
      <c r="AG298">
        <v>3.6</v>
      </c>
      <c r="AH298">
        <v>2</v>
      </c>
      <c r="AI298">
        <v>85739949</v>
      </c>
      <c r="AJ298">
        <v>276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ROW(Source!A102)</f>
        <v>102</v>
      </c>
      <c r="B299">
        <v>85739950</v>
      </c>
      <c r="C299">
        <v>85739937</v>
      </c>
      <c r="D299">
        <v>85200297</v>
      </c>
      <c r="E299">
        <v>1</v>
      </c>
      <c r="F299">
        <v>1</v>
      </c>
      <c r="G299">
        <v>1081</v>
      </c>
      <c r="H299">
        <v>3</v>
      </c>
      <c r="I299" t="s">
        <v>561</v>
      </c>
      <c r="J299" t="s">
        <v>562</v>
      </c>
      <c r="K299" t="s">
        <v>563</v>
      </c>
      <c r="L299">
        <v>1355</v>
      </c>
      <c r="N299">
        <v>1010</v>
      </c>
      <c r="O299" t="s">
        <v>240</v>
      </c>
      <c r="P299" t="s">
        <v>240</v>
      </c>
      <c r="Q299">
        <v>100</v>
      </c>
      <c r="X299">
        <v>3.6</v>
      </c>
      <c r="Y299">
        <v>243.75</v>
      </c>
      <c r="Z299">
        <v>0</v>
      </c>
      <c r="AA299">
        <v>0</v>
      </c>
      <c r="AB299">
        <v>0</v>
      </c>
      <c r="AC299">
        <v>0</v>
      </c>
      <c r="AD299">
        <v>1</v>
      </c>
      <c r="AE299">
        <v>0</v>
      </c>
      <c r="AF299" t="s">
        <v>3</v>
      </c>
      <c r="AG299">
        <v>3.6</v>
      </c>
      <c r="AH299">
        <v>2</v>
      </c>
      <c r="AI299">
        <v>85739950</v>
      </c>
      <c r="AJ299">
        <v>277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ROW(Source!A102)</f>
        <v>102</v>
      </c>
      <c r="B300">
        <v>85739951</v>
      </c>
      <c r="C300">
        <v>85739937</v>
      </c>
      <c r="D300">
        <v>85198892</v>
      </c>
      <c r="E300">
        <v>1</v>
      </c>
      <c r="F300">
        <v>1</v>
      </c>
      <c r="G300">
        <v>1081</v>
      </c>
      <c r="H300">
        <v>3</v>
      </c>
      <c r="I300" t="s">
        <v>543</v>
      </c>
      <c r="J300" t="s">
        <v>544</v>
      </c>
      <c r="K300" t="s">
        <v>545</v>
      </c>
      <c r="L300">
        <v>1339</v>
      </c>
      <c r="N300">
        <v>1007</v>
      </c>
      <c r="O300" t="s">
        <v>506</v>
      </c>
      <c r="P300" t="s">
        <v>506</v>
      </c>
      <c r="Q300">
        <v>1</v>
      </c>
      <c r="X300">
        <v>9</v>
      </c>
      <c r="Y300">
        <v>53.42</v>
      </c>
      <c r="Z300">
        <v>0</v>
      </c>
      <c r="AA300">
        <v>0</v>
      </c>
      <c r="AB300">
        <v>0</v>
      </c>
      <c r="AC300">
        <v>0</v>
      </c>
      <c r="AD300">
        <v>1</v>
      </c>
      <c r="AE300">
        <v>0</v>
      </c>
      <c r="AF300" t="s">
        <v>3</v>
      </c>
      <c r="AG300">
        <v>9</v>
      </c>
      <c r="AH300">
        <v>2</v>
      </c>
      <c r="AI300">
        <v>85739951</v>
      </c>
      <c r="AJ300">
        <v>278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ROW(Source!A102)</f>
        <v>102</v>
      </c>
      <c r="B301">
        <v>85739952</v>
      </c>
      <c r="C301">
        <v>85739937</v>
      </c>
      <c r="D301">
        <v>85199158</v>
      </c>
      <c r="E301">
        <v>1</v>
      </c>
      <c r="F301">
        <v>1</v>
      </c>
      <c r="G301">
        <v>1081</v>
      </c>
      <c r="H301">
        <v>3</v>
      </c>
      <c r="I301" t="s">
        <v>503</v>
      </c>
      <c r="J301" t="s">
        <v>504</v>
      </c>
      <c r="K301" t="s">
        <v>505</v>
      </c>
      <c r="L301">
        <v>1339</v>
      </c>
      <c r="N301">
        <v>1007</v>
      </c>
      <c r="O301" t="s">
        <v>506</v>
      </c>
      <c r="P301" t="s">
        <v>506</v>
      </c>
      <c r="Q301">
        <v>1</v>
      </c>
      <c r="X301">
        <v>11.6</v>
      </c>
      <c r="Y301">
        <v>5.82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0</v>
      </c>
      <c r="AF301" t="s">
        <v>3</v>
      </c>
      <c r="AG301">
        <v>11.6</v>
      </c>
      <c r="AH301">
        <v>2</v>
      </c>
      <c r="AI301">
        <v>85739952</v>
      </c>
      <c r="AJ301">
        <v>279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ROW(Source!A102)</f>
        <v>102</v>
      </c>
      <c r="B302">
        <v>85739953</v>
      </c>
      <c r="C302">
        <v>85739937</v>
      </c>
      <c r="D302">
        <v>85221547</v>
      </c>
      <c r="E302">
        <v>1</v>
      </c>
      <c r="F302">
        <v>1</v>
      </c>
      <c r="G302">
        <v>1081</v>
      </c>
      <c r="H302">
        <v>3</v>
      </c>
      <c r="I302" t="s">
        <v>564</v>
      </c>
      <c r="J302" t="s">
        <v>565</v>
      </c>
      <c r="K302" t="s">
        <v>566</v>
      </c>
      <c r="L302">
        <v>1354</v>
      </c>
      <c r="N302">
        <v>1010</v>
      </c>
      <c r="O302" t="s">
        <v>99</v>
      </c>
      <c r="P302" t="s">
        <v>99</v>
      </c>
      <c r="Q302">
        <v>1</v>
      </c>
      <c r="X302">
        <v>360</v>
      </c>
      <c r="Y302">
        <v>14.28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3</v>
      </c>
      <c r="AG302">
        <v>360</v>
      </c>
      <c r="AH302">
        <v>2</v>
      </c>
      <c r="AI302">
        <v>85739953</v>
      </c>
      <c r="AJ302">
        <v>282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ROW(Source!A102)</f>
        <v>102</v>
      </c>
      <c r="B303">
        <v>85739954</v>
      </c>
      <c r="C303">
        <v>85739937</v>
      </c>
      <c r="D303">
        <v>85156868</v>
      </c>
      <c r="E303">
        <v>1081</v>
      </c>
      <c r="F303">
        <v>1</v>
      </c>
      <c r="G303">
        <v>1081</v>
      </c>
      <c r="H303">
        <v>3</v>
      </c>
      <c r="I303" t="s">
        <v>640</v>
      </c>
      <c r="J303" t="s">
        <v>3</v>
      </c>
      <c r="K303" t="s">
        <v>642</v>
      </c>
      <c r="L303">
        <v>1301</v>
      </c>
      <c r="N303">
        <v>1003</v>
      </c>
      <c r="O303" t="s">
        <v>179</v>
      </c>
      <c r="P303" t="s">
        <v>179</v>
      </c>
      <c r="Q303">
        <v>1</v>
      </c>
      <c r="X303">
        <v>1000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 t="s">
        <v>3</v>
      </c>
      <c r="AG303">
        <v>1000</v>
      </c>
      <c r="AH303">
        <v>3</v>
      </c>
      <c r="AI303">
        <v>-1</v>
      </c>
      <c r="AJ303" t="s">
        <v>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ROW(Source!A103)</f>
        <v>103</v>
      </c>
      <c r="B304">
        <v>85739940</v>
      </c>
      <c r="C304">
        <v>85739937</v>
      </c>
      <c r="D304">
        <v>85164021</v>
      </c>
      <c r="E304">
        <v>1081</v>
      </c>
      <c r="F304">
        <v>1</v>
      </c>
      <c r="G304">
        <v>1081</v>
      </c>
      <c r="H304">
        <v>1</v>
      </c>
      <c r="I304" t="s">
        <v>472</v>
      </c>
      <c r="J304" t="s">
        <v>3</v>
      </c>
      <c r="K304" t="s">
        <v>473</v>
      </c>
      <c r="L304">
        <v>1191</v>
      </c>
      <c r="N304">
        <v>1013</v>
      </c>
      <c r="O304" t="s">
        <v>474</v>
      </c>
      <c r="P304" t="s">
        <v>474</v>
      </c>
      <c r="Q304">
        <v>1</v>
      </c>
      <c r="X304">
        <v>1730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1</v>
      </c>
      <c r="AF304" t="s">
        <v>3</v>
      </c>
      <c r="AG304">
        <v>1730</v>
      </c>
      <c r="AH304">
        <v>2</v>
      </c>
      <c r="AI304">
        <v>85739940</v>
      </c>
      <c r="AJ304">
        <v>283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ROW(Source!A103)</f>
        <v>103</v>
      </c>
      <c r="B305">
        <v>85739941</v>
      </c>
      <c r="C305">
        <v>85739937</v>
      </c>
      <c r="D305">
        <v>85229527</v>
      </c>
      <c r="E305">
        <v>1</v>
      </c>
      <c r="F305">
        <v>1</v>
      </c>
      <c r="G305">
        <v>1081</v>
      </c>
      <c r="H305">
        <v>2</v>
      </c>
      <c r="I305" t="s">
        <v>546</v>
      </c>
      <c r="J305" t="s">
        <v>547</v>
      </c>
      <c r="K305" t="s">
        <v>548</v>
      </c>
      <c r="L305">
        <v>1368</v>
      </c>
      <c r="N305">
        <v>1011</v>
      </c>
      <c r="O305" t="s">
        <v>478</v>
      </c>
      <c r="P305" t="s">
        <v>478</v>
      </c>
      <c r="Q305">
        <v>1</v>
      </c>
      <c r="X305">
        <v>13.5</v>
      </c>
      <c r="Y305">
        <v>0</v>
      </c>
      <c r="Z305">
        <v>48.07</v>
      </c>
      <c r="AA305">
        <v>12.62</v>
      </c>
      <c r="AB305">
        <v>0</v>
      </c>
      <c r="AC305">
        <v>0</v>
      </c>
      <c r="AD305">
        <v>1</v>
      </c>
      <c r="AE305">
        <v>0</v>
      </c>
      <c r="AF305" t="s">
        <v>3</v>
      </c>
      <c r="AG305">
        <v>13.5</v>
      </c>
      <c r="AH305">
        <v>2</v>
      </c>
      <c r="AI305">
        <v>85739941</v>
      </c>
      <c r="AJ305">
        <v>284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ROW(Source!A103)</f>
        <v>103</v>
      </c>
      <c r="B306">
        <v>85739942</v>
      </c>
      <c r="C306">
        <v>85739937</v>
      </c>
      <c r="D306">
        <v>85229564</v>
      </c>
      <c r="E306">
        <v>1</v>
      </c>
      <c r="F306">
        <v>1</v>
      </c>
      <c r="G306">
        <v>1081</v>
      </c>
      <c r="H306">
        <v>2</v>
      </c>
      <c r="I306" t="s">
        <v>549</v>
      </c>
      <c r="J306" t="s">
        <v>550</v>
      </c>
      <c r="K306" t="s">
        <v>551</v>
      </c>
      <c r="L306">
        <v>1368</v>
      </c>
      <c r="N306">
        <v>1011</v>
      </c>
      <c r="O306" t="s">
        <v>478</v>
      </c>
      <c r="P306" t="s">
        <v>478</v>
      </c>
      <c r="Q306">
        <v>1</v>
      </c>
      <c r="X306">
        <v>110</v>
      </c>
      <c r="Y306">
        <v>0</v>
      </c>
      <c r="Z306">
        <v>5.79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3</v>
      </c>
      <c r="AG306">
        <v>110</v>
      </c>
      <c r="AH306">
        <v>2</v>
      </c>
      <c r="AI306">
        <v>85739942</v>
      </c>
      <c r="AJ306">
        <v>285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ROW(Source!A103)</f>
        <v>103</v>
      </c>
      <c r="B307">
        <v>85739943</v>
      </c>
      <c r="C307">
        <v>85739937</v>
      </c>
      <c r="D307">
        <v>85229633</v>
      </c>
      <c r="E307">
        <v>1</v>
      </c>
      <c r="F307">
        <v>1</v>
      </c>
      <c r="G307">
        <v>1081</v>
      </c>
      <c r="H307">
        <v>2</v>
      </c>
      <c r="I307" t="s">
        <v>475</v>
      </c>
      <c r="J307" t="s">
        <v>476</v>
      </c>
      <c r="K307" t="s">
        <v>477</v>
      </c>
      <c r="L307">
        <v>1368</v>
      </c>
      <c r="N307">
        <v>1011</v>
      </c>
      <c r="O307" t="s">
        <v>478</v>
      </c>
      <c r="P307" t="s">
        <v>478</v>
      </c>
      <c r="Q307">
        <v>1</v>
      </c>
      <c r="X307">
        <v>114</v>
      </c>
      <c r="Y307">
        <v>0</v>
      </c>
      <c r="Z307">
        <v>7.11</v>
      </c>
      <c r="AA307">
        <v>0</v>
      </c>
      <c r="AB307">
        <v>0</v>
      </c>
      <c r="AC307">
        <v>0</v>
      </c>
      <c r="AD307">
        <v>1</v>
      </c>
      <c r="AE307">
        <v>0</v>
      </c>
      <c r="AF307" t="s">
        <v>3</v>
      </c>
      <c r="AG307">
        <v>114</v>
      </c>
      <c r="AH307">
        <v>2</v>
      </c>
      <c r="AI307">
        <v>85739943</v>
      </c>
      <c r="AJ307">
        <v>286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ROW(Source!A103)</f>
        <v>103</v>
      </c>
      <c r="B308">
        <v>85739944</v>
      </c>
      <c r="C308">
        <v>85739937</v>
      </c>
      <c r="D308">
        <v>85229932</v>
      </c>
      <c r="E308">
        <v>1</v>
      </c>
      <c r="F308">
        <v>1</v>
      </c>
      <c r="G308">
        <v>1081</v>
      </c>
      <c r="H308">
        <v>2</v>
      </c>
      <c r="I308" t="s">
        <v>482</v>
      </c>
      <c r="J308" t="s">
        <v>483</v>
      </c>
      <c r="K308" t="s">
        <v>484</v>
      </c>
      <c r="L308">
        <v>1368</v>
      </c>
      <c r="N308">
        <v>1011</v>
      </c>
      <c r="O308" t="s">
        <v>478</v>
      </c>
      <c r="P308" t="s">
        <v>478</v>
      </c>
      <c r="Q308">
        <v>1</v>
      </c>
      <c r="X308">
        <v>5.36</v>
      </c>
      <c r="Y308">
        <v>0</v>
      </c>
      <c r="Z308">
        <v>83.1</v>
      </c>
      <c r="AA308">
        <v>12.62</v>
      </c>
      <c r="AB308">
        <v>0</v>
      </c>
      <c r="AC308">
        <v>0</v>
      </c>
      <c r="AD308">
        <v>1</v>
      </c>
      <c r="AE308">
        <v>0</v>
      </c>
      <c r="AF308" t="s">
        <v>3</v>
      </c>
      <c r="AG308">
        <v>5.36</v>
      </c>
      <c r="AH308">
        <v>2</v>
      </c>
      <c r="AI308">
        <v>85739944</v>
      </c>
      <c r="AJ308">
        <v>287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ROW(Source!A103)</f>
        <v>103</v>
      </c>
      <c r="B309">
        <v>85739945</v>
      </c>
      <c r="C309">
        <v>85739937</v>
      </c>
      <c r="D309">
        <v>85229250</v>
      </c>
      <c r="E309">
        <v>1</v>
      </c>
      <c r="F309">
        <v>1</v>
      </c>
      <c r="G309">
        <v>1081</v>
      </c>
      <c r="H309">
        <v>2</v>
      </c>
      <c r="I309" t="s">
        <v>552</v>
      </c>
      <c r="J309" t="s">
        <v>553</v>
      </c>
      <c r="K309" t="s">
        <v>554</v>
      </c>
      <c r="L309">
        <v>1368</v>
      </c>
      <c r="N309">
        <v>1011</v>
      </c>
      <c r="O309" t="s">
        <v>478</v>
      </c>
      <c r="P309" t="s">
        <v>478</v>
      </c>
      <c r="Q309">
        <v>1</v>
      </c>
      <c r="X309">
        <v>4</v>
      </c>
      <c r="Y309">
        <v>0</v>
      </c>
      <c r="Z309">
        <v>3.18</v>
      </c>
      <c r="AA309">
        <v>0</v>
      </c>
      <c r="AB309">
        <v>0</v>
      </c>
      <c r="AC309">
        <v>0</v>
      </c>
      <c r="AD309">
        <v>1</v>
      </c>
      <c r="AE309">
        <v>0</v>
      </c>
      <c r="AF309" t="s">
        <v>3</v>
      </c>
      <c r="AG309">
        <v>4</v>
      </c>
      <c r="AH309">
        <v>2</v>
      </c>
      <c r="AI309">
        <v>85739945</v>
      </c>
      <c r="AJ309">
        <v>288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ROW(Source!A103)</f>
        <v>103</v>
      </c>
      <c r="B310">
        <v>85739946</v>
      </c>
      <c r="C310">
        <v>85739937</v>
      </c>
      <c r="D310">
        <v>85198960</v>
      </c>
      <c r="E310">
        <v>1</v>
      </c>
      <c r="F310">
        <v>1</v>
      </c>
      <c r="G310">
        <v>1081</v>
      </c>
      <c r="H310">
        <v>3</v>
      </c>
      <c r="I310" t="s">
        <v>513</v>
      </c>
      <c r="J310" t="s">
        <v>514</v>
      </c>
      <c r="K310" t="s">
        <v>515</v>
      </c>
      <c r="L310">
        <v>1339</v>
      </c>
      <c r="N310">
        <v>1007</v>
      </c>
      <c r="O310" t="s">
        <v>506</v>
      </c>
      <c r="P310" t="s">
        <v>506</v>
      </c>
      <c r="Q310">
        <v>1</v>
      </c>
      <c r="X310">
        <v>30</v>
      </c>
      <c r="Y310">
        <v>7.07</v>
      </c>
      <c r="Z310">
        <v>0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3</v>
      </c>
      <c r="AG310">
        <v>30</v>
      </c>
      <c r="AH310">
        <v>2</v>
      </c>
      <c r="AI310">
        <v>85739946</v>
      </c>
      <c r="AJ310">
        <v>289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ROW(Source!A103)</f>
        <v>103</v>
      </c>
      <c r="B311">
        <v>85739947</v>
      </c>
      <c r="C311">
        <v>85739937</v>
      </c>
      <c r="D311">
        <v>85200023</v>
      </c>
      <c r="E311">
        <v>1</v>
      </c>
      <c r="F311">
        <v>1</v>
      </c>
      <c r="G311">
        <v>1081</v>
      </c>
      <c r="H311">
        <v>3</v>
      </c>
      <c r="I311" t="s">
        <v>555</v>
      </c>
      <c r="J311" t="s">
        <v>556</v>
      </c>
      <c r="K311" t="s">
        <v>557</v>
      </c>
      <c r="L311">
        <v>1348</v>
      </c>
      <c r="N311">
        <v>1009</v>
      </c>
      <c r="O311" t="s">
        <v>266</v>
      </c>
      <c r="P311" t="s">
        <v>266</v>
      </c>
      <c r="Q311">
        <v>1000</v>
      </c>
      <c r="X311">
        <v>2.3599999999999999E-2</v>
      </c>
      <c r="Y311">
        <v>7185.82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 t="s">
        <v>3</v>
      </c>
      <c r="AG311">
        <v>2.3599999999999999E-2</v>
      </c>
      <c r="AH311">
        <v>2</v>
      </c>
      <c r="AI311">
        <v>85739947</v>
      </c>
      <c r="AJ311">
        <v>290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ROW(Source!A103)</f>
        <v>103</v>
      </c>
      <c r="B312">
        <v>85739948</v>
      </c>
      <c r="C312">
        <v>85739937</v>
      </c>
      <c r="D312">
        <v>85200098</v>
      </c>
      <c r="E312">
        <v>1</v>
      </c>
      <c r="F312">
        <v>1</v>
      </c>
      <c r="G312">
        <v>1081</v>
      </c>
      <c r="H312">
        <v>3</v>
      </c>
      <c r="I312" t="s">
        <v>540</v>
      </c>
      <c r="J312" t="s">
        <v>541</v>
      </c>
      <c r="K312" t="s">
        <v>542</v>
      </c>
      <c r="L312">
        <v>1346</v>
      </c>
      <c r="N312">
        <v>1009</v>
      </c>
      <c r="O312" t="s">
        <v>502</v>
      </c>
      <c r="P312" t="s">
        <v>502</v>
      </c>
      <c r="Q312">
        <v>1</v>
      </c>
      <c r="X312">
        <v>11.6</v>
      </c>
      <c r="Y312">
        <v>21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3</v>
      </c>
      <c r="AG312">
        <v>11.6</v>
      </c>
      <c r="AH312">
        <v>2</v>
      </c>
      <c r="AI312">
        <v>85739948</v>
      </c>
      <c r="AJ312">
        <v>291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ROW(Source!A103)</f>
        <v>103</v>
      </c>
      <c r="B313">
        <v>85739949</v>
      </c>
      <c r="C313">
        <v>85739937</v>
      </c>
      <c r="D313">
        <v>85200296</v>
      </c>
      <c r="E313">
        <v>1</v>
      </c>
      <c r="F313">
        <v>1</v>
      </c>
      <c r="G313">
        <v>1081</v>
      </c>
      <c r="H313">
        <v>3</v>
      </c>
      <c r="I313" t="s">
        <v>558</v>
      </c>
      <c r="J313" t="s">
        <v>559</v>
      </c>
      <c r="K313" t="s">
        <v>560</v>
      </c>
      <c r="L313">
        <v>1355</v>
      </c>
      <c r="N313">
        <v>1010</v>
      </c>
      <c r="O313" t="s">
        <v>240</v>
      </c>
      <c r="P313" t="s">
        <v>240</v>
      </c>
      <c r="Q313">
        <v>100</v>
      </c>
      <c r="X313">
        <v>3.6</v>
      </c>
      <c r="Y313">
        <v>496.79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 t="s">
        <v>3</v>
      </c>
      <c r="AG313">
        <v>3.6</v>
      </c>
      <c r="AH313">
        <v>2</v>
      </c>
      <c r="AI313">
        <v>85739949</v>
      </c>
      <c r="AJ313">
        <v>292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ROW(Source!A103)</f>
        <v>103</v>
      </c>
      <c r="B314">
        <v>85739950</v>
      </c>
      <c r="C314">
        <v>85739937</v>
      </c>
      <c r="D314">
        <v>85200297</v>
      </c>
      <c r="E314">
        <v>1</v>
      </c>
      <c r="F314">
        <v>1</v>
      </c>
      <c r="G314">
        <v>1081</v>
      </c>
      <c r="H314">
        <v>3</v>
      </c>
      <c r="I314" t="s">
        <v>561</v>
      </c>
      <c r="J314" t="s">
        <v>562</v>
      </c>
      <c r="K314" t="s">
        <v>563</v>
      </c>
      <c r="L314">
        <v>1355</v>
      </c>
      <c r="N314">
        <v>1010</v>
      </c>
      <c r="O314" t="s">
        <v>240</v>
      </c>
      <c r="P314" t="s">
        <v>240</v>
      </c>
      <c r="Q314">
        <v>100</v>
      </c>
      <c r="X314">
        <v>3.6</v>
      </c>
      <c r="Y314">
        <v>243.75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 t="s">
        <v>3</v>
      </c>
      <c r="AG314">
        <v>3.6</v>
      </c>
      <c r="AH314">
        <v>2</v>
      </c>
      <c r="AI314">
        <v>85739950</v>
      </c>
      <c r="AJ314">
        <v>293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ROW(Source!A103)</f>
        <v>103</v>
      </c>
      <c r="B315">
        <v>85739951</v>
      </c>
      <c r="C315">
        <v>85739937</v>
      </c>
      <c r="D315">
        <v>85198892</v>
      </c>
      <c r="E315">
        <v>1</v>
      </c>
      <c r="F315">
        <v>1</v>
      </c>
      <c r="G315">
        <v>1081</v>
      </c>
      <c r="H315">
        <v>3</v>
      </c>
      <c r="I315" t="s">
        <v>543</v>
      </c>
      <c r="J315" t="s">
        <v>544</v>
      </c>
      <c r="K315" t="s">
        <v>545</v>
      </c>
      <c r="L315">
        <v>1339</v>
      </c>
      <c r="N315">
        <v>1007</v>
      </c>
      <c r="O315" t="s">
        <v>506</v>
      </c>
      <c r="P315" t="s">
        <v>506</v>
      </c>
      <c r="Q315">
        <v>1</v>
      </c>
      <c r="X315">
        <v>9</v>
      </c>
      <c r="Y315">
        <v>53.42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 t="s">
        <v>3</v>
      </c>
      <c r="AG315">
        <v>9</v>
      </c>
      <c r="AH315">
        <v>2</v>
      </c>
      <c r="AI315">
        <v>85739951</v>
      </c>
      <c r="AJ315">
        <v>294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ROW(Source!A103)</f>
        <v>103</v>
      </c>
      <c r="B316">
        <v>85739952</v>
      </c>
      <c r="C316">
        <v>85739937</v>
      </c>
      <c r="D316">
        <v>85199158</v>
      </c>
      <c r="E316">
        <v>1</v>
      </c>
      <c r="F316">
        <v>1</v>
      </c>
      <c r="G316">
        <v>1081</v>
      </c>
      <c r="H316">
        <v>3</v>
      </c>
      <c r="I316" t="s">
        <v>503</v>
      </c>
      <c r="J316" t="s">
        <v>504</v>
      </c>
      <c r="K316" t="s">
        <v>505</v>
      </c>
      <c r="L316">
        <v>1339</v>
      </c>
      <c r="N316">
        <v>1007</v>
      </c>
      <c r="O316" t="s">
        <v>506</v>
      </c>
      <c r="P316" t="s">
        <v>506</v>
      </c>
      <c r="Q316">
        <v>1</v>
      </c>
      <c r="X316">
        <v>11.6</v>
      </c>
      <c r="Y316">
        <v>5.82</v>
      </c>
      <c r="Z316">
        <v>0</v>
      </c>
      <c r="AA316">
        <v>0</v>
      </c>
      <c r="AB316">
        <v>0</v>
      </c>
      <c r="AC316">
        <v>0</v>
      </c>
      <c r="AD316">
        <v>1</v>
      </c>
      <c r="AE316">
        <v>0</v>
      </c>
      <c r="AF316" t="s">
        <v>3</v>
      </c>
      <c r="AG316">
        <v>11.6</v>
      </c>
      <c r="AH316">
        <v>2</v>
      </c>
      <c r="AI316">
        <v>85739952</v>
      </c>
      <c r="AJ316">
        <v>295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ROW(Source!A103)</f>
        <v>103</v>
      </c>
      <c r="B317">
        <v>85739953</v>
      </c>
      <c r="C317">
        <v>85739937</v>
      </c>
      <c r="D317">
        <v>85221547</v>
      </c>
      <c r="E317">
        <v>1</v>
      </c>
      <c r="F317">
        <v>1</v>
      </c>
      <c r="G317">
        <v>1081</v>
      </c>
      <c r="H317">
        <v>3</v>
      </c>
      <c r="I317" t="s">
        <v>564</v>
      </c>
      <c r="J317" t="s">
        <v>565</v>
      </c>
      <c r="K317" t="s">
        <v>566</v>
      </c>
      <c r="L317">
        <v>1354</v>
      </c>
      <c r="N317">
        <v>1010</v>
      </c>
      <c r="O317" t="s">
        <v>99</v>
      </c>
      <c r="P317" t="s">
        <v>99</v>
      </c>
      <c r="Q317">
        <v>1</v>
      </c>
      <c r="X317">
        <v>360</v>
      </c>
      <c r="Y317">
        <v>14.28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 t="s">
        <v>3</v>
      </c>
      <c r="AG317">
        <v>360</v>
      </c>
      <c r="AH317">
        <v>2</v>
      </c>
      <c r="AI317">
        <v>85739953</v>
      </c>
      <c r="AJ317">
        <v>298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ROW(Source!A103)</f>
        <v>103</v>
      </c>
      <c r="B318">
        <v>85739954</v>
      </c>
      <c r="C318">
        <v>85739937</v>
      </c>
      <c r="D318">
        <v>85156868</v>
      </c>
      <c r="E318">
        <v>1081</v>
      </c>
      <c r="F318">
        <v>1</v>
      </c>
      <c r="G318">
        <v>1081</v>
      </c>
      <c r="H318">
        <v>3</v>
      </c>
      <c r="I318" t="s">
        <v>640</v>
      </c>
      <c r="J318" t="s">
        <v>3</v>
      </c>
      <c r="K318" t="s">
        <v>642</v>
      </c>
      <c r="L318">
        <v>1301</v>
      </c>
      <c r="N318">
        <v>1003</v>
      </c>
      <c r="O318" t="s">
        <v>179</v>
      </c>
      <c r="P318" t="s">
        <v>179</v>
      </c>
      <c r="Q318">
        <v>1</v>
      </c>
      <c r="X318">
        <v>1000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 t="s">
        <v>3</v>
      </c>
      <c r="AG318">
        <v>1000</v>
      </c>
      <c r="AH318">
        <v>3</v>
      </c>
      <c r="AI318">
        <v>-1</v>
      </c>
      <c r="AJ318" t="s">
        <v>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ROW(Source!A108)</f>
        <v>108</v>
      </c>
      <c r="B319">
        <v>85739744</v>
      </c>
      <c r="C319">
        <v>85739727</v>
      </c>
      <c r="D319">
        <v>85164021</v>
      </c>
      <c r="E319">
        <v>1081</v>
      </c>
      <c r="F319">
        <v>1</v>
      </c>
      <c r="G319">
        <v>1081</v>
      </c>
      <c r="H319">
        <v>1</v>
      </c>
      <c r="I319" t="s">
        <v>472</v>
      </c>
      <c r="J319" t="s">
        <v>3</v>
      </c>
      <c r="K319" t="s">
        <v>473</v>
      </c>
      <c r="L319">
        <v>1191</v>
      </c>
      <c r="N319">
        <v>1013</v>
      </c>
      <c r="O319" t="s">
        <v>474</v>
      </c>
      <c r="P319" t="s">
        <v>474</v>
      </c>
      <c r="Q319">
        <v>1</v>
      </c>
      <c r="X319">
        <v>139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1</v>
      </c>
      <c r="AF319" t="s">
        <v>36</v>
      </c>
      <c r="AG319">
        <v>166.79999999999998</v>
      </c>
      <c r="AH319">
        <v>2</v>
      </c>
      <c r="AI319">
        <v>85739744</v>
      </c>
      <c r="AJ319">
        <v>299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ROW(Source!A108)</f>
        <v>108</v>
      </c>
      <c r="B320">
        <v>85739745</v>
      </c>
      <c r="C320">
        <v>85739727</v>
      </c>
      <c r="D320">
        <v>85229527</v>
      </c>
      <c r="E320">
        <v>1</v>
      </c>
      <c r="F320">
        <v>1</v>
      </c>
      <c r="G320">
        <v>1081</v>
      </c>
      <c r="H320">
        <v>2</v>
      </c>
      <c r="I320" t="s">
        <v>546</v>
      </c>
      <c r="J320" t="s">
        <v>547</v>
      </c>
      <c r="K320" t="s">
        <v>548</v>
      </c>
      <c r="L320">
        <v>1368</v>
      </c>
      <c r="N320">
        <v>1011</v>
      </c>
      <c r="O320" t="s">
        <v>478</v>
      </c>
      <c r="P320" t="s">
        <v>478</v>
      </c>
      <c r="Q320">
        <v>1</v>
      </c>
      <c r="X320">
        <v>7.5</v>
      </c>
      <c r="Y320">
        <v>0</v>
      </c>
      <c r="Z320">
        <v>48.07</v>
      </c>
      <c r="AA320">
        <v>12.62</v>
      </c>
      <c r="AB320">
        <v>0</v>
      </c>
      <c r="AC320">
        <v>0</v>
      </c>
      <c r="AD320">
        <v>1</v>
      </c>
      <c r="AE320">
        <v>0</v>
      </c>
      <c r="AF320" t="s">
        <v>36</v>
      </c>
      <c r="AG320">
        <v>9</v>
      </c>
      <c r="AH320">
        <v>2</v>
      </c>
      <c r="AI320">
        <v>85739745</v>
      </c>
      <c r="AJ320">
        <v>300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ROW(Source!A108)</f>
        <v>108</v>
      </c>
      <c r="B321">
        <v>85739746</v>
      </c>
      <c r="C321">
        <v>85739727</v>
      </c>
      <c r="D321">
        <v>85229564</v>
      </c>
      <c r="E321">
        <v>1</v>
      </c>
      <c r="F321">
        <v>1</v>
      </c>
      <c r="G321">
        <v>1081</v>
      </c>
      <c r="H321">
        <v>2</v>
      </c>
      <c r="I321" t="s">
        <v>549</v>
      </c>
      <c r="J321" t="s">
        <v>550</v>
      </c>
      <c r="K321" t="s">
        <v>551</v>
      </c>
      <c r="L321">
        <v>1368</v>
      </c>
      <c r="N321">
        <v>1011</v>
      </c>
      <c r="O321" t="s">
        <v>478</v>
      </c>
      <c r="P321" t="s">
        <v>478</v>
      </c>
      <c r="Q321">
        <v>1</v>
      </c>
      <c r="X321">
        <v>7</v>
      </c>
      <c r="Y321">
        <v>0</v>
      </c>
      <c r="Z321">
        <v>5.79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36</v>
      </c>
      <c r="AG321">
        <v>8.4</v>
      </c>
      <c r="AH321">
        <v>2</v>
      </c>
      <c r="AI321">
        <v>85739746</v>
      </c>
      <c r="AJ321">
        <v>301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ROW(Source!A108)</f>
        <v>108</v>
      </c>
      <c r="B322">
        <v>85739747</v>
      </c>
      <c r="C322">
        <v>85739727</v>
      </c>
      <c r="D322">
        <v>85229633</v>
      </c>
      <c r="E322">
        <v>1</v>
      </c>
      <c r="F322">
        <v>1</v>
      </c>
      <c r="G322">
        <v>1081</v>
      </c>
      <c r="H322">
        <v>2</v>
      </c>
      <c r="I322" t="s">
        <v>475</v>
      </c>
      <c r="J322" t="s">
        <v>476</v>
      </c>
      <c r="K322" t="s">
        <v>477</v>
      </c>
      <c r="L322">
        <v>1368</v>
      </c>
      <c r="N322">
        <v>1011</v>
      </c>
      <c r="O322" t="s">
        <v>478</v>
      </c>
      <c r="P322" t="s">
        <v>478</v>
      </c>
      <c r="Q322">
        <v>1</v>
      </c>
      <c r="X322">
        <v>9.32</v>
      </c>
      <c r="Y322">
        <v>0</v>
      </c>
      <c r="Z322">
        <v>7.11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36</v>
      </c>
      <c r="AG322">
        <v>11.183999999999999</v>
      </c>
      <c r="AH322">
        <v>2</v>
      </c>
      <c r="AI322">
        <v>85739747</v>
      </c>
      <c r="AJ322">
        <v>302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ROW(Source!A108)</f>
        <v>108</v>
      </c>
      <c r="B323">
        <v>85739748</v>
      </c>
      <c r="C323">
        <v>85739727</v>
      </c>
      <c r="D323">
        <v>85229932</v>
      </c>
      <c r="E323">
        <v>1</v>
      </c>
      <c r="F323">
        <v>1</v>
      </c>
      <c r="G323">
        <v>1081</v>
      </c>
      <c r="H323">
        <v>2</v>
      </c>
      <c r="I323" t="s">
        <v>482</v>
      </c>
      <c r="J323" t="s">
        <v>483</v>
      </c>
      <c r="K323" t="s">
        <v>484</v>
      </c>
      <c r="L323">
        <v>1368</v>
      </c>
      <c r="N323">
        <v>1011</v>
      </c>
      <c r="O323" t="s">
        <v>478</v>
      </c>
      <c r="P323" t="s">
        <v>478</v>
      </c>
      <c r="Q323">
        <v>1</v>
      </c>
      <c r="X323">
        <v>0.54</v>
      </c>
      <c r="Y323">
        <v>0</v>
      </c>
      <c r="Z323">
        <v>83.1</v>
      </c>
      <c r="AA323">
        <v>12.62</v>
      </c>
      <c r="AB323">
        <v>0</v>
      </c>
      <c r="AC323">
        <v>0</v>
      </c>
      <c r="AD323">
        <v>1</v>
      </c>
      <c r="AE323">
        <v>0</v>
      </c>
      <c r="AF323" t="s">
        <v>36</v>
      </c>
      <c r="AG323">
        <v>0.64800000000000002</v>
      </c>
      <c r="AH323">
        <v>2</v>
      </c>
      <c r="AI323">
        <v>85739748</v>
      </c>
      <c r="AJ323">
        <v>303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ROW(Source!A108)</f>
        <v>108</v>
      </c>
      <c r="B324">
        <v>85739749</v>
      </c>
      <c r="C324">
        <v>85739727</v>
      </c>
      <c r="D324">
        <v>85229250</v>
      </c>
      <c r="E324">
        <v>1</v>
      </c>
      <c r="F324">
        <v>1</v>
      </c>
      <c r="G324">
        <v>1081</v>
      </c>
      <c r="H324">
        <v>2</v>
      </c>
      <c r="I324" t="s">
        <v>552</v>
      </c>
      <c r="J324" t="s">
        <v>553</v>
      </c>
      <c r="K324" t="s">
        <v>554</v>
      </c>
      <c r="L324">
        <v>1368</v>
      </c>
      <c r="N324">
        <v>1011</v>
      </c>
      <c r="O324" t="s">
        <v>478</v>
      </c>
      <c r="P324" t="s">
        <v>478</v>
      </c>
      <c r="Q324">
        <v>1</v>
      </c>
      <c r="X324">
        <v>0.4</v>
      </c>
      <c r="Y324">
        <v>0</v>
      </c>
      <c r="Z324">
        <v>3.18</v>
      </c>
      <c r="AA324">
        <v>0</v>
      </c>
      <c r="AB324">
        <v>0</v>
      </c>
      <c r="AC324">
        <v>0</v>
      </c>
      <c r="AD324">
        <v>1</v>
      </c>
      <c r="AE324">
        <v>0</v>
      </c>
      <c r="AF324" t="s">
        <v>36</v>
      </c>
      <c r="AG324">
        <v>0.48</v>
      </c>
      <c r="AH324">
        <v>2</v>
      </c>
      <c r="AI324">
        <v>85739749</v>
      </c>
      <c r="AJ324">
        <v>304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ROW(Source!A108)</f>
        <v>108</v>
      </c>
      <c r="B325">
        <v>85739750</v>
      </c>
      <c r="C325">
        <v>85739727</v>
      </c>
      <c r="D325">
        <v>85198960</v>
      </c>
      <c r="E325">
        <v>1</v>
      </c>
      <c r="F325">
        <v>1</v>
      </c>
      <c r="G325">
        <v>1081</v>
      </c>
      <c r="H325">
        <v>3</v>
      </c>
      <c r="I325" t="s">
        <v>513</v>
      </c>
      <c r="J325" t="s">
        <v>514</v>
      </c>
      <c r="K325" t="s">
        <v>515</v>
      </c>
      <c r="L325">
        <v>1339</v>
      </c>
      <c r="N325">
        <v>1007</v>
      </c>
      <c r="O325" t="s">
        <v>506</v>
      </c>
      <c r="P325" t="s">
        <v>506</v>
      </c>
      <c r="Q325">
        <v>1</v>
      </c>
      <c r="X325">
        <v>3</v>
      </c>
      <c r="Y325">
        <v>7.07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0</v>
      </c>
      <c r="AF325" t="s">
        <v>35</v>
      </c>
      <c r="AG325">
        <v>3</v>
      </c>
      <c r="AH325">
        <v>2</v>
      </c>
      <c r="AI325">
        <v>85739750</v>
      </c>
      <c r="AJ325">
        <v>305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ROW(Source!A108)</f>
        <v>108</v>
      </c>
      <c r="B326">
        <v>85739751</v>
      </c>
      <c r="C326">
        <v>85739727</v>
      </c>
      <c r="D326">
        <v>85200023</v>
      </c>
      <c r="E326">
        <v>1</v>
      </c>
      <c r="F326">
        <v>1</v>
      </c>
      <c r="G326">
        <v>1081</v>
      </c>
      <c r="H326">
        <v>3</v>
      </c>
      <c r="I326" t="s">
        <v>555</v>
      </c>
      <c r="J326" t="s">
        <v>556</v>
      </c>
      <c r="K326" t="s">
        <v>557</v>
      </c>
      <c r="L326">
        <v>1348</v>
      </c>
      <c r="N326">
        <v>1009</v>
      </c>
      <c r="O326" t="s">
        <v>266</v>
      </c>
      <c r="P326" t="s">
        <v>266</v>
      </c>
      <c r="Q326">
        <v>1000</v>
      </c>
      <c r="X326">
        <v>1.56E-3</v>
      </c>
      <c r="Y326">
        <v>7185.82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 t="s">
        <v>35</v>
      </c>
      <c r="AG326">
        <v>1.56E-3</v>
      </c>
      <c r="AH326">
        <v>2</v>
      </c>
      <c r="AI326">
        <v>85739751</v>
      </c>
      <c r="AJ326">
        <v>306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ROW(Source!A108)</f>
        <v>108</v>
      </c>
      <c r="B327">
        <v>85739752</v>
      </c>
      <c r="C327">
        <v>85739727</v>
      </c>
      <c r="D327">
        <v>85200098</v>
      </c>
      <c r="E327">
        <v>1</v>
      </c>
      <c r="F327">
        <v>1</v>
      </c>
      <c r="G327">
        <v>1081</v>
      </c>
      <c r="H327">
        <v>3</v>
      </c>
      <c r="I327" t="s">
        <v>540</v>
      </c>
      <c r="J327" t="s">
        <v>541</v>
      </c>
      <c r="K327" t="s">
        <v>542</v>
      </c>
      <c r="L327">
        <v>1346</v>
      </c>
      <c r="N327">
        <v>1009</v>
      </c>
      <c r="O327" t="s">
        <v>502</v>
      </c>
      <c r="P327" t="s">
        <v>502</v>
      </c>
      <c r="Q327">
        <v>1</v>
      </c>
      <c r="X327">
        <v>0.76</v>
      </c>
      <c r="Y327">
        <v>21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 t="s">
        <v>35</v>
      </c>
      <c r="AG327">
        <v>0.76</v>
      </c>
      <c r="AH327">
        <v>2</v>
      </c>
      <c r="AI327">
        <v>85739752</v>
      </c>
      <c r="AJ327">
        <v>307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ROW(Source!A108)</f>
        <v>108</v>
      </c>
      <c r="B328">
        <v>85739753</v>
      </c>
      <c r="C328">
        <v>85739727</v>
      </c>
      <c r="D328">
        <v>85200296</v>
      </c>
      <c r="E328">
        <v>1</v>
      </c>
      <c r="F328">
        <v>1</v>
      </c>
      <c r="G328">
        <v>1081</v>
      </c>
      <c r="H328">
        <v>3</v>
      </c>
      <c r="I328" t="s">
        <v>558</v>
      </c>
      <c r="J328" t="s">
        <v>559</v>
      </c>
      <c r="K328" t="s">
        <v>560</v>
      </c>
      <c r="L328">
        <v>1355</v>
      </c>
      <c r="N328">
        <v>1010</v>
      </c>
      <c r="O328" t="s">
        <v>240</v>
      </c>
      <c r="P328" t="s">
        <v>240</v>
      </c>
      <c r="Q328">
        <v>100</v>
      </c>
      <c r="X328">
        <v>0.36</v>
      </c>
      <c r="Y328">
        <v>496.79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 t="s">
        <v>35</v>
      </c>
      <c r="AG328">
        <v>0.36</v>
      </c>
      <c r="AH328">
        <v>2</v>
      </c>
      <c r="AI328">
        <v>85739753</v>
      </c>
      <c r="AJ328">
        <v>308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ROW(Source!A108)</f>
        <v>108</v>
      </c>
      <c r="B329">
        <v>85739754</v>
      </c>
      <c r="C329">
        <v>85739727</v>
      </c>
      <c r="D329">
        <v>85200297</v>
      </c>
      <c r="E329">
        <v>1</v>
      </c>
      <c r="F329">
        <v>1</v>
      </c>
      <c r="G329">
        <v>1081</v>
      </c>
      <c r="H329">
        <v>3</v>
      </c>
      <c r="I329" t="s">
        <v>561</v>
      </c>
      <c r="J329" t="s">
        <v>562</v>
      </c>
      <c r="K329" t="s">
        <v>563</v>
      </c>
      <c r="L329">
        <v>1355</v>
      </c>
      <c r="N329">
        <v>1010</v>
      </c>
      <c r="O329" t="s">
        <v>240</v>
      </c>
      <c r="P329" t="s">
        <v>240</v>
      </c>
      <c r="Q329">
        <v>100</v>
      </c>
      <c r="X329">
        <v>0.36</v>
      </c>
      <c r="Y329">
        <v>243.75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35</v>
      </c>
      <c r="AG329">
        <v>0.36</v>
      </c>
      <c r="AH329">
        <v>2</v>
      </c>
      <c r="AI329">
        <v>85739754</v>
      </c>
      <c r="AJ329">
        <v>309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ROW(Source!A108)</f>
        <v>108</v>
      </c>
      <c r="B330">
        <v>85739755</v>
      </c>
      <c r="C330">
        <v>85739727</v>
      </c>
      <c r="D330">
        <v>85198892</v>
      </c>
      <c r="E330">
        <v>1</v>
      </c>
      <c r="F330">
        <v>1</v>
      </c>
      <c r="G330">
        <v>1081</v>
      </c>
      <c r="H330">
        <v>3</v>
      </c>
      <c r="I330" t="s">
        <v>543</v>
      </c>
      <c r="J330" t="s">
        <v>544</v>
      </c>
      <c r="K330" t="s">
        <v>545</v>
      </c>
      <c r="L330">
        <v>1339</v>
      </c>
      <c r="N330">
        <v>1007</v>
      </c>
      <c r="O330" t="s">
        <v>506</v>
      </c>
      <c r="P330" t="s">
        <v>506</v>
      </c>
      <c r="Q330">
        <v>1</v>
      </c>
      <c r="X330">
        <v>0.59</v>
      </c>
      <c r="Y330">
        <v>53.42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 t="s">
        <v>35</v>
      </c>
      <c r="AG330">
        <v>0.59</v>
      </c>
      <c r="AH330">
        <v>2</v>
      </c>
      <c r="AI330">
        <v>85739755</v>
      </c>
      <c r="AJ330">
        <v>310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ROW(Source!A108)</f>
        <v>108</v>
      </c>
      <c r="B331">
        <v>85739756</v>
      </c>
      <c r="C331">
        <v>85739727</v>
      </c>
      <c r="D331">
        <v>85199158</v>
      </c>
      <c r="E331">
        <v>1</v>
      </c>
      <c r="F331">
        <v>1</v>
      </c>
      <c r="G331">
        <v>1081</v>
      </c>
      <c r="H331">
        <v>3</v>
      </c>
      <c r="I331" t="s">
        <v>503</v>
      </c>
      <c r="J331" t="s">
        <v>504</v>
      </c>
      <c r="K331" t="s">
        <v>505</v>
      </c>
      <c r="L331">
        <v>1339</v>
      </c>
      <c r="N331">
        <v>1007</v>
      </c>
      <c r="O331" t="s">
        <v>506</v>
      </c>
      <c r="P331" t="s">
        <v>506</v>
      </c>
      <c r="Q331">
        <v>1</v>
      </c>
      <c r="X331">
        <v>0.76</v>
      </c>
      <c r="Y331">
        <v>5.82</v>
      </c>
      <c r="Z331">
        <v>0</v>
      </c>
      <c r="AA331">
        <v>0</v>
      </c>
      <c r="AB331">
        <v>0</v>
      </c>
      <c r="AC331">
        <v>0</v>
      </c>
      <c r="AD331">
        <v>1</v>
      </c>
      <c r="AE331">
        <v>0</v>
      </c>
      <c r="AF331" t="s">
        <v>35</v>
      </c>
      <c r="AG331">
        <v>0.76</v>
      </c>
      <c r="AH331">
        <v>2</v>
      </c>
      <c r="AI331">
        <v>85739756</v>
      </c>
      <c r="AJ331">
        <v>311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ROW(Source!A108)</f>
        <v>108</v>
      </c>
      <c r="B332">
        <v>85739757</v>
      </c>
      <c r="C332">
        <v>85739727</v>
      </c>
      <c r="D332">
        <v>85221547</v>
      </c>
      <c r="E332">
        <v>1</v>
      </c>
      <c r="F332">
        <v>1</v>
      </c>
      <c r="G332">
        <v>1081</v>
      </c>
      <c r="H332">
        <v>3</v>
      </c>
      <c r="I332" t="s">
        <v>564</v>
      </c>
      <c r="J332" t="s">
        <v>565</v>
      </c>
      <c r="K332" t="s">
        <v>566</v>
      </c>
      <c r="L332">
        <v>1354</v>
      </c>
      <c r="N332">
        <v>1010</v>
      </c>
      <c r="O332" t="s">
        <v>99</v>
      </c>
      <c r="P332" t="s">
        <v>99</v>
      </c>
      <c r="Q332">
        <v>1</v>
      </c>
      <c r="X332">
        <v>36</v>
      </c>
      <c r="Y332">
        <v>14.28</v>
      </c>
      <c r="Z332">
        <v>0</v>
      </c>
      <c r="AA332">
        <v>0</v>
      </c>
      <c r="AB332">
        <v>0</v>
      </c>
      <c r="AC332">
        <v>0</v>
      </c>
      <c r="AD332">
        <v>1</v>
      </c>
      <c r="AE332">
        <v>0</v>
      </c>
      <c r="AF332" t="s">
        <v>35</v>
      </c>
      <c r="AG332">
        <v>36</v>
      </c>
      <c r="AH332">
        <v>2</v>
      </c>
      <c r="AI332">
        <v>85739757</v>
      </c>
      <c r="AJ332">
        <v>314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ROW(Source!A108)</f>
        <v>108</v>
      </c>
      <c r="B333">
        <v>85739758</v>
      </c>
      <c r="C333">
        <v>85739727</v>
      </c>
      <c r="D333">
        <v>85156878</v>
      </c>
      <c r="E333">
        <v>1081</v>
      </c>
      <c r="F333">
        <v>1</v>
      </c>
      <c r="G333">
        <v>1081</v>
      </c>
      <c r="H333">
        <v>3</v>
      </c>
      <c r="I333" t="s">
        <v>640</v>
      </c>
      <c r="J333" t="s">
        <v>3</v>
      </c>
      <c r="K333" t="s">
        <v>641</v>
      </c>
      <c r="L333">
        <v>1301</v>
      </c>
      <c r="N333">
        <v>1003</v>
      </c>
      <c r="O333" t="s">
        <v>179</v>
      </c>
      <c r="P333" t="s">
        <v>179</v>
      </c>
      <c r="Q333">
        <v>1</v>
      </c>
      <c r="X333">
        <v>100.5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 t="s">
        <v>35</v>
      </c>
      <c r="AG333">
        <v>100.5</v>
      </c>
      <c r="AH333">
        <v>3</v>
      </c>
      <c r="AI333">
        <v>-1</v>
      </c>
      <c r="AJ333" t="s">
        <v>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ROW(Source!A109)</f>
        <v>109</v>
      </c>
      <c r="B334">
        <v>85739744</v>
      </c>
      <c r="C334">
        <v>85739727</v>
      </c>
      <c r="D334">
        <v>85164021</v>
      </c>
      <c r="E334">
        <v>1081</v>
      </c>
      <c r="F334">
        <v>1</v>
      </c>
      <c r="G334">
        <v>1081</v>
      </c>
      <c r="H334">
        <v>1</v>
      </c>
      <c r="I334" t="s">
        <v>472</v>
      </c>
      <c r="J334" t="s">
        <v>3</v>
      </c>
      <c r="K334" t="s">
        <v>473</v>
      </c>
      <c r="L334">
        <v>1191</v>
      </c>
      <c r="N334">
        <v>1013</v>
      </c>
      <c r="O334" t="s">
        <v>474</v>
      </c>
      <c r="P334" t="s">
        <v>474</v>
      </c>
      <c r="Q334">
        <v>1</v>
      </c>
      <c r="X334">
        <v>139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1</v>
      </c>
      <c r="AF334" t="s">
        <v>36</v>
      </c>
      <c r="AG334">
        <v>166.79999999999998</v>
      </c>
      <c r="AH334">
        <v>2</v>
      </c>
      <c r="AI334">
        <v>85739744</v>
      </c>
      <c r="AJ334">
        <v>315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ROW(Source!A109)</f>
        <v>109</v>
      </c>
      <c r="B335">
        <v>85739745</v>
      </c>
      <c r="C335">
        <v>85739727</v>
      </c>
      <c r="D335">
        <v>85229527</v>
      </c>
      <c r="E335">
        <v>1</v>
      </c>
      <c r="F335">
        <v>1</v>
      </c>
      <c r="G335">
        <v>1081</v>
      </c>
      <c r="H335">
        <v>2</v>
      </c>
      <c r="I335" t="s">
        <v>546</v>
      </c>
      <c r="J335" t="s">
        <v>547</v>
      </c>
      <c r="K335" t="s">
        <v>548</v>
      </c>
      <c r="L335">
        <v>1368</v>
      </c>
      <c r="N335">
        <v>1011</v>
      </c>
      <c r="O335" t="s">
        <v>478</v>
      </c>
      <c r="P335" t="s">
        <v>478</v>
      </c>
      <c r="Q335">
        <v>1</v>
      </c>
      <c r="X335">
        <v>7.5</v>
      </c>
      <c r="Y335">
        <v>0</v>
      </c>
      <c r="Z335">
        <v>48.07</v>
      </c>
      <c r="AA335">
        <v>12.62</v>
      </c>
      <c r="AB335">
        <v>0</v>
      </c>
      <c r="AC335">
        <v>0</v>
      </c>
      <c r="AD335">
        <v>1</v>
      </c>
      <c r="AE335">
        <v>0</v>
      </c>
      <c r="AF335" t="s">
        <v>36</v>
      </c>
      <c r="AG335">
        <v>9</v>
      </c>
      <c r="AH335">
        <v>2</v>
      </c>
      <c r="AI335">
        <v>85739745</v>
      </c>
      <c r="AJ335">
        <v>316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ROW(Source!A109)</f>
        <v>109</v>
      </c>
      <c r="B336">
        <v>85739746</v>
      </c>
      <c r="C336">
        <v>85739727</v>
      </c>
      <c r="D336">
        <v>85229564</v>
      </c>
      <c r="E336">
        <v>1</v>
      </c>
      <c r="F336">
        <v>1</v>
      </c>
      <c r="G336">
        <v>1081</v>
      </c>
      <c r="H336">
        <v>2</v>
      </c>
      <c r="I336" t="s">
        <v>549</v>
      </c>
      <c r="J336" t="s">
        <v>550</v>
      </c>
      <c r="K336" t="s">
        <v>551</v>
      </c>
      <c r="L336">
        <v>1368</v>
      </c>
      <c r="N336">
        <v>1011</v>
      </c>
      <c r="O336" t="s">
        <v>478</v>
      </c>
      <c r="P336" t="s">
        <v>478</v>
      </c>
      <c r="Q336">
        <v>1</v>
      </c>
      <c r="X336">
        <v>7</v>
      </c>
      <c r="Y336">
        <v>0</v>
      </c>
      <c r="Z336">
        <v>5.79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36</v>
      </c>
      <c r="AG336">
        <v>8.4</v>
      </c>
      <c r="AH336">
        <v>2</v>
      </c>
      <c r="AI336">
        <v>85739746</v>
      </c>
      <c r="AJ336">
        <v>317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ROW(Source!A109)</f>
        <v>109</v>
      </c>
      <c r="B337">
        <v>85739747</v>
      </c>
      <c r="C337">
        <v>85739727</v>
      </c>
      <c r="D337">
        <v>85229633</v>
      </c>
      <c r="E337">
        <v>1</v>
      </c>
      <c r="F337">
        <v>1</v>
      </c>
      <c r="G337">
        <v>1081</v>
      </c>
      <c r="H337">
        <v>2</v>
      </c>
      <c r="I337" t="s">
        <v>475</v>
      </c>
      <c r="J337" t="s">
        <v>476</v>
      </c>
      <c r="K337" t="s">
        <v>477</v>
      </c>
      <c r="L337">
        <v>1368</v>
      </c>
      <c r="N337">
        <v>1011</v>
      </c>
      <c r="O337" t="s">
        <v>478</v>
      </c>
      <c r="P337" t="s">
        <v>478</v>
      </c>
      <c r="Q337">
        <v>1</v>
      </c>
      <c r="X337">
        <v>9.32</v>
      </c>
      <c r="Y337">
        <v>0</v>
      </c>
      <c r="Z337">
        <v>7.11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36</v>
      </c>
      <c r="AG337">
        <v>11.183999999999999</v>
      </c>
      <c r="AH337">
        <v>2</v>
      </c>
      <c r="AI337">
        <v>85739747</v>
      </c>
      <c r="AJ337">
        <v>318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ROW(Source!A109)</f>
        <v>109</v>
      </c>
      <c r="B338">
        <v>85739748</v>
      </c>
      <c r="C338">
        <v>85739727</v>
      </c>
      <c r="D338">
        <v>85229932</v>
      </c>
      <c r="E338">
        <v>1</v>
      </c>
      <c r="F338">
        <v>1</v>
      </c>
      <c r="G338">
        <v>1081</v>
      </c>
      <c r="H338">
        <v>2</v>
      </c>
      <c r="I338" t="s">
        <v>482</v>
      </c>
      <c r="J338" t="s">
        <v>483</v>
      </c>
      <c r="K338" t="s">
        <v>484</v>
      </c>
      <c r="L338">
        <v>1368</v>
      </c>
      <c r="N338">
        <v>1011</v>
      </c>
      <c r="O338" t="s">
        <v>478</v>
      </c>
      <c r="P338" t="s">
        <v>478</v>
      </c>
      <c r="Q338">
        <v>1</v>
      </c>
      <c r="X338">
        <v>0.54</v>
      </c>
      <c r="Y338">
        <v>0</v>
      </c>
      <c r="Z338">
        <v>83.1</v>
      </c>
      <c r="AA338">
        <v>12.62</v>
      </c>
      <c r="AB338">
        <v>0</v>
      </c>
      <c r="AC338">
        <v>0</v>
      </c>
      <c r="AD338">
        <v>1</v>
      </c>
      <c r="AE338">
        <v>0</v>
      </c>
      <c r="AF338" t="s">
        <v>36</v>
      </c>
      <c r="AG338">
        <v>0.64800000000000002</v>
      </c>
      <c r="AH338">
        <v>2</v>
      </c>
      <c r="AI338">
        <v>85739748</v>
      </c>
      <c r="AJ338">
        <v>319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ROW(Source!A109)</f>
        <v>109</v>
      </c>
      <c r="B339">
        <v>85739749</v>
      </c>
      <c r="C339">
        <v>85739727</v>
      </c>
      <c r="D339">
        <v>85229250</v>
      </c>
      <c r="E339">
        <v>1</v>
      </c>
      <c r="F339">
        <v>1</v>
      </c>
      <c r="G339">
        <v>1081</v>
      </c>
      <c r="H339">
        <v>2</v>
      </c>
      <c r="I339" t="s">
        <v>552</v>
      </c>
      <c r="J339" t="s">
        <v>553</v>
      </c>
      <c r="K339" t="s">
        <v>554</v>
      </c>
      <c r="L339">
        <v>1368</v>
      </c>
      <c r="N339">
        <v>1011</v>
      </c>
      <c r="O339" t="s">
        <v>478</v>
      </c>
      <c r="P339" t="s">
        <v>478</v>
      </c>
      <c r="Q339">
        <v>1</v>
      </c>
      <c r="X339">
        <v>0.4</v>
      </c>
      <c r="Y339">
        <v>0</v>
      </c>
      <c r="Z339">
        <v>3.18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36</v>
      </c>
      <c r="AG339">
        <v>0.48</v>
      </c>
      <c r="AH339">
        <v>2</v>
      </c>
      <c r="AI339">
        <v>85739749</v>
      </c>
      <c r="AJ339">
        <v>320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ROW(Source!A109)</f>
        <v>109</v>
      </c>
      <c r="B340">
        <v>85739750</v>
      </c>
      <c r="C340">
        <v>85739727</v>
      </c>
      <c r="D340">
        <v>85198960</v>
      </c>
      <c r="E340">
        <v>1</v>
      </c>
      <c r="F340">
        <v>1</v>
      </c>
      <c r="G340">
        <v>1081</v>
      </c>
      <c r="H340">
        <v>3</v>
      </c>
      <c r="I340" t="s">
        <v>513</v>
      </c>
      <c r="J340" t="s">
        <v>514</v>
      </c>
      <c r="K340" t="s">
        <v>515</v>
      </c>
      <c r="L340">
        <v>1339</v>
      </c>
      <c r="N340">
        <v>1007</v>
      </c>
      <c r="O340" t="s">
        <v>506</v>
      </c>
      <c r="P340" t="s">
        <v>506</v>
      </c>
      <c r="Q340">
        <v>1</v>
      </c>
      <c r="X340">
        <v>3</v>
      </c>
      <c r="Y340">
        <v>7.07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 t="s">
        <v>35</v>
      </c>
      <c r="AG340">
        <v>3</v>
      </c>
      <c r="AH340">
        <v>2</v>
      </c>
      <c r="AI340">
        <v>85739750</v>
      </c>
      <c r="AJ340">
        <v>321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ROW(Source!A109)</f>
        <v>109</v>
      </c>
      <c r="B341">
        <v>85739751</v>
      </c>
      <c r="C341">
        <v>85739727</v>
      </c>
      <c r="D341">
        <v>85200023</v>
      </c>
      <c r="E341">
        <v>1</v>
      </c>
      <c r="F341">
        <v>1</v>
      </c>
      <c r="G341">
        <v>1081</v>
      </c>
      <c r="H341">
        <v>3</v>
      </c>
      <c r="I341" t="s">
        <v>555</v>
      </c>
      <c r="J341" t="s">
        <v>556</v>
      </c>
      <c r="K341" t="s">
        <v>557</v>
      </c>
      <c r="L341">
        <v>1348</v>
      </c>
      <c r="N341">
        <v>1009</v>
      </c>
      <c r="O341" t="s">
        <v>266</v>
      </c>
      <c r="P341" t="s">
        <v>266</v>
      </c>
      <c r="Q341">
        <v>1000</v>
      </c>
      <c r="X341">
        <v>1.56E-3</v>
      </c>
      <c r="Y341">
        <v>7185.82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35</v>
      </c>
      <c r="AG341">
        <v>1.56E-3</v>
      </c>
      <c r="AH341">
        <v>2</v>
      </c>
      <c r="AI341">
        <v>85739751</v>
      </c>
      <c r="AJ341">
        <v>322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ROW(Source!A109)</f>
        <v>109</v>
      </c>
      <c r="B342">
        <v>85739752</v>
      </c>
      <c r="C342">
        <v>85739727</v>
      </c>
      <c r="D342">
        <v>85200098</v>
      </c>
      <c r="E342">
        <v>1</v>
      </c>
      <c r="F342">
        <v>1</v>
      </c>
      <c r="G342">
        <v>1081</v>
      </c>
      <c r="H342">
        <v>3</v>
      </c>
      <c r="I342" t="s">
        <v>540</v>
      </c>
      <c r="J342" t="s">
        <v>541</v>
      </c>
      <c r="K342" t="s">
        <v>542</v>
      </c>
      <c r="L342">
        <v>1346</v>
      </c>
      <c r="N342">
        <v>1009</v>
      </c>
      <c r="O342" t="s">
        <v>502</v>
      </c>
      <c r="P342" t="s">
        <v>502</v>
      </c>
      <c r="Q342">
        <v>1</v>
      </c>
      <c r="X342">
        <v>0.76</v>
      </c>
      <c r="Y342">
        <v>21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35</v>
      </c>
      <c r="AG342">
        <v>0.76</v>
      </c>
      <c r="AH342">
        <v>2</v>
      </c>
      <c r="AI342">
        <v>85739752</v>
      </c>
      <c r="AJ342">
        <v>323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ROW(Source!A109)</f>
        <v>109</v>
      </c>
      <c r="B343">
        <v>85739753</v>
      </c>
      <c r="C343">
        <v>85739727</v>
      </c>
      <c r="D343">
        <v>85200296</v>
      </c>
      <c r="E343">
        <v>1</v>
      </c>
      <c r="F343">
        <v>1</v>
      </c>
      <c r="G343">
        <v>1081</v>
      </c>
      <c r="H343">
        <v>3</v>
      </c>
      <c r="I343" t="s">
        <v>558</v>
      </c>
      <c r="J343" t="s">
        <v>559</v>
      </c>
      <c r="K343" t="s">
        <v>560</v>
      </c>
      <c r="L343">
        <v>1355</v>
      </c>
      <c r="N343">
        <v>1010</v>
      </c>
      <c r="O343" t="s">
        <v>240</v>
      </c>
      <c r="P343" t="s">
        <v>240</v>
      </c>
      <c r="Q343">
        <v>100</v>
      </c>
      <c r="X343">
        <v>0.36</v>
      </c>
      <c r="Y343">
        <v>496.79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 t="s">
        <v>35</v>
      </c>
      <c r="AG343">
        <v>0.36</v>
      </c>
      <c r="AH343">
        <v>2</v>
      </c>
      <c r="AI343">
        <v>85739753</v>
      </c>
      <c r="AJ343">
        <v>324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ROW(Source!A109)</f>
        <v>109</v>
      </c>
      <c r="B344">
        <v>85739754</v>
      </c>
      <c r="C344">
        <v>85739727</v>
      </c>
      <c r="D344">
        <v>85200297</v>
      </c>
      <c r="E344">
        <v>1</v>
      </c>
      <c r="F344">
        <v>1</v>
      </c>
      <c r="G344">
        <v>1081</v>
      </c>
      <c r="H344">
        <v>3</v>
      </c>
      <c r="I344" t="s">
        <v>561</v>
      </c>
      <c r="J344" t="s">
        <v>562</v>
      </c>
      <c r="K344" t="s">
        <v>563</v>
      </c>
      <c r="L344">
        <v>1355</v>
      </c>
      <c r="N344">
        <v>1010</v>
      </c>
      <c r="O344" t="s">
        <v>240</v>
      </c>
      <c r="P344" t="s">
        <v>240</v>
      </c>
      <c r="Q344">
        <v>100</v>
      </c>
      <c r="X344">
        <v>0.36</v>
      </c>
      <c r="Y344">
        <v>243.75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35</v>
      </c>
      <c r="AG344">
        <v>0.36</v>
      </c>
      <c r="AH344">
        <v>2</v>
      </c>
      <c r="AI344">
        <v>85739754</v>
      </c>
      <c r="AJ344">
        <v>325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ROW(Source!A109)</f>
        <v>109</v>
      </c>
      <c r="B345">
        <v>85739755</v>
      </c>
      <c r="C345">
        <v>85739727</v>
      </c>
      <c r="D345">
        <v>85198892</v>
      </c>
      <c r="E345">
        <v>1</v>
      </c>
      <c r="F345">
        <v>1</v>
      </c>
      <c r="G345">
        <v>1081</v>
      </c>
      <c r="H345">
        <v>3</v>
      </c>
      <c r="I345" t="s">
        <v>543</v>
      </c>
      <c r="J345" t="s">
        <v>544</v>
      </c>
      <c r="K345" t="s">
        <v>545</v>
      </c>
      <c r="L345">
        <v>1339</v>
      </c>
      <c r="N345">
        <v>1007</v>
      </c>
      <c r="O345" t="s">
        <v>506</v>
      </c>
      <c r="P345" t="s">
        <v>506</v>
      </c>
      <c r="Q345">
        <v>1</v>
      </c>
      <c r="X345">
        <v>0.59</v>
      </c>
      <c r="Y345">
        <v>53.42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35</v>
      </c>
      <c r="AG345">
        <v>0.59</v>
      </c>
      <c r="AH345">
        <v>2</v>
      </c>
      <c r="AI345">
        <v>85739755</v>
      </c>
      <c r="AJ345">
        <v>326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ROW(Source!A109)</f>
        <v>109</v>
      </c>
      <c r="B346">
        <v>85739756</v>
      </c>
      <c r="C346">
        <v>85739727</v>
      </c>
      <c r="D346">
        <v>85199158</v>
      </c>
      <c r="E346">
        <v>1</v>
      </c>
      <c r="F346">
        <v>1</v>
      </c>
      <c r="G346">
        <v>1081</v>
      </c>
      <c r="H346">
        <v>3</v>
      </c>
      <c r="I346" t="s">
        <v>503</v>
      </c>
      <c r="J346" t="s">
        <v>504</v>
      </c>
      <c r="K346" t="s">
        <v>505</v>
      </c>
      <c r="L346">
        <v>1339</v>
      </c>
      <c r="N346">
        <v>1007</v>
      </c>
      <c r="O346" t="s">
        <v>506</v>
      </c>
      <c r="P346" t="s">
        <v>506</v>
      </c>
      <c r="Q346">
        <v>1</v>
      </c>
      <c r="X346">
        <v>0.76</v>
      </c>
      <c r="Y346">
        <v>5.82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35</v>
      </c>
      <c r="AG346">
        <v>0.76</v>
      </c>
      <c r="AH346">
        <v>2</v>
      </c>
      <c r="AI346">
        <v>85739756</v>
      </c>
      <c r="AJ346">
        <v>327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ROW(Source!A109)</f>
        <v>109</v>
      </c>
      <c r="B347">
        <v>85739757</v>
      </c>
      <c r="C347">
        <v>85739727</v>
      </c>
      <c r="D347">
        <v>85221547</v>
      </c>
      <c r="E347">
        <v>1</v>
      </c>
      <c r="F347">
        <v>1</v>
      </c>
      <c r="G347">
        <v>1081</v>
      </c>
      <c r="H347">
        <v>3</v>
      </c>
      <c r="I347" t="s">
        <v>564</v>
      </c>
      <c r="J347" t="s">
        <v>565</v>
      </c>
      <c r="K347" t="s">
        <v>566</v>
      </c>
      <c r="L347">
        <v>1354</v>
      </c>
      <c r="N347">
        <v>1010</v>
      </c>
      <c r="O347" t="s">
        <v>99</v>
      </c>
      <c r="P347" t="s">
        <v>99</v>
      </c>
      <c r="Q347">
        <v>1</v>
      </c>
      <c r="X347">
        <v>36</v>
      </c>
      <c r="Y347">
        <v>14.28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35</v>
      </c>
      <c r="AG347">
        <v>36</v>
      </c>
      <c r="AH347">
        <v>2</v>
      </c>
      <c r="AI347">
        <v>85739757</v>
      </c>
      <c r="AJ347">
        <v>330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ROW(Source!A109)</f>
        <v>109</v>
      </c>
      <c r="B348">
        <v>85739758</v>
      </c>
      <c r="C348">
        <v>85739727</v>
      </c>
      <c r="D348">
        <v>85156878</v>
      </c>
      <c r="E348">
        <v>1081</v>
      </c>
      <c r="F348">
        <v>1</v>
      </c>
      <c r="G348">
        <v>1081</v>
      </c>
      <c r="H348">
        <v>3</v>
      </c>
      <c r="I348" t="s">
        <v>640</v>
      </c>
      <c r="J348" t="s">
        <v>3</v>
      </c>
      <c r="K348" t="s">
        <v>641</v>
      </c>
      <c r="L348">
        <v>1301</v>
      </c>
      <c r="N348">
        <v>1003</v>
      </c>
      <c r="O348" t="s">
        <v>179</v>
      </c>
      <c r="P348" t="s">
        <v>179</v>
      </c>
      <c r="Q348">
        <v>1</v>
      </c>
      <c r="X348">
        <v>100.5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35</v>
      </c>
      <c r="AG348">
        <v>100.5</v>
      </c>
      <c r="AH348">
        <v>3</v>
      </c>
      <c r="AI348">
        <v>-1</v>
      </c>
      <c r="AJ348" t="s">
        <v>3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ROW(Source!A122)</f>
        <v>122</v>
      </c>
      <c r="B349">
        <v>85739818</v>
      </c>
      <c r="C349">
        <v>85739816</v>
      </c>
      <c r="D349">
        <v>85164021</v>
      </c>
      <c r="E349">
        <v>1081</v>
      </c>
      <c r="F349">
        <v>1</v>
      </c>
      <c r="G349">
        <v>1081</v>
      </c>
      <c r="H349">
        <v>1</v>
      </c>
      <c r="I349" t="s">
        <v>472</v>
      </c>
      <c r="J349" t="s">
        <v>3</v>
      </c>
      <c r="K349" t="s">
        <v>473</v>
      </c>
      <c r="L349">
        <v>1191</v>
      </c>
      <c r="N349">
        <v>1013</v>
      </c>
      <c r="O349" t="s">
        <v>474</v>
      </c>
      <c r="P349" t="s">
        <v>474</v>
      </c>
      <c r="Q349">
        <v>1</v>
      </c>
      <c r="X349">
        <v>13.4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1</v>
      </c>
      <c r="AF349" t="s">
        <v>79</v>
      </c>
      <c r="AG349">
        <v>18.491999999999997</v>
      </c>
      <c r="AH349">
        <v>2</v>
      </c>
      <c r="AI349">
        <v>85739818</v>
      </c>
      <c r="AJ349">
        <v>331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ROW(Source!A122)</f>
        <v>122</v>
      </c>
      <c r="B350">
        <v>85739819</v>
      </c>
      <c r="C350">
        <v>85739816</v>
      </c>
      <c r="D350">
        <v>85229932</v>
      </c>
      <c r="E350">
        <v>1</v>
      </c>
      <c r="F350">
        <v>1</v>
      </c>
      <c r="G350">
        <v>1081</v>
      </c>
      <c r="H350">
        <v>2</v>
      </c>
      <c r="I350" t="s">
        <v>482</v>
      </c>
      <c r="J350" t="s">
        <v>483</v>
      </c>
      <c r="K350" t="s">
        <v>484</v>
      </c>
      <c r="L350">
        <v>1368</v>
      </c>
      <c r="N350">
        <v>1011</v>
      </c>
      <c r="O350" t="s">
        <v>478</v>
      </c>
      <c r="P350" t="s">
        <v>478</v>
      </c>
      <c r="Q350">
        <v>1</v>
      </c>
      <c r="X350">
        <v>0.03</v>
      </c>
      <c r="Y350">
        <v>0</v>
      </c>
      <c r="Z350">
        <v>83.1</v>
      </c>
      <c r="AA350">
        <v>12.62</v>
      </c>
      <c r="AB350">
        <v>0</v>
      </c>
      <c r="AC350">
        <v>0</v>
      </c>
      <c r="AD350">
        <v>1</v>
      </c>
      <c r="AE350">
        <v>0</v>
      </c>
      <c r="AF350" t="s">
        <v>78</v>
      </c>
      <c r="AG350">
        <v>4.4999999999999998E-2</v>
      </c>
      <c r="AH350">
        <v>2</v>
      </c>
      <c r="AI350">
        <v>85739819</v>
      </c>
      <c r="AJ350">
        <v>332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ROW(Source!A122)</f>
        <v>122</v>
      </c>
      <c r="B351">
        <v>85739820</v>
      </c>
      <c r="C351">
        <v>85739816</v>
      </c>
      <c r="D351">
        <v>85187513</v>
      </c>
      <c r="E351">
        <v>1081</v>
      </c>
      <c r="F351">
        <v>1</v>
      </c>
      <c r="G351">
        <v>1081</v>
      </c>
      <c r="H351">
        <v>3</v>
      </c>
      <c r="I351" t="s">
        <v>643</v>
      </c>
      <c r="J351" t="s">
        <v>3</v>
      </c>
      <c r="K351" t="s">
        <v>644</v>
      </c>
      <c r="L351">
        <v>1354</v>
      </c>
      <c r="N351">
        <v>1010</v>
      </c>
      <c r="O351" t="s">
        <v>99</v>
      </c>
      <c r="P351" t="s">
        <v>99</v>
      </c>
      <c r="Q351">
        <v>1</v>
      </c>
      <c r="X351">
        <v>100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 t="s">
        <v>77</v>
      </c>
      <c r="AG351">
        <v>100</v>
      </c>
      <c r="AH351">
        <v>3</v>
      </c>
      <c r="AI351">
        <v>-1</v>
      </c>
      <c r="AJ351" t="s">
        <v>3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ROW(Source!A123)</f>
        <v>123</v>
      </c>
      <c r="B352">
        <v>85739818</v>
      </c>
      <c r="C352">
        <v>85739816</v>
      </c>
      <c r="D352">
        <v>85164021</v>
      </c>
      <c r="E352">
        <v>1081</v>
      </c>
      <c r="F352">
        <v>1</v>
      </c>
      <c r="G352">
        <v>1081</v>
      </c>
      <c r="H352">
        <v>1</v>
      </c>
      <c r="I352" t="s">
        <v>472</v>
      </c>
      <c r="J352" t="s">
        <v>3</v>
      </c>
      <c r="K352" t="s">
        <v>473</v>
      </c>
      <c r="L352">
        <v>1191</v>
      </c>
      <c r="N352">
        <v>1013</v>
      </c>
      <c r="O352" t="s">
        <v>474</v>
      </c>
      <c r="P352" t="s">
        <v>474</v>
      </c>
      <c r="Q352">
        <v>1</v>
      </c>
      <c r="X352">
        <v>13.4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1</v>
      </c>
      <c r="AF352" t="s">
        <v>79</v>
      </c>
      <c r="AG352">
        <v>18.491999999999997</v>
      </c>
      <c r="AH352">
        <v>2</v>
      </c>
      <c r="AI352">
        <v>85739818</v>
      </c>
      <c r="AJ352">
        <v>335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ROW(Source!A123)</f>
        <v>123</v>
      </c>
      <c r="B353">
        <v>85739819</v>
      </c>
      <c r="C353">
        <v>85739816</v>
      </c>
      <c r="D353">
        <v>85229932</v>
      </c>
      <c r="E353">
        <v>1</v>
      </c>
      <c r="F353">
        <v>1</v>
      </c>
      <c r="G353">
        <v>1081</v>
      </c>
      <c r="H353">
        <v>2</v>
      </c>
      <c r="I353" t="s">
        <v>482</v>
      </c>
      <c r="J353" t="s">
        <v>483</v>
      </c>
      <c r="K353" t="s">
        <v>484</v>
      </c>
      <c r="L353">
        <v>1368</v>
      </c>
      <c r="N353">
        <v>1011</v>
      </c>
      <c r="O353" t="s">
        <v>478</v>
      </c>
      <c r="P353" t="s">
        <v>478</v>
      </c>
      <c r="Q353">
        <v>1</v>
      </c>
      <c r="X353">
        <v>0.03</v>
      </c>
      <c r="Y353">
        <v>0</v>
      </c>
      <c r="Z353">
        <v>83.1</v>
      </c>
      <c r="AA353">
        <v>12.62</v>
      </c>
      <c r="AB353">
        <v>0</v>
      </c>
      <c r="AC353">
        <v>0</v>
      </c>
      <c r="AD353">
        <v>1</v>
      </c>
      <c r="AE353">
        <v>0</v>
      </c>
      <c r="AF353" t="s">
        <v>78</v>
      </c>
      <c r="AG353">
        <v>4.4999999999999998E-2</v>
      </c>
      <c r="AH353">
        <v>2</v>
      </c>
      <c r="AI353">
        <v>85739819</v>
      </c>
      <c r="AJ353">
        <v>336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ROW(Source!A123)</f>
        <v>123</v>
      </c>
      <c r="B354">
        <v>85739820</v>
      </c>
      <c r="C354">
        <v>85739816</v>
      </c>
      <c r="D354">
        <v>85187513</v>
      </c>
      <c r="E354">
        <v>1081</v>
      </c>
      <c r="F354">
        <v>1</v>
      </c>
      <c r="G354">
        <v>1081</v>
      </c>
      <c r="H354">
        <v>3</v>
      </c>
      <c r="I354" t="s">
        <v>643</v>
      </c>
      <c r="J354" t="s">
        <v>3</v>
      </c>
      <c r="K354" t="s">
        <v>644</v>
      </c>
      <c r="L354">
        <v>1354</v>
      </c>
      <c r="N354">
        <v>1010</v>
      </c>
      <c r="O354" t="s">
        <v>99</v>
      </c>
      <c r="P354" t="s">
        <v>99</v>
      </c>
      <c r="Q354">
        <v>1</v>
      </c>
      <c r="X354">
        <v>100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 t="s">
        <v>77</v>
      </c>
      <c r="AG354">
        <v>100</v>
      </c>
      <c r="AH354">
        <v>3</v>
      </c>
      <c r="AI354">
        <v>-1</v>
      </c>
      <c r="AJ354" t="s">
        <v>3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ROW(Source!A128)</f>
        <v>128</v>
      </c>
      <c r="B355">
        <v>85739827</v>
      </c>
      <c r="C355">
        <v>85739824</v>
      </c>
      <c r="D355">
        <v>85164021</v>
      </c>
      <c r="E355">
        <v>1081</v>
      </c>
      <c r="F355">
        <v>1</v>
      </c>
      <c r="G355">
        <v>1081</v>
      </c>
      <c r="H355">
        <v>1</v>
      </c>
      <c r="I355" t="s">
        <v>472</v>
      </c>
      <c r="J355" t="s">
        <v>3</v>
      </c>
      <c r="K355" t="s">
        <v>473</v>
      </c>
      <c r="L355">
        <v>1191</v>
      </c>
      <c r="N355">
        <v>1013</v>
      </c>
      <c r="O355" t="s">
        <v>474</v>
      </c>
      <c r="P355" t="s">
        <v>474</v>
      </c>
      <c r="Q355">
        <v>1</v>
      </c>
      <c r="X355">
        <v>5.31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1</v>
      </c>
      <c r="AF355" t="s">
        <v>260</v>
      </c>
      <c r="AG355">
        <v>14.655599999999996</v>
      </c>
      <c r="AH355">
        <v>2</v>
      </c>
      <c r="AI355">
        <v>85739827</v>
      </c>
      <c r="AJ355">
        <v>339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ROW(Source!A128)</f>
        <v>128</v>
      </c>
      <c r="B356">
        <v>85739828</v>
      </c>
      <c r="C356">
        <v>85739824</v>
      </c>
      <c r="D356">
        <v>85229532</v>
      </c>
      <c r="E356">
        <v>1</v>
      </c>
      <c r="F356">
        <v>1</v>
      </c>
      <c r="G356">
        <v>1081</v>
      </c>
      <c r="H356">
        <v>2</v>
      </c>
      <c r="I356" t="s">
        <v>567</v>
      </c>
      <c r="J356" t="s">
        <v>568</v>
      </c>
      <c r="K356" t="s">
        <v>569</v>
      </c>
      <c r="L356">
        <v>1368</v>
      </c>
      <c r="N356">
        <v>1011</v>
      </c>
      <c r="O356" t="s">
        <v>478</v>
      </c>
      <c r="P356" t="s">
        <v>478</v>
      </c>
      <c r="Q356">
        <v>1</v>
      </c>
      <c r="X356">
        <v>1.1200000000000001</v>
      </c>
      <c r="Y356">
        <v>0</v>
      </c>
      <c r="Z356">
        <v>10.4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259</v>
      </c>
      <c r="AG356">
        <v>3.3600000000000003</v>
      </c>
      <c r="AH356">
        <v>2</v>
      </c>
      <c r="AI356">
        <v>85739828</v>
      </c>
      <c r="AJ356">
        <v>340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ROW(Source!A128)</f>
        <v>128</v>
      </c>
      <c r="B357">
        <v>85739829</v>
      </c>
      <c r="C357">
        <v>85739824</v>
      </c>
      <c r="D357">
        <v>85229932</v>
      </c>
      <c r="E357">
        <v>1</v>
      </c>
      <c r="F357">
        <v>1</v>
      </c>
      <c r="G357">
        <v>1081</v>
      </c>
      <c r="H357">
        <v>2</v>
      </c>
      <c r="I357" t="s">
        <v>482</v>
      </c>
      <c r="J357" t="s">
        <v>483</v>
      </c>
      <c r="K357" t="s">
        <v>484</v>
      </c>
      <c r="L357">
        <v>1368</v>
      </c>
      <c r="N357">
        <v>1011</v>
      </c>
      <c r="O357" t="s">
        <v>478</v>
      </c>
      <c r="P357" t="s">
        <v>478</v>
      </c>
      <c r="Q357">
        <v>1</v>
      </c>
      <c r="X357">
        <v>0.01</v>
      </c>
      <c r="Y357">
        <v>0</v>
      </c>
      <c r="Z357">
        <v>83.1</v>
      </c>
      <c r="AA357">
        <v>12.62</v>
      </c>
      <c r="AB357">
        <v>0</v>
      </c>
      <c r="AC357">
        <v>0</v>
      </c>
      <c r="AD357">
        <v>1</v>
      </c>
      <c r="AE357">
        <v>0</v>
      </c>
      <c r="AF357" t="s">
        <v>259</v>
      </c>
      <c r="AG357">
        <v>0.03</v>
      </c>
      <c r="AH357">
        <v>2</v>
      </c>
      <c r="AI357">
        <v>85739829</v>
      </c>
      <c r="AJ357">
        <v>341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ROW(Source!A128)</f>
        <v>128</v>
      </c>
      <c r="B358">
        <v>85739830</v>
      </c>
      <c r="C358">
        <v>85739824</v>
      </c>
      <c r="D358">
        <v>85229236</v>
      </c>
      <c r="E358">
        <v>1</v>
      </c>
      <c r="F358">
        <v>1</v>
      </c>
      <c r="G358">
        <v>1081</v>
      </c>
      <c r="H358">
        <v>2</v>
      </c>
      <c r="I358" t="s">
        <v>570</v>
      </c>
      <c r="J358" t="s">
        <v>571</v>
      </c>
      <c r="K358" t="s">
        <v>572</v>
      </c>
      <c r="L358">
        <v>1368</v>
      </c>
      <c r="N358">
        <v>1011</v>
      </c>
      <c r="O358" t="s">
        <v>478</v>
      </c>
      <c r="P358" t="s">
        <v>478</v>
      </c>
      <c r="Q358">
        <v>1</v>
      </c>
      <c r="X358">
        <v>0.01</v>
      </c>
      <c r="Y358">
        <v>0</v>
      </c>
      <c r="Z358">
        <v>114.83</v>
      </c>
      <c r="AA358">
        <v>12.62</v>
      </c>
      <c r="AB358">
        <v>0</v>
      </c>
      <c r="AC358">
        <v>0</v>
      </c>
      <c r="AD358">
        <v>1</v>
      </c>
      <c r="AE358">
        <v>0</v>
      </c>
      <c r="AF358" t="s">
        <v>259</v>
      </c>
      <c r="AG358">
        <v>0.03</v>
      </c>
      <c r="AH358">
        <v>2</v>
      </c>
      <c r="AI358">
        <v>85739830</v>
      </c>
      <c r="AJ358">
        <v>342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ROW(Source!A128)</f>
        <v>128</v>
      </c>
      <c r="B359">
        <v>85739831</v>
      </c>
      <c r="C359">
        <v>85739824</v>
      </c>
      <c r="D359">
        <v>85229248</v>
      </c>
      <c r="E359">
        <v>1</v>
      </c>
      <c r="F359">
        <v>1</v>
      </c>
      <c r="G359">
        <v>1081</v>
      </c>
      <c r="H359">
        <v>2</v>
      </c>
      <c r="I359" t="s">
        <v>573</v>
      </c>
      <c r="J359" t="s">
        <v>574</v>
      </c>
      <c r="K359" t="s">
        <v>575</v>
      </c>
      <c r="L359">
        <v>1368</v>
      </c>
      <c r="N359">
        <v>1011</v>
      </c>
      <c r="O359" t="s">
        <v>478</v>
      </c>
      <c r="P359" t="s">
        <v>478</v>
      </c>
      <c r="Q359">
        <v>1</v>
      </c>
      <c r="X359">
        <v>0.01</v>
      </c>
      <c r="Y359">
        <v>0</v>
      </c>
      <c r="Z359">
        <v>0.77</v>
      </c>
      <c r="AA359">
        <v>0</v>
      </c>
      <c r="AB359">
        <v>0</v>
      </c>
      <c r="AC359">
        <v>0</v>
      </c>
      <c r="AD359">
        <v>1</v>
      </c>
      <c r="AE359">
        <v>0</v>
      </c>
      <c r="AF359" t="s">
        <v>259</v>
      </c>
      <c r="AG359">
        <v>0.03</v>
      </c>
      <c r="AH359">
        <v>2</v>
      </c>
      <c r="AI359">
        <v>85739831</v>
      </c>
      <c r="AJ359">
        <v>343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ROW(Source!A128)</f>
        <v>128</v>
      </c>
      <c r="B360">
        <v>85739832</v>
      </c>
      <c r="C360">
        <v>85739824</v>
      </c>
      <c r="D360">
        <v>85199235</v>
      </c>
      <c r="E360">
        <v>1</v>
      </c>
      <c r="F360">
        <v>1</v>
      </c>
      <c r="G360">
        <v>1081</v>
      </c>
      <c r="H360">
        <v>3</v>
      </c>
      <c r="I360" t="s">
        <v>576</v>
      </c>
      <c r="J360" t="s">
        <v>577</v>
      </c>
      <c r="K360" t="s">
        <v>578</v>
      </c>
      <c r="L360">
        <v>1348</v>
      </c>
      <c r="N360">
        <v>1009</v>
      </c>
      <c r="O360" t="s">
        <v>266</v>
      </c>
      <c r="P360" t="s">
        <v>266</v>
      </c>
      <c r="Q360">
        <v>1000</v>
      </c>
      <c r="X360">
        <v>1.5E-3</v>
      </c>
      <c r="Y360">
        <v>6290.61</v>
      </c>
      <c r="Z360">
        <v>0</v>
      </c>
      <c r="AA360">
        <v>0</v>
      </c>
      <c r="AB360">
        <v>0</v>
      </c>
      <c r="AC360">
        <v>0</v>
      </c>
      <c r="AD360">
        <v>1</v>
      </c>
      <c r="AE360">
        <v>0</v>
      </c>
      <c r="AF360" t="s">
        <v>258</v>
      </c>
      <c r="AG360">
        <v>3.0000000000000001E-3</v>
      </c>
      <c r="AH360">
        <v>2</v>
      </c>
      <c r="AI360">
        <v>85739832</v>
      </c>
      <c r="AJ360">
        <v>345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ROW(Source!A128)</f>
        <v>128</v>
      </c>
      <c r="B361">
        <v>85739833</v>
      </c>
      <c r="C361">
        <v>85739824</v>
      </c>
      <c r="D361">
        <v>85168866</v>
      </c>
      <c r="E361">
        <v>1081</v>
      </c>
      <c r="F361">
        <v>1</v>
      </c>
      <c r="G361">
        <v>1081</v>
      </c>
      <c r="H361">
        <v>3</v>
      </c>
      <c r="I361" t="s">
        <v>645</v>
      </c>
      <c r="J361" t="s">
        <v>3</v>
      </c>
      <c r="K361" t="s">
        <v>646</v>
      </c>
      <c r="L361">
        <v>1348</v>
      </c>
      <c r="N361">
        <v>1009</v>
      </c>
      <c r="O361" t="s">
        <v>266</v>
      </c>
      <c r="P361" t="s">
        <v>266</v>
      </c>
      <c r="Q361">
        <v>1000</v>
      </c>
      <c r="X361">
        <v>8.9999999999999993E-3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258</v>
      </c>
      <c r="AG361">
        <v>1.7999999999999999E-2</v>
      </c>
      <c r="AH361">
        <v>3</v>
      </c>
      <c r="AI361">
        <v>-1</v>
      </c>
      <c r="AJ361" t="s">
        <v>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ROW(Source!A129)</f>
        <v>129</v>
      </c>
      <c r="B362">
        <v>85739827</v>
      </c>
      <c r="C362">
        <v>85739824</v>
      </c>
      <c r="D362">
        <v>85164021</v>
      </c>
      <c r="E362">
        <v>1081</v>
      </c>
      <c r="F362">
        <v>1</v>
      </c>
      <c r="G362">
        <v>1081</v>
      </c>
      <c r="H362">
        <v>1</v>
      </c>
      <c r="I362" t="s">
        <v>472</v>
      </c>
      <c r="J362" t="s">
        <v>3</v>
      </c>
      <c r="K362" t="s">
        <v>473</v>
      </c>
      <c r="L362">
        <v>1191</v>
      </c>
      <c r="N362">
        <v>1013</v>
      </c>
      <c r="O362" t="s">
        <v>474</v>
      </c>
      <c r="P362" t="s">
        <v>474</v>
      </c>
      <c r="Q362">
        <v>1</v>
      </c>
      <c r="X362">
        <v>5.31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 t="s">
        <v>260</v>
      </c>
      <c r="AG362">
        <v>14.655599999999996</v>
      </c>
      <c r="AH362">
        <v>2</v>
      </c>
      <c r="AI362">
        <v>85739827</v>
      </c>
      <c r="AJ362">
        <v>346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ROW(Source!A129)</f>
        <v>129</v>
      </c>
      <c r="B363">
        <v>85739828</v>
      </c>
      <c r="C363">
        <v>85739824</v>
      </c>
      <c r="D363">
        <v>85229532</v>
      </c>
      <c r="E363">
        <v>1</v>
      </c>
      <c r="F363">
        <v>1</v>
      </c>
      <c r="G363">
        <v>1081</v>
      </c>
      <c r="H363">
        <v>2</v>
      </c>
      <c r="I363" t="s">
        <v>567</v>
      </c>
      <c r="J363" t="s">
        <v>568</v>
      </c>
      <c r="K363" t="s">
        <v>569</v>
      </c>
      <c r="L363">
        <v>1368</v>
      </c>
      <c r="N363">
        <v>1011</v>
      </c>
      <c r="O363" t="s">
        <v>478</v>
      </c>
      <c r="P363" t="s">
        <v>478</v>
      </c>
      <c r="Q363">
        <v>1</v>
      </c>
      <c r="X363">
        <v>1.1200000000000001</v>
      </c>
      <c r="Y363">
        <v>0</v>
      </c>
      <c r="Z363">
        <v>10.4</v>
      </c>
      <c r="AA363">
        <v>0</v>
      </c>
      <c r="AB363">
        <v>0</v>
      </c>
      <c r="AC363">
        <v>0</v>
      </c>
      <c r="AD363">
        <v>1</v>
      </c>
      <c r="AE363">
        <v>0</v>
      </c>
      <c r="AF363" t="s">
        <v>259</v>
      </c>
      <c r="AG363">
        <v>3.3600000000000003</v>
      </c>
      <c r="AH363">
        <v>2</v>
      </c>
      <c r="AI363">
        <v>85739828</v>
      </c>
      <c r="AJ363">
        <v>347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ROW(Source!A129)</f>
        <v>129</v>
      </c>
      <c r="B364">
        <v>85739829</v>
      </c>
      <c r="C364">
        <v>85739824</v>
      </c>
      <c r="D364">
        <v>85229932</v>
      </c>
      <c r="E364">
        <v>1</v>
      </c>
      <c r="F364">
        <v>1</v>
      </c>
      <c r="G364">
        <v>1081</v>
      </c>
      <c r="H364">
        <v>2</v>
      </c>
      <c r="I364" t="s">
        <v>482</v>
      </c>
      <c r="J364" t="s">
        <v>483</v>
      </c>
      <c r="K364" t="s">
        <v>484</v>
      </c>
      <c r="L364">
        <v>1368</v>
      </c>
      <c r="N364">
        <v>1011</v>
      </c>
      <c r="O364" t="s">
        <v>478</v>
      </c>
      <c r="P364" t="s">
        <v>478</v>
      </c>
      <c r="Q364">
        <v>1</v>
      </c>
      <c r="X364">
        <v>0.01</v>
      </c>
      <c r="Y364">
        <v>0</v>
      </c>
      <c r="Z364">
        <v>83.1</v>
      </c>
      <c r="AA364">
        <v>12.62</v>
      </c>
      <c r="AB364">
        <v>0</v>
      </c>
      <c r="AC364">
        <v>0</v>
      </c>
      <c r="AD364">
        <v>1</v>
      </c>
      <c r="AE364">
        <v>0</v>
      </c>
      <c r="AF364" t="s">
        <v>259</v>
      </c>
      <c r="AG364">
        <v>0.03</v>
      </c>
      <c r="AH364">
        <v>2</v>
      </c>
      <c r="AI364">
        <v>85739829</v>
      </c>
      <c r="AJ364">
        <v>348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ROW(Source!A129)</f>
        <v>129</v>
      </c>
      <c r="B365">
        <v>85739830</v>
      </c>
      <c r="C365">
        <v>85739824</v>
      </c>
      <c r="D365">
        <v>85229236</v>
      </c>
      <c r="E365">
        <v>1</v>
      </c>
      <c r="F365">
        <v>1</v>
      </c>
      <c r="G365">
        <v>1081</v>
      </c>
      <c r="H365">
        <v>2</v>
      </c>
      <c r="I365" t="s">
        <v>570</v>
      </c>
      <c r="J365" t="s">
        <v>571</v>
      </c>
      <c r="K365" t="s">
        <v>572</v>
      </c>
      <c r="L365">
        <v>1368</v>
      </c>
      <c r="N365">
        <v>1011</v>
      </c>
      <c r="O365" t="s">
        <v>478</v>
      </c>
      <c r="P365" t="s">
        <v>478</v>
      </c>
      <c r="Q365">
        <v>1</v>
      </c>
      <c r="X365">
        <v>0.01</v>
      </c>
      <c r="Y365">
        <v>0</v>
      </c>
      <c r="Z365">
        <v>114.83</v>
      </c>
      <c r="AA365">
        <v>12.62</v>
      </c>
      <c r="AB365">
        <v>0</v>
      </c>
      <c r="AC365">
        <v>0</v>
      </c>
      <c r="AD365">
        <v>1</v>
      </c>
      <c r="AE365">
        <v>0</v>
      </c>
      <c r="AF365" t="s">
        <v>259</v>
      </c>
      <c r="AG365">
        <v>0.03</v>
      </c>
      <c r="AH365">
        <v>2</v>
      </c>
      <c r="AI365">
        <v>85739830</v>
      </c>
      <c r="AJ365">
        <v>349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ROW(Source!A129)</f>
        <v>129</v>
      </c>
      <c r="B366">
        <v>85739831</v>
      </c>
      <c r="C366">
        <v>85739824</v>
      </c>
      <c r="D366">
        <v>85229248</v>
      </c>
      <c r="E366">
        <v>1</v>
      </c>
      <c r="F366">
        <v>1</v>
      </c>
      <c r="G366">
        <v>1081</v>
      </c>
      <c r="H366">
        <v>2</v>
      </c>
      <c r="I366" t="s">
        <v>573</v>
      </c>
      <c r="J366" t="s">
        <v>574</v>
      </c>
      <c r="K366" t="s">
        <v>575</v>
      </c>
      <c r="L366">
        <v>1368</v>
      </c>
      <c r="N366">
        <v>1011</v>
      </c>
      <c r="O366" t="s">
        <v>478</v>
      </c>
      <c r="P366" t="s">
        <v>478</v>
      </c>
      <c r="Q366">
        <v>1</v>
      </c>
      <c r="X366">
        <v>0.01</v>
      </c>
      <c r="Y366">
        <v>0</v>
      </c>
      <c r="Z366">
        <v>0.77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259</v>
      </c>
      <c r="AG366">
        <v>0.03</v>
      </c>
      <c r="AH366">
        <v>2</v>
      </c>
      <c r="AI366">
        <v>85739831</v>
      </c>
      <c r="AJ366">
        <v>350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ROW(Source!A129)</f>
        <v>129</v>
      </c>
      <c r="B367">
        <v>85739832</v>
      </c>
      <c r="C367">
        <v>85739824</v>
      </c>
      <c r="D367">
        <v>85199235</v>
      </c>
      <c r="E367">
        <v>1</v>
      </c>
      <c r="F367">
        <v>1</v>
      </c>
      <c r="G367">
        <v>1081</v>
      </c>
      <c r="H367">
        <v>3</v>
      </c>
      <c r="I367" t="s">
        <v>576</v>
      </c>
      <c r="J367" t="s">
        <v>577</v>
      </c>
      <c r="K367" t="s">
        <v>578</v>
      </c>
      <c r="L367">
        <v>1348</v>
      </c>
      <c r="N367">
        <v>1009</v>
      </c>
      <c r="O367" t="s">
        <v>266</v>
      </c>
      <c r="P367" t="s">
        <v>266</v>
      </c>
      <c r="Q367">
        <v>1000</v>
      </c>
      <c r="X367">
        <v>1.5E-3</v>
      </c>
      <c r="Y367">
        <v>6290.61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0</v>
      </c>
      <c r="AF367" t="s">
        <v>258</v>
      </c>
      <c r="AG367">
        <v>3.0000000000000001E-3</v>
      </c>
      <c r="AH367">
        <v>2</v>
      </c>
      <c r="AI367">
        <v>85739832</v>
      </c>
      <c r="AJ367">
        <v>352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ROW(Source!A129)</f>
        <v>129</v>
      </c>
      <c r="B368">
        <v>85739833</v>
      </c>
      <c r="C368">
        <v>85739824</v>
      </c>
      <c r="D368">
        <v>85168866</v>
      </c>
      <c r="E368">
        <v>1081</v>
      </c>
      <c r="F368">
        <v>1</v>
      </c>
      <c r="G368">
        <v>1081</v>
      </c>
      <c r="H368">
        <v>3</v>
      </c>
      <c r="I368" t="s">
        <v>645</v>
      </c>
      <c r="J368" t="s">
        <v>3</v>
      </c>
      <c r="K368" t="s">
        <v>646</v>
      </c>
      <c r="L368">
        <v>1348</v>
      </c>
      <c r="N368">
        <v>1009</v>
      </c>
      <c r="O368" t="s">
        <v>266</v>
      </c>
      <c r="P368" t="s">
        <v>266</v>
      </c>
      <c r="Q368">
        <v>1000</v>
      </c>
      <c r="X368">
        <v>8.9999999999999993E-3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258</v>
      </c>
      <c r="AG368">
        <v>1.7999999999999999E-2</v>
      </c>
      <c r="AH368">
        <v>3</v>
      </c>
      <c r="AI368">
        <v>-1</v>
      </c>
      <c r="AJ368" t="s">
        <v>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ROW(Source!A132)</f>
        <v>132</v>
      </c>
      <c r="B369">
        <v>85739839</v>
      </c>
      <c r="C369">
        <v>85739837</v>
      </c>
      <c r="D369">
        <v>85164021</v>
      </c>
      <c r="E369">
        <v>1081</v>
      </c>
      <c r="F369">
        <v>1</v>
      </c>
      <c r="G369">
        <v>1081</v>
      </c>
      <c r="H369">
        <v>1</v>
      </c>
      <c r="I369" t="s">
        <v>472</v>
      </c>
      <c r="J369" t="s">
        <v>3</v>
      </c>
      <c r="K369" t="s">
        <v>473</v>
      </c>
      <c r="L369">
        <v>1191</v>
      </c>
      <c r="N369">
        <v>1013</v>
      </c>
      <c r="O369" t="s">
        <v>474</v>
      </c>
      <c r="P369" t="s">
        <v>474</v>
      </c>
      <c r="Q369">
        <v>1</v>
      </c>
      <c r="X369">
        <v>2.13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  <c r="AE369">
        <v>1</v>
      </c>
      <c r="AF369" t="s">
        <v>79</v>
      </c>
      <c r="AG369">
        <v>2.9393999999999996</v>
      </c>
      <c r="AH369">
        <v>2</v>
      </c>
      <c r="AI369">
        <v>85739839</v>
      </c>
      <c r="AJ369">
        <v>353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ROW(Source!A132)</f>
        <v>132</v>
      </c>
      <c r="B370">
        <v>85739840</v>
      </c>
      <c r="C370">
        <v>85739837</v>
      </c>
      <c r="D370">
        <v>85229932</v>
      </c>
      <c r="E370">
        <v>1</v>
      </c>
      <c r="F370">
        <v>1</v>
      </c>
      <c r="G370">
        <v>1081</v>
      </c>
      <c r="H370">
        <v>2</v>
      </c>
      <c r="I370" t="s">
        <v>482</v>
      </c>
      <c r="J370" t="s">
        <v>483</v>
      </c>
      <c r="K370" t="s">
        <v>484</v>
      </c>
      <c r="L370">
        <v>1368</v>
      </c>
      <c r="N370">
        <v>1011</v>
      </c>
      <c r="O370" t="s">
        <v>478</v>
      </c>
      <c r="P370" t="s">
        <v>478</v>
      </c>
      <c r="Q370">
        <v>1</v>
      </c>
      <c r="X370">
        <v>0.01</v>
      </c>
      <c r="Y370">
        <v>0</v>
      </c>
      <c r="Z370">
        <v>83.1</v>
      </c>
      <c r="AA370">
        <v>12.62</v>
      </c>
      <c r="AB370">
        <v>0</v>
      </c>
      <c r="AC370">
        <v>0</v>
      </c>
      <c r="AD370">
        <v>1</v>
      </c>
      <c r="AE370">
        <v>0</v>
      </c>
      <c r="AF370" t="s">
        <v>78</v>
      </c>
      <c r="AG370">
        <v>1.4999999999999999E-2</v>
      </c>
      <c r="AH370">
        <v>2</v>
      </c>
      <c r="AI370">
        <v>85739840</v>
      </c>
      <c r="AJ370">
        <v>354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ROW(Source!A132)</f>
        <v>132</v>
      </c>
      <c r="B371">
        <v>85739841</v>
      </c>
      <c r="C371">
        <v>85739837</v>
      </c>
      <c r="D371">
        <v>85229236</v>
      </c>
      <c r="E371">
        <v>1</v>
      </c>
      <c r="F371">
        <v>1</v>
      </c>
      <c r="G371">
        <v>1081</v>
      </c>
      <c r="H371">
        <v>2</v>
      </c>
      <c r="I371" t="s">
        <v>570</v>
      </c>
      <c r="J371" t="s">
        <v>571</v>
      </c>
      <c r="K371" t="s">
        <v>572</v>
      </c>
      <c r="L371">
        <v>1368</v>
      </c>
      <c r="N371">
        <v>1011</v>
      </c>
      <c r="O371" t="s">
        <v>478</v>
      </c>
      <c r="P371" t="s">
        <v>478</v>
      </c>
      <c r="Q371">
        <v>1</v>
      </c>
      <c r="X371">
        <v>0.01</v>
      </c>
      <c r="Y371">
        <v>0</v>
      </c>
      <c r="Z371">
        <v>114.83</v>
      </c>
      <c r="AA371">
        <v>12.62</v>
      </c>
      <c r="AB371">
        <v>0</v>
      </c>
      <c r="AC371">
        <v>0</v>
      </c>
      <c r="AD371">
        <v>1</v>
      </c>
      <c r="AE371">
        <v>0</v>
      </c>
      <c r="AF371" t="s">
        <v>78</v>
      </c>
      <c r="AG371">
        <v>1.4999999999999999E-2</v>
      </c>
      <c r="AH371">
        <v>2</v>
      </c>
      <c r="AI371">
        <v>85739841</v>
      </c>
      <c r="AJ371">
        <v>355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ROW(Source!A132)</f>
        <v>132</v>
      </c>
      <c r="B372">
        <v>85739842</v>
      </c>
      <c r="C372">
        <v>85739837</v>
      </c>
      <c r="D372">
        <v>85200033</v>
      </c>
      <c r="E372">
        <v>1</v>
      </c>
      <c r="F372">
        <v>1</v>
      </c>
      <c r="G372">
        <v>1081</v>
      </c>
      <c r="H372">
        <v>3</v>
      </c>
      <c r="I372" t="s">
        <v>531</v>
      </c>
      <c r="J372" t="s">
        <v>532</v>
      </c>
      <c r="K372" t="s">
        <v>533</v>
      </c>
      <c r="L372">
        <v>1346</v>
      </c>
      <c r="N372">
        <v>1009</v>
      </c>
      <c r="O372" t="s">
        <v>502</v>
      </c>
      <c r="P372" t="s">
        <v>502</v>
      </c>
      <c r="Q372">
        <v>1</v>
      </c>
      <c r="X372">
        <v>9</v>
      </c>
      <c r="Y372">
        <v>29.89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 t="s">
        <v>77</v>
      </c>
      <c r="AG372">
        <v>9</v>
      </c>
      <c r="AH372">
        <v>2</v>
      </c>
      <c r="AI372">
        <v>85739842</v>
      </c>
      <c r="AJ372">
        <v>356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ROW(Source!A132)</f>
        <v>132</v>
      </c>
      <c r="B373">
        <v>85739843</v>
      </c>
      <c r="C373">
        <v>85739837</v>
      </c>
      <c r="D373">
        <v>85199558</v>
      </c>
      <c r="E373">
        <v>1</v>
      </c>
      <c r="F373">
        <v>1</v>
      </c>
      <c r="G373">
        <v>1081</v>
      </c>
      <c r="H373">
        <v>3</v>
      </c>
      <c r="I373" t="s">
        <v>579</v>
      </c>
      <c r="J373" t="s">
        <v>580</v>
      </c>
      <c r="K373" t="s">
        <v>581</v>
      </c>
      <c r="L373">
        <v>1348</v>
      </c>
      <c r="N373">
        <v>1009</v>
      </c>
      <c r="O373" t="s">
        <v>266</v>
      </c>
      <c r="P373" t="s">
        <v>266</v>
      </c>
      <c r="Q373">
        <v>1000</v>
      </c>
      <c r="X373">
        <v>1.48E-3</v>
      </c>
      <c r="Y373">
        <v>12521.99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77</v>
      </c>
      <c r="AG373">
        <v>1.48E-3</v>
      </c>
      <c r="AH373">
        <v>2</v>
      </c>
      <c r="AI373">
        <v>85739843</v>
      </c>
      <c r="AJ373">
        <v>357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ROW(Source!A133)</f>
        <v>133</v>
      </c>
      <c r="B374">
        <v>85739839</v>
      </c>
      <c r="C374">
        <v>85739837</v>
      </c>
      <c r="D374">
        <v>85164021</v>
      </c>
      <c r="E374">
        <v>1081</v>
      </c>
      <c r="F374">
        <v>1</v>
      </c>
      <c r="G374">
        <v>1081</v>
      </c>
      <c r="H374">
        <v>1</v>
      </c>
      <c r="I374" t="s">
        <v>472</v>
      </c>
      <c r="J374" t="s">
        <v>3</v>
      </c>
      <c r="K374" t="s">
        <v>473</v>
      </c>
      <c r="L374">
        <v>1191</v>
      </c>
      <c r="N374">
        <v>1013</v>
      </c>
      <c r="O374" t="s">
        <v>474</v>
      </c>
      <c r="P374" t="s">
        <v>474</v>
      </c>
      <c r="Q374">
        <v>1</v>
      </c>
      <c r="X374">
        <v>2.13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1</v>
      </c>
      <c r="AF374" t="s">
        <v>79</v>
      </c>
      <c r="AG374">
        <v>2.9393999999999996</v>
      </c>
      <c r="AH374">
        <v>2</v>
      </c>
      <c r="AI374">
        <v>85739839</v>
      </c>
      <c r="AJ374">
        <v>358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ROW(Source!A133)</f>
        <v>133</v>
      </c>
      <c r="B375">
        <v>85739840</v>
      </c>
      <c r="C375">
        <v>85739837</v>
      </c>
      <c r="D375">
        <v>85229932</v>
      </c>
      <c r="E375">
        <v>1</v>
      </c>
      <c r="F375">
        <v>1</v>
      </c>
      <c r="G375">
        <v>1081</v>
      </c>
      <c r="H375">
        <v>2</v>
      </c>
      <c r="I375" t="s">
        <v>482</v>
      </c>
      <c r="J375" t="s">
        <v>483</v>
      </c>
      <c r="K375" t="s">
        <v>484</v>
      </c>
      <c r="L375">
        <v>1368</v>
      </c>
      <c r="N375">
        <v>1011</v>
      </c>
      <c r="O375" t="s">
        <v>478</v>
      </c>
      <c r="P375" t="s">
        <v>478</v>
      </c>
      <c r="Q375">
        <v>1</v>
      </c>
      <c r="X375">
        <v>0.01</v>
      </c>
      <c r="Y375">
        <v>0</v>
      </c>
      <c r="Z375">
        <v>83.1</v>
      </c>
      <c r="AA375">
        <v>12.62</v>
      </c>
      <c r="AB375">
        <v>0</v>
      </c>
      <c r="AC375">
        <v>0</v>
      </c>
      <c r="AD375">
        <v>1</v>
      </c>
      <c r="AE375">
        <v>0</v>
      </c>
      <c r="AF375" t="s">
        <v>78</v>
      </c>
      <c r="AG375">
        <v>1.4999999999999999E-2</v>
      </c>
      <c r="AH375">
        <v>2</v>
      </c>
      <c r="AI375">
        <v>85739840</v>
      </c>
      <c r="AJ375">
        <v>359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ROW(Source!A133)</f>
        <v>133</v>
      </c>
      <c r="B376">
        <v>85739841</v>
      </c>
      <c r="C376">
        <v>85739837</v>
      </c>
      <c r="D376">
        <v>85229236</v>
      </c>
      <c r="E376">
        <v>1</v>
      </c>
      <c r="F376">
        <v>1</v>
      </c>
      <c r="G376">
        <v>1081</v>
      </c>
      <c r="H376">
        <v>2</v>
      </c>
      <c r="I376" t="s">
        <v>570</v>
      </c>
      <c r="J376" t="s">
        <v>571</v>
      </c>
      <c r="K376" t="s">
        <v>572</v>
      </c>
      <c r="L376">
        <v>1368</v>
      </c>
      <c r="N376">
        <v>1011</v>
      </c>
      <c r="O376" t="s">
        <v>478</v>
      </c>
      <c r="P376" t="s">
        <v>478</v>
      </c>
      <c r="Q376">
        <v>1</v>
      </c>
      <c r="X376">
        <v>0.01</v>
      </c>
      <c r="Y376">
        <v>0</v>
      </c>
      <c r="Z376">
        <v>114.83</v>
      </c>
      <c r="AA376">
        <v>12.62</v>
      </c>
      <c r="AB376">
        <v>0</v>
      </c>
      <c r="AC376">
        <v>0</v>
      </c>
      <c r="AD376">
        <v>1</v>
      </c>
      <c r="AE376">
        <v>0</v>
      </c>
      <c r="AF376" t="s">
        <v>78</v>
      </c>
      <c r="AG376">
        <v>1.4999999999999999E-2</v>
      </c>
      <c r="AH376">
        <v>2</v>
      </c>
      <c r="AI376">
        <v>85739841</v>
      </c>
      <c r="AJ376">
        <v>360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ROW(Source!A133)</f>
        <v>133</v>
      </c>
      <c r="B377">
        <v>85739842</v>
      </c>
      <c r="C377">
        <v>85739837</v>
      </c>
      <c r="D377">
        <v>85200033</v>
      </c>
      <c r="E377">
        <v>1</v>
      </c>
      <c r="F377">
        <v>1</v>
      </c>
      <c r="G377">
        <v>1081</v>
      </c>
      <c r="H377">
        <v>3</v>
      </c>
      <c r="I377" t="s">
        <v>531</v>
      </c>
      <c r="J377" t="s">
        <v>532</v>
      </c>
      <c r="K377" t="s">
        <v>533</v>
      </c>
      <c r="L377">
        <v>1346</v>
      </c>
      <c r="N377">
        <v>1009</v>
      </c>
      <c r="O377" t="s">
        <v>502</v>
      </c>
      <c r="P377" t="s">
        <v>502</v>
      </c>
      <c r="Q377">
        <v>1</v>
      </c>
      <c r="X377">
        <v>9</v>
      </c>
      <c r="Y377">
        <v>29.89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 t="s">
        <v>77</v>
      </c>
      <c r="AG377">
        <v>9</v>
      </c>
      <c r="AH377">
        <v>2</v>
      </c>
      <c r="AI377">
        <v>85739842</v>
      </c>
      <c r="AJ377">
        <v>361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ROW(Source!A133)</f>
        <v>133</v>
      </c>
      <c r="B378">
        <v>85739843</v>
      </c>
      <c r="C378">
        <v>85739837</v>
      </c>
      <c r="D378">
        <v>85199558</v>
      </c>
      <c r="E378">
        <v>1</v>
      </c>
      <c r="F378">
        <v>1</v>
      </c>
      <c r="G378">
        <v>1081</v>
      </c>
      <c r="H378">
        <v>3</v>
      </c>
      <c r="I378" t="s">
        <v>579</v>
      </c>
      <c r="J378" t="s">
        <v>580</v>
      </c>
      <c r="K378" t="s">
        <v>581</v>
      </c>
      <c r="L378">
        <v>1348</v>
      </c>
      <c r="N378">
        <v>1009</v>
      </c>
      <c r="O378" t="s">
        <v>266</v>
      </c>
      <c r="P378" t="s">
        <v>266</v>
      </c>
      <c r="Q378">
        <v>1000</v>
      </c>
      <c r="X378">
        <v>1.48E-3</v>
      </c>
      <c r="Y378">
        <v>12521.99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 t="s">
        <v>77</v>
      </c>
      <c r="AG378">
        <v>1.48E-3</v>
      </c>
      <c r="AH378">
        <v>2</v>
      </c>
      <c r="AI378">
        <v>85739843</v>
      </c>
      <c r="AJ378">
        <v>362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ROW(Source!A134)</f>
        <v>134</v>
      </c>
      <c r="B379">
        <v>85739846</v>
      </c>
      <c r="C379">
        <v>85739844</v>
      </c>
      <c r="D379">
        <v>85164021</v>
      </c>
      <c r="E379">
        <v>1081</v>
      </c>
      <c r="F379">
        <v>1</v>
      </c>
      <c r="G379">
        <v>1081</v>
      </c>
      <c r="H379">
        <v>1</v>
      </c>
      <c r="I379" t="s">
        <v>472</v>
      </c>
      <c r="J379" t="s">
        <v>3</v>
      </c>
      <c r="K379" t="s">
        <v>473</v>
      </c>
      <c r="L379">
        <v>1191</v>
      </c>
      <c r="N379">
        <v>1013</v>
      </c>
      <c r="O379" t="s">
        <v>474</v>
      </c>
      <c r="P379" t="s">
        <v>474</v>
      </c>
      <c r="Q379">
        <v>1</v>
      </c>
      <c r="X379">
        <v>8.5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1</v>
      </c>
      <c r="AF379" t="s">
        <v>36</v>
      </c>
      <c r="AG379">
        <v>10.199999999999999</v>
      </c>
      <c r="AH379">
        <v>2</v>
      </c>
      <c r="AI379">
        <v>85739846</v>
      </c>
      <c r="AJ379">
        <v>363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ROW(Source!A134)</f>
        <v>134</v>
      </c>
      <c r="B380">
        <v>85739847</v>
      </c>
      <c r="C380">
        <v>85739844</v>
      </c>
      <c r="D380">
        <v>85229633</v>
      </c>
      <c r="E380">
        <v>1</v>
      </c>
      <c r="F380">
        <v>1</v>
      </c>
      <c r="G380">
        <v>1081</v>
      </c>
      <c r="H380">
        <v>2</v>
      </c>
      <c r="I380" t="s">
        <v>475</v>
      </c>
      <c r="J380" t="s">
        <v>476</v>
      </c>
      <c r="K380" t="s">
        <v>477</v>
      </c>
      <c r="L380">
        <v>1368</v>
      </c>
      <c r="N380">
        <v>1011</v>
      </c>
      <c r="O380" t="s">
        <v>478</v>
      </c>
      <c r="P380" t="s">
        <v>478</v>
      </c>
      <c r="Q380">
        <v>1</v>
      </c>
      <c r="X380">
        <v>1.3</v>
      </c>
      <c r="Y380">
        <v>0</v>
      </c>
      <c r="Z380">
        <v>7.11</v>
      </c>
      <c r="AA380">
        <v>0</v>
      </c>
      <c r="AB380">
        <v>0</v>
      </c>
      <c r="AC380">
        <v>0</v>
      </c>
      <c r="AD380">
        <v>1</v>
      </c>
      <c r="AE380">
        <v>0</v>
      </c>
      <c r="AF380" t="s">
        <v>36</v>
      </c>
      <c r="AG380">
        <v>1.56</v>
      </c>
      <c r="AH380">
        <v>2</v>
      </c>
      <c r="AI380">
        <v>85739847</v>
      </c>
      <c r="AJ380">
        <v>364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ROW(Source!A134)</f>
        <v>134</v>
      </c>
      <c r="B381">
        <v>85739848</v>
      </c>
      <c r="C381">
        <v>85739844</v>
      </c>
      <c r="D381">
        <v>85229932</v>
      </c>
      <c r="E381">
        <v>1</v>
      </c>
      <c r="F381">
        <v>1</v>
      </c>
      <c r="G381">
        <v>1081</v>
      </c>
      <c r="H381">
        <v>2</v>
      </c>
      <c r="I381" t="s">
        <v>482</v>
      </c>
      <c r="J381" t="s">
        <v>483</v>
      </c>
      <c r="K381" t="s">
        <v>484</v>
      </c>
      <c r="L381">
        <v>1368</v>
      </c>
      <c r="N381">
        <v>1011</v>
      </c>
      <c r="O381" t="s">
        <v>478</v>
      </c>
      <c r="P381" t="s">
        <v>478</v>
      </c>
      <c r="Q381">
        <v>1</v>
      </c>
      <c r="X381">
        <v>0.03</v>
      </c>
      <c r="Y381">
        <v>0</v>
      </c>
      <c r="Z381">
        <v>83.1</v>
      </c>
      <c r="AA381">
        <v>12.62</v>
      </c>
      <c r="AB381">
        <v>0</v>
      </c>
      <c r="AC381">
        <v>0</v>
      </c>
      <c r="AD381">
        <v>1</v>
      </c>
      <c r="AE381">
        <v>0</v>
      </c>
      <c r="AF381" t="s">
        <v>36</v>
      </c>
      <c r="AG381">
        <v>3.5999999999999997E-2</v>
      </c>
      <c r="AH381">
        <v>2</v>
      </c>
      <c r="AI381">
        <v>85739848</v>
      </c>
      <c r="AJ381">
        <v>365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ROW(Source!A134)</f>
        <v>134</v>
      </c>
      <c r="B382">
        <v>85739849</v>
      </c>
      <c r="C382">
        <v>85739844</v>
      </c>
      <c r="D382">
        <v>85200111</v>
      </c>
      <c r="E382">
        <v>1</v>
      </c>
      <c r="F382">
        <v>1</v>
      </c>
      <c r="G382">
        <v>1081</v>
      </c>
      <c r="H382">
        <v>3</v>
      </c>
      <c r="I382" t="s">
        <v>492</v>
      </c>
      <c r="J382" t="s">
        <v>493</v>
      </c>
      <c r="K382" t="s">
        <v>494</v>
      </c>
      <c r="L382">
        <v>1348</v>
      </c>
      <c r="N382">
        <v>1009</v>
      </c>
      <c r="O382" t="s">
        <v>266</v>
      </c>
      <c r="P382" t="s">
        <v>266</v>
      </c>
      <c r="Q382">
        <v>1000</v>
      </c>
      <c r="X382">
        <v>4.4000000000000002E-4</v>
      </c>
      <c r="Y382">
        <v>9112.49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 t="s">
        <v>35</v>
      </c>
      <c r="AG382">
        <v>4.4000000000000002E-4</v>
      </c>
      <c r="AH382">
        <v>2</v>
      </c>
      <c r="AI382">
        <v>85739849</v>
      </c>
      <c r="AJ382">
        <v>366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ROW(Source!A134)</f>
        <v>134</v>
      </c>
      <c r="B383">
        <v>85739850</v>
      </c>
      <c r="C383">
        <v>85739844</v>
      </c>
      <c r="D383">
        <v>85200784</v>
      </c>
      <c r="E383">
        <v>1</v>
      </c>
      <c r="F383">
        <v>1</v>
      </c>
      <c r="G383">
        <v>1081</v>
      </c>
      <c r="H383">
        <v>3</v>
      </c>
      <c r="I383" t="s">
        <v>499</v>
      </c>
      <c r="J383" t="s">
        <v>500</v>
      </c>
      <c r="K383" t="s">
        <v>501</v>
      </c>
      <c r="L383">
        <v>1346</v>
      </c>
      <c r="N383">
        <v>1009</v>
      </c>
      <c r="O383" t="s">
        <v>502</v>
      </c>
      <c r="P383" t="s">
        <v>502</v>
      </c>
      <c r="Q383">
        <v>1</v>
      </c>
      <c r="X383">
        <v>1.0999999999999999E-2</v>
      </c>
      <c r="Y383">
        <v>6.25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35</v>
      </c>
      <c r="AG383">
        <v>1.0999999999999999E-2</v>
      </c>
      <c r="AH383">
        <v>2</v>
      </c>
      <c r="AI383">
        <v>85739850</v>
      </c>
      <c r="AJ383">
        <v>367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ROW(Source!A134)</f>
        <v>134</v>
      </c>
      <c r="B384">
        <v>85739851</v>
      </c>
      <c r="C384">
        <v>85739844</v>
      </c>
      <c r="D384">
        <v>85199158</v>
      </c>
      <c r="E384">
        <v>1</v>
      </c>
      <c r="F384">
        <v>1</v>
      </c>
      <c r="G384">
        <v>1081</v>
      </c>
      <c r="H384">
        <v>3</v>
      </c>
      <c r="I384" t="s">
        <v>503</v>
      </c>
      <c r="J384" t="s">
        <v>504</v>
      </c>
      <c r="K384" t="s">
        <v>505</v>
      </c>
      <c r="L384">
        <v>1339</v>
      </c>
      <c r="N384">
        <v>1007</v>
      </c>
      <c r="O384" t="s">
        <v>506</v>
      </c>
      <c r="P384" t="s">
        <v>506</v>
      </c>
      <c r="Q384">
        <v>1</v>
      </c>
      <c r="X384">
        <v>4.3999999999999997E-2</v>
      </c>
      <c r="Y384">
        <v>5.82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 t="s">
        <v>35</v>
      </c>
      <c r="AG384">
        <v>4.3999999999999997E-2</v>
      </c>
      <c r="AH384">
        <v>2</v>
      </c>
      <c r="AI384">
        <v>85739851</v>
      </c>
      <c r="AJ384">
        <v>368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ROW(Source!A134)</f>
        <v>134</v>
      </c>
      <c r="B385">
        <v>85739852</v>
      </c>
      <c r="C385">
        <v>85739844</v>
      </c>
      <c r="D385">
        <v>85179477</v>
      </c>
      <c r="E385">
        <v>1081</v>
      </c>
      <c r="F385">
        <v>1</v>
      </c>
      <c r="G385">
        <v>1081</v>
      </c>
      <c r="H385">
        <v>3</v>
      </c>
      <c r="I385" t="s">
        <v>634</v>
      </c>
      <c r="J385" t="s">
        <v>3</v>
      </c>
      <c r="K385" t="s">
        <v>635</v>
      </c>
      <c r="L385">
        <v>1354</v>
      </c>
      <c r="N385">
        <v>1010</v>
      </c>
      <c r="O385" t="s">
        <v>99</v>
      </c>
      <c r="P385" t="s">
        <v>99</v>
      </c>
      <c r="Q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35</v>
      </c>
      <c r="AG385">
        <v>1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ROW(Source!A135)</f>
        <v>135</v>
      </c>
      <c r="B386">
        <v>85739846</v>
      </c>
      <c r="C386">
        <v>85739844</v>
      </c>
      <c r="D386">
        <v>85164021</v>
      </c>
      <c r="E386">
        <v>1081</v>
      </c>
      <c r="F386">
        <v>1</v>
      </c>
      <c r="G386">
        <v>1081</v>
      </c>
      <c r="H386">
        <v>1</v>
      </c>
      <c r="I386" t="s">
        <v>472</v>
      </c>
      <c r="J386" t="s">
        <v>3</v>
      </c>
      <c r="K386" t="s">
        <v>473</v>
      </c>
      <c r="L386">
        <v>1191</v>
      </c>
      <c r="N386">
        <v>1013</v>
      </c>
      <c r="O386" t="s">
        <v>474</v>
      </c>
      <c r="P386" t="s">
        <v>474</v>
      </c>
      <c r="Q386">
        <v>1</v>
      </c>
      <c r="X386">
        <v>8.5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  <c r="AE386">
        <v>1</v>
      </c>
      <c r="AF386" t="s">
        <v>36</v>
      </c>
      <c r="AG386">
        <v>10.199999999999999</v>
      </c>
      <c r="AH386">
        <v>2</v>
      </c>
      <c r="AI386">
        <v>85739846</v>
      </c>
      <c r="AJ386">
        <v>370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ROW(Source!A135)</f>
        <v>135</v>
      </c>
      <c r="B387">
        <v>85739847</v>
      </c>
      <c r="C387">
        <v>85739844</v>
      </c>
      <c r="D387">
        <v>85229633</v>
      </c>
      <c r="E387">
        <v>1</v>
      </c>
      <c r="F387">
        <v>1</v>
      </c>
      <c r="G387">
        <v>1081</v>
      </c>
      <c r="H387">
        <v>2</v>
      </c>
      <c r="I387" t="s">
        <v>475</v>
      </c>
      <c r="J387" t="s">
        <v>476</v>
      </c>
      <c r="K387" t="s">
        <v>477</v>
      </c>
      <c r="L387">
        <v>1368</v>
      </c>
      <c r="N387">
        <v>1011</v>
      </c>
      <c r="O387" t="s">
        <v>478</v>
      </c>
      <c r="P387" t="s">
        <v>478</v>
      </c>
      <c r="Q387">
        <v>1</v>
      </c>
      <c r="X387">
        <v>1.3</v>
      </c>
      <c r="Y387">
        <v>0</v>
      </c>
      <c r="Z387">
        <v>7.11</v>
      </c>
      <c r="AA387">
        <v>0</v>
      </c>
      <c r="AB387">
        <v>0</v>
      </c>
      <c r="AC387">
        <v>0</v>
      </c>
      <c r="AD387">
        <v>1</v>
      </c>
      <c r="AE387">
        <v>0</v>
      </c>
      <c r="AF387" t="s">
        <v>36</v>
      </c>
      <c r="AG387">
        <v>1.56</v>
      </c>
      <c r="AH387">
        <v>2</v>
      </c>
      <c r="AI387">
        <v>85739847</v>
      </c>
      <c r="AJ387">
        <v>371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ROW(Source!A135)</f>
        <v>135</v>
      </c>
      <c r="B388">
        <v>85739848</v>
      </c>
      <c r="C388">
        <v>85739844</v>
      </c>
      <c r="D388">
        <v>85229932</v>
      </c>
      <c r="E388">
        <v>1</v>
      </c>
      <c r="F388">
        <v>1</v>
      </c>
      <c r="G388">
        <v>1081</v>
      </c>
      <c r="H388">
        <v>2</v>
      </c>
      <c r="I388" t="s">
        <v>482</v>
      </c>
      <c r="J388" t="s">
        <v>483</v>
      </c>
      <c r="K388" t="s">
        <v>484</v>
      </c>
      <c r="L388">
        <v>1368</v>
      </c>
      <c r="N388">
        <v>1011</v>
      </c>
      <c r="O388" t="s">
        <v>478</v>
      </c>
      <c r="P388" t="s">
        <v>478</v>
      </c>
      <c r="Q388">
        <v>1</v>
      </c>
      <c r="X388">
        <v>0.03</v>
      </c>
      <c r="Y388">
        <v>0</v>
      </c>
      <c r="Z388">
        <v>83.1</v>
      </c>
      <c r="AA388">
        <v>12.62</v>
      </c>
      <c r="AB388">
        <v>0</v>
      </c>
      <c r="AC388">
        <v>0</v>
      </c>
      <c r="AD388">
        <v>1</v>
      </c>
      <c r="AE388">
        <v>0</v>
      </c>
      <c r="AF388" t="s">
        <v>36</v>
      </c>
      <c r="AG388">
        <v>3.5999999999999997E-2</v>
      </c>
      <c r="AH388">
        <v>2</v>
      </c>
      <c r="AI388">
        <v>85739848</v>
      </c>
      <c r="AJ388">
        <v>372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ROW(Source!A135)</f>
        <v>135</v>
      </c>
      <c r="B389">
        <v>85739849</v>
      </c>
      <c r="C389">
        <v>85739844</v>
      </c>
      <c r="D389">
        <v>85200111</v>
      </c>
      <c r="E389">
        <v>1</v>
      </c>
      <c r="F389">
        <v>1</v>
      </c>
      <c r="G389">
        <v>1081</v>
      </c>
      <c r="H389">
        <v>3</v>
      </c>
      <c r="I389" t="s">
        <v>492</v>
      </c>
      <c r="J389" t="s">
        <v>493</v>
      </c>
      <c r="K389" t="s">
        <v>494</v>
      </c>
      <c r="L389">
        <v>1348</v>
      </c>
      <c r="N389">
        <v>1009</v>
      </c>
      <c r="O389" t="s">
        <v>266</v>
      </c>
      <c r="P389" t="s">
        <v>266</v>
      </c>
      <c r="Q389">
        <v>1000</v>
      </c>
      <c r="X389">
        <v>4.4000000000000002E-4</v>
      </c>
      <c r="Y389">
        <v>9112.49</v>
      </c>
      <c r="Z389">
        <v>0</v>
      </c>
      <c r="AA389">
        <v>0</v>
      </c>
      <c r="AB389">
        <v>0</v>
      </c>
      <c r="AC389">
        <v>0</v>
      </c>
      <c r="AD389">
        <v>1</v>
      </c>
      <c r="AE389">
        <v>0</v>
      </c>
      <c r="AF389" t="s">
        <v>35</v>
      </c>
      <c r="AG389">
        <v>4.4000000000000002E-4</v>
      </c>
      <c r="AH389">
        <v>2</v>
      </c>
      <c r="AI389">
        <v>85739849</v>
      </c>
      <c r="AJ389">
        <v>373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ROW(Source!A135)</f>
        <v>135</v>
      </c>
      <c r="B390">
        <v>85739850</v>
      </c>
      <c r="C390">
        <v>85739844</v>
      </c>
      <c r="D390">
        <v>85200784</v>
      </c>
      <c r="E390">
        <v>1</v>
      </c>
      <c r="F390">
        <v>1</v>
      </c>
      <c r="G390">
        <v>1081</v>
      </c>
      <c r="H390">
        <v>3</v>
      </c>
      <c r="I390" t="s">
        <v>499</v>
      </c>
      <c r="J390" t="s">
        <v>500</v>
      </c>
      <c r="K390" t="s">
        <v>501</v>
      </c>
      <c r="L390">
        <v>1346</v>
      </c>
      <c r="N390">
        <v>1009</v>
      </c>
      <c r="O390" t="s">
        <v>502</v>
      </c>
      <c r="P390" t="s">
        <v>502</v>
      </c>
      <c r="Q390">
        <v>1</v>
      </c>
      <c r="X390">
        <v>1.0999999999999999E-2</v>
      </c>
      <c r="Y390">
        <v>6.25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 t="s">
        <v>35</v>
      </c>
      <c r="AG390">
        <v>1.0999999999999999E-2</v>
      </c>
      <c r="AH390">
        <v>2</v>
      </c>
      <c r="AI390">
        <v>85739850</v>
      </c>
      <c r="AJ390">
        <v>374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ROW(Source!A135)</f>
        <v>135</v>
      </c>
      <c r="B391">
        <v>85739851</v>
      </c>
      <c r="C391">
        <v>85739844</v>
      </c>
      <c r="D391">
        <v>85199158</v>
      </c>
      <c r="E391">
        <v>1</v>
      </c>
      <c r="F391">
        <v>1</v>
      </c>
      <c r="G391">
        <v>1081</v>
      </c>
      <c r="H391">
        <v>3</v>
      </c>
      <c r="I391" t="s">
        <v>503</v>
      </c>
      <c r="J391" t="s">
        <v>504</v>
      </c>
      <c r="K391" t="s">
        <v>505</v>
      </c>
      <c r="L391">
        <v>1339</v>
      </c>
      <c r="N391">
        <v>1007</v>
      </c>
      <c r="O391" t="s">
        <v>506</v>
      </c>
      <c r="P391" t="s">
        <v>506</v>
      </c>
      <c r="Q391">
        <v>1</v>
      </c>
      <c r="X391">
        <v>4.3999999999999997E-2</v>
      </c>
      <c r="Y391">
        <v>5.82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35</v>
      </c>
      <c r="AG391">
        <v>4.3999999999999997E-2</v>
      </c>
      <c r="AH391">
        <v>2</v>
      </c>
      <c r="AI391">
        <v>85739851</v>
      </c>
      <c r="AJ391">
        <v>375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ROW(Source!A135)</f>
        <v>135</v>
      </c>
      <c r="B392">
        <v>85739852</v>
      </c>
      <c r="C392">
        <v>85739844</v>
      </c>
      <c r="D392">
        <v>85179477</v>
      </c>
      <c r="E392">
        <v>1081</v>
      </c>
      <c r="F392">
        <v>1</v>
      </c>
      <c r="G392">
        <v>1081</v>
      </c>
      <c r="H392">
        <v>3</v>
      </c>
      <c r="I392" t="s">
        <v>634</v>
      </c>
      <c r="J392" t="s">
        <v>3</v>
      </c>
      <c r="K392" t="s">
        <v>635</v>
      </c>
      <c r="L392">
        <v>1354</v>
      </c>
      <c r="N392">
        <v>1010</v>
      </c>
      <c r="O392" t="s">
        <v>99</v>
      </c>
      <c r="P392" t="s">
        <v>99</v>
      </c>
      <c r="Q392">
        <v>1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 t="s">
        <v>35</v>
      </c>
      <c r="AG392">
        <v>1</v>
      </c>
      <c r="AH392">
        <v>3</v>
      </c>
      <c r="AI392">
        <v>-1</v>
      </c>
      <c r="AJ392" t="s">
        <v>3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ROW(Source!A173)</f>
        <v>173</v>
      </c>
      <c r="B393">
        <v>85739963</v>
      </c>
      <c r="C393">
        <v>85739915</v>
      </c>
      <c r="D393">
        <v>85164021</v>
      </c>
      <c r="E393">
        <v>1081</v>
      </c>
      <c r="F393">
        <v>1</v>
      </c>
      <c r="G393">
        <v>1081</v>
      </c>
      <c r="H393">
        <v>1</v>
      </c>
      <c r="I393" t="s">
        <v>472</v>
      </c>
      <c r="J393" t="s">
        <v>3</v>
      </c>
      <c r="K393" t="s">
        <v>473</v>
      </c>
      <c r="L393">
        <v>1191</v>
      </c>
      <c r="N393">
        <v>1013</v>
      </c>
      <c r="O393" t="s">
        <v>474</v>
      </c>
      <c r="P393" t="s">
        <v>474</v>
      </c>
      <c r="Q393">
        <v>1</v>
      </c>
      <c r="X393">
        <v>55.11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1</v>
      </c>
      <c r="AF393" t="s">
        <v>36</v>
      </c>
      <c r="AG393">
        <v>66.131999999999991</v>
      </c>
      <c r="AH393">
        <v>2</v>
      </c>
      <c r="AI393">
        <v>85739963</v>
      </c>
      <c r="AJ393">
        <v>377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ROW(Source!A173)</f>
        <v>173</v>
      </c>
      <c r="B394">
        <v>85739964</v>
      </c>
      <c r="C394">
        <v>85739915</v>
      </c>
      <c r="D394">
        <v>85229932</v>
      </c>
      <c r="E394">
        <v>1</v>
      </c>
      <c r="F394">
        <v>1</v>
      </c>
      <c r="G394">
        <v>1081</v>
      </c>
      <c r="H394">
        <v>2</v>
      </c>
      <c r="I394" t="s">
        <v>482</v>
      </c>
      <c r="J394" t="s">
        <v>483</v>
      </c>
      <c r="K394" t="s">
        <v>484</v>
      </c>
      <c r="L394">
        <v>1368</v>
      </c>
      <c r="N394">
        <v>1011</v>
      </c>
      <c r="O394" t="s">
        <v>478</v>
      </c>
      <c r="P394" t="s">
        <v>478</v>
      </c>
      <c r="Q394">
        <v>1</v>
      </c>
      <c r="X394">
        <v>0.12</v>
      </c>
      <c r="Y394">
        <v>0</v>
      </c>
      <c r="Z394">
        <v>83.1</v>
      </c>
      <c r="AA394">
        <v>12.62</v>
      </c>
      <c r="AB394">
        <v>0</v>
      </c>
      <c r="AC394">
        <v>0</v>
      </c>
      <c r="AD394">
        <v>1</v>
      </c>
      <c r="AE394">
        <v>0</v>
      </c>
      <c r="AF394" t="s">
        <v>36</v>
      </c>
      <c r="AG394">
        <v>0.14399999999999999</v>
      </c>
      <c r="AH394">
        <v>2</v>
      </c>
      <c r="AI394">
        <v>85739964</v>
      </c>
      <c r="AJ394">
        <v>378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ROW(Source!A173)</f>
        <v>173</v>
      </c>
      <c r="B395">
        <v>85739965</v>
      </c>
      <c r="C395">
        <v>85739915</v>
      </c>
      <c r="D395">
        <v>85230019</v>
      </c>
      <c r="E395">
        <v>1</v>
      </c>
      <c r="F395">
        <v>1</v>
      </c>
      <c r="G395">
        <v>1081</v>
      </c>
      <c r="H395">
        <v>2</v>
      </c>
      <c r="I395" t="s">
        <v>582</v>
      </c>
      <c r="J395" t="s">
        <v>583</v>
      </c>
      <c r="K395" t="s">
        <v>584</v>
      </c>
      <c r="L395">
        <v>1368</v>
      </c>
      <c r="N395">
        <v>1011</v>
      </c>
      <c r="O395" t="s">
        <v>478</v>
      </c>
      <c r="P395" t="s">
        <v>478</v>
      </c>
      <c r="Q395">
        <v>1</v>
      </c>
      <c r="X395">
        <v>0.33</v>
      </c>
      <c r="Y395">
        <v>0</v>
      </c>
      <c r="Z395">
        <v>0.47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36</v>
      </c>
      <c r="AG395">
        <v>0.39600000000000002</v>
      </c>
      <c r="AH395">
        <v>2</v>
      </c>
      <c r="AI395">
        <v>85739965</v>
      </c>
      <c r="AJ395">
        <v>379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ROW(Source!A173)</f>
        <v>173</v>
      </c>
      <c r="B396">
        <v>85739966</v>
      </c>
      <c r="C396">
        <v>85739915</v>
      </c>
      <c r="D396">
        <v>85200671</v>
      </c>
      <c r="E396">
        <v>1</v>
      </c>
      <c r="F396">
        <v>1</v>
      </c>
      <c r="G396">
        <v>1081</v>
      </c>
      <c r="H396">
        <v>3</v>
      </c>
      <c r="I396" t="s">
        <v>516</v>
      </c>
      <c r="J396" t="s">
        <v>517</v>
      </c>
      <c r="K396" t="s">
        <v>518</v>
      </c>
      <c r="L396">
        <v>1346</v>
      </c>
      <c r="N396">
        <v>1009</v>
      </c>
      <c r="O396" t="s">
        <v>502</v>
      </c>
      <c r="P396" t="s">
        <v>502</v>
      </c>
      <c r="Q396">
        <v>1</v>
      </c>
      <c r="X396">
        <v>0.50900000000000001</v>
      </c>
      <c r="Y396">
        <v>37.979999999999997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35</v>
      </c>
      <c r="AG396">
        <v>0.50900000000000001</v>
      </c>
      <c r="AH396">
        <v>2</v>
      </c>
      <c r="AI396">
        <v>85739966</v>
      </c>
      <c r="AJ396">
        <v>380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ROW(Source!A173)</f>
        <v>173</v>
      </c>
      <c r="B397">
        <v>85739967</v>
      </c>
      <c r="C397">
        <v>85739915</v>
      </c>
      <c r="D397">
        <v>85205750</v>
      </c>
      <c r="E397">
        <v>1</v>
      </c>
      <c r="F397">
        <v>1</v>
      </c>
      <c r="G397">
        <v>1081</v>
      </c>
      <c r="H397">
        <v>3</v>
      </c>
      <c r="I397" t="s">
        <v>585</v>
      </c>
      <c r="J397" t="s">
        <v>586</v>
      </c>
      <c r="K397" t="s">
        <v>587</v>
      </c>
      <c r="L397">
        <v>1346</v>
      </c>
      <c r="N397">
        <v>1009</v>
      </c>
      <c r="O397" t="s">
        <v>502</v>
      </c>
      <c r="P397" t="s">
        <v>502</v>
      </c>
      <c r="Q397">
        <v>1</v>
      </c>
      <c r="X397">
        <v>1.575</v>
      </c>
      <c r="Y397">
        <v>78.569999999999993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 t="s">
        <v>35</v>
      </c>
      <c r="AG397">
        <v>1.575</v>
      </c>
      <c r="AH397">
        <v>2</v>
      </c>
      <c r="AI397">
        <v>85739967</v>
      </c>
      <c r="AJ397">
        <v>381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ROW(Source!A173)</f>
        <v>173</v>
      </c>
      <c r="B398">
        <v>85739968</v>
      </c>
      <c r="C398">
        <v>85739915</v>
      </c>
      <c r="D398">
        <v>85215555</v>
      </c>
      <c r="E398">
        <v>1</v>
      </c>
      <c r="F398">
        <v>1</v>
      </c>
      <c r="G398">
        <v>1081</v>
      </c>
      <c r="H398">
        <v>3</v>
      </c>
      <c r="I398" t="s">
        <v>588</v>
      </c>
      <c r="J398" t="s">
        <v>589</v>
      </c>
      <c r="K398" t="s">
        <v>590</v>
      </c>
      <c r="L398">
        <v>1354</v>
      </c>
      <c r="N398">
        <v>1010</v>
      </c>
      <c r="O398" t="s">
        <v>99</v>
      </c>
      <c r="P398" t="s">
        <v>99</v>
      </c>
      <c r="Q398">
        <v>1</v>
      </c>
      <c r="X398">
        <v>100</v>
      </c>
      <c r="Y398">
        <v>4.59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 t="s">
        <v>35</v>
      </c>
      <c r="AG398">
        <v>100</v>
      </c>
      <c r="AH398">
        <v>2</v>
      </c>
      <c r="AI398">
        <v>85739968</v>
      </c>
      <c r="AJ398">
        <v>382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ROW(Source!A173)</f>
        <v>173</v>
      </c>
      <c r="B399">
        <v>85739969</v>
      </c>
      <c r="C399">
        <v>85739915</v>
      </c>
      <c r="D399">
        <v>85215556</v>
      </c>
      <c r="E399">
        <v>1</v>
      </c>
      <c r="F399">
        <v>1</v>
      </c>
      <c r="G399">
        <v>1081</v>
      </c>
      <c r="H399">
        <v>3</v>
      </c>
      <c r="I399" t="s">
        <v>591</v>
      </c>
      <c r="J399" t="s">
        <v>592</v>
      </c>
      <c r="K399" t="s">
        <v>593</v>
      </c>
      <c r="L399">
        <v>1354</v>
      </c>
      <c r="N399">
        <v>1010</v>
      </c>
      <c r="O399" t="s">
        <v>99</v>
      </c>
      <c r="P399" t="s">
        <v>99</v>
      </c>
      <c r="Q399">
        <v>1</v>
      </c>
      <c r="X399">
        <v>102</v>
      </c>
      <c r="Y399">
        <v>4.59</v>
      </c>
      <c r="Z399">
        <v>0</v>
      </c>
      <c r="AA399">
        <v>0</v>
      </c>
      <c r="AB399">
        <v>0</v>
      </c>
      <c r="AC399">
        <v>0</v>
      </c>
      <c r="AD399">
        <v>1</v>
      </c>
      <c r="AE399">
        <v>0</v>
      </c>
      <c r="AF399" t="s">
        <v>35</v>
      </c>
      <c r="AG399">
        <v>102</v>
      </c>
      <c r="AH399">
        <v>2</v>
      </c>
      <c r="AI399">
        <v>85739969</v>
      </c>
      <c r="AJ399">
        <v>383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ROW(Source!A173)</f>
        <v>173</v>
      </c>
      <c r="B400">
        <v>85739970</v>
      </c>
      <c r="C400">
        <v>85739915</v>
      </c>
      <c r="D400">
        <v>85215557</v>
      </c>
      <c r="E400">
        <v>1</v>
      </c>
      <c r="F400">
        <v>1</v>
      </c>
      <c r="G400">
        <v>1081</v>
      </c>
      <c r="H400">
        <v>3</v>
      </c>
      <c r="I400" t="s">
        <v>594</v>
      </c>
      <c r="J400" t="s">
        <v>595</v>
      </c>
      <c r="K400" t="s">
        <v>596</v>
      </c>
      <c r="L400">
        <v>1354</v>
      </c>
      <c r="N400">
        <v>1010</v>
      </c>
      <c r="O400" t="s">
        <v>99</v>
      </c>
      <c r="P400" t="s">
        <v>99</v>
      </c>
      <c r="Q400">
        <v>1</v>
      </c>
      <c r="X400">
        <v>204</v>
      </c>
      <c r="Y400">
        <v>4.59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 t="s">
        <v>35</v>
      </c>
      <c r="AG400">
        <v>204</v>
      </c>
      <c r="AH400">
        <v>2</v>
      </c>
      <c r="AI400">
        <v>85739970</v>
      </c>
      <c r="AJ400">
        <v>384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ROW(Source!A173)</f>
        <v>173</v>
      </c>
      <c r="B401">
        <v>85739971</v>
      </c>
      <c r="C401">
        <v>85739915</v>
      </c>
      <c r="D401">
        <v>85215558</v>
      </c>
      <c r="E401">
        <v>1</v>
      </c>
      <c r="F401">
        <v>1</v>
      </c>
      <c r="G401">
        <v>1081</v>
      </c>
      <c r="H401">
        <v>3</v>
      </c>
      <c r="I401" t="s">
        <v>597</v>
      </c>
      <c r="J401" t="s">
        <v>598</v>
      </c>
      <c r="K401" t="s">
        <v>599</v>
      </c>
      <c r="L401">
        <v>1354</v>
      </c>
      <c r="N401">
        <v>1010</v>
      </c>
      <c r="O401" t="s">
        <v>99</v>
      </c>
      <c r="P401" t="s">
        <v>99</v>
      </c>
      <c r="Q401">
        <v>1</v>
      </c>
      <c r="X401">
        <v>102</v>
      </c>
      <c r="Y401">
        <v>2.81</v>
      </c>
      <c r="Z401">
        <v>0</v>
      </c>
      <c r="AA401">
        <v>0</v>
      </c>
      <c r="AB401">
        <v>0</v>
      </c>
      <c r="AC401">
        <v>0</v>
      </c>
      <c r="AD401">
        <v>1</v>
      </c>
      <c r="AE401">
        <v>0</v>
      </c>
      <c r="AF401" t="s">
        <v>35</v>
      </c>
      <c r="AG401">
        <v>102</v>
      </c>
      <c r="AH401">
        <v>2</v>
      </c>
      <c r="AI401">
        <v>85739971</v>
      </c>
      <c r="AJ401">
        <v>385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ROW(Source!A173)</f>
        <v>173</v>
      </c>
      <c r="B402">
        <v>85739972</v>
      </c>
      <c r="C402">
        <v>85739915</v>
      </c>
      <c r="D402">
        <v>85218093</v>
      </c>
      <c r="E402">
        <v>1</v>
      </c>
      <c r="F402">
        <v>1</v>
      </c>
      <c r="G402">
        <v>1081</v>
      </c>
      <c r="H402">
        <v>3</v>
      </c>
      <c r="I402" t="s">
        <v>600</v>
      </c>
      <c r="J402" t="s">
        <v>601</v>
      </c>
      <c r="K402" t="s">
        <v>602</v>
      </c>
      <c r="L402">
        <v>1354</v>
      </c>
      <c r="N402">
        <v>1010</v>
      </c>
      <c r="O402" t="s">
        <v>99</v>
      </c>
      <c r="P402" t="s">
        <v>99</v>
      </c>
      <c r="Q402">
        <v>1</v>
      </c>
      <c r="X402">
        <v>100</v>
      </c>
      <c r="Y402">
        <v>5.01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 t="s">
        <v>35</v>
      </c>
      <c r="AG402">
        <v>100</v>
      </c>
      <c r="AH402">
        <v>2</v>
      </c>
      <c r="AI402">
        <v>85739972</v>
      </c>
      <c r="AJ402">
        <v>390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ROW(Source!A173)</f>
        <v>173</v>
      </c>
      <c r="B403">
        <v>85739973</v>
      </c>
      <c r="C403">
        <v>85739915</v>
      </c>
      <c r="D403">
        <v>85158941</v>
      </c>
      <c r="E403">
        <v>1081</v>
      </c>
      <c r="F403">
        <v>1</v>
      </c>
      <c r="G403">
        <v>1081</v>
      </c>
      <c r="H403">
        <v>3</v>
      </c>
      <c r="I403" t="s">
        <v>647</v>
      </c>
      <c r="J403" t="s">
        <v>3</v>
      </c>
      <c r="K403" t="s">
        <v>648</v>
      </c>
      <c r="L403">
        <v>1301</v>
      </c>
      <c r="N403">
        <v>1003</v>
      </c>
      <c r="O403" t="s">
        <v>179</v>
      </c>
      <c r="P403" t="s">
        <v>179</v>
      </c>
      <c r="Q403">
        <v>1</v>
      </c>
      <c r="X403">
        <v>77.52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 t="s">
        <v>35</v>
      </c>
      <c r="AG403">
        <v>77.52</v>
      </c>
      <c r="AH403">
        <v>3</v>
      </c>
      <c r="AI403">
        <v>-1</v>
      </c>
      <c r="AJ403" t="s">
        <v>3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ROW(Source!A173)</f>
        <v>173</v>
      </c>
      <c r="B404">
        <v>85739974</v>
      </c>
      <c r="C404">
        <v>85739915</v>
      </c>
      <c r="D404">
        <v>85180571</v>
      </c>
      <c r="E404">
        <v>1081</v>
      </c>
      <c r="F404">
        <v>1</v>
      </c>
      <c r="G404">
        <v>1081</v>
      </c>
      <c r="H404">
        <v>3</v>
      </c>
      <c r="I404" t="s">
        <v>649</v>
      </c>
      <c r="J404" t="s">
        <v>3</v>
      </c>
      <c r="K404" t="s">
        <v>650</v>
      </c>
      <c r="L404">
        <v>1354</v>
      </c>
      <c r="N404">
        <v>1010</v>
      </c>
      <c r="O404" t="s">
        <v>99</v>
      </c>
      <c r="P404" t="s">
        <v>99</v>
      </c>
      <c r="Q404">
        <v>1</v>
      </c>
      <c r="X404">
        <v>100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 t="s">
        <v>35</v>
      </c>
      <c r="AG404">
        <v>100</v>
      </c>
      <c r="AH404">
        <v>3</v>
      </c>
      <c r="AI404">
        <v>-1</v>
      </c>
      <c r="AJ404" t="s">
        <v>3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ROW(Source!A173)</f>
        <v>173</v>
      </c>
      <c r="B405">
        <v>85739975</v>
      </c>
      <c r="C405">
        <v>85739915</v>
      </c>
      <c r="D405">
        <v>85180573</v>
      </c>
      <c r="E405">
        <v>1081</v>
      </c>
      <c r="F405">
        <v>1</v>
      </c>
      <c r="G405">
        <v>1081</v>
      </c>
      <c r="H405">
        <v>3</v>
      </c>
      <c r="I405" t="s">
        <v>649</v>
      </c>
      <c r="J405" t="s">
        <v>3</v>
      </c>
      <c r="K405" t="s">
        <v>651</v>
      </c>
      <c r="L405">
        <v>1354</v>
      </c>
      <c r="N405">
        <v>1010</v>
      </c>
      <c r="O405" t="s">
        <v>99</v>
      </c>
      <c r="P405" t="s">
        <v>99</v>
      </c>
      <c r="Q405">
        <v>1</v>
      </c>
      <c r="X405">
        <v>100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 t="s">
        <v>35</v>
      </c>
      <c r="AG405">
        <v>100</v>
      </c>
      <c r="AH405">
        <v>3</v>
      </c>
      <c r="AI405">
        <v>-1</v>
      </c>
      <c r="AJ405" t="s">
        <v>3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ROW(Source!A173)</f>
        <v>173</v>
      </c>
      <c r="B406">
        <v>85739976</v>
      </c>
      <c r="C406">
        <v>85739915</v>
      </c>
      <c r="D406">
        <v>85181272</v>
      </c>
      <c r="E406">
        <v>1081</v>
      </c>
      <c r="F406">
        <v>1</v>
      </c>
      <c r="G406">
        <v>1081</v>
      </c>
      <c r="H406">
        <v>3</v>
      </c>
      <c r="I406" t="s">
        <v>652</v>
      </c>
      <c r="J406" t="s">
        <v>3</v>
      </c>
      <c r="K406" t="s">
        <v>653</v>
      </c>
      <c r="L406">
        <v>1354</v>
      </c>
      <c r="N406">
        <v>1010</v>
      </c>
      <c r="O406" t="s">
        <v>99</v>
      </c>
      <c r="P406" t="s">
        <v>99</v>
      </c>
      <c r="Q406">
        <v>1</v>
      </c>
      <c r="X406">
        <v>100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35</v>
      </c>
      <c r="AG406">
        <v>100</v>
      </c>
      <c r="AH406">
        <v>3</v>
      </c>
      <c r="AI406">
        <v>-1</v>
      </c>
      <c r="AJ406" t="s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ROW(Source!A174)</f>
        <v>174</v>
      </c>
      <c r="B407">
        <v>85739963</v>
      </c>
      <c r="C407">
        <v>85739915</v>
      </c>
      <c r="D407">
        <v>85164021</v>
      </c>
      <c r="E407">
        <v>1081</v>
      </c>
      <c r="F407">
        <v>1</v>
      </c>
      <c r="G407">
        <v>1081</v>
      </c>
      <c r="H407">
        <v>1</v>
      </c>
      <c r="I407" t="s">
        <v>472</v>
      </c>
      <c r="J407" t="s">
        <v>3</v>
      </c>
      <c r="K407" t="s">
        <v>473</v>
      </c>
      <c r="L407">
        <v>1191</v>
      </c>
      <c r="N407">
        <v>1013</v>
      </c>
      <c r="O407" t="s">
        <v>474</v>
      </c>
      <c r="P407" t="s">
        <v>474</v>
      </c>
      <c r="Q407">
        <v>1</v>
      </c>
      <c r="X407">
        <v>55.11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1</v>
      </c>
      <c r="AF407" t="s">
        <v>36</v>
      </c>
      <c r="AG407">
        <v>66.131999999999991</v>
      </c>
      <c r="AH407">
        <v>2</v>
      </c>
      <c r="AI407">
        <v>85739963</v>
      </c>
      <c r="AJ407">
        <v>391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ROW(Source!A174)</f>
        <v>174</v>
      </c>
      <c r="B408">
        <v>85739964</v>
      </c>
      <c r="C408">
        <v>85739915</v>
      </c>
      <c r="D408">
        <v>85229932</v>
      </c>
      <c r="E408">
        <v>1</v>
      </c>
      <c r="F408">
        <v>1</v>
      </c>
      <c r="G408">
        <v>1081</v>
      </c>
      <c r="H408">
        <v>2</v>
      </c>
      <c r="I408" t="s">
        <v>482</v>
      </c>
      <c r="J408" t="s">
        <v>483</v>
      </c>
      <c r="K408" t="s">
        <v>484</v>
      </c>
      <c r="L408">
        <v>1368</v>
      </c>
      <c r="N408">
        <v>1011</v>
      </c>
      <c r="O408" t="s">
        <v>478</v>
      </c>
      <c r="P408" t="s">
        <v>478</v>
      </c>
      <c r="Q408">
        <v>1</v>
      </c>
      <c r="X408">
        <v>0.12</v>
      </c>
      <c r="Y408">
        <v>0</v>
      </c>
      <c r="Z408">
        <v>83.1</v>
      </c>
      <c r="AA408">
        <v>12.62</v>
      </c>
      <c r="AB408">
        <v>0</v>
      </c>
      <c r="AC408">
        <v>0</v>
      </c>
      <c r="AD408">
        <v>1</v>
      </c>
      <c r="AE408">
        <v>0</v>
      </c>
      <c r="AF408" t="s">
        <v>36</v>
      </c>
      <c r="AG408">
        <v>0.14399999999999999</v>
      </c>
      <c r="AH408">
        <v>2</v>
      </c>
      <c r="AI408">
        <v>85739964</v>
      </c>
      <c r="AJ408">
        <v>392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ROW(Source!A174)</f>
        <v>174</v>
      </c>
      <c r="B409">
        <v>85739965</v>
      </c>
      <c r="C409">
        <v>85739915</v>
      </c>
      <c r="D409">
        <v>85230019</v>
      </c>
      <c r="E409">
        <v>1</v>
      </c>
      <c r="F409">
        <v>1</v>
      </c>
      <c r="G409">
        <v>1081</v>
      </c>
      <c r="H409">
        <v>2</v>
      </c>
      <c r="I409" t="s">
        <v>582</v>
      </c>
      <c r="J409" t="s">
        <v>583</v>
      </c>
      <c r="K409" t="s">
        <v>584</v>
      </c>
      <c r="L409">
        <v>1368</v>
      </c>
      <c r="N409">
        <v>1011</v>
      </c>
      <c r="O409" t="s">
        <v>478</v>
      </c>
      <c r="P409" t="s">
        <v>478</v>
      </c>
      <c r="Q409">
        <v>1</v>
      </c>
      <c r="X409">
        <v>0.33</v>
      </c>
      <c r="Y409">
        <v>0</v>
      </c>
      <c r="Z409">
        <v>0.47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36</v>
      </c>
      <c r="AG409">
        <v>0.39600000000000002</v>
      </c>
      <c r="AH409">
        <v>2</v>
      </c>
      <c r="AI409">
        <v>85739965</v>
      </c>
      <c r="AJ409">
        <v>393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ROW(Source!A174)</f>
        <v>174</v>
      </c>
      <c r="B410">
        <v>85739966</v>
      </c>
      <c r="C410">
        <v>85739915</v>
      </c>
      <c r="D410">
        <v>85200671</v>
      </c>
      <c r="E410">
        <v>1</v>
      </c>
      <c r="F410">
        <v>1</v>
      </c>
      <c r="G410">
        <v>1081</v>
      </c>
      <c r="H410">
        <v>3</v>
      </c>
      <c r="I410" t="s">
        <v>516</v>
      </c>
      <c r="J410" t="s">
        <v>517</v>
      </c>
      <c r="K410" t="s">
        <v>518</v>
      </c>
      <c r="L410">
        <v>1346</v>
      </c>
      <c r="N410">
        <v>1009</v>
      </c>
      <c r="O410" t="s">
        <v>502</v>
      </c>
      <c r="P410" t="s">
        <v>502</v>
      </c>
      <c r="Q410">
        <v>1</v>
      </c>
      <c r="X410">
        <v>0.50900000000000001</v>
      </c>
      <c r="Y410">
        <v>37.979999999999997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35</v>
      </c>
      <c r="AG410">
        <v>0.50900000000000001</v>
      </c>
      <c r="AH410">
        <v>2</v>
      </c>
      <c r="AI410">
        <v>85739966</v>
      </c>
      <c r="AJ410">
        <v>394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ROW(Source!A174)</f>
        <v>174</v>
      </c>
      <c r="B411">
        <v>85739967</v>
      </c>
      <c r="C411">
        <v>85739915</v>
      </c>
      <c r="D411">
        <v>85205750</v>
      </c>
      <c r="E411">
        <v>1</v>
      </c>
      <c r="F411">
        <v>1</v>
      </c>
      <c r="G411">
        <v>1081</v>
      </c>
      <c r="H411">
        <v>3</v>
      </c>
      <c r="I411" t="s">
        <v>585</v>
      </c>
      <c r="J411" t="s">
        <v>586</v>
      </c>
      <c r="K411" t="s">
        <v>587</v>
      </c>
      <c r="L411">
        <v>1346</v>
      </c>
      <c r="N411">
        <v>1009</v>
      </c>
      <c r="O411" t="s">
        <v>502</v>
      </c>
      <c r="P411" t="s">
        <v>502</v>
      </c>
      <c r="Q411">
        <v>1</v>
      </c>
      <c r="X411">
        <v>1.575</v>
      </c>
      <c r="Y411">
        <v>78.569999999999993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35</v>
      </c>
      <c r="AG411">
        <v>1.575</v>
      </c>
      <c r="AH411">
        <v>2</v>
      </c>
      <c r="AI411">
        <v>85739967</v>
      </c>
      <c r="AJ411">
        <v>395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ROW(Source!A174)</f>
        <v>174</v>
      </c>
      <c r="B412">
        <v>85739968</v>
      </c>
      <c r="C412">
        <v>85739915</v>
      </c>
      <c r="D412">
        <v>85215555</v>
      </c>
      <c r="E412">
        <v>1</v>
      </c>
      <c r="F412">
        <v>1</v>
      </c>
      <c r="G412">
        <v>1081</v>
      </c>
      <c r="H412">
        <v>3</v>
      </c>
      <c r="I412" t="s">
        <v>588</v>
      </c>
      <c r="J412" t="s">
        <v>589</v>
      </c>
      <c r="K412" t="s">
        <v>590</v>
      </c>
      <c r="L412">
        <v>1354</v>
      </c>
      <c r="N412">
        <v>1010</v>
      </c>
      <c r="O412" t="s">
        <v>99</v>
      </c>
      <c r="P412" t="s">
        <v>99</v>
      </c>
      <c r="Q412">
        <v>1</v>
      </c>
      <c r="X412">
        <v>100</v>
      </c>
      <c r="Y412">
        <v>4.59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 t="s">
        <v>35</v>
      </c>
      <c r="AG412">
        <v>100</v>
      </c>
      <c r="AH412">
        <v>2</v>
      </c>
      <c r="AI412">
        <v>85739968</v>
      </c>
      <c r="AJ412">
        <v>396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ROW(Source!A174)</f>
        <v>174</v>
      </c>
      <c r="B413">
        <v>85739969</v>
      </c>
      <c r="C413">
        <v>85739915</v>
      </c>
      <c r="D413">
        <v>85215556</v>
      </c>
      <c r="E413">
        <v>1</v>
      </c>
      <c r="F413">
        <v>1</v>
      </c>
      <c r="G413">
        <v>1081</v>
      </c>
      <c r="H413">
        <v>3</v>
      </c>
      <c r="I413" t="s">
        <v>591</v>
      </c>
      <c r="J413" t="s">
        <v>592</v>
      </c>
      <c r="K413" t="s">
        <v>593</v>
      </c>
      <c r="L413">
        <v>1354</v>
      </c>
      <c r="N413">
        <v>1010</v>
      </c>
      <c r="O413" t="s">
        <v>99</v>
      </c>
      <c r="P413" t="s">
        <v>99</v>
      </c>
      <c r="Q413">
        <v>1</v>
      </c>
      <c r="X413">
        <v>102</v>
      </c>
      <c r="Y413">
        <v>4.59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35</v>
      </c>
      <c r="AG413">
        <v>102</v>
      </c>
      <c r="AH413">
        <v>2</v>
      </c>
      <c r="AI413">
        <v>85739969</v>
      </c>
      <c r="AJ413">
        <v>397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ROW(Source!A174)</f>
        <v>174</v>
      </c>
      <c r="B414">
        <v>85739970</v>
      </c>
      <c r="C414">
        <v>85739915</v>
      </c>
      <c r="D414">
        <v>85215557</v>
      </c>
      <c r="E414">
        <v>1</v>
      </c>
      <c r="F414">
        <v>1</v>
      </c>
      <c r="G414">
        <v>1081</v>
      </c>
      <c r="H414">
        <v>3</v>
      </c>
      <c r="I414" t="s">
        <v>594</v>
      </c>
      <c r="J414" t="s">
        <v>595</v>
      </c>
      <c r="K414" t="s">
        <v>596</v>
      </c>
      <c r="L414">
        <v>1354</v>
      </c>
      <c r="N414">
        <v>1010</v>
      </c>
      <c r="O414" t="s">
        <v>99</v>
      </c>
      <c r="P414" t="s">
        <v>99</v>
      </c>
      <c r="Q414">
        <v>1</v>
      </c>
      <c r="X414">
        <v>204</v>
      </c>
      <c r="Y414">
        <v>4.59</v>
      </c>
      <c r="Z414">
        <v>0</v>
      </c>
      <c r="AA414">
        <v>0</v>
      </c>
      <c r="AB414">
        <v>0</v>
      </c>
      <c r="AC414">
        <v>0</v>
      </c>
      <c r="AD414">
        <v>1</v>
      </c>
      <c r="AE414">
        <v>0</v>
      </c>
      <c r="AF414" t="s">
        <v>35</v>
      </c>
      <c r="AG414">
        <v>204</v>
      </c>
      <c r="AH414">
        <v>2</v>
      </c>
      <c r="AI414">
        <v>85739970</v>
      </c>
      <c r="AJ414">
        <v>398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ROW(Source!A174)</f>
        <v>174</v>
      </c>
      <c r="B415">
        <v>85739971</v>
      </c>
      <c r="C415">
        <v>85739915</v>
      </c>
      <c r="D415">
        <v>85215558</v>
      </c>
      <c r="E415">
        <v>1</v>
      </c>
      <c r="F415">
        <v>1</v>
      </c>
      <c r="G415">
        <v>1081</v>
      </c>
      <c r="H415">
        <v>3</v>
      </c>
      <c r="I415" t="s">
        <v>597</v>
      </c>
      <c r="J415" t="s">
        <v>598</v>
      </c>
      <c r="K415" t="s">
        <v>599</v>
      </c>
      <c r="L415">
        <v>1354</v>
      </c>
      <c r="N415">
        <v>1010</v>
      </c>
      <c r="O415" t="s">
        <v>99</v>
      </c>
      <c r="P415" t="s">
        <v>99</v>
      </c>
      <c r="Q415">
        <v>1</v>
      </c>
      <c r="X415">
        <v>102</v>
      </c>
      <c r="Y415">
        <v>2.81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0</v>
      </c>
      <c r="AF415" t="s">
        <v>35</v>
      </c>
      <c r="AG415">
        <v>102</v>
      </c>
      <c r="AH415">
        <v>2</v>
      </c>
      <c r="AI415">
        <v>85739971</v>
      </c>
      <c r="AJ415">
        <v>399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ROW(Source!A174)</f>
        <v>174</v>
      </c>
      <c r="B416">
        <v>85739972</v>
      </c>
      <c r="C416">
        <v>85739915</v>
      </c>
      <c r="D416">
        <v>85218093</v>
      </c>
      <c r="E416">
        <v>1</v>
      </c>
      <c r="F416">
        <v>1</v>
      </c>
      <c r="G416">
        <v>1081</v>
      </c>
      <c r="H416">
        <v>3</v>
      </c>
      <c r="I416" t="s">
        <v>600</v>
      </c>
      <c r="J416" t="s">
        <v>601</v>
      </c>
      <c r="K416" t="s">
        <v>602</v>
      </c>
      <c r="L416">
        <v>1354</v>
      </c>
      <c r="N416">
        <v>1010</v>
      </c>
      <c r="O416" t="s">
        <v>99</v>
      </c>
      <c r="P416" t="s">
        <v>99</v>
      </c>
      <c r="Q416">
        <v>1</v>
      </c>
      <c r="X416">
        <v>100</v>
      </c>
      <c r="Y416">
        <v>5.01</v>
      </c>
      <c r="Z416">
        <v>0</v>
      </c>
      <c r="AA416">
        <v>0</v>
      </c>
      <c r="AB416">
        <v>0</v>
      </c>
      <c r="AC416">
        <v>0</v>
      </c>
      <c r="AD416">
        <v>1</v>
      </c>
      <c r="AE416">
        <v>0</v>
      </c>
      <c r="AF416" t="s">
        <v>35</v>
      </c>
      <c r="AG416">
        <v>100</v>
      </c>
      <c r="AH416">
        <v>2</v>
      </c>
      <c r="AI416">
        <v>85739972</v>
      </c>
      <c r="AJ416">
        <v>404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ROW(Source!A174)</f>
        <v>174</v>
      </c>
      <c r="B417">
        <v>85739973</v>
      </c>
      <c r="C417">
        <v>85739915</v>
      </c>
      <c r="D417">
        <v>85158941</v>
      </c>
      <c r="E417">
        <v>1081</v>
      </c>
      <c r="F417">
        <v>1</v>
      </c>
      <c r="G417">
        <v>1081</v>
      </c>
      <c r="H417">
        <v>3</v>
      </c>
      <c r="I417" t="s">
        <v>647</v>
      </c>
      <c r="J417" t="s">
        <v>3</v>
      </c>
      <c r="K417" t="s">
        <v>648</v>
      </c>
      <c r="L417">
        <v>1301</v>
      </c>
      <c r="N417">
        <v>1003</v>
      </c>
      <c r="O417" t="s">
        <v>179</v>
      </c>
      <c r="P417" t="s">
        <v>179</v>
      </c>
      <c r="Q417">
        <v>1</v>
      </c>
      <c r="X417">
        <v>77.52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35</v>
      </c>
      <c r="AG417">
        <v>77.52</v>
      </c>
      <c r="AH417">
        <v>3</v>
      </c>
      <c r="AI417">
        <v>-1</v>
      </c>
      <c r="AJ417" t="s">
        <v>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ROW(Source!A174)</f>
        <v>174</v>
      </c>
      <c r="B418">
        <v>85739974</v>
      </c>
      <c r="C418">
        <v>85739915</v>
      </c>
      <c r="D418">
        <v>85180571</v>
      </c>
      <c r="E418">
        <v>1081</v>
      </c>
      <c r="F418">
        <v>1</v>
      </c>
      <c r="G418">
        <v>1081</v>
      </c>
      <c r="H418">
        <v>3</v>
      </c>
      <c r="I418" t="s">
        <v>649</v>
      </c>
      <c r="J418" t="s">
        <v>3</v>
      </c>
      <c r="K418" t="s">
        <v>650</v>
      </c>
      <c r="L418">
        <v>1354</v>
      </c>
      <c r="N418">
        <v>1010</v>
      </c>
      <c r="O418" t="s">
        <v>99</v>
      </c>
      <c r="P418" t="s">
        <v>99</v>
      </c>
      <c r="Q418">
        <v>1</v>
      </c>
      <c r="X418">
        <v>100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35</v>
      </c>
      <c r="AG418">
        <v>100</v>
      </c>
      <c r="AH418">
        <v>3</v>
      </c>
      <c r="AI418">
        <v>-1</v>
      </c>
      <c r="AJ418" t="s">
        <v>3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ROW(Source!A174)</f>
        <v>174</v>
      </c>
      <c r="B419">
        <v>85739975</v>
      </c>
      <c r="C419">
        <v>85739915</v>
      </c>
      <c r="D419">
        <v>85180573</v>
      </c>
      <c r="E419">
        <v>1081</v>
      </c>
      <c r="F419">
        <v>1</v>
      </c>
      <c r="G419">
        <v>1081</v>
      </c>
      <c r="H419">
        <v>3</v>
      </c>
      <c r="I419" t="s">
        <v>649</v>
      </c>
      <c r="J419" t="s">
        <v>3</v>
      </c>
      <c r="K419" t="s">
        <v>651</v>
      </c>
      <c r="L419">
        <v>1354</v>
      </c>
      <c r="N419">
        <v>1010</v>
      </c>
      <c r="O419" t="s">
        <v>99</v>
      </c>
      <c r="P419" t="s">
        <v>99</v>
      </c>
      <c r="Q419">
        <v>1</v>
      </c>
      <c r="X419">
        <v>100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 t="s">
        <v>35</v>
      </c>
      <c r="AG419">
        <v>100</v>
      </c>
      <c r="AH419">
        <v>3</v>
      </c>
      <c r="AI419">
        <v>-1</v>
      </c>
      <c r="AJ419" t="s">
        <v>3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ROW(Source!A174)</f>
        <v>174</v>
      </c>
      <c r="B420">
        <v>85739976</v>
      </c>
      <c r="C420">
        <v>85739915</v>
      </c>
      <c r="D420">
        <v>85181272</v>
      </c>
      <c r="E420">
        <v>1081</v>
      </c>
      <c r="F420">
        <v>1</v>
      </c>
      <c r="G420">
        <v>1081</v>
      </c>
      <c r="H420">
        <v>3</v>
      </c>
      <c r="I420" t="s">
        <v>652</v>
      </c>
      <c r="J420" t="s">
        <v>3</v>
      </c>
      <c r="K420" t="s">
        <v>653</v>
      </c>
      <c r="L420">
        <v>1354</v>
      </c>
      <c r="N420">
        <v>1010</v>
      </c>
      <c r="O420" t="s">
        <v>99</v>
      </c>
      <c r="P420" t="s">
        <v>99</v>
      </c>
      <c r="Q420">
        <v>1</v>
      </c>
      <c r="X420">
        <v>100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 t="s">
        <v>35</v>
      </c>
      <c r="AG420">
        <v>100</v>
      </c>
      <c r="AH420">
        <v>3</v>
      </c>
      <c r="AI420">
        <v>-1</v>
      </c>
      <c r="AJ420" t="s">
        <v>3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ROW(Source!A183)</f>
        <v>183</v>
      </c>
      <c r="B421">
        <v>85739987</v>
      </c>
      <c r="C421">
        <v>85739916</v>
      </c>
      <c r="D421">
        <v>85164021</v>
      </c>
      <c r="E421">
        <v>1081</v>
      </c>
      <c r="F421">
        <v>1</v>
      </c>
      <c r="G421">
        <v>1081</v>
      </c>
      <c r="H421">
        <v>1</v>
      </c>
      <c r="I421" t="s">
        <v>472</v>
      </c>
      <c r="J421" t="s">
        <v>3</v>
      </c>
      <c r="K421" t="s">
        <v>473</v>
      </c>
      <c r="L421">
        <v>1191</v>
      </c>
      <c r="N421">
        <v>1013</v>
      </c>
      <c r="O421" t="s">
        <v>474</v>
      </c>
      <c r="P421" t="s">
        <v>474</v>
      </c>
      <c r="Q421">
        <v>1</v>
      </c>
      <c r="X421">
        <v>6.9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1</v>
      </c>
      <c r="AF421" t="s">
        <v>36</v>
      </c>
      <c r="AG421">
        <v>8.2799999999999994</v>
      </c>
      <c r="AH421">
        <v>2</v>
      </c>
      <c r="AI421">
        <v>85739987</v>
      </c>
      <c r="AJ421">
        <v>405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ROW(Source!A183)</f>
        <v>183</v>
      </c>
      <c r="B422">
        <v>85739988</v>
      </c>
      <c r="C422">
        <v>85739916</v>
      </c>
      <c r="D422">
        <v>85229633</v>
      </c>
      <c r="E422">
        <v>1</v>
      </c>
      <c r="F422">
        <v>1</v>
      </c>
      <c r="G422">
        <v>1081</v>
      </c>
      <c r="H422">
        <v>2</v>
      </c>
      <c r="I422" t="s">
        <v>475</v>
      </c>
      <c r="J422" t="s">
        <v>476</v>
      </c>
      <c r="K422" t="s">
        <v>477</v>
      </c>
      <c r="L422">
        <v>1368</v>
      </c>
      <c r="N422">
        <v>1011</v>
      </c>
      <c r="O422" t="s">
        <v>478</v>
      </c>
      <c r="P422" t="s">
        <v>478</v>
      </c>
      <c r="Q422">
        <v>1</v>
      </c>
      <c r="X422">
        <v>0.6</v>
      </c>
      <c r="Y422">
        <v>0</v>
      </c>
      <c r="Z422">
        <v>7.11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36</v>
      </c>
      <c r="AG422">
        <v>0.72</v>
      </c>
      <c r="AH422">
        <v>2</v>
      </c>
      <c r="AI422">
        <v>85739988</v>
      </c>
      <c r="AJ422">
        <v>406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ROW(Source!A183)</f>
        <v>183</v>
      </c>
      <c r="B423">
        <v>85739989</v>
      </c>
      <c r="C423">
        <v>85739916</v>
      </c>
      <c r="D423">
        <v>85200111</v>
      </c>
      <c r="E423">
        <v>1</v>
      </c>
      <c r="F423">
        <v>1</v>
      </c>
      <c r="G423">
        <v>1081</v>
      </c>
      <c r="H423">
        <v>3</v>
      </c>
      <c r="I423" t="s">
        <v>492</v>
      </c>
      <c r="J423" t="s">
        <v>493</v>
      </c>
      <c r="K423" t="s">
        <v>494</v>
      </c>
      <c r="L423">
        <v>1348</v>
      </c>
      <c r="N423">
        <v>1009</v>
      </c>
      <c r="O423" t="s">
        <v>266</v>
      </c>
      <c r="P423" t="s">
        <v>266</v>
      </c>
      <c r="Q423">
        <v>1000</v>
      </c>
      <c r="X423">
        <v>3.8000000000000002E-4</v>
      </c>
      <c r="Y423">
        <v>9112.49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35</v>
      </c>
      <c r="AG423">
        <v>3.8000000000000002E-4</v>
      </c>
      <c r="AH423">
        <v>2</v>
      </c>
      <c r="AI423">
        <v>85739989</v>
      </c>
      <c r="AJ423">
        <v>407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ROW(Source!A183)</f>
        <v>183</v>
      </c>
      <c r="B424">
        <v>85739990</v>
      </c>
      <c r="C424">
        <v>85739916</v>
      </c>
      <c r="D424">
        <v>85200784</v>
      </c>
      <c r="E424">
        <v>1</v>
      </c>
      <c r="F424">
        <v>1</v>
      </c>
      <c r="G424">
        <v>1081</v>
      </c>
      <c r="H424">
        <v>3</v>
      </c>
      <c r="I424" t="s">
        <v>499</v>
      </c>
      <c r="J424" t="s">
        <v>500</v>
      </c>
      <c r="K424" t="s">
        <v>501</v>
      </c>
      <c r="L424">
        <v>1346</v>
      </c>
      <c r="N424">
        <v>1009</v>
      </c>
      <c r="O424" t="s">
        <v>502</v>
      </c>
      <c r="P424" t="s">
        <v>502</v>
      </c>
      <c r="Q424">
        <v>1</v>
      </c>
      <c r="X424">
        <v>6.0000000000000001E-3</v>
      </c>
      <c r="Y424">
        <v>6.25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 t="s">
        <v>35</v>
      </c>
      <c r="AG424">
        <v>6.0000000000000001E-3</v>
      </c>
      <c r="AH424">
        <v>2</v>
      </c>
      <c r="AI424">
        <v>85739990</v>
      </c>
      <c r="AJ424">
        <v>408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ROW(Source!A183)</f>
        <v>183</v>
      </c>
      <c r="B425">
        <v>85739991</v>
      </c>
      <c r="C425">
        <v>85739916</v>
      </c>
      <c r="D425">
        <v>85199158</v>
      </c>
      <c r="E425">
        <v>1</v>
      </c>
      <c r="F425">
        <v>1</v>
      </c>
      <c r="G425">
        <v>1081</v>
      </c>
      <c r="H425">
        <v>3</v>
      </c>
      <c r="I425" t="s">
        <v>503</v>
      </c>
      <c r="J425" t="s">
        <v>504</v>
      </c>
      <c r="K425" t="s">
        <v>505</v>
      </c>
      <c r="L425">
        <v>1339</v>
      </c>
      <c r="N425">
        <v>1007</v>
      </c>
      <c r="O425" t="s">
        <v>506</v>
      </c>
      <c r="P425" t="s">
        <v>506</v>
      </c>
      <c r="Q425">
        <v>1</v>
      </c>
      <c r="X425">
        <v>1.4999999999999999E-2</v>
      </c>
      <c r="Y425">
        <v>5.82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35</v>
      </c>
      <c r="AG425">
        <v>1.4999999999999999E-2</v>
      </c>
      <c r="AH425">
        <v>2</v>
      </c>
      <c r="AI425">
        <v>85739991</v>
      </c>
      <c r="AJ425">
        <v>409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ROW(Source!A183)</f>
        <v>183</v>
      </c>
      <c r="B426">
        <v>85739992</v>
      </c>
      <c r="C426">
        <v>85739916</v>
      </c>
      <c r="D426">
        <v>85179477</v>
      </c>
      <c r="E426">
        <v>1081</v>
      </c>
      <c r="F426">
        <v>1</v>
      </c>
      <c r="G426">
        <v>1081</v>
      </c>
      <c r="H426">
        <v>3</v>
      </c>
      <c r="I426" t="s">
        <v>634</v>
      </c>
      <c r="J426" t="s">
        <v>3</v>
      </c>
      <c r="K426" t="s">
        <v>635</v>
      </c>
      <c r="L426">
        <v>1354</v>
      </c>
      <c r="N426">
        <v>1010</v>
      </c>
      <c r="O426" t="s">
        <v>99</v>
      </c>
      <c r="P426" t="s">
        <v>99</v>
      </c>
      <c r="Q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 t="s">
        <v>35</v>
      </c>
      <c r="AG426">
        <v>1</v>
      </c>
      <c r="AH426">
        <v>3</v>
      </c>
      <c r="AI426">
        <v>-1</v>
      </c>
      <c r="AJ426" t="s">
        <v>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ROW(Source!A184)</f>
        <v>184</v>
      </c>
      <c r="B427">
        <v>85739987</v>
      </c>
      <c r="C427">
        <v>85739916</v>
      </c>
      <c r="D427">
        <v>85164021</v>
      </c>
      <c r="E427">
        <v>1081</v>
      </c>
      <c r="F427">
        <v>1</v>
      </c>
      <c r="G427">
        <v>1081</v>
      </c>
      <c r="H427">
        <v>1</v>
      </c>
      <c r="I427" t="s">
        <v>472</v>
      </c>
      <c r="J427" t="s">
        <v>3</v>
      </c>
      <c r="K427" t="s">
        <v>473</v>
      </c>
      <c r="L427">
        <v>1191</v>
      </c>
      <c r="N427">
        <v>1013</v>
      </c>
      <c r="O427" t="s">
        <v>474</v>
      </c>
      <c r="P427" t="s">
        <v>474</v>
      </c>
      <c r="Q427">
        <v>1</v>
      </c>
      <c r="X427">
        <v>6.9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1</v>
      </c>
      <c r="AF427" t="s">
        <v>36</v>
      </c>
      <c r="AG427">
        <v>8.2799999999999994</v>
      </c>
      <c r="AH427">
        <v>2</v>
      </c>
      <c r="AI427">
        <v>85739987</v>
      </c>
      <c r="AJ427">
        <v>412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ROW(Source!A184)</f>
        <v>184</v>
      </c>
      <c r="B428">
        <v>85739988</v>
      </c>
      <c r="C428">
        <v>85739916</v>
      </c>
      <c r="D428">
        <v>85229633</v>
      </c>
      <c r="E428">
        <v>1</v>
      </c>
      <c r="F428">
        <v>1</v>
      </c>
      <c r="G428">
        <v>1081</v>
      </c>
      <c r="H428">
        <v>2</v>
      </c>
      <c r="I428" t="s">
        <v>475</v>
      </c>
      <c r="J428" t="s">
        <v>476</v>
      </c>
      <c r="K428" t="s">
        <v>477</v>
      </c>
      <c r="L428">
        <v>1368</v>
      </c>
      <c r="N428">
        <v>1011</v>
      </c>
      <c r="O428" t="s">
        <v>478</v>
      </c>
      <c r="P428" t="s">
        <v>478</v>
      </c>
      <c r="Q428">
        <v>1</v>
      </c>
      <c r="X428">
        <v>0.6</v>
      </c>
      <c r="Y428">
        <v>0</v>
      </c>
      <c r="Z428">
        <v>7.11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36</v>
      </c>
      <c r="AG428">
        <v>0.72</v>
      </c>
      <c r="AH428">
        <v>2</v>
      </c>
      <c r="AI428">
        <v>85739988</v>
      </c>
      <c r="AJ428">
        <v>413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ROW(Source!A184)</f>
        <v>184</v>
      </c>
      <c r="B429">
        <v>85739989</v>
      </c>
      <c r="C429">
        <v>85739916</v>
      </c>
      <c r="D429">
        <v>85200111</v>
      </c>
      <c r="E429">
        <v>1</v>
      </c>
      <c r="F429">
        <v>1</v>
      </c>
      <c r="G429">
        <v>1081</v>
      </c>
      <c r="H429">
        <v>3</v>
      </c>
      <c r="I429" t="s">
        <v>492</v>
      </c>
      <c r="J429" t="s">
        <v>493</v>
      </c>
      <c r="K429" t="s">
        <v>494</v>
      </c>
      <c r="L429">
        <v>1348</v>
      </c>
      <c r="N429">
        <v>1009</v>
      </c>
      <c r="O429" t="s">
        <v>266</v>
      </c>
      <c r="P429" t="s">
        <v>266</v>
      </c>
      <c r="Q429">
        <v>1000</v>
      </c>
      <c r="X429">
        <v>3.8000000000000002E-4</v>
      </c>
      <c r="Y429">
        <v>9112.49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0</v>
      </c>
      <c r="AF429" t="s">
        <v>35</v>
      </c>
      <c r="AG429">
        <v>3.8000000000000002E-4</v>
      </c>
      <c r="AH429">
        <v>2</v>
      </c>
      <c r="AI429">
        <v>85739989</v>
      </c>
      <c r="AJ429">
        <v>414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ROW(Source!A184)</f>
        <v>184</v>
      </c>
      <c r="B430">
        <v>85739990</v>
      </c>
      <c r="C430">
        <v>85739916</v>
      </c>
      <c r="D430">
        <v>85200784</v>
      </c>
      <c r="E430">
        <v>1</v>
      </c>
      <c r="F430">
        <v>1</v>
      </c>
      <c r="G430">
        <v>1081</v>
      </c>
      <c r="H430">
        <v>3</v>
      </c>
      <c r="I430" t="s">
        <v>499</v>
      </c>
      <c r="J430" t="s">
        <v>500</v>
      </c>
      <c r="K430" t="s">
        <v>501</v>
      </c>
      <c r="L430">
        <v>1346</v>
      </c>
      <c r="N430">
        <v>1009</v>
      </c>
      <c r="O430" t="s">
        <v>502</v>
      </c>
      <c r="P430" t="s">
        <v>502</v>
      </c>
      <c r="Q430">
        <v>1</v>
      </c>
      <c r="X430">
        <v>6.0000000000000001E-3</v>
      </c>
      <c r="Y430">
        <v>6.25</v>
      </c>
      <c r="Z430">
        <v>0</v>
      </c>
      <c r="AA430">
        <v>0</v>
      </c>
      <c r="AB430">
        <v>0</v>
      </c>
      <c r="AC430">
        <v>0</v>
      </c>
      <c r="AD430">
        <v>1</v>
      </c>
      <c r="AE430">
        <v>0</v>
      </c>
      <c r="AF430" t="s">
        <v>35</v>
      </c>
      <c r="AG430">
        <v>6.0000000000000001E-3</v>
      </c>
      <c r="AH430">
        <v>2</v>
      </c>
      <c r="AI430">
        <v>85739990</v>
      </c>
      <c r="AJ430">
        <v>415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ROW(Source!A184)</f>
        <v>184</v>
      </c>
      <c r="B431">
        <v>85739991</v>
      </c>
      <c r="C431">
        <v>85739916</v>
      </c>
      <c r="D431">
        <v>85199158</v>
      </c>
      <c r="E431">
        <v>1</v>
      </c>
      <c r="F431">
        <v>1</v>
      </c>
      <c r="G431">
        <v>1081</v>
      </c>
      <c r="H431">
        <v>3</v>
      </c>
      <c r="I431" t="s">
        <v>503</v>
      </c>
      <c r="J431" t="s">
        <v>504</v>
      </c>
      <c r="K431" t="s">
        <v>505</v>
      </c>
      <c r="L431">
        <v>1339</v>
      </c>
      <c r="N431">
        <v>1007</v>
      </c>
      <c r="O431" t="s">
        <v>506</v>
      </c>
      <c r="P431" t="s">
        <v>506</v>
      </c>
      <c r="Q431">
        <v>1</v>
      </c>
      <c r="X431">
        <v>1.4999999999999999E-2</v>
      </c>
      <c r="Y431">
        <v>5.82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 t="s">
        <v>35</v>
      </c>
      <c r="AG431">
        <v>1.4999999999999999E-2</v>
      </c>
      <c r="AH431">
        <v>2</v>
      </c>
      <c r="AI431">
        <v>85739991</v>
      </c>
      <c r="AJ431">
        <v>416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ROW(Source!A184)</f>
        <v>184</v>
      </c>
      <c r="B432">
        <v>85739992</v>
      </c>
      <c r="C432">
        <v>85739916</v>
      </c>
      <c r="D432">
        <v>85179477</v>
      </c>
      <c r="E432">
        <v>1081</v>
      </c>
      <c r="F432">
        <v>1</v>
      </c>
      <c r="G432">
        <v>1081</v>
      </c>
      <c r="H432">
        <v>3</v>
      </c>
      <c r="I432" t="s">
        <v>634</v>
      </c>
      <c r="J432" t="s">
        <v>3</v>
      </c>
      <c r="K432" t="s">
        <v>635</v>
      </c>
      <c r="L432">
        <v>1354</v>
      </c>
      <c r="N432">
        <v>1010</v>
      </c>
      <c r="O432" t="s">
        <v>99</v>
      </c>
      <c r="P432" t="s">
        <v>99</v>
      </c>
      <c r="Q432">
        <v>1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 t="s">
        <v>35</v>
      </c>
      <c r="AG432">
        <v>1</v>
      </c>
      <c r="AH432">
        <v>3</v>
      </c>
      <c r="AI432">
        <v>-1</v>
      </c>
      <c r="AJ432" t="s">
        <v>3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ROW(Source!A189)</f>
        <v>189</v>
      </c>
      <c r="B433">
        <v>85739996</v>
      </c>
      <c r="C433">
        <v>85739917</v>
      </c>
      <c r="D433">
        <v>85164021</v>
      </c>
      <c r="E433">
        <v>1081</v>
      </c>
      <c r="F433">
        <v>1</v>
      </c>
      <c r="G433">
        <v>1081</v>
      </c>
      <c r="H433">
        <v>1</v>
      </c>
      <c r="I433" t="s">
        <v>472</v>
      </c>
      <c r="J433" t="s">
        <v>3</v>
      </c>
      <c r="K433" t="s">
        <v>473</v>
      </c>
      <c r="L433">
        <v>1191</v>
      </c>
      <c r="N433">
        <v>1013</v>
      </c>
      <c r="O433" t="s">
        <v>474</v>
      </c>
      <c r="P433" t="s">
        <v>474</v>
      </c>
      <c r="Q433">
        <v>1</v>
      </c>
      <c r="X433">
        <v>60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1</v>
      </c>
      <c r="AF433" t="s">
        <v>36</v>
      </c>
      <c r="AG433">
        <v>72</v>
      </c>
      <c r="AH433">
        <v>2</v>
      </c>
      <c r="AI433">
        <v>85739996</v>
      </c>
      <c r="AJ433">
        <v>419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ROW(Source!A189)</f>
        <v>189</v>
      </c>
      <c r="B434">
        <v>85739997</v>
      </c>
      <c r="C434">
        <v>85739917</v>
      </c>
      <c r="D434">
        <v>85229633</v>
      </c>
      <c r="E434">
        <v>1</v>
      </c>
      <c r="F434">
        <v>1</v>
      </c>
      <c r="G434">
        <v>1081</v>
      </c>
      <c r="H434">
        <v>2</v>
      </c>
      <c r="I434" t="s">
        <v>475</v>
      </c>
      <c r="J434" t="s">
        <v>476</v>
      </c>
      <c r="K434" t="s">
        <v>477</v>
      </c>
      <c r="L434">
        <v>1368</v>
      </c>
      <c r="N434">
        <v>1011</v>
      </c>
      <c r="O434" t="s">
        <v>478</v>
      </c>
      <c r="P434" t="s">
        <v>478</v>
      </c>
      <c r="Q434">
        <v>1</v>
      </c>
      <c r="X434">
        <v>47.2</v>
      </c>
      <c r="Y434">
        <v>0</v>
      </c>
      <c r="Z434">
        <v>7.11</v>
      </c>
      <c r="AA434">
        <v>0</v>
      </c>
      <c r="AB434">
        <v>0</v>
      </c>
      <c r="AC434">
        <v>0</v>
      </c>
      <c r="AD434">
        <v>1</v>
      </c>
      <c r="AE434">
        <v>0</v>
      </c>
      <c r="AF434" t="s">
        <v>36</v>
      </c>
      <c r="AG434">
        <v>56.64</v>
      </c>
      <c r="AH434">
        <v>2</v>
      </c>
      <c r="AI434">
        <v>85739997</v>
      </c>
      <c r="AJ434">
        <v>420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ROW(Source!A189)</f>
        <v>189</v>
      </c>
      <c r="B435">
        <v>85739998</v>
      </c>
      <c r="C435">
        <v>85739917</v>
      </c>
      <c r="D435">
        <v>85229932</v>
      </c>
      <c r="E435">
        <v>1</v>
      </c>
      <c r="F435">
        <v>1</v>
      </c>
      <c r="G435">
        <v>1081</v>
      </c>
      <c r="H435">
        <v>2</v>
      </c>
      <c r="I435" t="s">
        <v>482</v>
      </c>
      <c r="J435" t="s">
        <v>483</v>
      </c>
      <c r="K435" t="s">
        <v>484</v>
      </c>
      <c r="L435">
        <v>1368</v>
      </c>
      <c r="N435">
        <v>1011</v>
      </c>
      <c r="O435" t="s">
        <v>478</v>
      </c>
      <c r="P435" t="s">
        <v>478</v>
      </c>
      <c r="Q435">
        <v>1</v>
      </c>
      <c r="X435">
        <v>0.01</v>
      </c>
      <c r="Y435">
        <v>0</v>
      </c>
      <c r="Z435">
        <v>83.1</v>
      </c>
      <c r="AA435">
        <v>12.62</v>
      </c>
      <c r="AB435">
        <v>0</v>
      </c>
      <c r="AC435">
        <v>0</v>
      </c>
      <c r="AD435">
        <v>1</v>
      </c>
      <c r="AE435">
        <v>0</v>
      </c>
      <c r="AF435" t="s">
        <v>36</v>
      </c>
      <c r="AG435">
        <v>1.2E-2</v>
      </c>
      <c r="AH435">
        <v>2</v>
      </c>
      <c r="AI435">
        <v>85739998</v>
      </c>
      <c r="AJ435">
        <v>421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ROW(Source!A189)</f>
        <v>189</v>
      </c>
      <c r="B436">
        <v>85739999</v>
      </c>
      <c r="C436">
        <v>85739917</v>
      </c>
      <c r="D436">
        <v>85199562</v>
      </c>
      <c r="E436">
        <v>1</v>
      </c>
      <c r="F436">
        <v>1</v>
      </c>
      <c r="G436">
        <v>1081</v>
      </c>
      <c r="H436">
        <v>3</v>
      </c>
      <c r="I436" t="s">
        <v>537</v>
      </c>
      <c r="J436" t="s">
        <v>538</v>
      </c>
      <c r="K436" t="s">
        <v>539</v>
      </c>
      <c r="L436">
        <v>1348</v>
      </c>
      <c r="N436">
        <v>1009</v>
      </c>
      <c r="O436" t="s">
        <v>266</v>
      </c>
      <c r="P436" t="s">
        <v>266</v>
      </c>
      <c r="Q436">
        <v>1000</v>
      </c>
      <c r="X436">
        <v>3.0000000000000001E-3</v>
      </c>
      <c r="Y436">
        <v>23114.43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 t="s">
        <v>35</v>
      </c>
      <c r="AG436">
        <v>3.0000000000000001E-3</v>
      </c>
      <c r="AH436">
        <v>2</v>
      </c>
      <c r="AI436">
        <v>85739999</v>
      </c>
      <c r="AJ436">
        <v>422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ROW(Source!A189)</f>
        <v>189</v>
      </c>
      <c r="B437">
        <v>85740000</v>
      </c>
      <c r="C437">
        <v>85739917</v>
      </c>
      <c r="D437">
        <v>85200023</v>
      </c>
      <c r="E437">
        <v>1</v>
      </c>
      <c r="F437">
        <v>1</v>
      </c>
      <c r="G437">
        <v>1081</v>
      </c>
      <c r="H437">
        <v>3</v>
      </c>
      <c r="I437" t="s">
        <v>555</v>
      </c>
      <c r="J437" t="s">
        <v>556</v>
      </c>
      <c r="K437" t="s">
        <v>557</v>
      </c>
      <c r="L437">
        <v>1348</v>
      </c>
      <c r="N437">
        <v>1009</v>
      </c>
      <c r="O437" t="s">
        <v>266</v>
      </c>
      <c r="P437" t="s">
        <v>266</v>
      </c>
      <c r="Q437">
        <v>1000</v>
      </c>
      <c r="X437">
        <v>0.01</v>
      </c>
      <c r="Y437">
        <v>7185.82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 t="s">
        <v>35</v>
      </c>
      <c r="AG437">
        <v>0.01</v>
      </c>
      <c r="AH437">
        <v>2</v>
      </c>
      <c r="AI437">
        <v>85740000</v>
      </c>
      <c r="AJ437">
        <v>423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ROW(Source!A189)</f>
        <v>189</v>
      </c>
      <c r="B438">
        <v>85740001</v>
      </c>
      <c r="C438">
        <v>85739917</v>
      </c>
      <c r="D438">
        <v>85215459</v>
      </c>
      <c r="E438">
        <v>1</v>
      </c>
      <c r="F438">
        <v>1</v>
      </c>
      <c r="G438">
        <v>1081</v>
      </c>
      <c r="H438">
        <v>3</v>
      </c>
      <c r="I438" t="s">
        <v>603</v>
      </c>
      <c r="J438" t="s">
        <v>604</v>
      </c>
      <c r="K438" t="s">
        <v>605</v>
      </c>
      <c r="L438">
        <v>1354</v>
      </c>
      <c r="N438">
        <v>1010</v>
      </c>
      <c r="O438" t="s">
        <v>99</v>
      </c>
      <c r="P438" t="s">
        <v>99</v>
      </c>
      <c r="Q438">
        <v>1</v>
      </c>
      <c r="X438">
        <v>100</v>
      </c>
      <c r="Y438">
        <v>11.13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35</v>
      </c>
      <c r="AG438">
        <v>100</v>
      </c>
      <c r="AH438">
        <v>2</v>
      </c>
      <c r="AI438">
        <v>85740001</v>
      </c>
      <c r="AJ438">
        <v>424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ROW(Source!A189)</f>
        <v>189</v>
      </c>
      <c r="B439">
        <v>85740002</v>
      </c>
      <c r="C439">
        <v>85739917</v>
      </c>
      <c r="D439">
        <v>85219766</v>
      </c>
      <c r="E439">
        <v>1</v>
      </c>
      <c r="F439">
        <v>1</v>
      </c>
      <c r="G439">
        <v>1081</v>
      </c>
      <c r="H439">
        <v>3</v>
      </c>
      <c r="I439" t="s">
        <v>606</v>
      </c>
      <c r="J439" t="s">
        <v>607</v>
      </c>
      <c r="K439" t="s">
        <v>608</v>
      </c>
      <c r="L439">
        <v>1354</v>
      </c>
      <c r="N439">
        <v>1010</v>
      </c>
      <c r="O439" t="s">
        <v>99</v>
      </c>
      <c r="P439" t="s">
        <v>99</v>
      </c>
      <c r="Q439">
        <v>1</v>
      </c>
      <c r="X439">
        <v>100</v>
      </c>
      <c r="Y439">
        <v>22.08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 t="s">
        <v>35</v>
      </c>
      <c r="AG439">
        <v>100</v>
      </c>
      <c r="AH439">
        <v>2</v>
      </c>
      <c r="AI439">
        <v>85740002</v>
      </c>
      <c r="AJ439">
        <v>426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ROW(Source!A189)</f>
        <v>189</v>
      </c>
      <c r="B440">
        <v>85740003</v>
      </c>
      <c r="C440">
        <v>85739917</v>
      </c>
      <c r="D440">
        <v>85180243</v>
      </c>
      <c r="E440">
        <v>1081</v>
      </c>
      <c r="F440">
        <v>1</v>
      </c>
      <c r="G440">
        <v>1081</v>
      </c>
      <c r="H440">
        <v>3</v>
      </c>
      <c r="I440" t="s">
        <v>654</v>
      </c>
      <c r="J440" t="s">
        <v>3</v>
      </c>
      <c r="K440" t="s">
        <v>655</v>
      </c>
      <c r="L440">
        <v>1354</v>
      </c>
      <c r="N440">
        <v>1010</v>
      </c>
      <c r="O440" t="s">
        <v>99</v>
      </c>
      <c r="P440" t="s">
        <v>99</v>
      </c>
      <c r="Q440">
        <v>1</v>
      </c>
      <c r="X440">
        <v>100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 t="s">
        <v>35</v>
      </c>
      <c r="AG440">
        <v>100</v>
      </c>
      <c r="AH440">
        <v>3</v>
      </c>
      <c r="AI440">
        <v>-1</v>
      </c>
      <c r="AJ440" t="s">
        <v>3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ROW(Source!A190)</f>
        <v>190</v>
      </c>
      <c r="B441">
        <v>85739996</v>
      </c>
      <c r="C441">
        <v>85739917</v>
      </c>
      <c r="D441">
        <v>85164021</v>
      </c>
      <c r="E441">
        <v>1081</v>
      </c>
      <c r="F441">
        <v>1</v>
      </c>
      <c r="G441">
        <v>1081</v>
      </c>
      <c r="H441">
        <v>1</v>
      </c>
      <c r="I441" t="s">
        <v>472</v>
      </c>
      <c r="J441" t="s">
        <v>3</v>
      </c>
      <c r="K441" t="s">
        <v>473</v>
      </c>
      <c r="L441">
        <v>1191</v>
      </c>
      <c r="N441">
        <v>1013</v>
      </c>
      <c r="O441" t="s">
        <v>474</v>
      </c>
      <c r="P441" t="s">
        <v>474</v>
      </c>
      <c r="Q441">
        <v>1</v>
      </c>
      <c r="X441">
        <v>60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1</v>
      </c>
      <c r="AF441" t="s">
        <v>36</v>
      </c>
      <c r="AG441">
        <v>72</v>
      </c>
      <c r="AH441">
        <v>2</v>
      </c>
      <c r="AI441">
        <v>85739996</v>
      </c>
      <c r="AJ441">
        <v>427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ROW(Source!A190)</f>
        <v>190</v>
      </c>
      <c r="B442">
        <v>85739997</v>
      </c>
      <c r="C442">
        <v>85739917</v>
      </c>
      <c r="D442">
        <v>85229633</v>
      </c>
      <c r="E442">
        <v>1</v>
      </c>
      <c r="F442">
        <v>1</v>
      </c>
      <c r="G442">
        <v>1081</v>
      </c>
      <c r="H442">
        <v>2</v>
      </c>
      <c r="I442" t="s">
        <v>475</v>
      </c>
      <c r="J442" t="s">
        <v>476</v>
      </c>
      <c r="K442" t="s">
        <v>477</v>
      </c>
      <c r="L442">
        <v>1368</v>
      </c>
      <c r="N442">
        <v>1011</v>
      </c>
      <c r="O442" t="s">
        <v>478</v>
      </c>
      <c r="P442" t="s">
        <v>478</v>
      </c>
      <c r="Q442">
        <v>1</v>
      </c>
      <c r="X442">
        <v>47.2</v>
      </c>
      <c r="Y442">
        <v>0</v>
      </c>
      <c r="Z442">
        <v>7.11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36</v>
      </c>
      <c r="AG442">
        <v>56.64</v>
      </c>
      <c r="AH442">
        <v>2</v>
      </c>
      <c r="AI442">
        <v>85739997</v>
      </c>
      <c r="AJ442">
        <v>428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ROW(Source!A190)</f>
        <v>190</v>
      </c>
      <c r="B443">
        <v>85739998</v>
      </c>
      <c r="C443">
        <v>85739917</v>
      </c>
      <c r="D443">
        <v>85229932</v>
      </c>
      <c r="E443">
        <v>1</v>
      </c>
      <c r="F443">
        <v>1</v>
      </c>
      <c r="G443">
        <v>1081</v>
      </c>
      <c r="H443">
        <v>2</v>
      </c>
      <c r="I443" t="s">
        <v>482</v>
      </c>
      <c r="J443" t="s">
        <v>483</v>
      </c>
      <c r="K443" t="s">
        <v>484</v>
      </c>
      <c r="L443">
        <v>1368</v>
      </c>
      <c r="N443">
        <v>1011</v>
      </c>
      <c r="O443" t="s">
        <v>478</v>
      </c>
      <c r="P443" t="s">
        <v>478</v>
      </c>
      <c r="Q443">
        <v>1</v>
      </c>
      <c r="X443">
        <v>0.01</v>
      </c>
      <c r="Y443">
        <v>0</v>
      </c>
      <c r="Z443">
        <v>83.1</v>
      </c>
      <c r="AA443">
        <v>12.62</v>
      </c>
      <c r="AB443">
        <v>0</v>
      </c>
      <c r="AC443">
        <v>0</v>
      </c>
      <c r="AD443">
        <v>1</v>
      </c>
      <c r="AE443">
        <v>0</v>
      </c>
      <c r="AF443" t="s">
        <v>36</v>
      </c>
      <c r="AG443">
        <v>1.2E-2</v>
      </c>
      <c r="AH443">
        <v>2</v>
      </c>
      <c r="AI443">
        <v>85739998</v>
      </c>
      <c r="AJ443">
        <v>429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ROW(Source!A190)</f>
        <v>190</v>
      </c>
      <c r="B444">
        <v>85739999</v>
      </c>
      <c r="C444">
        <v>85739917</v>
      </c>
      <c r="D444">
        <v>85199562</v>
      </c>
      <c r="E444">
        <v>1</v>
      </c>
      <c r="F444">
        <v>1</v>
      </c>
      <c r="G444">
        <v>1081</v>
      </c>
      <c r="H444">
        <v>3</v>
      </c>
      <c r="I444" t="s">
        <v>537</v>
      </c>
      <c r="J444" t="s">
        <v>538</v>
      </c>
      <c r="K444" t="s">
        <v>539</v>
      </c>
      <c r="L444">
        <v>1348</v>
      </c>
      <c r="N444">
        <v>1009</v>
      </c>
      <c r="O444" t="s">
        <v>266</v>
      </c>
      <c r="P444" t="s">
        <v>266</v>
      </c>
      <c r="Q444">
        <v>1000</v>
      </c>
      <c r="X444">
        <v>3.0000000000000001E-3</v>
      </c>
      <c r="Y444">
        <v>23114.43</v>
      </c>
      <c r="Z444">
        <v>0</v>
      </c>
      <c r="AA444">
        <v>0</v>
      </c>
      <c r="AB444">
        <v>0</v>
      </c>
      <c r="AC444">
        <v>0</v>
      </c>
      <c r="AD444">
        <v>1</v>
      </c>
      <c r="AE444">
        <v>0</v>
      </c>
      <c r="AF444" t="s">
        <v>35</v>
      </c>
      <c r="AG444">
        <v>3.0000000000000001E-3</v>
      </c>
      <c r="AH444">
        <v>2</v>
      </c>
      <c r="AI444">
        <v>85739999</v>
      </c>
      <c r="AJ444">
        <v>430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ROW(Source!A190)</f>
        <v>190</v>
      </c>
      <c r="B445">
        <v>85740000</v>
      </c>
      <c r="C445">
        <v>85739917</v>
      </c>
      <c r="D445">
        <v>85200023</v>
      </c>
      <c r="E445">
        <v>1</v>
      </c>
      <c r="F445">
        <v>1</v>
      </c>
      <c r="G445">
        <v>1081</v>
      </c>
      <c r="H445">
        <v>3</v>
      </c>
      <c r="I445" t="s">
        <v>555</v>
      </c>
      <c r="J445" t="s">
        <v>556</v>
      </c>
      <c r="K445" t="s">
        <v>557</v>
      </c>
      <c r="L445">
        <v>1348</v>
      </c>
      <c r="N445">
        <v>1009</v>
      </c>
      <c r="O445" t="s">
        <v>266</v>
      </c>
      <c r="P445" t="s">
        <v>266</v>
      </c>
      <c r="Q445">
        <v>1000</v>
      </c>
      <c r="X445">
        <v>0.01</v>
      </c>
      <c r="Y445">
        <v>7185.82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 t="s">
        <v>35</v>
      </c>
      <c r="AG445">
        <v>0.01</v>
      </c>
      <c r="AH445">
        <v>2</v>
      </c>
      <c r="AI445">
        <v>85740000</v>
      </c>
      <c r="AJ445">
        <v>431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ROW(Source!A190)</f>
        <v>190</v>
      </c>
      <c r="B446">
        <v>85740001</v>
      </c>
      <c r="C446">
        <v>85739917</v>
      </c>
      <c r="D446">
        <v>85215459</v>
      </c>
      <c r="E446">
        <v>1</v>
      </c>
      <c r="F446">
        <v>1</v>
      </c>
      <c r="G446">
        <v>1081</v>
      </c>
      <c r="H446">
        <v>3</v>
      </c>
      <c r="I446" t="s">
        <v>603</v>
      </c>
      <c r="J446" t="s">
        <v>604</v>
      </c>
      <c r="K446" t="s">
        <v>605</v>
      </c>
      <c r="L446">
        <v>1354</v>
      </c>
      <c r="N446">
        <v>1010</v>
      </c>
      <c r="O446" t="s">
        <v>99</v>
      </c>
      <c r="P446" t="s">
        <v>99</v>
      </c>
      <c r="Q446">
        <v>1</v>
      </c>
      <c r="X446">
        <v>100</v>
      </c>
      <c r="Y446">
        <v>11.13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 t="s">
        <v>35</v>
      </c>
      <c r="AG446">
        <v>100</v>
      </c>
      <c r="AH446">
        <v>2</v>
      </c>
      <c r="AI446">
        <v>85740001</v>
      </c>
      <c r="AJ446">
        <v>432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ROW(Source!A190)</f>
        <v>190</v>
      </c>
      <c r="B447">
        <v>85740002</v>
      </c>
      <c r="C447">
        <v>85739917</v>
      </c>
      <c r="D447">
        <v>85219766</v>
      </c>
      <c r="E447">
        <v>1</v>
      </c>
      <c r="F447">
        <v>1</v>
      </c>
      <c r="G447">
        <v>1081</v>
      </c>
      <c r="H447">
        <v>3</v>
      </c>
      <c r="I447" t="s">
        <v>606</v>
      </c>
      <c r="J447" t="s">
        <v>607</v>
      </c>
      <c r="K447" t="s">
        <v>608</v>
      </c>
      <c r="L447">
        <v>1354</v>
      </c>
      <c r="N447">
        <v>1010</v>
      </c>
      <c r="O447" t="s">
        <v>99</v>
      </c>
      <c r="P447" t="s">
        <v>99</v>
      </c>
      <c r="Q447">
        <v>1</v>
      </c>
      <c r="X447">
        <v>100</v>
      </c>
      <c r="Y447">
        <v>22.08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 t="s">
        <v>35</v>
      </c>
      <c r="AG447">
        <v>100</v>
      </c>
      <c r="AH447">
        <v>2</v>
      </c>
      <c r="AI447">
        <v>85740002</v>
      </c>
      <c r="AJ447">
        <v>434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ROW(Source!A190)</f>
        <v>190</v>
      </c>
      <c r="B448">
        <v>85740003</v>
      </c>
      <c r="C448">
        <v>85739917</v>
      </c>
      <c r="D448">
        <v>85180243</v>
      </c>
      <c r="E448">
        <v>1081</v>
      </c>
      <c r="F448">
        <v>1</v>
      </c>
      <c r="G448">
        <v>1081</v>
      </c>
      <c r="H448">
        <v>3</v>
      </c>
      <c r="I448" t="s">
        <v>654</v>
      </c>
      <c r="J448" t="s">
        <v>3</v>
      </c>
      <c r="K448" t="s">
        <v>655</v>
      </c>
      <c r="L448">
        <v>1354</v>
      </c>
      <c r="N448">
        <v>1010</v>
      </c>
      <c r="O448" t="s">
        <v>99</v>
      </c>
      <c r="P448" t="s">
        <v>99</v>
      </c>
      <c r="Q448">
        <v>1</v>
      </c>
      <c r="X448">
        <v>100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 t="s">
        <v>35</v>
      </c>
      <c r="AG448">
        <v>100</v>
      </c>
      <c r="AH448">
        <v>3</v>
      </c>
      <c r="AI448">
        <v>-1</v>
      </c>
      <c r="AJ448" t="s">
        <v>3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ROW(Source!A193)</f>
        <v>193</v>
      </c>
      <c r="B449">
        <v>85740022</v>
      </c>
      <c r="C449">
        <v>85740020</v>
      </c>
      <c r="D449">
        <v>85164021</v>
      </c>
      <c r="E449">
        <v>1081</v>
      </c>
      <c r="F449">
        <v>1</v>
      </c>
      <c r="G449">
        <v>1081</v>
      </c>
      <c r="H449">
        <v>1</v>
      </c>
      <c r="I449" t="s">
        <v>472</v>
      </c>
      <c r="J449" t="s">
        <v>3</v>
      </c>
      <c r="K449" t="s">
        <v>473</v>
      </c>
      <c r="L449">
        <v>1191</v>
      </c>
      <c r="N449">
        <v>1013</v>
      </c>
      <c r="O449" t="s">
        <v>474</v>
      </c>
      <c r="P449" t="s">
        <v>474</v>
      </c>
      <c r="Q449">
        <v>1</v>
      </c>
      <c r="X449">
        <v>1.59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  <c r="AE449">
        <v>1</v>
      </c>
      <c r="AF449" t="s">
        <v>79</v>
      </c>
      <c r="AG449">
        <v>2.1941999999999999</v>
      </c>
      <c r="AH449">
        <v>2</v>
      </c>
      <c r="AI449">
        <v>85740022</v>
      </c>
      <c r="AJ449">
        <v>435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ROW(Source!A193)</f>
        <v>193</v>
      </c>
      <c r="B450">
        <v>85740023</v>
      </c>
      <c r="C450">
        <v>85740020</v>
      </c>
      <c r="D450">
        <v>85229932</v>
      </c>
      <c r="E450">
        <v>1</v>
      </c>
      <c r="F450">
        <v>1</v>
      </c>
      <c r="G450">
        <v>1081</v>
      </c>
      <c r="H450">
        <v>2</v>
      </c>
      <c r="I450" t="s">
        <v>482</v>
      </c>
      <c r="J450" t="s">
        <v>483</v>
      </c>
      <c r="K450" t="s">
        <v>484</v>
      </c>
      <c r="L450">
        <v>1368</v>
      </c>
      <c r="N450">
        <v>1011</v>
      </c>
      <c r="O450" t="s">
        <v>478</v>
      </c>
      <c r="P450" t="s">
        <v>478</v>
      </c>
      <c r="Q450">
        <v>1</v>
      </c>
      <c r="X450">
        <v>0.06</v>
      </c>
      <c r="Y450">
        <v>0</v>
      </c>
      <c r="Z450">
        <v>83.1</v>
      </c>
      <c r="AA450">
        <v>12.62</v>
      </c>
      <c r="AB450">
        <v>0</v>
      </c>
      <c r="AC450">
        <v>0</v>
      </c>
      <c r="AD450">
        <v>1</v>
      </c>
      <c r="AE450">
        <v>0</v>
      </c>
      <c r="AF450" t="s">
        <v>78</v>
      </c>
      <c r="AG450">
        <v>0.09</v>
      </c>
      <c r="AH450">
        <v>2</v>
      </c>
      <c r="AI450">
        <v>85740023</v>
      </c>
      <c r="AJ450">
        <v>436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ROW(Source!A193)</f>
        <v>193</v>
      </c>
      <c r="B451">
        <v>85740024</v>
      </c>
      <c r="C451">
        <v>85740020</v>
      </c>
      <c r="D451">
        <v>85229166</v>
      </c>
      <c r="E451">
        <v>1</v>
      </c>
      <c r="F451">
        <v>1</v>
      </c>
      <c r="G451">
        <v>1081</v>
      </c>
      <c r="H451">
        <v>2</v>
      </c>
      <c r="I451" t="s">
        <v>510</v>
      </c>
      <c r="J451" t="s">
        <v>511</v>
      </c>
      <c r="K451" t="s">
        <v>512</v>
      </c>
      <c r="L451">
        <v>1368</v>
      </c>
      <c r="N451">
        <v>1011</v>
      </c>
      <c r="O451" t="s">
        <v>478</v>
      </c>
      <c r="P451" t="s">
        <v>478</v>
      </c>
      <c r="Q451">
        <v>1</v>
      </c>
      <c r="X451">
        <v>0.02</v>
      </c>
      <c r="Y451">
        <v>0</v>
      </c>
      <c r="Z451">
        <v>179.17</v>
      </c>
      <c r="AA451">
        <v>16.93</v>
      </c>
      <c r="AB451">
        <v>0</v>
      </c>
      <c r="AC451">
        <v>0</v>
      </c>
      <c r="AD451">
        <v>1</v>
      </c>
      <c r="AE451">
        <v>0</v>
      </c>
      <c r="AF451" t="s">
        <v>78</v>
      </c>
      <c r="AG451">
        <v>0.03</v>
      </c>
      <c r="AH451">
        <v>2</v>
      </c>
      <c r="AI451">
        <v>85740024</v>
      </c>
      <c r="AJ451">
        <v>437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ROW(Source!A193)</f>
        <v>193</v>
      </c>
      <c r="B452">
        <v>85740025</v>
      </c>
      <c r="C452">
        <v>85740020</v>
      </c>
      <c r="D452">
        <v>85200671</v>
      </c>
      <c r="E452">
        <v>1</v>
      </c>
      <c r="F452">
        <v>1</v>
      </c>
      <c r="G452">
        <v>1081</v>
      </c>
      <c r="H452">
        <v>3</v>
      </c>
      <c r="I452" t="s">
        <v>516</v>
      </c>
      <c r="J452" t="s">
        <v>517</v>
      </c>
      <c r="K452" t="s">
        <v>518</v>
      </c>
      <c r="L452">
        <v>1346</v>
      </c>
      <c r="N452">
        <v>1009</v>
      </c>
      <c r="O452" t="s">
        <v>502</v>
      </c>
      <c r="P452" t="s">
        <v>502</v>
      </c>
      <c r="Q452">
        <v>1</v>
      </c>
      <c r="X452">
        <v>0.04</v>
      </c>
      <c r="Y452">
        <v>37.979999999999997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 t="s">
        <v>77</v>
      </c>
      <c r="AG452">
        <v>0.04</v>
      </c>
      <c r="AH452">
        <v>2</v>
      </c>
      <c r="AI452">
        <v>85740025</v>
      </c>
      <c r="AJ452">
        <v>438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ROW(Source!A193)</f>
        <v>193</v>
      </c>
      <c r="B453">
        <v>85740026</v>
      </c>
      <c r="C453">
        <v>85740020</v>
      </c>
      <c r="D453">
        <v>85199230</v>
      </c>
      <c r="E453">
        <v>1</v>
      </c>
      <c r="F453">
        <v>1</v>
      </c>
      <c r="G453">
        <v>1081</v>
      </c>
      <c r="H453">
        <v>3</v>
      </c>
      <c r="I453" t="s">
        <v>519</v>
      </c>
      <c r="J453" t="s">
        <v>520</v>
      </c>
      <c r="K453" t="s">
        <v>521</v>
      </c>
      <c r="L453">
        <v>1348</v>
      </c>
      <c r="N453">
        <v>1009</v>
      </c>
      <c r="O453" t="s">
        <v>266</v>
      </c>
      <c r="P453" t="s">
        <v>266</v>
      </c>
      <c r="Q453">
        <v>1000</v>
      </c>
      <c r="X453">
        <v>1E-4</v>
      </c>
      <c r="Y453">
        <v>16214.84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77</v>
      </c>
      <c r="AG453">
        <v>1E-4</v>
      </c>
      <c r="AH453">
        <v>2</v>
      </c>
      <c r="AI453">
        <v>85740026</v>
      </c>
      <c r="AJ453">
        <v>439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ROW(Source!A193)</f>
        <v>193</v>
      </c>
      <c r="B454">
        <v>85740027</v>
      </c>
      <c r="C454">
        <v>85740020</v>
      </c>
      <c r="D454">
        <v>85199398</v>
      </c>
      <c r="E454">
        <v>1</v>
      </c>
      <c r="F454">
        <v>1</v>
      </c>
      <c r="G454">
        <v>1081</v>
      </c>
      <c r="H454">
        <v>3</v>
      </c>
      <c r="I454" t="s">
        <v>522</v>
      </c>
      <c r="J454" t="s">
        <v>523</v>
      </c>
      <c r="K454" t="s">
        <v>524</v>
      </c>
      <c r="L454">
        <v>1346</v>
      </c>
      <c r="N454">
        <v>1009</v>
      </c>
      <c r="O454" t="s">
        <v>502</v>
      </c>
      <c r="P454" t="s">
        <v>502</v>
      </c>
      <c r="Q454">
        <v>1</v>
      </c>
      <c r="X454">
        <v>0.01</v>
      </c>
      <c r="Y454">
        <v>20.190000000000001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 t="s">
        <v>77</v>
      </c>
      <c r="AG454">
        <v>0.01</v>
      </c>
      <c r="AH454">
        <v>2</v>
      </c>
      <c r="AI454">
        <v>85740027</v>
      </c>
      <c r="AJ454">
        <v>440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ROW(Source!A193)</f>
        <v>193</v>
      </c>
      <c r="B455">
        <v>85740028</v>
      </c>
      <c r="C455">
        <v>85740020</v>
      </c>
      <c r="D455">
        <v>85219690</v>
      </c>
      <c r="E455">
        <v>1</v>
      </c>
      <c r="F455">
        <v>1</v>
      </c>
      <c r="G455">
        <v>1081</v>
      </c>
      <c r="H455">
        <v>3</v>
      </c>
      <c r="I455" t="s">
        <v>609</v>
      </c>
      <c r="J455" t="s">
        <v>610</v>
      </c>
      <c r="K455" t="s">
        <v>611</v>
      </c>
      <c r="L455">
        <v>1346</v>
      </c>
      <c r="N455">
        <v>1009</v>
      </c>
      <c r="O455" t="s">
        <v>502</v>
      </c>
      <c r="P455" t="s">
        <v>502</v>
      </c>
      <c r="Q455">
        <v>1</v>
      </c>
      <c r="X455">
        <v>1.374E-2</v>
      </c>
      <c r="Y455">
        <v>19.28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 t="s">
        <v>77</v>
      </c>
      <c r="AG455">
        <v>1.374E-2</v>
      </c>
      <c r="AH455">
        <v>2</v>
      </c>
      <c r="AI455">
        <v>85740028</v>
      </c>
      <c r="AJ455">
        <v>442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ROW(Source!A193)</f>
        <v>193</v>
      </c>
      <c r="B456">
        <v>85740029</v>
      </c>
      <c r="C456">
        <v>85740020</v>
      </c>
      <c r="D456">
        <v>85159707</v>
      </c>
      <c r="E456">
        <v>1081</v>
      </c>
      <c r="F456">
        <v>1</v>
      </c>
      <c r="G456">
        <v>1081</v>
      </c>
      <c r="H456">
        <v>3</v>
      </c>
      <c r="I456" t="s">
        <v>656</v>
      </c>
      <c r="J456" t="s">
        <v>3</v>
      </c>
      <c r="K456" t="s">
        <v>657</v>
      </c>
      <c r="L456">
        <v>1354</v>
      </c>
      <c r="N456">
        <v>1010</v>
      </c>
      <c r="O456" t="s">
        <v>99</v>
      </c>
      <c r="P456" t="s">
        <v>99</v>
      </c>
      <c r="Q456">
        <v>1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 t="s">
        <v>77</v>
      </c>
      <c r="AG456">
        <v>1</v>
      </c>
      <c r="AH456">
        <v>3</v>
      </c>
      <c r="AI456">
        <v>-1</v>
      </c>
      <c r="AJ456" t="s">
        <v>3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ROW(Source!A193)</f>
        <v>193</v>
      </c>
      <c r="B457">
        <v>85740030</v>
      </c>
      <c r="C457">
        <v>85740020</v>
      </c>
      <c r="D457">
        <v>85182708</v>
      </c>
      <c r="E457">
        <v>1081</v>
      </c>
      <c r="F457">
        <v>1</v>
      </c>
      <c r="G457">
        <v>1081</v>
      </c>
      <c r="H457">
        <v>3</v>
      </c>
      <c r="I457" t="s">
        <v>658</v>
      </c>
      <c r="J457" t="s">
        <v>3</v>
      </c>
      <c r="K457" t="s">
        <v>659</v>
      </c>
      <c r="L457">
        <v>1354</v>
      </c>
      <c r="N457">
        <v>1010</v>
      </c>
      <c r="O457" t="s">
        <v>99</v>
      </c>
      <c r="P457" t="s">
        <v>99</v>
      </c>
      <c r="Q457">
        <v>1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 t="s">
        <v>77</v>
      </c>
      <c r="AG457">
        <v>1</v>
      </c>
      <c r="AH457">
        <v>3</v>
      </c>
      <c r="AI457">
        <v>-1</v>
      </c>
      <c r="AJ457" t="s">
        <v>3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ROW(Source!A194)</f>
        <v>194</v>
      </c>
      <c r="B458">
        <v>85740022</v>
      </c>
      <c r="C458">
        <v>85740020</v>
      </c>
      <c r="D458">
        <v>85164021</v>
      </c>
      <c r="E458">
        <v>1081</v>
      </c>
      <c r="F458">
        <v>1</v>
      </c>
      <c r="G458">
        <v>1081</v>
      </c>
      <c r="H458">
        <v>1</v>
      </c>
      <c r="I458" t="s">
        <v>472</v>
      </c>
      <c r="J458" t="s">
        <v>3</v>
      </c>
      <c r="K458" t="s">
        <v>473</v>
      </c>
      <c r="L458">
        <v>1191</v>
      </c>
      <c r="N458">
        <v>1013</v>
      </c>
      <c r="O458" t="s">
        <v>474</v>
      </c>
      <c r="P458" t="s">
        <v>474</v>
      </c>
      <c r="Q458">
        <v>1</v>
      </c>
      <c r="X458">
        <v>1.59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1</v>
      </c>
      <c r="AF458" t="s">
        <v>79</v>
      </c>
      <c r="AG458">
        <v>2.1941999999999999</v>
      </c>
      <c r="AH458">
        <v>2</v>
      </c>
      <c r="AI458">
        <v>85740022</v>
      </c>
      <c r="AJ458">
        <v>443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ROW(Source!A194)</f>
        <v>194</v>
      </c>
      <c r="B459">
        <v>85740023</v>
      </c>
      <c r="C459">
        <v>85740020</v>
      </c>
      <c r="D459">
        <v>85229932</v>
      </c>
      <c r="E459">
        <v>1</v>
      </c>
      <c r="F459">
        <v>1</v>
      </c>
      <c r="G459">
        <v>1081</v>
      </c>
      <c r="H459">
        <v>2</v>
      </c>
      <c r="I459" t="s">
        <v>482</v>
      </c>
      <c r="J459" t="s">
        <v>483</v>
      </c>
      <c r="K459" t="s">
        <v>484</v>
      </c>
      <c r="L459">
        <v>1368</v>
      </c>
      <c r="N459">
        <v>1011</v>
      </c>
      <c r="O459" t="s">
        <v>478</v>
      </c>
      <c r="P459" t="s">
        <v>478</v>
      </c>
      <c r="Q459">
        <v>1</v>
      </c>
      <c r="X459">
        <v>0.06</v>
      </c>
      <c r="Y459">
        <v>0</v>
      </c>
      <c r="Z459">
        <v>83.1</v>
      </c>
      <c r="AA459">
        <v>12.62</v>
      </c>
      <c r="AB459">
        <v>0</v>
      </c>
      <c r="AC459">
        <v>0</v>
      </c>
      <c r="AD459">
        <v>1</v>
      </c>
      <c r="AE459">
        <v>0</v>
      </c>
      <c r="AF459" t="s">
        <v>78</v>
      </c>
      <c r="AG459">
        <v>0.09</v>
      </c>
      <c r="AH459">
        <v>2</v>
      </c>
      <c r="AI459">
        <v>85740023</v>
      </c>
      <c r="AJ459">
        <v>444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ROW(Source!A194)</f>
        <v>194</v>
      </c>
      <c r="B460">
        <v>85740024</v>
      </c>
      <c r="C460">
        <v>85740020</v>
      </c>
      <c r="D460">
        <v>85229166</v>
      </c>
      <c r="E460">
        <v>1</v>
      </c>
      <c r="F460">
        <v>1</v>
      </c>
      <c r="G460">
        <v>1081</v>
      </c>
      <c r="H460">
        <v>2</v>
      </c>
      <c r="I460" t="s">
        <v>510</v>
      </c>
      <c r="J460" t="s">
        <v>511</v>
      </c>
      <c r="K460" t="s">
        <v>512</v>
      </c>
      <c r="L460">
        <v>1368</v>
      </c>
      <c r="N460">
        <v>1011</v>
      </c>
      <c r="O460" t="s">
        <v>478</v>
      </c>
      <c r="P460" t="s">
        <v>478</v>
      </c>
      <c r="Q460">
        <v>1</v>
      </c>
      <c r="X460">
        <v>0.02</v>
      </c>
      <c r="Y460">
        <v>0</v>
      </c>
      <c r="Z460">
        <v>179.17</v>
      </c>
      <c r="AA460">
        <v>16.93</v>
      </c>
      <c r="AB460">
        <v>0</v>
      </c>
      <c r="AC460">
        <v>0</v>
      </c>
      <c r="AD460">
        <v>1</v>
      </c>
      <c r="AE460">
        <v>0</v>
      </c>
      <c r="AF460" t="s">
        <v>78</v>
      </c>
      <c r="AG460">
        <v>0.03</v>
      </c>
      <c r="AH460">
        <v>2</v>
      </c>
      <c r="AI460">
        <v>85740024</v>
      </c>
      <c r="AJ460">
        <v>445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ROW(Source!A194)</f>
        <v>194</v>
      </c>
      <c r="B461">
        <v>85740025</v>
      </c>
      <c r="C461">
        <v>85740020</v>
      </c>
      <c r="D461">
        <v>85200671</v>
      </c>
      <c r="E461">
        <v>1</v>
      </c>
      <c r="F461">
        <v>1</v>
      </c>
      <c r="G461">
        <v>1081</v>
      </c>
      <c r="H461">
        <v>3</v>
      </c>
      <c r="I461" t="s">
        <v>516</v>
      </c>
      <c r="J461" t="s">
        <v>517</v>
      </c>
      <c r="K461" t="s">
        <v>518</v>
      </c>
      <c r="L461">
        <v>1346</v>
      </c>
      <c r="N461">
        <v>1009</v>
      </c>
      <c r="O461" t="s">
        <v>502</v>
      </c>
      <c r="P461" t="s">
        <v>502</v>
      </c>
      <c r="Q461">
        <v>1</v>
      </c>
      <c r="X461">
        <v>0.04</v>
      </c>
      <c r="Y461">
        <v>37.979999999999997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 t="s">
        <v>77</v>
      </c>
      <c r="AG461">
        <v>0.04</v>
      </c>
      <c r="AH461">
        <v>2</v>
      </c>
      <c r="AI461">
        <v>85740025</v>
      </c>
      <c r="AJ461">
        <v>446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ROW(Source!A194)</f>
        <v>194</v>
      </c>
      <c r="B462">
        <v>85740026</v>
      </c>
      <c r="C462">
        <v>85740020</v>
      </c>
      <c r="D462">
        <v>85199230</v>
      </c>
      <c r="E462">
        <v>1</v>
      </c>
      <c r="F462">
        <v>1</v>
      </c>
      <c r="G462">
        <v>1081</v>
      </c>
      <c r="H462">
        <v>3</v>
      </c>
      <c r="I462" t="s">
        <v>519</v>
      </c>
      <c r="J462" t="s">
        <v>520</v>
      </c>
      <c r="K462" t="s">
        <v>521</v>
      </c>
      <c r="L462">
        <v>1348</v>
      </c>
      <c r="N462">
        <v>1009</v>
      </c>
      <c r="O462" t="s">
        <v>266</v>
      </c>
      <c r="P462" t="s">
        <v>266</v>
      </c>
      <c r="Q462">
        <v>1000</v>
      </c>
      <c r="X462">
        <v>1E-4</v>
      </c>
      <c r="Y462">
        <v>16214.84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0</v>
      </c>
      <c r="AF462" t="s">
        <v>77</v>
      </c>
      <c r="AG462">
        <v>1E-4</v>
      </c>
      <c r="AH462">
        <v>2</v>
      </c>
      <c r="AI462">
        <v>85740026</v>
      </c>
      <c r="AJ462">
        <v>447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ROW(Source!A194)</f>
        <v>194</v>
      </c>
      <c r="B463">
        <v>85740027</v>
      </c>
      <c r="C463">
        <v>85740020</v>
      </c>
      <c r="D463">
        <v>85199398</v>
      </c>
      <c r="E463">
        <v>1</v>
      </c>
      <c r="F463">
        <v>1</v>
      </c>
      <c r="G463">
        <v>1081</v>
      </c>
      <c r="H463">
        <v>3</v>
      </c>
      <c r="I463" t="s">
        <v>522</v>
      </c>
      <c r="J463" t="s">
        <v>523</v>
      </c>
      <c r="K463" t="s">
        <v>524</v>
      </c>
      <c r="L463">
        <v>1346</v>
      </c>
      <c r="N463">
        <v>1009</v>
      </c>
      <c r="O463" t="s">
        <v>502</v>
      </c>
      <c r="P463" t="s">
        <v>502</v>
      </c>
      <c r="Q463">
        <v>1</v>
      </c>
      <c r="X463">
        <v>0.01</v>
      </c>
      <c r="Y463">
        <v>20.190000000000001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 t="s">
        <v>77</v>
      </c>
      <c r="AG463">
        <v>0.01</v>
      </c>
      <c r="AH463">
        <v>2</v>
      </c>
      <c r="AI463">
        <v>85740027</v>
      </c>
      <c r="AJ463">
        <v>448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ROW(Source!A194)</f>
        <v>194</v>
      </c>
      <c r="B464">
        <v>85740028</v>
      </c>
      <c r="C464">
        <v>85740020</v>
      </c>
      <c r="D464">
        <v>85219690</v>
      </c>
      <c r="E464">
        <v>1</v>
      </c>
      <c r="F464">
        <v>1</v>
      </c>
      <c r="G464">
        <v>1081</v>
      </c>
      <c r="H464">
        <v>3</v>
      </c>
      <c r="I464" t="s">
        <v>609</v>
      </c>
      <c r="J464" t="s">
        <v>610</v>
      </c>
      <c r="K464" t="s">
        <v>611</v>
      </c>
      <c r="L464">
        <v>1346</v>
      </c>
      <c r="N464">
        <v>1009</v>
      </c>
      <c r="O464" t="s">
        <v>502</v>
      </c>
      <c r="P464" t="s">
        <v>502</v>
      </c>
      <c r="Q464">
        <v>1</v>
      </c>
      <c r="X464">
        <v>1.374E-2</v>
      </c>
      <c r="Y464">
        <v>19.28</v>
      </c>
      <c r="Z464">
        <v>0</v>
      </c>
      <c r="AA464">
        <v>0</v>
      </c>
      <c r="AB464">
        <v>0</v>
      </c>
      <c r="AC464">
        <v>0</v>
      </c>
      <c r="AD464">
        <v>1</v>
      </c>
      <c r="AE464">
        <v>0</v>
      </c>
      <c r="AF464" t="s">
        <v>77</v>
      </c>
      <c r="AG464">
        <v>1.374E-2</v>
      </c>
      <c r="AH464">
        <v>2</v>
      </c>
      <c r="AI464">
        <v>85740028</v>
      </c>
      <c r="AJ464">
        <v>450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ROW(Source!A194)</f>
        <v>194</v>
      </c>
      <c r="B465">
        <v>85740029</v>
      </c>
      <c r="C465">
        <v>85740020</v>
      </c>
      <c r="D465">
        <v>85159707</v>
      </c>
      <c r="E465">
        <v>1081</v>
      </c>
      <c r="F465">
        <v>1</v>
      </c>
      <c r="G465">
        <v>1081</v>
      </c>
      <c r="H465">
        <v>3</v>
      </c>
      <c r="I465" t="s">
        <v>656</v>
      </c>
      <c r="J465" t="s">
        <v>3</v>
      </c>
      <c r="K465" t="s">
        <v>657</v>
      </c>
      <c r="L465">
        <v>1354</v>
      </c>
      <c r="N465">
        <v>1010</v>
      </c>
      <c r="O465" t="s">
        <v>99</v>
      </c>
      <c r="P465" t="s">
        <v>99</v>
      </c>
      <c r="Q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 t="s">
        <v>77</v>
      </c>
      <c r="AG465">
        <v>1</v>
      </c>
      <c r="AH465">
        <v>3</v>
      </c>
      <c r="AI465">
        <v>-1</v>
      </c>
      <c r="AJ465" t="s">
        <v>3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ROW(Source!A194)</f>
        <v>194</v>
      </c>
      <c r="B466">
        <v>85740030</v>
      </c>
      <c r="C466">
        <v>85740020</v>
      </c>
      <c r="D466">
        <v>85182708</v>
      </c>
      <c r="E466">
        <v>1081</v>
      </c>
      <c r="F466">
        <v>1</v>
      </c>
      <c r="G466">
        <v>1081</v>
      </c>
      <c r="H466">
        <v>3</v>
      </c>
      <c r="I466" t="s">
        <v>658</v>
      </c>
      <c r="J466" t="s">
        <v>3</v>
      </c>
      <c r="K466" t="s">
        <v>659</v>
      </c>
      <c r="L466">
        <v>1354</v>
      </c>
      <c r="N466">
        <v>1010</v>
      </c>
      <c r="O466" t="s">
        <v>99</v>
      </c>
      <c r="P466" t="s">
        <v>99</v>
      </c>
      <c r="Q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 t="s">
        <v>77</v>
      </c>
      <c r="AG466">
        <v>1</v>
      </c>
      <c r="AH466">
        <v>3</v>
      </c>
      <c r="AI466">
        <v>-1</v>
      </c>
      <c r="AJ466" t="s">
        <v>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ROW(Source!A197)</f>
        <v>197</v>
      </c>
      <c r="B467">
        <v>85740036</v>
      </c>
      <c r="C467">
        <v>85740035</v>
      </c>
      <c r="D467">
        <v>85164021</v>
      </c>
      <c r="E467">
        <v>1081</v>
      </c>
      <c r="F467">
        <v>1</v>
      </c>
      <c r="G467">
        <v>1081</v>
      </c>
      <c r="H467">
        <v>1</v>
      </c>
      <c r="I467" t="s">
        <v>472</v>
      </c>
      <c r="J467" t="s">
        <v>3</v>
      </c>
      <c r="K467" t="s">
        <v>473</v>
      </c>
      <c r="L467">
        <v>1191</v>
      </c>
      <c r="N467">
        <v>1013</v>
      </c>
      <c r="O467" t="s">
        <v>474</v>
      </c>
      <c r="P467" t="s">
        <v>474</v>
      </c>
      <c r="Q467">
        <v>1</v>
      </c>
      <c r="X467">
        <v>1.47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1</v>
      </c>
      <c r="AF467" t="s">
        <v>79</v>
      </c>
      <c r="AG467">
        <v>2.0286</v>
      </c>
      <c r="AH467">
        <v>2</v>
      </c>
      <c r="AI467">
        <v>85740036</v>
      </c>
      <c r="AJ467">
        <v>451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ROW(Source!A197)</f>
        <v>197</v>
      </c>
      <c r="B468">
        <v>85740037</v>
      </c>
      <c r="C468">
        <v>85740035</v>
      </c>
      <c r="D468">
        <v>85229633</v>
      </c>
      <c r="E468">
        <v>1</v>
      </c>
      <c r="F468">
        <v>1</v>
      </c>
      <c r="G468">
        <v>1081</v>
      </c>
      <c r="H468">
        <v>2</v>
      </c>
      <c r="I468" t="s">
        <v>475</v>
      </c>
      <c r="J468" t="s">
        <v>476</v>
      </c>
      <c r="K468" t="s">
        <v>477</v>
      </c>
      <c r="L468">
        <v>1368</v>
      </c>
      <c r="N468">
        <v>1011</v>
      </c>
      <c r="O468" t="s">
        <v>478</v>
      </c>
      <c r="P468" t="s">
        <v>478</v>
      </c>
      <c r="Q468">
        <v>1</v>
      </c>
      <c r="X468">
        <v>0.35</v>
      </c>
      <c r="Y468">
        <v>0</v>
      </c>
      <c r="Z468">
        <v>7.11</v>
      </c>
      <c r="AA468">
        <v>0</v>
      </c>
      <c r="AB468">
        <v>0</v>
      </c>
      <c r="AC468">
        <v>0</v>
      </c>
      <c r="AD468">
        <v>1</v>
      </c>
      <c r="AE468">
        <v>0</v>
      </c>
      <c r="AF468" t="s">
        <v>78</v>
      </c>
      <c r="AG468">
        <v>0.52500000000000002</v>
      </c>
      <c r="AH468">
        <v>2</v>
      </c>
      <c r="AI468">
        <v>85740037</v>
      </c>
      <c r="AJ468">
        <v>452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ROW(Source!A197)</f>
        <v>197</v>
      </c>
      <c r="B469">
        <v>85740038</v>
      </c>
      <c r="C469">
        <v>85740035</v>
      </c>
      <c r="D469">
        <v>85229932</v>
      </c>
      <c r="E469">
        <v>1</v>
      </c>
      <c r="F469">
        <v>1</v>
      </c>
      <c r="G469">
        <v>1081</v>
      </c>
      <c r="H469">
        <v>2</v>
      </c>
      <c r="I469" t="s">
        <v>482</v>
      </c>
      <c r="J469" t="s">
        <v>483</v>
      </c>
      <c r="K469" t="s">
        <v>484</v>
      </c>
      <c r="L469">
        <v>1368</v>
      </c>
      <c r="N469">
        <v>1011</v>
      </c>
      <c r="O469" t="s">
        <v>478</v>
      </c>
      <c r="P469" t="s">
        <v>478</v>
      </c>
      <c r="Q469">
        <v>1</v>
      </c>
      <c r="X469">
        <v>0.01</v>
      </c>
      <c r="Y469">
        <v>0</v>
      </c>
      <c r="Z469">
        <v>83.1</v>
      </c>
      <c r="AA469">
        <v>12.62</v>
      </c>
      <c r="AB469">
        <v>0</v>
      </c>
      <c r="AC469">
        <v>0</v>
      </c>
      <c r="AD469">
        <v>1</v>
      </c>
      <c r="AE469">
        <v>0</v>
      </c>
      <c r="AF469" t="s">
        <v>78</v>
      </c>
      <c r="AG469">
        <v>1.4999999999999999E-2</v>
      </c>
      <c r="AH469">
        <v>2</v>
      </c>
      <c r="AI469">
        <v>85740038</v>
      </c>
      <c r="AJ469">
        <v>453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ROW(Source!A197)</f>
        <v>197</v>
      </c>
      <c r="B470">
        <v>85740039</v>
      </c>
      <c r="C470">
        <v>85740035</v>
      </c>
      <c r="D470">
        <v>85200102</v>
      </c>
      <c r="E470">
        <v>1</v>
      </c>
      <c r="F470">
        <v>1</v>
      </c>
      <c r="G470">
        <v>1081</v>
      </c>
      <c r="H470">
        <v>3</v>
      </c>
      <c r="I470" t="s">
        <v>612</v>
      </c>
      <c r="J470" t="s">
        <v>613</v>
      </c>
      <c r="K470" t="s">
        <v>614</v>
      </c>
      <c r="L470">
        <v>1348</v>
      </c>
      <c r="N470">
        <v>1009</v>
      </c>
      <c r="O470" t="s">
        <v>266</v>
      </c>
      <c r="P470" t="s">
        <v>266</v>
      </c>
      <c r="Q470">
        <v>1000</v>
      </c>
      <c r="X470">
        <v>1.3999999999999999E-4</v>
      </c>
      <c r="Y470">
        <v>9879.51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77</v>
      </c>
      <c r="AG470">
        <v>1.3999999999999999E-4</v>
      </c>
      <c r="AH470">
        <v>2</v>
      </c>
      <c r="AI470">
        <v>85740039</v>
      </c>
      <c r="AJ470">
        <v>454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ROW(Source!A197)</f>
        <v>197</v>
      </c>
      <c r="B471">
        <v>85740040</v>
      </c>
      <c r="C471">
        <v>85740035</v>
      </c>
      <c r="D471">
        <v>85198911</v>
      </c>
      <c r="E471">
        <v>1</v>
      </c>
      <c r="F471">
        <v>1</v>
      </c>
      <c r="G471">
        <v>1081</v>
      </c>
      <c r="H471">
        <v>3</v>
      </c>
      <c r="I471" t="s">
        <v>615</v>
      </c>
      <c r="J471" t="s">
        <v>616</v>
      </c>
      <c r="K471" t="s">
        <v>617</v>
      </c>
      <c r="L471">
        <v>1348</v>
      </c>
      <c r="N471">
        <v>1009</v>
      </c>
      <c r="O471" t="s">
        <v>266</v>
      </c>
      <c r="P471" t="s">
        <v>266</v>
      </c>
      <c r="Q471">
        <v>1000</v>
      </c>
      <c r="X471">
        <v>1.1000000000000001E-3</v>
      </c>
      <c r="Y471">
        <v>17868.28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77</v>
      </c>
      <c r="AG471">
        <v>1.1000000000000001E-3</v>
      </c>
      <c r="AH471">
        <v>2</v>
      </c>
      <c r="AI471">
        <v>85740040</v>
      </c>
      <c r="AJ471">
        <v>455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ROW(Source!A197)</f>
        <v>197</v>
      </c>
      <c r="B472">
        <v>85740041</v>
      </c>
      <c r="C472">
        <v>85740035</v>
      </c>
      <c r="D472">
        <v>85219690</v>
      </c>
      <c r="E472">
        <v>1</v>
      </c>
      <c r="F472">
        <v>1</v>
      </c>
      <c r="G472">
        <v>1081</v>
      </c>
      <c r="H472">
        <v>3</v>
      </c>
      <c r="I472" t="s">
        <v>609</v>
      </c>
      <c r="J472" t="s">
        <v>610</v>
      </c>
      <c r="K472" t="s">
        <v>611</v>
      </c>
      <c r="L472">
        <v>1346</v>
      </c>
      <c r="N472">
        <v>1009</v>
      </c>
      <c r="O472" t="s">
        <v>502</v>
      </c>
      <c r="P472" t="s">
        <v>502</v>
      </c>
      <c r="Q472">
        <v>1</v>
      </c>
      <c r="X472">
        <v>0.02</v>
      </c>
      <c r="Y472">
        <v>19.28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77</v>
      </c>
      <c r="AG472">
        <v>0.02</v>
      </c>
      <c r="AH472">
        <v>2</v>
      </c>
      <c r="AI472">
        <v>85740041</v>
      </c>
      <c r="AJ472">
        <v>457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ROW(Source!A197)</f>
        <v>197</v>
      </c>
      <c r="B473">
        <v>85740042</v>
      </c>
      <c r="C473">
        <v>85740035</v>
      </c>
      <c r="D473">
        <v>85159709</v>
      </c>
      <c r="E473">
        <v>1081</v>
      </c>
      <c r="F473">
        <v>1</v>
      </c>
      <c r="G473">
        <v>1081</v>
      </c>
      <c r="H473">
        <v>3</v>
      </c>
      <c r="I473" t="s">
        <v>656</v>
      </c>
      <c r="J473" t="s">
        <v>3</v>
      </c>
      <c r="K473" t="s">
        <v>660</v>
      </c>
      <c r="L473">
        <v>1354</v>
      </c>
      <c r="N473">
        <v>1010</v>
      </c>
      <c r="O473" t="s">
        <v>99</v>
      </c>
      <c r="P473" t="s">
        <v>99</v>
      </c>
      <c r="Q473">
        <v>1</v>
      </c>
      <c r="X473">
        <v>2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 t="s">
        <v>77</v>
      </c>
      <c r="AG473">
        <v>2</v>
      </c>
      <c r="AH473">
        <v>3</v>
      </c>
      <c r="AI473">
        <v>-1</v>
      </c>
      <c r="AJ473" t="s">
        <v>3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ROW(Source!A197)</f>
        <v>197</v>
      </c>
      <c r="B474">
        <v>85740043</v>
      </c>
      <c r="C474">
        <v>85740035</v>
      </c>
      <c r="D474">
        <v>85179477</v>
      </c>
      <c r="E474">
        <v>1081</v>
      </c>
      <c r="F474">
        <v>1</v>
      </c>
      <c r="G474">
        <v>1081</v>
      </c>
      <c r="H474">
        <v>3</v>
      </c>
      <c r="I474" t="s">
        <v>634</v>
      </c>
      <c r="J474" t="s">
        <v>3</v>
      </c>
      <c r="K474" t="s">
        <v>635</v>
      </c>
      <c r="L474">
        <v>1354</v>
      </c>
      <c r="N474">
        <v>1010</v>
      </c>
      <c r="O474" t="s">
        <v>99</v>
      </c>
      <c r="P474" t="s">
        <v>99</v>
      </c>
      <c r="Q474">
        <v>1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t="s">
        <v>77</v>
      </c>
      <c r="AG474">
        <v>1</v>
      </c>
      <c r="AH474">
        <v>3</v>
      </c>
      <c r="AI474">
        <v>-1</v>
      </c>
      <c r="AJ474" t="s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ROW(Source!A198)</f>
        <v>198</v>
      </c>
      <c r="B475">
        <v>85740036</v>
      </c>
      <c r="C475">
        <v>85740035</v>
      </c>
      <c r="D475">
        <v>85164021</v>
      </c>
      <c r="E475">
        <v>1081</v>
      </c>
      <c r="F475">
        <v>1</v>
      </c>
      <c r="G475">
        <v>1081</v>
      </c>
      <c r="H475">
        <v>1</v>
      </c>
      <c r="I475" t="s">
        <v>472</v>
      </c>
      <c r="J475" t="s">
        <v>3</v>
      </c>
      <c r="K475" t="s">
        <v>473</v>
      </c>
      <c r="L475">
        <v>1191</v>
      </c>
      <c r="N475">
        <v>1013</v>
      </c>
      <c r="O475" t="s">
        <v>474</v>
      </c>
      <c r="P475" t="s">
        <v>474</v>
      </c>
      <c r="Q475">
        <v>1</v>
      </c>
      <c r="X475">
        <v>1.47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1</v>
      </c>
      <c r="AF475" t="s">
        <v>79</v>
      </c>
      <c r="AG475">
        <v>2.0286</v>
      </c>
      <c r="AH475">
        <v>2</v>
      </c>
      <c r="AI475">
        <v>85740036</v>
      </c>
      <c r="AJ475">
        <v>458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ROW(Source!A198)</f>
        <v>198</v>
      </c>
      <c r="B476">
        <v>85740037</v>
      </c>
      <c r="C476">
        <v>85740035</v>
      </c>
      <c r="D476">
        <v>85229633</v>
      </c>
      <c r="E476">
        <v>1</v>
      </c>
      <c r="F476">
        <v>1</v>
      </c>
      <c r="G476">
        <v>1081</v>
      </c>
      <c r="H476">
        <v>2</v>
      </c>
      <c r="I476" t="s">
        <v>475</v>
      </c>
      <c r="J476" t="s">
        <v>476</v>
      </c>
      <c r="K476" t="s">
        <v>477</v>
      </c>
      <c r="L476">
        <v>1368</v>
      </c>
      <c r="N476">
        <v>1011</v>
      </c>
      <c r="O476" t="s">
        <v>478</v>
      </c>
      <c r="P476" t="s">
        <v>478</v>
      </c>
      <c r="Q476">
        <v>1</v>
      </c>
      <c r="X476">
        <v>0.35</v>
      </c>
      <c r="Y476">
        <v>0</v>
      </c>
      <c r="Z476">
        <v>7.11</v>
      </c>
      <c r="AA476">
        <v>0</v>
      </c>
      <c r="AB476">
        <v>0</v>
      </c>
      <c r="AC476">
        <v>0</v>
      </c>
      <c r="AD476">
        <v>1</v>
      </c>
      <c r="AE476">
        <v>0</v>
      </c>
      <c r="AF476" t="s">
        <v>78</v>
      </c>
      <c r="AG476">
        <v>0.52500000000000002</v>
      </c>
      <c r="AH476">
        <v>2</v>
      </c>
      <c r="AI476">
        <v>85740037</v>
      </c>
      <c r="AJ476">
        <v>459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ROW(Source!A198)</f>
        <v>198</v>
      </c>
      <c r="B477">
        <v>85740038</v>
      </c>
      <c r="C477">
        <v>85740035</v>
      </c>
      <c r="D477">
        <v>85229932</v>
      </c>
      <c r="E477">
        <v>1</v>
      </c>
      <c r="F477">
        <v>1</v>
      </c>
      <c r="G477">
        <v>1081</v>
      </c>
      <c r="H477">
        <v>2</v>
      </c>
      <c r="I477" t="s">
        <v>482</v>
      </c>
      <c r="J477" t="s">
        <v>483</v>
      </c>
      <c r="K477" t="s">
        <v>484</v>
      </c>
      <c r="L477">
        <v>1368</v>
      </c>
      <c r="N477">
        <v>1011</v>
      </c>
      <c r="O477" t="s">
        <v>478</v>
      </c>
      <c r="P477" t="s">
        <v>478</v>
      </c>
      <c r="Q477">
        <v>1</v>
      </c>
      <c r="X477">
        <v>0.01</v>
      </c>
      <c r="Y477">
        <v>0</v>
      </c>
      <c r="Z477">
        <v>83.1</v>
      </c>
      <c r="AA477">
        <v>12.62</v>
      </c>
      <c r="AB477">
        <v>0</v>
      </c>
      <c r="AC477">
        <v>0</v>
      </c>
      <c r="AD477">
        <v>1</v>
      </c>
      <c r="AE477">
        <v>0</v>
      </c>
      <c r="AF477" t="s">
        <v>78</v>
      </c>
      <c r="AG477">
        <v>1.4999999999999999E-2</v>
      </c>
      <c r="AH477">
        <v>2</v>
      </c>
      <c r="AI477">
        <v>85740038</v>
      </c>
      <c r="AJ477">
        <v>460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ROW(Source!A198)</f>
        <v>198</v>
      </c>
      <c r="B478">
        <v>85740039</v>
      </c>
      <c r="C478">
        <v>85740035</v>
      </c>
      <c r="D478">
        <v>85200102</v>
      </c>
      <c r="E478">
        <v>1</v>
      </c>
      <c r="F478">
        <v>1</v>
      </c>
      <c r="G478">
        <v>1081</v>
      </c>
      <c r="H478">
        <v>3</v>
      </c>
      <c r="I478" t="s">
        <v>612</v>
      </c>
      <c r="J478" t="s">
        <v>613</v>
      </c>
      <c r="K478" t="s">
        <v>614</v>
      </c>
      <c r="L478">
        <v>1348</v>
      </c>
      <c r="N478">
        <v>1009</v>
      </c>
      <c r="O478" t="s">
        <v>266</v>
      </c>
      <c r="P478" t="s">
        <v>266</v>
      </c>
      <c r="Q478">
        <v>1000</v>
      </c>
      <c r="X478">
        <v>1.3999999999999999E-4</v>
      </c>
      <c r="Y478">
        <v>9879.51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 t="s">
        <v>77</v>
      </c>
      <c r="AG478">
        <v>1.3999999999999999E-4</v>
      </c>
      <c r="AH478">
        <v>2</v>
      </c>
      <c r="AI478">
        <v>85740039</v>
      </c>
      <c r="AJ478">
        <v>461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ROW(Source!A198)</f>
        <v>198</v>
      </c>
      <c r="B479">
        <v>85740040</v>
      </c>
      <c r="C479">
        <v>85740035</v>
      </c>
      <c r="D479">
        <v>85198911</v>
      </c>
      <c r="E479">
        <v>1</v>
      </c>
      <c r="F479">
        <v>1</v>
      </c>
      <c r="G479">
        <v>1081</v>
      </c>
      <c r="H479">
        <v>3</v>
      </c>
      <c r="I479" t="s">
        <v>615</v>
      </c>
      <c r="J479" t="s">
        <v>616</v>
      </c>
      <c r="K479" t="s">
        <v>617</v>
      </c>
      <c r="L479">
        <v>1348</v>
      </c>
      <c r="N479">
        <v>1009</v>
      </c>
      <c r="O479" t="s">
        <v>266</v>
      </c>
      <c r="P479" t="s">
        <v>266</v>
      </c>
      <c r="Q479">
        <v>1000</v>
      </c>
      <c r="X479">
        <v>1.1000000000000001E-3</v>
      </c>
      <c r="Y479">
        <v>17868.28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 t="s">
        <v>77</v>
      </c>
      <c r="AG479">
        <v>1.1000000000000001E-3</v>
      </c>
      <c r="AH479">
        <v>2</v>
      </c>
      <c r="AI479">
        <v>85740040</v>
      </c>
      <c r="AJ479">
        <v>462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ROW(Source!A198)</f>
        <v>198</v>
      </c>
      <c r="B480">
        <v>85740041</v>
      </c>
      <c r="C480">
        <v>85740035</v>
      </c>
      <c r="D480">
        <v>85219690</v>
      </c>
      <c r="E480">
        <v>1</v>
      </c>
      <c r="F480">
        <v>1</v>
      </c>
      <c r="G480">
        <v>1081</v>
      </c>
      <c r="H480">
        <v>3</v>
      </c>
      <c r="I480" t="s">
        <v>609</v>
      </c>
      <c r="J480" t="s">
        <v>610</v>
      </c>
      <c r="K480" t="s">
        <v>611</v>
      </c>
      <c r="L480">
        <v>1346</v>
      </c>
      <c r="N480">
        <v>1009</v>
      </c>
      <c r="O480" t="s">
        <v>502</v>
      </c>
      <c r="P480" t="s">
        <v>502</v>
      </c>
      <c r="Q480">
        <v>1</v>
      </c>
      <c r="X480">
        <v>0.02</v>
      </c>
      <c r="Y480">
        <v>19.28</v>
      </c>
      <c r="Z480">
        <v>0</v>
      </c>
      <c r="AA480">
        <v>0</v>
      </c>
      <c r="AB480">
        <v>0</v>
      </c>
      <c r="AC480">
        <v>0</v>
      </c>
      <c r="AD480">
        <v>1</v>
      </c>
      <c r="AE480">
        <v>0</v>
      </c>
      <c r="AF480" t="s">
        <v>77</v>
      </c>
      <c r="AG480">
        <v>0.02</v>
      </c>
      <c r="AH480">
        <v>2</v>
      </c>
      <c r="AI480">
        <v>85740041</v>
      </c>
      <c r="AJ480">
        <v>464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ROW(Source!A198)</f>
        <v>198</v>
      </c>
      <c r="B481">
        <v>85740042</v>
      </c>
      <c r="C481">
        <v>85740035</v>
      </c>
      <c r="D481">
        <v>85159709</v>
      </c>
      <c r="E481">
        <v>1081</v>
      </c>
      <c r="F481">
        <v>1</v>
      </c>
      <c r="G481">
        <v>1081</v>
      </c>
      <c r="H481">
        <v>3</v>
      </c>
      <c r="I481" t="s">
        <v>656</v>
      </c>
      <c r="J481" t="s">
        <v>3</v>
      </c>
      <c r="K481" t="s">
        <v>660</v>
      </c>
      <c r="L481">
        <v>1354</v>
      </c>
      <c r="N481">
        <v>1010</v>
      </c>
      <c r="O481" t="s">
        <v>99</v>
      </c>
      <c r="P481" t="s">
        <v>99</v>
      </c>
      <c r="Q481">
        <v>1</v>
      </c>
      <c r="X481">
        <v>2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 t="s">
        <v>77</v>
      </c>
      <c r="AG481">
        <v>2</v>
      </c>
      <c r="AH481">
        <v>3</v>
      </c>
      <c r="AI481">
        <v>-1</v>
      </c>
      <c r="AJ481" t="s">
        <v>3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ROW(Source!A198)</f>
        <v>198</v>
      </c>
      <c r="B482">
        <v>85740043</v>
      </c>
      <c r="C482">
        <v>85740035</v>
      </c>
      <c r="D482">
        <v>85179477</v>
      </c>
      <c r="E482">
        <v>1081</v>
      </c>
      <c r="F482">
        <v>1</v>
      </c>
      <c r="G482">
        <v>1081</v>
      </c>
      <c r="H482">
        <v>3</v>
      </c>
      <c r="I482" t="s">
        <v>634</v>
      </c>
      <c r="J482" t="s">
        <v>3</v>
      </c>
      <c r="K482" t="s">
        <v>635</v>
      </c>
      <c r="L482">
        <v>1354</v>
      </c>
      <c r="N482">
        <v>1010</v>
      </c>
      <c r="O482" t="s">
        <v>99</v>
      </c>
      <c r="P482" t="s">
        <v>99</v>
      </c>
      <c r="Q482">
        <v>1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 t="s">
        <v>77</v>
      </c>
      <c r="AG482">
        <v>1</v>
      </c>
      <c r="AH482">
        <v>3</v>
      </c>
      <c r="AI482">
        <v>-1</v>
      </c>
      <c r="AJ482" t="s">
        <v>3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ROW(Source!A201)</f>
        <v>201</v>
      </c>
      <c r="B483">
        <v>85740010</v>
      </c>
      <c r="C483">
        <v>85740009</v>
      </c>
      <c r="D483">
        <v>85164021</v>
      </c>
      <c r="E483">
        <v>1081</v>
      </c>
      <c r="F483">
        <v>1</v>
      </c>
      <c r="G483">
        <v>1081</v>
      </c>
      <c r="H483">
        <v>1</v>
      </c>
      <c r="I483" t="s">
        <v>472</v>
      </c>
      <c r="J483" t="s">
        <v>3</v>
      </c>
      <c r="K483" t="s">
        <v>473</v>
      </c>
      <c r="L483">
        <v>1191</v>
      </c>
      <c r="N483">
        <v>1013</v>
      </c>
      <c r="O483" t="s">
        <v>474</v>
      </c>
      <c r="P483" t="s">
        <v>474</v>
      </c>
      <c r="Q483">
        <v>1</v>
      </c>
      <c r="X483">
        <v>60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1</v>
      </c>
      <c r="AF483" t="s">
        <v>36</v>
      </c>
      <c r="AG483">
        <v>72</v>
      </c>
      <c r="AH483">
        <v>2</v>
      </c>
      <c r="AI483">
        <v>85740010</v>
      </c>
      <c r="AJ483">
        <v>465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ROW(Source!A201)</f>
        <v>201</v>
      </c>
      <c r="B484">
        <v>85740011</v>
      </c>
      <c r="C484">
        <v>85740009</v>
      </c>
      <c r="D484">
        <v>85229633</v>
      </c>
      <c r="E484">
        <v>1</v>
      </c>
      <c r="F484">
        <v>1</v>
      </c>
      <c r="G484">
        <v>1081</v>
      </c>
      <c r="H484">
        <v>2</v>
      </c>
      <c r="I484" t="s">
        <v>475</v>
      </c>
      <c r="J484" t="s">
        <v>476</v>
      </c>
      <c r="K484" t="s">
        <v>477</v>
      </c>
      <c r="L484">
        <v>1368</v>
      </c>
      <c r="N484">
        <v>1011</v>
      </c>
      <c r="O484" t="s">
        <v>478</v>
      </c>
      <c r="P484" t="s">
        <v>478</v>
      </c>
      <c r="Q484">
        <v>1</v>
      </c>
      <c r="X484">
        <v>47.2</v>
      </c>
      <c r="Y484">
        <v>0</v>
      </c>
      <c r="Z484">
        <v>7.11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36</v>
      </c>
      <c r="AG484">
        <v>56.64</v>
      </c>
      <c r="AH484">
        <v>2</v>
      </c>
      <c r="AI484">
        <v>85740011</v>
      </c>
      <c r="AJ484">
        <v>466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ROW(Source!A201)</f>
        <v>201</v>
      </c>
      <c r="B485">
        <v>85740012</v>
      </c>
      <c r="C485">
        <v>85740009</v>
      </c>
      <c r="D485">
        <v>85229932</v>
      </c>
      <c r="E485">
        <v>1</v>
      </c>
      <c r="F485">
        <v>1</v>
      </c>
      <c r="G485">
        <v>1081</v>
      </c>
      <c r="H485">
        <v>2</v>
      </c>
      <c r="I485" t="s">
        <v>482</v>
      </c>
      <c r="J485" t="s">
        <v>483</v>
      </c>
      <c r="K485" t="s">
        <v>484</v>
      </c>
      <c r="L485">
        <v>1368</v>
      </c>
      <c r="N485">
        <v>1011</v>
      </c>
      <c r="O485" t="s">
        <v>478</v>
      </c>
      <c r="P485" t="s">
        <v>478</v>
      </c>
      <c r="Q485">
        <v>1</v>
      </c>
      <c r="X485">
        <v>0.01</v>
      </c>
      <c r="Y485">
        <v>0</v>
      </c>
      <c r="Z485">
        <v>83.1</v>
      </c>
      <c r="AA485">
        <v>12.62</v>
      </c>
      <c r="AB485">
        <v>0</v>
      </c>
      <c r="AC485">
        <v>0</v>
      </c>
      <c r="AD485">
        <v>1</v>
      </c>
      <c r="AE485">
        <v>0</v>
      </c>
      <c r="AF485" t="s">
        <v>36</v>
      </c>
      <c r="AG485">
        <v>1.2E-2</v>
      </c>
      <c r="AH485">
        <v>2</v>
      </c>
      <c r="AI485">
        <v>85740012</v>
      </c>
      <c r="AJ485">
        <v>467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ROW(Source!A201)</f>
        <v>201</v>
      </c>
      <c r="B486">
        <v>85740013</v>
      </c>
      <c r="C486">
        <v>85740009</v>
      </c>
      <c r="D486">
        <v>85199562</v>
      </c>
      <c r="E486">
        <v>1</v>
      </c>
      <c r="F486">
        <v>1</v>
      </c>
      <c r="G486">
        <v>1081</v>
      </c>
      <c r="H486">
        <v>3</v>
      </c>
      <c r="I486" t="s">
        <v>537</v>
      </c>
      <c r="J486" t="s">
        <v>538</v>
      </c>
      <c r="K486" t="s">
        <v>539</v>
      </c>
      <c r="L486">
        <v>1348</v>
      </c>
      <c r="N486">
        <v>1009</v>
      </c>
      <c r="O486" t="s">
        <v>266</v>
      </c>
      <c r="P486" t="s">
        <v>266</v>
      </c>
      <c r="Q486">
        <v>1000</v>
      </c>
      <c r="X486">
        <v>3.0000000000000001E-3</v>
      </c>
      <c r="Y486">
        <v>23114.43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 t="s">
        <v>35</v>
      </c>
      <c r="AG486">
        <v>3.0000000000000001E-3</v>
      </c>
      <c r="AH486">
        <v>2</v>
      </c>
      <c r="AI486">
        <v>85740013</v>
      </c>
      <c r="AJ486">
        <v>468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ROW(Source!A201)</f>
        <v>201</v>
      </c>
      <c r="B487">
        <v>85740014</v>
      </c>
      <c r="C487">
        <v>85740009</v>
      </c>
      <c r="D487">
        <v>85200023</v>
      </c>
      <c r="E487">
        <v>1</v>
      </c>
      <c r="F487">
        <v>1</v>
      </c>
      <c r="G487">
        <v>1081</v>
      </c>
      <c r="H487">
        <v>3</v>
      </c>
      <c r="I487" t="s">
        <v>555</v>
      </c>
      <c r="J487" t="s">
        <v>556</v>
      </c>
      <c r="K487" t="s">
        <v>557</v>
      </c>
      <c r="L487">
        <v>1348</v>
      </c>
      <c r="N487">
        <v>1009</v>
      </c>
      <c r="O487" t="s">
        <v>266</v>
      </c>
      <c r="P487" t="s">
        <v>266</v>
      </c>
      <c r="Q487">
        <v>1000</v>
      </c>
      <c r="X487">
        <v>0.01</v>
      </c>
      <c r="Y487">
        <v>7185.82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 t="s">
        <v>35</v>
      </c>
      <c r="AG487">
        <v>0.01</v>
      </c>
      <c r="AH487">
        <v>2</v>
      </c>
      <c r="AI487">
        <v>85740014</v>
      </c>
      <c r="AJ487">
        <v>469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ROW(Source!A201)</f>
        <v>201</v>
      </c>
      <c r="B488">
        <v>85740015</v>
      </c>
      <c r="C488">
        <v>85740009</v>
      </c>
      <c r="D488">
        <v>85215459</v>
      </c>
      <c r="E488">
        <v>1</v>
      </c>
      <c r="F488">
        <v>1</v>
      </c>
      <c r="G488">
        <v>1081</v>
      </c>
      <c r="H488">
        <v>3</v>
      </c>
      <c r="I488" t="s">
        <v>603</v>
      </c>
      <c r="J488" t="s">
        <v>604</v>
      </c>
      <c r="K488" t="s">
        <v>605</v>
      </c>
      <c r="L488">
        <v>1354</v>
      </c>
      <c r="N488">
        <v>1010</v>
      </c>
      <c r="O488" t="s">
        <v>99</v>
      </c>
      <c r="P488" t="s">
        <v>99</v>
      </c>
      <c r="Q488">
        <v>1</v>
      </c>
      <c r="X488">
        <v>100</v>
      </c>
      <c r="Y488">
        <v>11.13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 t="s">
        <v>35</v>
      </c>
      <c r="AG488">
        <v>100</v>
      </c>
      <c r="AH488">
        <v>2</v>
      </c>
      <c r="AI488">
        <v>85740015</v>
      </c>
      <c r="AJ488">
        <v>471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ROW(Source!A201)</f>
        <v>201</v>
      </c>
      <c r="B489">
        <v>85740016</v>
      </c>
      <c r="C489">
        <v>85740009</v>
      </c>
      <c r="D489">
        <v>85219766</v>
      </c>
      <c r="E489">
        <v>1</v>
      </c>
      <c r="F489">
        <v>1</v>
      </c>
      <c r="G489">
        <v>1081</v>
      </c>
      <c r="H489">
        <v>3</v>
      </c>
      <c r="I489" t="s">
        <v>606</v>
      </c>
      <c r="J489" t="s">
        <v>607</v>
      </c>
      <c r="K489" t="s">
        <v>608</v>
      </c>
      <c r="L489">
        <v>1354</v>
      </c>
      <c r="N489">
        <v>1010</v>
      </c>
      <c r="O489" t="s">
        <v>99</v>
      </c>
      <c r="P489" t="s">
        <v>99</v>
      </c>
      <c r="Q489">
        <v>1</v>
      </c>
      <c r="X489">
        <v>100</v>
      </c>
      <c r="Y489">
        <v>22.08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 t="s">
        <v>35</v>
      </c>
      <c r="AG489">
        <v>100</v>
      </c>
      <c r="AH489">
        <v>2</v>
      </c>
      <c r="AI489">
        <v>85740016</v>
      </c>
      <c r="AJ489">
        <v>472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ROW(Source!A201)</f>
        <v>201</v>
      </c>
      <c r="B490">
        <v>85740017</v>
      </c>
      <c r="C490">
        <v>85740009</v>
      </c>
      <c r="D490">
        <v>85180243</v>
      </c>
      <c r="E490">
        <v>1081</v>
      </c>
      <c r="F490">
        <v>1</v>
      </c>
      <c r="G490">
        <v>1081</v>
      </c>
      <c r="H490">
        <v>3</v>
      </c>
      <c r="I490" t="s">
        <v>654</v>
      </c>
      <c r="J490" t="s">
        <v>3</v>
      </c>
      <c r="K490" t="s">
        <v>655</v>
      </c>
      <c r="L490">
        <v>1354</v>
      </c>
      <c r="N490">
        <v>1010</v>
      </c>
      <c r="O490" t="s">
        <v>99</v>
      </c>
      <c r="P490" t="s">
        <v>99</v>
      </c>
      <c r="Q490">
        <v>1</v>
      </c>
      <c r="X490">
        <v>100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35</v>
      </c>
      <c r="AG490">
        <v>100</v>
      </c>
      <c r="AH490">
        <v>3</v>
      </c>
      <c r="AI490">
        <v>-1</v>
      </c>
      <c r="AJ490" t="s">
        <v>3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ROW(Source!A202)</f>
        <v>202</v>
      </c>
      <c r="B491">
        <v>85740010</v>
      </c>
      <c r="C491">
        <v>85740009</v>
      </c>
      <c r="D491">
        <v>85164021</v>
      </c>
      <c r="E491">
        <v>1081</v>
      </c>
      <c r="F491">
        <v>1</v>
      </c>
      <c r="G491">
        <v>1081</v>
      </c>
      <c r="H491">
        <v>1</v>
      </c>
      <c r="I491" t="s">
        <v>472</v>
      </c>
      <c r="J491" t="s">
        <v>3</v>
      </c>
      <c r="K491" t="s">
        <v>473</v>
      </c>
      <c r="L491">
        <v>1191</v>
      </c>
      <c r="N491">
        <v>1013</v>
      </c>
      <c r="O491" t="s">
        <v>474</v>
      </c>
      <c r="P491" t="s">
        <v>474</v>
      </c>
      <c r="Q491">
        <v>1</v>
      </c>
      <c r="X491">
        <v>60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 t="s">
        <v>36</v>
      </c>
      <c r="AG491">
        <v>72</v>
      </c>
      <c r="AH491">
        <v>2</v>
      </c>
      <c r="AI491">
        <v>85740010</v>
      </c>
      <c r="AJ491">
        <v>473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ROW(Source!A202)</f>
        <v>202</v>
      </c>
      <c r="B492">
        <v>85740011</v>
      </c>
      <c r="C492">
        <v>85740009</v>
      </c>
      <c r="D492">
        <v>85229633</v>
      </c>
      <c r="E492">
        <v>1</v>
      </c>
      <c r="F492">
        <v>1</v>
      </c>
      <c r="G492">
        <v>1081</v>
      </c>
      <c r="H492">
        <v>2</v>
      </c>
      <c r="I492" t="s">
        <v>475</v>
      </c>
      <c r="J492" t="s">
        <v>476</v>
      </c>
      <c r="K492" t="s">
        <v>477</v>
      </c>
      <c r="L492">
        <v>1368</v>
      </c>
      <c r="N492">
        <v>1011</v>
      </c>
      <c r="O492" t="s">
        <v>478</v>
      </c>
      <c r="P492" t="s">
        <v>478</v>
      </c>
      <c r="Q492">
        <v>1</v>
      </c>
      <c r="X492">
        <v>47.2</v>
      </c>
      <c r="Y492">
        <v>0</v>
      </c>
      <c r="Z492">
        <v>7.11</v>
      </c>
      <c r="AA492">
        <v>0</v>
      </c>
      <c r="AB492">
        <v>0</v>
      </c>
      <c r="AC492">
        <v>0</v>
      </c>
      <c r="AD492">
        <v>1</v>
      </c>
      <c r="AE492">
        <v>0</v>
      </c>
      <c r="AF492" t="s">
        <v>36</v>
      </c>
      <c r="AG492">
        <v>56.64</v>
      </c>
      <c r="AH492">
        <v>2</v>
      </c>
      <c r="AI492">
        <v>85740011</v>
      </c>
      <c r="AJ492">
        <v>474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">
      <c r="A493">
        <f>ROW(Source!A202)</f>
        <v>202</v>
      </c>
      <c r="B493">
        <v>85740012</v>
      </c>
      <c r="C493">
        <v>85740009</v>
      </c>
      <c r="D493">
        <v>85229932</v>
      </c>
      <c r="E493">
        <v>1</v>
      </c>
      <c r="F493">
        <v>1</v>
      </c>
      <c r="G493">
        <v>1081</v>
      </c>
      <c r="H493">
        <v>2</v>
      </c>
      <c r="I493" t="s">
        <v>482</v>
      </c>
      <c r="J493" t="s">
        <v>483</v>
      </c>
      <c r="K493" t="s">
        <v>484</v>
      </c>
      <c r="L493">
        <v>1368</v>
      </c>
      <c r="N493">
        <v>1011</v>
      </c>
      <c r="O493" t="s">
        <v>478</v>
      </c>
      <c r="P493" t="s">
        <v>478</v>
      </c>
      <c r="Q493">
        <v>1</v>
      </c>
      <c r="X493">
        <v>0.01</v>
      </c>
      <c r="Y493">
        <v>0</v>
      </c>
      <c r="Z493">
        <v>83.1</v>
      </c>
      <c r="AA493">
        <v>12.62</v>
      </c>
      <c r="AB493">
        <v>0</v>
      </c>
      <c r="AC493">
        <v>0</v>
      </c>
      <c r="AD493">
        <v>1</v>
      </c>
      <c r="AE493">
        <v>0</v>
      </c>
      <c r="AF493" t="s">
        <v>36</v>
      </c>
      <c r="AG493">
        <v>1.2E-2</v>
      </c>
      <c r="AH493">
        <v>2</v>
      </c>
      <c r="AI493">
        <v>85740012</v>
      </c>
      <c r="AJ493">
        <v>475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">
      <c r="A494">
        <f>ROW(Source!A202)</f>
        <v>202</v>
      </c>
      <c r="B494">
        <v>85740013</v>
      </c>
      <c r="C494">
        <v>85740009</v>
      </c>
      <c r="D494">
        <v>85199562</v>
      </c>
      <c r="E494">
        <v>1</v>
      </c>
      <c r="F494">
        <v>1</v>
      </c>
      <c r="G494">
        <v>1081</v>
      </c>
      <c r="H494">
        <v>3</v>
      </c>
      <c r="I494" t="s">
        <v>537</v>
      </c>
      <c r="J494" t="s">
        <v>538</v>
      </c>
      <c r="K494" t="s">
        <v>539</v>
      </c>
      <c r="L494">
        <v>1348</v>
      </c>
      <c r="N494">
        <v>1009</v>
      </c>
      <c r="O494" t="s">
        <v>266</v>
      </c>
      <c r="P494" t="s">
        <v>266</v>
      </c>
      <c r="Q494">
        <v>1000</v>
      </c>
      <c r="X494">
        <v>3.0000000000000001E-3</v>
      </c>
      <c r="Y494">
        <v>23114.43</v>
      </c>
      <c r="Z494">
        <v>0</v>
      </c>
      <c r="AA494">
        <v>0</v>
      </c>
      <c r="AB494">
        <v>0</v>
      </c>
      <c r="AC494">
        <v>0</v>
      </c>
      <c r="AD494">
        <v>1</v>
      </c>
      <c r="AE494">
        <v>0</v>
      </c>
      <c r="AF494" t="s">
        <v>35</v>
      </c>
      <c r="AG494">
        <v>3.0000000000000001E-3</v>
      </c>
      <c r="AH494">
        <v>2</v>
      </c>
      <c r="AI494">
        <v>85740013</v>
      </c>
      <c r="AJ494">
        <v>476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">
      <c r="A495">
        <f>ROW(Source!A202)</f>
        <v>202</v>
      </c>
      <c r="B495">
        <v>85740014</v>
      </c>
      <c r="C495">
        <v>85740009</v>
      </c>
      <c r="D495">
        <v>85200023</v>
      </c>
      <c r="E495">
        <v>1</v>
      </c>
      <c r="F495">
        <v>1</v>
      </c>
      <c r="G495">
        <v>1081</v>
      </c>
      <c r="H495">
        <v>3</v>
      </c>
      <c r="I495" t="s">
        <v>555</v>
      </c>
      <c r="J495" t="s">
        <v>556</v>
      </c>
      <c r="K495" t="s">
        <v>557</v>
      </c>
      <c r="L495">
        <v>1348</v>
      </c>
      <c r="N495">
        <v>1009</v>
      </c>
      <c r="O495" t="s">
        <v>266</v>
      </c>
      <c r="P495" t="s">
        <v>266</v>
      </c>
      <c r="Q495">
        <v>1000</v>
      </c>
      <c r="X495">
        <v>0.01</v>
      </c>
      <c r="Y495">
        <v>7185.82</v>
      </c>
      <c r="Z495">
        <v>0</v>
      </c>
      <c r="AA495">
        <v>0</v>
      </c>
      <c r="AB495">
        <v>0</v>
      </c>
      <c r="AC495">
        <v>0</v>
      </c>
      <c r="AD495">
        <v>1</v>
      </c>
      <c r="AE495">
        <v>0</v>
      </c>
      <c r="AF495" t="s">
        <v>35</v>
      </c>
      <c r="AG495">
        <v>0.01</v>
      </c>
      <c r="AH495">
        <v>2</v>
      </c>
      <c r="AI495">
        <v>85740014</v>
      </c>
      <c r="AJ495">
        <v>477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">
      <c r="A496">
        <f>ROW(Source!A202)</f>
        <v>202</v>
      </c>
      <c r="B496">
        <v>85740015</v>
      </c>
      <c r="C496">
        <v>85740009</v>
      </c>
      <c r="D496">
        <v>85215459</v>
      </c>
      <c r="E496">
        <v>1</v>
      </c>
      <c r="F496">
        <v>1</v>
      </c>
      <c r="G496">
        <v>1081</v>
      </c>
      <c r="H496">
        <v>3</v>
      </c>
      <c r="I496" t="s">
        <v>603</v>
      </c>
      <c r="J496" t="s">
        <v>604</v>
      </c>
      <c r="K496" t="s">
        <v>605</v>
      </c>
      <c r="L496">
        <v>1354</v>
      </c>
      <c r="N496">
        <v>1010</v>
      </c>
      <c r="O496" t="s">
        <v>99</v>
      </c>
      <c r="P496" t="s">
        <v>99</v>
      </c>
      <c r="Q496">
        <v>1</v>
      </c>
      <c r="X496">
        <v>100</v>
      </c>
      <c r="Y496">
        <v>11.13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35</v>
      </c>
      <c r="AG496">
        <v>100</v>
      </c>
      <c r="AH496">
        <v>2</v>
      </c>
      <c r="AI496">
        <v>85740015</v>
      </c>
      <c r="AJ496">
        <v>479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f>ROW(Source!A202)</f>
        <v>202</v>
      </c>
      <c r="B497">
        <v>85740016</v>
      </c>
      <c r="C497">
        <v>85740009</v>
      </c>
      <c r="D497">
        <v>85219766</v>
      </c>
      <c r="E497">
        <v>1</v>
      </c>
      <c r="F497">
        <v>1</v>
      </c>
      <c r="G497">
        <v>1081</v>
      </c>
      <c r="H497">
        <v>3</v>
      </c>
      <c r="I497" t="s">
        <v>606</v>
      </c>
      <c r="J497" t="s">
        <v>607</v>
      </c>
      <c r="K497" t="s">
        <v>608</v>
      </c>
      <c r="L497">
        <v>1354</v>
      </c>
      <c r="N497">
        <v>1010</v>
      </c>
      <c r="O497" t="s">
        <v>99</v>
      </c>
      <c r="P497" t="s">
        <v>99</v>
      </c>
      <c r="Q497">
        <v>1</v>
      </c>
      <c r="X497">
        <v>100</v>
      </c>
      <c r="Y497">
        <v>22.08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 t="s">
        <v>35</v>
      </c>
      <c r="AG497">
        <v>100</v>
      </c>
      <c r="AH497">
        <v>2</v>
      </c>
      <c r="AI497">
        <v>85740016</v>
      </c>
      <c r="AJ497">
        <v>480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f>ROW(Source!A202)</f>
        <v>202</v>
      </c>
      <c r="B498">
        <v>85740017</v>
      </c>
      <c r="C498">
        <v>85740009</v>
      </c>
      <c r="D498">
        <v>85180243</v>
      </c>
      <c r="E498">
        <v>1081</v>
      </c>
      <c r="F498">
        <v>1</v>
      </c>
      <c r="G498">
        <v>1081</v>
      </c>
      <c r="H498">
        <v>3</v>
      </c>
      <c r="I498" t="s">
        <v>654</v>
      </c>
      <c r="J498" t="s">
        <v>3</v>
      </c>
      <c r="K498" t="s">
        <v>655</v>
      </c>
      <c r="L498">
        <v>1354</v>
      </c>
      <c r="N498">
        <v>1010</v>
      </c>
      <c r="O498" t="s">
        <v>99</v>
      </c>
      <c r="P498" t="s">
        <v>99</v>
      </c>
      <c r="Q498">
        <v>1</v>
      </c>
      <c r="X498">
        <v>100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 t="s">
        <v>35</v>
      </c>
      <c r="AG498">
        <v>100</v>
      </c>
      <c r="AH498">
        <v>3</v>
      </c>
      <c r="AI498">
        <v>-1</v>
      </c>
      <c r="AJ498" t="s">
        <v>3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">
      <c r="A499">
        <f>ROW(Source!A205)</f>
        <v>205</v>
      </c>
      <c r="B499">
        <v>85740061</v>
      </c>
      <c r="C499">
        <v>85740048</v>
      </c>
      <c r="D499">
        <v>85164021</v>
      </c>
      <c r="E499">
        <v>1081</v>
      </c>
      <c r="F499">
        <v>1</v>
      </c>
      <c r="G499">
        <v>1081</v>
      </c>
      <c r="H499">
        <v>1</v>
      </c>
      <c r="I499" t="s">
        <v>472</v>
      </c>
      <c r="J499" t="s">
        <v>3</v>
      </c>
      <c r="K499" t="s">
        <v>473</v>
      </c>
      <c r="L499">
        <v>1191</v>
      </c>
      <c r="N499">
        <v>1013</v>
      </c>
      <c r="O499" t="s">
        <v>474</v>
      </c>
      <c r="P499" t="s">
        <v>474</v>
      </c>
      <c r="Q499">
        <v>1</v>
      </c>
      <c r="X499">
        <v>159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1</v>
      </c>
      <c r="AF499" t="s">
        <v>36</v>
      </c>
      <c r="AG499">
        <v>190.79999999999998</v>
      </c>
      <c r="AH499">
        <v>2</v>
      </c>
      <c r="AI499">
        <v>85740049</v>
      </c>
      <c r="AJ499">
        <v>481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f>ROW(Source!A205)</f>
        <v>205</v>
      </c>
      <c r="B500">
        <v>85740062</v>
      </c>
      <c r="C500">
        <v>85740048</v>
      </c>
      <c r="D500">
        <v>85229527</v>
      </c>
      <c r="E500">
        <v>1</v>
      </c>
      <c r="F500">
        <v>1</v>
      </c>
      <c r="G500">
        <v>1081</v>
      </c>
      <c r="H500">
        <v>2</v>
      </c>
      <c r="I500" t="s">
        <v>546</v>
      </c>
      <c r="J500" t="s">
        <v>547</v>
      </c>
      <c r="K500" t="s">
        <v>548</v>
      </c>
      <c r="L500">
        <v>1368</v>
      </c>
      <c r="N500">
        <v>1011</v>
      </c>
      <c r="O500" t="s">
        <v>478</v>
      </c>
      <c r="P500" t="s">
        <v>478</v>
      </c>
      <c r="Q500">
        <v>1</v>
      </c>
      <c r="X500">
        <v>9.4</v>
      </c>
      <c r="Y500">
        <v>0</v>
      </c>
      <c r="Z500">
        <v>48.07</v>
      </c>
      <c r="AA500">
        <v>12.62</v>
      </c>
      <c r="AB500">
        <v>0</v>
      </c>
      <c r="AC500">
        <v>0</v>
      </c>
      <c r="AD500">
        <v>1</v>
      </c>
      <c r="AE500">
        <v>0</v>
      </c>
      <c r="AF500" t="s">
        <v>36</v>
      </c>
      <c r="AG500">
        <v>11.28</v>
      </c>
      <c r="AH500">
        <v>2</v>
      </c>
      <c r="AI500">
        <v>85740050</v>
      </c>
      <c r="AJ500">
        <v>482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f>ROW(Source!A205)</f>
        <v>205</v>
      </c>
      <c r="B501">
        <v>85740063</v>
      </c>
      <c r="C501">
        <v>85740048</v>
      </c>
      <c r="D501">
        <v>85229564</v>
      </c>
      <c r="E501">
        <v>1</v>
      </c>
      <c r="F501">
        <v>1</v>
      </c>
      <c r="G501">
        <v>1081</v>
      </c>
      <c r="H501">
        <v>2</v>
      </c>
      <c r="I501" t="s">
        <v>549</v>
      </c>
      <c r="J501" t="s">
        <v>550</v>
      </c>
      <c r="K501" t="s">
        <v>551</v>
      </c>
      <c r="L501">
        <v>1368</v>
      </c>
      <c r="N501">
        <v>1011</v>
      </c>
      <c r="O501" t="s">
        <v>478</v>
      </c>
      <c r="P501" t="s">
        <v>478</v>
      </c>
      <c r="Q501">
        <v>1</v>
      </c>
      <c r="X501">
        <v>8.5</v>
      </c>
      <c r="Y501">
        <v>0</v>
      </c>
      <c r="Z501">
        <v>5.79</v>
      </c>
      <c r="AA501">
        <v>0</v>
      </c>
      <c r="AB501">
        <v>0</v>
      </c>
      <c r="AC501">
        <v>0</v>
      </c>
      <c r="AD501">
        <v>1</v>
      </c>
      <c r="AE501">
        <v>0</v>
      </c>
      <c r="AF501" t="s">
        <v>36</v>
      </c>
      <c r="AG501">
        <v>10.199999999999999</v>
      </c>
      <c r="AH501">
        <v>2</v>
      </c>
      <c r="AI501">
        <v>85740051</v>
      </c>
      <c r="AJ501">
        <v>483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f>ROW(Source!A205)</f>
        <v>205</v>
      </c>
      <c r="B502">
        <v>85740064</v>
      </c>
      <c r="C502">
        <v>85740048</v>
      </c>
      <c r="D502">
        <v>85229633</v>
      </c>
      <c r="E502">
        <v>1</v>
      </c>
      <c r="F502">
        <v>1</v>
      </c>
      <c r="G502">
        <v>1081</v>
      </c>
      <c r="H502">
        <v>2</v>
      </c>
      <c r="I502" t="s">
        <v>475</v>
      </c>
      <c r="J502" t="s">
        <v>476</v>
      </c>
      <c r="K502" t="s">
        <v>477</v>
      </c>
      <c r="L502">
        <v>1368</v>
      </c>
      <c r="N502">
        <v>1011</v>
      </c>
      <c r="O502" t="s">
        <v>478</v>
      </c>
      <c r="P502" t="s">
        <v>478</v>
      </c>
      <c r="Q502">
        <v>1</v>
      </c>
      <c r="X502">
        <v>25</v>
      </c>
      <c r="Y502">
        <v>0</v>
      </c>
      <c r="Z502">
        <v>7.11</v>
      </c>
      <c r="AA502">
        <v>0</v>
      </c>
      <c r="AB502">
        <v>0</v>
      </c>
      <c r="AC502">
        <v>0</v>
      </c>
      <c r="AD502">
        <v>1</v>
      </c>
      <c r="AE502">
        <v>0</v>
      </c>
      <c r="AF502" t="s">
        <v>36</v>
      </c>
      <c r="AG502">
        <v>30</v>
      </c>
      <c r="AH502">
        <v>2</v>
      </c>
      <c r="AI502">
        <v>85740052</v>
      </c>
      <c r="AJ502">
        <v>484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">
      <c r="A503">
        <f>ROW(Source!A205)</f>
        <v>205</v>
      </c>
      <c r="B503">
        <v>85740065</v>
      </c>
      <c r="C503">
        <v>85740048</v>
      </c>
      <c r="D503">
        <v>85229932</v>
      </c>
      <c r="E503">
        <v>1</v>
      </c>
      <c r="F503">
        <v>1</v>
      </c>
      <c r="G503">
        <v>1081</v>
      </c>
      <c r="H503">
        <v>2</v>
      </c>
      <c r="I503" t="s">
        <v>482</v>
      </c>
      <c r="J503" t="s">
        <v>483</v>
      </c>
      <c r="K503" t="s">
        <v>484</v>
      </c>
      <c r="L503">
        <v>1368</v>
      </c>
      <c r="N503">
        <v>1011</v>
      </c>
      <c r="O503" t="s">
        <v>478</v>
      </c>
      <c r="P503" t="s">
        <v>478</v>
      </c>
      <c r="Q503">
        <v>1</v>
      </c>
      <c r="X503">
        <v>1.66</v>
      </c>
      <c r="Y503">
        <v>0</v>
      </c>
      <c r="Z503">
        <v>83.1</v>
      </c>
      <c r="AA503">
        <v>12.62</v>
      </c>
      <c r="AB503">
        <v>0</v>
      </c>
      <c r="AC503">
        <v>0</v>
      </c>
      <c r="AD503">
        <v>1</v>
      </c>
      <c r="AE503">
        <v>0</v>
      </c>
      <c r="AF503" t="s">
        <v>36</v>
      </c>
      <c r="AG503">
        <v>1.9919999999999998</v>
      </c>
      <c r="AH503">
        <v>2</v>
      </c>
      <c r="AI503">
        <v>85740053</v>
      </c>
      <c r="AJ503">
        <v>485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f>ROW(Source!A205)</f>
        <v>205</v>
      </c>
      <c r="B504">
        <v>85740066</v>
      </c>
      <c r="C504">
        <v>85740048</v>
      </c>
      <c r="D504">
        <v>85229250</v>
      </c>
      <c r="E504">
        <v>1</v>
      </c>
      <c r="F504">
        <v>1</v>
      </c>
      <c r="G504">
        <v>1081</v>
      </c>
      <c r="H504">
        <v>2</v>
      </c>
      <c r="I504" t="s">
        <v>552</v>
      </c>
      <c r="J504" t="s">
        <v>553</v>
      </c>
      <c r="K504" t="s">
        <v>554</v>
      </c>
      <c r="L504">
        <v>1368</v>
      </c>
      <c r="N504">
        <v>1011</v>
      </c>
      <c r="O504" t="s">
        <v>478</v>
      </c>
      <c r="P504" t="s">
        <v>478</v>
      </c>
      <c r="Q504">
        <v>1</v>
      </c>
      <c r="X504">
        <v>1.22</v>
      </c>
      <c r="Y504">
        <v>0</v>
      </c>
      <c r="Z504">
        <v>3.18</v>
      </c>
      <c r="AA504">
        <v>0</v>
      </c>
      <c r="AB504">
        <v>0</v>
      </c>
      <c r="AC504">
        <v>0</v>
      </c>
      <c r="AD504">
        <v>1</v>
      </c>
      <c r="AE504">
        <v>0</v>
      </c>
      <c r="AF504" t="s">
        <v>36</v>
      </c>
      <c r="AG504">
        <v>1.464</v>
      </c>
      <c r="AH504">
        <v>2</v>
      </c>
      <c r="AI504">
        <v>85740054</v>
      </c>
      <c r="AJ504">
        <v>486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f>ROW(Source!A205)</f>
        <v>205</v>
      </c>
      <c r="B505">
        <v>85740067</v>
      </c>
      <c r="C505">
        <v>85740048</v>
      </c>
      <c r="D505">
        <v>85198960</v>
      </c>
      <c r="E505">
        <v>1</v>
      </c>
      <c r="F505">
        <v>1</v>
      </c>
      <c r="G505">
        <v>1081</v>
      </c>
      <c r="H505">
        <v>3</v>
      </c>
      <c r="I505" t="s">
        <v>513</v>
      </c>
      <c r="J505" t="s">
        <v>514</v>
      </c>
      <c r="K505" t="s">
        <v>515</v>
      </c>
      <c r="L505">
        <v>1339</v>
      </c>
      <c r="N505">
        <v>1007</v>
      </c>
      <c r="O505" t="s">
        <v>506</v>
      </c>
      <c r="P505" t="s">
        <v>506</v>
      </c>
      <c r="Q505">
        <v>1</v>
      </c>
      <c r="X505">
        <v>10</v>
      </c>
      <c r="Y505">
        <v>7.07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 t="s">
        <v>35</v>
      </c>
      <c r="AG505">
        <v>10</v>
      </c>
      <c r="AH505">
        <v>2</v>
      </c>
      <c r="AI505">
        <v>85740055</v>
      </c>
      <c r="AJ505">
        <v>487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">
      <c r="A506">
        <f>ROW(Source!A205)</f>
        <v>205</v>
      </c>
      <c r="B506">
        <v>85740068</v>
      </c>
      <c r="C506">
        <v>85740048</v>
      </c>
      <c r="D506">
        <v>85200023</v>
      </c>
      <c r="E506">
        <v>1</v>
      </c>
      <c r="F506">
        <v>1</v>
      </c>
      <c r="G506">
        <v>1081</v>
      </c>
      <c r="H506">
        <v>3</v>
      </c>
      <c r="I506" t="s">
        <v>555</v>
      </c>
      <c r="J506" t="s">
        <v>556</v>
      </c>
      <c r="K506" t="s">
        <v>557</v>
      </c>
      <c r="L506">
        <v>1348</v>
      </c>
      <c r="N506">
        <v>1009</v>
      </c>
      <c r="O506" t="s">
        <v>266</v>
      </c>
      <c r="P506" t="s">
        <v>266</v>
      </c>
      <c r="Q506">
        <v>1000</v>
      </c>
      <c r="X506">
        <v>7.7000000000000002E-3</v>
      </c>
      <c r="Y506">
        <v>7185.82</v>
      </c>
      <c r="Z506">
        <v>0</v>
      </c>
      <c r="AA506">
        <v>0</v>
      </c>
      <c r="AB506">
        <v>0</v>
      </c>
      <c r="AC506">
        <v>0</v>
      </c>
      <c r="AD506">
        <v>1</v>
      </c>
      <c r="AE506">
        <v>0</v>
      </c>
      <c r="AF506" t="s">
        <v>35</v>
      </c>
      <c r="AG506">
        <v>7.7000000000000002E-3</v>
      </c>
      <c r="AH506">
        <v>2</v>
      </c>
      <c r="AI506">
        <v>85740056</v>
      </c>
      <c r="AJ506">
        <v>488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f>ROW(Source!A205)</f>
        <v>205</v>
      </c>
      <c r="B507">
        <v>85740069</v>
      </c>
      <c r="C507">
        <v>85740048</v>
      </c>
      <c r="D507">
        <v>85156862</v>
      </c>
      <c r="E507">
        <v>1081</v>
      </c>
      <c r="F507">
        <v>1</v>
      </c>
      <c r="G507">
        <v>1081</v>
      </c>
      <c r="H507">
        <v>3</v>
      </c>
      <c r="I507" t="s">
        <v>640</v>
      </c>
      <c r="J507" t="s">
        <v>3</v>
      </c>
      <c r="K507" t="s">
        <v>641</v>
      </c>
      <c r="L507">
        <v>1301</v>
      </c>
      <c r="N507">
        <v>1003</v>
      </c>
      <c r="O507" t="s">
        <v>179</v>
      </c>
      <c r="P507" t="s">
        <v>179</v>
      </c>
      <c r="Q507">
        <v>1</v>
      </c>
      <c r="X507">
        <v>100.5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 t="s">
        <v>35</v>
      </c>
      <c r="AG507">
        <v>100.5</v>
      </c>
      <c r="AH507">
        <v>3</v>
      </c>
      <c r="AI507">
        <v>-1</v>
      </c>
      <c r="AJ507" t="s">
        <v>3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f>ROW(Source!A206)</f>
        <v>206</v>
      </c>
      <c r="B508">
        <v>85740061</v>
      </c>
      <c r="C508">
        <v>85740048</v>
      </c>
      <c r="D508">
        <v>85164021</v>
      </c>
      <c r="E508">
        <v>1081</v>
      </c>
      <c r="F508">
        <v>1</v>
      </c>
      <c r="G508">
        <v>1081</v>
      </c>
      <c r="H508">
        <v>1</v>
      </c>
      <c r="I508" t="s">
        <v>472</v>
      </c>
      <c r="J508" t="s">
        <v>3</v>
      </c>
      <c r="K508" t="s">
        <v>473</v>
      </c>
      <c r="L508">
        <v>1191</v>
      </c>
      <c r="N508">
        <v>1013</v>
      </c>
      <c r="O508" t="s">
        <v>474</v>
      </c>
      <c r="P508" t="s">
        <v>474</v>
      </c>
      <c r="Q508">
        <v>1</v>
      </c>
      <c r="X508">
        <v>159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1</v>
      </c>
      <c r="AF508" t="s">
        <v>36</v>
      </c>
      <c r="AG508">
        <v>190.79999999999998</v>
      </c>
      <c r="AH508">
        <v>2</v>
      </c>
      <c r="AI508">
        <v>85740049</v>
      </c>
      <c r="AJ508">
        <v>490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f>ROW(Source!A206)</f>
        <v>206</v>
      </c>
      <c r="B509">
        <v>85740062</v>
      </c>
      <c r="C509">
        <v>85740048</v>
      </c>
      <c r="D509">
        <v>85229527</v>
      </c>
      <c r="E509">
        <v>1</v>
      </c>
      <c r="F509">
        <v>1</v>
      </c>
      <c r="G509">
        <v>1081</v>
      </c>
      <c r="H509">
        <v>2</v>
      </c>
      <c r="I509" t="s">
        <v>546</v>
      </c>
      <c r="J509" t="s">
        <v>547</v>
      </c>
      <c r="K509" t="s">
        <v>548</v>
      </c>
      <c r="L509">
        <v>1368</v>
      </c>
      <c r="N509">
        <v>1011</v>
      </c>
      <c r="O509" t="s">
        <v>478</v>
      </c>
      <c r="P509" t="s">
        <v>478</v>
      </c>
      <c r="Q509">
        <v>1</v>
      </c>
      <c r="X509">
        <v>9.4</v>
      </c>
      <c r="Y509">
        <v>0</v>
      </c>
      <c r="Z509">
        <v>48.07</v>
      </c>
      <c r="AA509">
        <v>12.62</v>
      </c>
      <c r="AB509">
        <v>0</v>
      </c>
      <c r="AC509">
        <v>0</v>
      </c>
      <c r="AD509">
        <v>1</v>
      </c>
      <c r="AE509">
        <v>0</v>
      </c>
      <c r="AF509" t="s">
        <v>36</v>
      </c>
      <c r="AG509">
        <v>11.28</v>
      </c>
      <c r="AH509">
        <v>2</v>
      </c>
      <c r="AI509">
        <v>85740050</v>
      </c>
      <c r="AJ509">
        <v>491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">
      <c r="A510">
        <f>ROW(Source!A206)</f>
        <v>206</v>
      </c>
      <c r="B510">
        <v>85740063</v>
      </c>
      <c r="C510">
        <v>85740048</v>
      </c>
      <c r="D510">
        <v>85229564</v>
      </c>
      <c r="E510">
        <v>1</v>
      </c>
      <c r="F510">
        <v>1</v>
      </c>
      <c r="G510">
        <v>1081</v>
      </c>
      <c r="H510">
        <v>2</v>
      </c>
      <c r="I510" t="s">
        <v>549</v>
      </c>
      <c r="J510" t="s">
        <v>550</v>
      </c>
      <c r="K510" t="s">
        <v>551</v>
      </c>
      <c r="L510">
        <v>1368</v>
      </c>
      <c r="N510">
        <v>1011</v>
      </c>
      <c r="O510" t="s">
        <v>478</v>
      </c>
      <c r="P510" t="s">
        <v>478</v>
      </c>
      <c r="Q510">
        <v>1</v>
      </c>
      <c r="X510">
        <v>8.5</v>
      </c>
      <c r="Y510">
        <v>0</v>
      </c>
      <c r="Z510">
        <v>5.79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36</v>
      </c>
      <c r="AG510">
        <v>10.199999999999999</v>
      </c>
      <c r="AH510">
        <v>2</v>
      </c>
      <c r="AI510">
        <v>85740051</v>
      </c>
      <c r="AJ510">
        <v>492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f>ROW(Source!A206)</f>
        <v>206</v>
      </c>
      <c r="B511">
        <v>85740064</v>
      </c>
      <c r="C511">
        <v>85740048</v>
      </c>
      <c r="D511">
        <v>85229633</v>
      </c>
      <c r="E511">
        <v>1</v>
      </c>
      <c r="F511">
        <v>1</v>
      </c>
      <c r="G511">
        <v>1081</v>
      </c>
      <c r="H511">
        <v>2</v>
      </c>
      <c r="I511" t="s">
        <v>475</v>
      </c>
      <c r="J511" t="s">
        <v>476</v>
      </c>
      <c r="K511" t="s">
        <v>477</v>
      </c>
      <c r="L511">
        <v>1368</v>
      </c>
      <c r="N511">
        <v>1011</v>
      </c>
      <c r="O511" t="s">
        <v>478</v>
      </c>
      <c r="P511" t="s">
        <v>478</v>
      </c>
      <c r="Q511">
        <v>1</v>
      </c>
      <c r="X511">
        <v>25</v>
      </c>
      <c r="Y511">
        <v>0</v>
      </c>
      <c r="Z511">
        <v>7.11</v>
      </c>
      <c r="AA511">
        <v>0</v>
      </c>
      <c r="AB511">
        <v>0</v>
      </c>
      <c r="AC511">
        <v>0</v>
      </c>
      <c r="AD511">
        <v>1</v>
      </c>
      <c r="AE511">
        <v>0</v>
      </c>
      <c r="AF511" t="s">
        <v>36</v>
      </c>
      <c r="AG511">
        <v>30</v>
      </c>
      <c r="AH511">
        <v>2</v>
      </c>
      <c r="AI511">
        <v>85740052</v>
      </c>
      <c r="AJ511">
        <v>493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f>ROW(Source!A206)</f>
        <v>206</v>
      </c>
      <c r="B512">
        <v>85740065</v>
      </c>
      <c r="C512">
        <v>85740048</v>
      </c>
      <c r="D512">
        <v>85229932</v>
      </c>
      <c r="E512">
        <v>1</v>
      </c>
      <c r="F512">
        <v>1</v>
      </c>
      <c r="G512">
        <v>1081</v>
      </c>
      <c r="H512">
        <v>2</v>
      </c>
      <c r="I512" t="s">
        <v>482</v>
      </c>
      <c r="J512" t="s">
        <v>483</v>
      </c>
      <c r="K512" t="s">
        <v>484</v>
      </c>
      <c r="L512">
        <v>1368</v>
      </c>
      <c r="N512">
        <v>1011</v>
      </c>
      <c r="O512" t="s">
        <v>478</v>
      </c>
      <c r="P512" t="s">
        <v>478</v>
      </c>
      <c r="Q512">
        <v>1</v>
      </c>
      <c r="X512">
        <v>1.66</v>
      </c>
      <c r="Y512">
        <v>0</v>
      </c>
      <c r="Z512">
        <v>83.1</v>
      </c>
      <c r="AA512">
        <v>12.62</v>
      </c>
      <c r="AB512">
        <v>0</v>
      </c>
      <c r="AC512">
        <v>0</v>
      </c>
      <c r="AD512">
        <v>1</v>
      </c>
      <c r="AE512">
        <v>0</v>
      </c>
      <c r="AF512" t="s">
        <v>36</v>
      </c>
      <c r="AG512">
        <v>1.9919999999999998</v>
      </c>
      <c r="AH512">
        <v>2</v>
      </c>
      <c r="AI512">
        <v>85740053</v>
      </c>
      <c r="AJ512">
        <v>494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f>ROW(Source!A206)</f>
        <v>206</v>
      </c>
      <c r="B513">
        <v>85740066</v>
      </c>
      <c r="C513">
        <v>85740048</v>
      </c>
      <c r="D513">
        <v>85229250</v>
      </c>
      <c r="E513">
        <v>1</v>
      </c>
      <c r="F513">
        <v>1</v>
      </c>
      <c r="G513">
        <v>1081</v>
      </c>
      <c r="H513">
        <v>2</v>
      </c>
      <c r="I513" t="s">
        <v>552</v>
      </c>
      <c r="J513" t="s">
        <v>553</v>
      </c>
      <c r="K513" t="s">
        <v>554</v>
      </c>
      <c r="L513">
        <v>1368</v>
      </c>
      <c r="N513">
        <v>1011</v>
      </c>
      <c r="O513" t="s">
        <v>478</v>
      </c>
      <c r="P513" t="s">
        <v>478</v>
      </c>
      <c r="Q513">
        <v>1</v>
      </c>
      <c r="X513">
        <v>1.22</v>
      </c>
      <c r="Y513">
        <v>0</v>
      </c>
      <c r="Z513">
        <v>3.18</v>
      </c>
      <c r="AA513">
        <v>0</v>
      </c>
      <c r="AB513">
        <v>0</v>
      </c>
      <c r="AC513">
        <v>0</v>
      </c>
      <c r="AD513">
        <v>1</v>
      </c>
      <c r="AE513">
        <v>0</v>
      </c>
      <c r="AF513" t="s">
        <v>36</v>
      </c>
      <c r="AG513">
        <v>1.464</v>
      </c>
      <c r="AH513">
        <v>2</v>
      </c>
      <c r="AI513">
        <v>85740054</v>
      </c>
      <c r="AJ513">
        <v>495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">
      <c r="A514">
        <f>ROW(Source!A206)</f>
        <v>206</v>
      </c>
      <c r="B514">
        <v>85740067</v>
      </c>
      <c r="C514">
        <v>85740048</v>
      </c>
      <c r="D514">
        <v>85198960</v>
      </c>
      <c r="E514">
        <v>1</v>
      </c>
      <c r="F514">
        <v>1</v>
      </c>
      <c r="G514">
        <v>1081</v>
      </c>
      <c r="H514">
        <v>3</v>
      </c>
      <c r="I514" t="s">
        <v>513</v>
      </c>
      <c r="J514" t="s">
        <v>514</v>
      </c>
      <c r="K514" t="s">
        <v>515</v>
      </c>
      <c r="L514">
        <v>1339</v>
      </c>
      <c r="N514">
        <v>1007</v>
      </c>
      <c r="O514" t="s">
        <v>506</v>
      </c>
      <c r="P514" t="s">
        <v>506</v>
      </c>
      <c r="Q514">
        <v>1</v>
      </c>
      <c r="X514">
        <v>10</v>
      </c>
      <c r="Y514">
        <v>7.07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 t="s">
        <v>35</v>
      </c>
      <c r="AG514">
        <v>10</v>
      </c>
      <c r="AH514">
        <v>2</v>
      </c>
      <c r="AI514">
        <v>85740055</v>
      </c>
      <c r="AJ514">
        <v>496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f>ROW(Source!A206)</f>
        <v>206</v>
      </c>
      <c r="B515">
        <v>85740068</v>
      </c>
      <c r="C515">
        <v>85740048</v>
      </c>
      <c r="D515">
        <v>85200023</v>
      </c>
      <c r="E515">
        <v>1</v>
      </c>
      <c r="F515">
        <v>1</v>
      </c>
      <c r="G515">
        <v>1081</v>
      </c>
      <c r="H515">
        <v>3</v>
      </c>
      <c r="I515" t="s">
        <v>555</v>
      </c>
      <c r="J515" t="s">
        <v>556</v>
      </c>
      <c r="K515" t="s">
        <v>557</v>
      </c>
      <c r="L515">
        <v>1348</v>
      </c>
      <c r="N515">
        <v>1009</v>
      </c>
      <c r="O515" t="s">
        <v>266</v>
      </c>
      <c r="P515" t="s">
        <v>266</v>
      </c>
      <c r="Q515">
        <v>1000</v>
      </c>
      <c r="X515">
        <v>7.7000000000000002E-3</v>
      </c>
      <c r="Y515">
        <v>7185.82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 t="s">
        <v>35</v>
      </c>
      <c r="AG515">
        <v>7.7000000000000002E-3</v>
      </c>
      <c r="AH515">
        <v>2</v>
      </c>
      <c r="AI515">
        <v>85740056</v>
      </c>
      <c r="AJ515">
        <v>497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">
      <c r="A516">
        <f>ROW(Source!A206)</f>
        <v>206</v>
      </c>
      <c r="B516">
        <v>85740069</v>
      </c>
      <c r="C516">
        <v>85740048</v>
      </c>
      <c r="D516">
        <v>85156862</v>
      </c>
      <c r="E516">
        <v>1081</v>
      </c>
      <c r="F516">
        <v>1</v>
      </c>
      <c r="G516">
        <v>1081</v>
      </c>
      <c r="H516">
        <v>3</v>
      </c>
      <c r="I516" t="s">
        <v>640</v>
      </c>
      <c r="J516" t="s">
        <v>3</v>
      </c>
      <c r="K516" t="s">
        <v>641</v>
      </c>
      <c r="L516">
        <v>1301</v>
      </c>
      <c r="N516">
        <v>1003</v>
      </c>
      <c r="O516" t="s">
        <v>179</v>
      </c>
      <c r="P516" t="s">
        <v>179</v>
      </c>
      <c r="Q516">
        <v>1</v>
      </c>
      <c r="X516">
        <v>100.5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 t="s">
        <v>35</v>
      </c>
      <c r="AG516">
        <v>100.5</v>
      </c>
      <c r="AH516">
        <v>3</v>
      </c>
      <c r="AI516">
        <v>-1</v>
      </c>
      <c r="AJ516" t="s">
        <v>3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">
      <c r="A517">
        <f>ROW(Source!A209)</f>
        <v>209</v>
      </c>
      <c r="B517">
        <v>85740155</v>
      </c>
      <c r="C517">
        <v>85740146</v>
      </c>
      <c r="D517">
        <v>85164021</v>
      </c>
      <c r="E517">
        <v>1081</v>
      </c>
      <c r="F517">
        <v>1</v>
      </c>
      <c r="G517">
        <v>1081</v>
      </c>
      <c r="H517">
        <v>1</v>
      </c>
      <c r="I517" t="s">
        <v>472</v>
      </c>
      <c r="J517" t="s">
        <v>3</v>
      </c>
      <c r="K517" t="s">
        <v>473</v>
      </c>
      <c r="L517">
        <v>1191</v>
      </c>
      <c r="N517">
        <v>1013</v>
      </c>
      <c r="O517" t="s">
        <v>474</v>
      </c>
      <c r="P517" t="s">
        <v>474</v>
      </c>
      <c r="Q517">
        <v>1</v>
      </c>
      <c r="X517">
        <v>5.4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1</v>
      </c>
      <c r="AF517" t="s">
        <v>36</v>
      </c>
      <c r="AG517">
        <v>6.48</v>
      </c>
      <c r="AH517">
        <v>2</v>
      </c>
      <c r="AI517">
        <v>85740147</v>
      </c>
      <c r="AJ517">
        <v>499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f>ROW(Source!A209)</f>
        <v>209</v>
      </c>
      <c r="B518">
        <v>85740156</v>
      </c>
      <c r="C518">
        <v>85740146</v>
      </c>
      <c r="D518">
        <v>85229633</v>
      </c>
      <c r="E518">
        <v>1</v>
      </c>
      <c r="F518">
        <v>1</v>
      </c>
      <c r="G518">
        <v>1081</v>
      </c>
      <c r="H518">
        <v>2</v>
      </c>
      <c r="I518" t="s">
        <v>475</v>
      </c>
      <c r="J518" t="s">
        <v>476</v>
      </c>
      <c r="K518" t="s">
        <v>477</v>
      </c>
      <c r="L518">
        <v>1368</v>
      </c>
      <c r="N518">
        <v>1011</v>
      </c>
      <c r="O518" t="s">
        <v>478</v>
      </c>
      <c r="P518" t="s">
        <v>478</v>
      </c>
      <c r="Q518">
        <v>1</v>
      </c>
      <c r="X518">
        <v>0.9</v>
      </c>
      <c r="Y518">
        <v>0</v>
      </c>
      <c r="Z518">
        <v>7.11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36</v>
      </c>
      <c r="AG518">
        <v>1.08</v>
      </c>
      <c r="AH518">
        <v>2</v>
      </c>
      <c r="AI518">
        <v>85740148</v>
      </c>
      <c r="AJ518">
        <v>500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>
        <f>ROW(Source!A209)</f>
        <v>209</v>
      </c>
      <c r="B519">
        <v>85740157</v>
      </c>
      <c r="C519">
        <v>85740146</v>
      </c>
      <c r="D519">
        <v>85229932</v>
      </c>
      <c r="E519">
        <v>1</v>
      </c>
      <c r="F519">
        <v>1</v>
      </c>
      <c r="G519">
        <v>1081</v>
      </c>
      <c r="H519">
        <v>2</v>
      </c>
      <c r="I519" t="s">
        <v>482</v>
      </c>
      <c r="J519" t="s">
        <v>483</v>
      </c>
      <c r="K519" t="s">
        <v>484</v>
      </c>
      <c r="L519">
        <v>1368</v>
      </c>
      <c r="N519">
        <v>1011</v>
      </c>
      <c r="O519" t="s">
        <v>478</v>
      </c>
      <c r="P519" t="s">
        <v>478</v>
      </c>
      <c r="Q519">
        <v>1</v>
      </c>
      <c r="X519">
        <v>0.02</v>
      </c>
      <c r="Y519">
        <v>0</v>
      </c>
      <c r="Z519">
        <v>83.1</v>
      </c>
      <c r="AA519">
        <v>12.62</v>
      </c>
      <c r="AB519">
        <v>0</v>
      </c>
      <c r="AC519">
        <v>0</v>
      </c>
      <c r="AD519">
        <v>1</v>
      </c>
      <c r="AE519">
        <v>0</v>
      </c>
      <c r="AF519" t="s">
        <v>36</v>
      </c>
      <c r="AG519">
        <v>2.4E-2</v>
      </c>
      <c r="AH519">
        <v>2</v>
      </c>
      <c r="AI519">
        <v>85740149</v>
      </c>
      <c r="AJ519">
        <v>501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">
      <c r="A520">
        <f>ROW(Source!A209)</f>
        <v>209</v>
      </c>
      <c r="B520">
        <v>85740158</v>
      </c>
      <c r="C520">
        <v>85740146</v>
      </c>
      <c r="D520">
        <v>85200111</v>
      </c>
      <c r="E520">
        <v>1</v>
      </c>
      <c r="F520">
        <v>1</v>
      </c>
      <c r="G520">
        <v>1081</v>
      </c>
      <c r="H520">
        <v>3</v>
      </c>
      <c r="I520" t="s">
        <v>492</v>
      </c>
      <c r="J520" t="s">
        <v>493</v>
      </c>
      <c r="K520" t="s">
        <v>494</v>
      </c>
      <c r="L520">
        <v>1348</v>
      </c>
      <c r="N520">
        <v>1009</v>
      </c>
      <c r="O520" t="s">
        <v>266</v>
      </c>
      <c r="P520" t="s">
        <v>266</v>
      </c>
      <c r="Q520">
        <v>1000</v>
      </c>
      <c r="X520">
        <v>4.4000000000000002E-4</v>
      </c>
      <c r="Y520">
        <v>9112.49</v>
      </c>
      <c r="Z520">
        <v>0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35</v>
      </c>
      <c r="AG520">
        <v>4.4000000000000002E-4</v>
      </c>
      <c r="AH520">
        <v>2</v>
      </c>
      <c r="AI520">
        <v>85740150</v>
      </c>
      <c r="AJ520">
        <v>502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f>ROW(Source!A209)</f>
        <v>209</v>
      </c>
      <c r="B521">
        <v>85740159</v>
      </c>
      <c r="C521">
        <v>85740146</v>
      </c>
      <c r="D521">
        <v>85200784</v>
      </c>
      <c r="E521">
        <v>1</v>
      </c>
      <c r="F521">
        <v>1</v>
      </c>
      <c r="G521">
        <v>1081</v>
      </c>
      <c r="H521">
        <v>3</v>
      </c>
      <c r="I521" t="s">
        <v>499</v>
      </c>
      <c r="J521" t="s">
        <v>500</v>
      </c>
      <c r="K521" t="s">
        <v>501</v>
      </c>
      <c r="L521">
        <v>1346</v>
      </c>
      <c r="N521">
        <v>1009</v>
      </c>
      <c r="O521" t="s">
        <v>502</v>
      </c>
      <c r="P521" t="s">
        <v>502</v>
      </c>
      <c r="Q521">
        <v>1</v>
      </c>
      <c r="X521">
        <v>1.0999999999999999E-2</v>
      </c>
      <c r="Y521">
        <v>6.25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0</v>
      </c>
      <c r="AF521" t="s">
        <v>35</v>
      </c>
      <c r="AG521">
        <v>1.0999999999999999E-2</v>
      </c>
      <c r="AH521">
        <v>2</v>
      </c>
      <c r="AI521">
        <v>85740151</v>
      </c>
      <c r="AJ521">
        <v>503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f>ROW(Source!A209)</f>
        <v>209</v>
      </c>
      <c r="B522">
        <v>85740160</v>
      </c>
      <c r="C522">
        <v>85740146</v>
      </c>
      <c r="D522">
        <v>85199158</v>
      </c>
      <c r="E522">
        <v>1</v>
      </c>
      <c r="F522">
        <v>1</v>
      </c>
      <c r="G522">
        <v>1081</v>
      </c>
      <c r="H522">
        <v>3</v>
      </c>
      <c r="I522" t="s">
        <v>503</v>
      </c>
      <c r="J522" t="s">
        <v>504</v>
      </c>
      <c r="K522" t="s">
        <v>505</v>
      </c>
      <c r="L522">
        <v>1339</v>
      </c>
      <c r="N522">
        <v>1007</v>
      </c>
      <c r="O522" t="s">
        <v>506</v>
      </c>
      <c r="P522" t="s">
        <v>506</v>
      </c>
      <c r="Q522">
        <v>1</v>
      </c>
      <c r="X522">
        <v>4.3999999999999997E-2</v>
      </c>
      <c r="Y522">
        <v>5.82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 t="s">
        <v>35</v>
      </c>
      <c r="AG522">
        <v>4.3999999999999997E-2</v>
      </c>
      <c r="AH522">
        <v>2</v>
      </c>
      <c r="AI522">
        <v>85740152</v>
      </c>
      <c r="AJ522">
        <v>504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f>ROW(Source!A209)</f>
        <v>209</v>
      </c>
      <c r="B523">
        <v>85740161</v>
      </c>
      <c r="C523">
        <v>85740146</v>
      </c>
      <c r="D523">
        <v>85179476</v>
      </c>
      <c r="E523">
        <v>1081</v>
      </c>
      <c r="F523">
        <v>1</v>
      </c>
      <c r="G523">
        <v>1081</v>
      </c>
      <c r="H523">
        <v>3</v>
      </c>
      <c r="I523" t="s">
        <v>634</v>
      </c>
      <c r="J523" t="s">
        <v>3</v>
      </c>
      <c r="K523" t="s">
        <v>635</v>
      </c>
      <c r="L523">
        <v>1354</v>
      </c>
      <c r="N523">
        <v>1010</v>
      </c>
      <c r="O523" t="s">
        <v>99</v>
      </c>
      <c r="P523" t="s">
        <v>99</v>
      </c>
      <c r="Q523">
        <v>1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 t="s">
        <v>35</v>
      </c>
      <c r="AG523">
        <v>1</v>
      </c>
      <c r="AH523">
        <v>3</v>
      </c>
      <c r="AI523">
        <v>-1</v>
      </c>
      <c r="AJ523" t="s">
        <v>3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">
      <c r="A524">
        <f>ROW(Source!A210)</f>
        <v>210</v>
      </c>
      <c r="B524">
        <v>85740155</v>
      </c>
      <c r="C524">
        <v>85740146</v>
      </c>
      <c r="D524">
        <v>85164021</v>
      </c>
      <c r="E524">
        <v>1081</v>
      </c>
      <c r="F524">
        <v>1</v>
      </c>
      <c r="G524">
        <v>1081</v>
      </c>
      <c r="H524">
        <v>1</v>
      </c>
      <c r="I524" t="s">
        <v>472</v>
      </c>
      <c r="J524" t="s">
        <v>3</v>
      </c>
      <c r="K524" t="s">
        <v>473</v>
      </c>
      <c r="L524">
        <v>1191</v>
      </c>
      <c r="N524">
        <v>1013</v>
      </c>
      <c r="O524" t="s">
        <v>474</v>
      </c>
      <c r="P524" t="s">
        <v>474</v>
      </c>
      <c r="Q524">
        <v>1</v>
      </c>
      <c r="X524">
        <v>5.4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  <c r="AE524">
        <v>1</v>
      </c>
      <c r="AF524" t="s">
        <v>36</v>
      </c>
      <c r="AG524">
        <v>6.48</v>
      </c>
      <c r="AH524">
        <v>2</v>
      </c>
      <c r="AI524">
        <v>85740147</v>
      </c>
      <c r="AJ524">
        <v>507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>
        <f>ROW(Source!A210)</f>
        <v>210</v>
      </c>
      <c r="B525">
        <v>85740156</v>
      </c>
      <c r="C525">
        <v>85740146</v>
      </c>
      <c r="D525">
        <v>85229633</v>
      </c>
      <c r="E525">
        <v>1</v>
      </c>
      <c r="F525">
        <v>1</v>
      </c>
      <c r="G525">
        <v>1081</v>
      </c>
      <c r="H525">
        <v>2</v>
      </c>
      <c r="I525" t="s">
        <v>475</v>
      </c>
      <c r="J525" t="s">
        <v>476</v>
      </c>
      <c r="K525" t="s">
        <v>477</v>
      </c>
      <c r="L525">
        <v>1368</v>
      </c>
      <c r="N525">
        <v>1011</v>
      </c>
      <c r="O525" t="s">
        <v>478</v>
      </c>
      <c r="P525" t="s">
        <v>478</v>
      </c>
      <c r="Q525">
        <v>1</v>
      </c>
      <c r="X525">
        <v>0.9</v>
      </c>
      <c r="Y525">
        <v>0</v>
      </c>
      <c r="Z525">
        <v>7.11</v>
      </c>
      <c r="AA525">
        <v>0</v>
      </c>
      <c r="AB525">
        <v>0</v>
      </c>
      <c r="AC525">
        <v>0</v>
      </c>
      <c r="AD525">
        <v>1</v>
      </c>
      <c r="AE525">
        <v>0</v>
      </c>
      <c r="AF525" t="s">
        <v>36</v>
      </c>
      <c r="AG525">
        <v>1.08</v>
      </c>
      <c r="AH525">
        <v>2</v>
      </c>
      <c r="AI525">
        <v>85740148</v>
      </c>
      <c r="AJ525">
        <v>508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f>ROW(Source!A210)</f>
        <v>210</v>
      </c>
      <c r="B526">
        <v>85740157</v>
      </c>
      <c r="C526">
        <v>85740146</v>
      </c>
      <c r="D526">
        <v>85229932</v>
      </c>
      <c r="E526">
        <v>1</v>
      </c>
      <c r="F526">
        <v>1</v>
      </c>
      <c r="G526">
        <v>1081</v>
      </c>
      <c r="H526">
        <v>2</v>
      </c>
      <c r="I526" t="s">
        <v>482</v>
      </c>
      <c r="J526" t="s">
        <v>483</v>
      </c>
      <c r="K526" t="s">
        <v>484</v>
      </c>
      <c r="L526">
        <v>1368</v>
      </c>
      <c r="N526">
        <v>1011</v>
      </c>
      <c r="O526" t="s">
        <v>478</v>
      </c>
      <c r="P526" t="s">
        <v>478</v>
      </c>
      <c r="Q526">
        <v>1</v>
      </c>
      <c r="X526">
        <v>0.02</v>
      </c>
      <c r="Y526">
        <v>0</v>
      </c>
      <c r="Z526">
        <v>83.1</v>
      </c>
      <c r="AA526">
        <v>12.62</v>
      </c>
      <c r="AB526">
        <v>0</v>
      </c>
      <c r="AC526">
        <v>0</v>
      </c>
      <c r="AD526">
        <v>1</v>
      </c>
      <c r="AE526">
        <v>0</v>
      </c>
      <c r="AF526" t="s">
        <v>36</v>
      </c>
      <c r="AG526">
        <v>2.4E-2</v>
      </c>
      <c r="AH526">
        <v>2</v>
      </c>
      <c r="AI526">
        <v>85740149</v>
      </c>
      <c r="AJ526">
        <v>509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>
        <f>ROW(Source!A210)</f>
        <v>210</v>
      </c>
      <c r="B527">
        <v>85740158</v>
      </c>
      <c r="C527">
        <v>85740146</v>
      </c>
      <c r="D527">
        <v>85200111</v>
      </c>
      <c r="E527">
        <v>1</v>
      </c>
      <c r="F527">
        <v>1</v>
      </c>
      <c r="G527">
        <v>1081</v>
      </c>
      <c r="H527">
        <v>3</v>
      </c>
      <c r="I527" t="s">
        <v>492</v>
      </c>
      <c r="J527" t="s">
        <v>493</v>
      </c>
      <c r="K527" t="s">
        <v>494</v>
      </c>
      <c r="L527">
        <v>1348</v>
      </c>
      <c r="N527">
        <v>1009</v>
      </c>
      <c r="O527" t="s">
        <v>266</v>
      </c>
      <c r="P527" t="s">
        <v>266</v>
      </c>
      <c r="Q527">
        <v>1000</v>
      </c>
      <c r="X527">
        <v>4.4000000000000002E-4</v>
      </c>
      <c r="Y527">
        <v>9112.49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 t="s">
        <v>35</v>
      </c>
      <c r="AG527">
        <v>4.4000000000000002E-4</v>
      </c>
      <c r="AH527">
        <v>2</v>
      </c>
      <c r="AI527">
        <v>85740150</v>
      </c>
      <c r="AJ527">
        <v>510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f>ROW(Source!A210)</f>
        <v>210</v>
      </c>
      <c r="B528">
        <v>85740159</v>
      </c>
      <c r="C528">
        <v>85740146</v>
      </c>
      <c r="D528">
        <v>85200784</v>
      </c>
      <c r="E528">
        <v>1</v>
      </c>
      <c r="F528">
        <v>1</v>
      </c>
      <c r="G528">
        <v>1081</v>
      </c>
      <c r="H528">
        <v>3</v>
      </c>
      <c r="I528" t="s">
        <v>499</v>
      </c>
      <c r="J528" t="s">
        <v>500</v>
      </c>
      <c r="K528" t="s">
        <v>501</v>
      </c>
      <c r="L528">
        <v>1346</v>
      </c>
      <c r="N528">
        <v>1009</v>
      </c>
      <c r="O528" t="s">
        <v>502</v>
      </c>
      <c r="P528" t="s">
        <v>502</v>
      </c>
      <c r="Q528">
        <v>1</v>
      </c>
      <c r="X528">
        <v>1.0999999999999999E-2</v>
      </c>
      <c r="Y528">
        <v>6.25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35</v>
      </c>
      <c r="AG528">
        <v>1.0999999999999999E-2</v>
      </c>
      <c r="AH528">
        <v>2</v>
      </c>
      <c r="AI528">
        <v>85740151</v>
      </c>
      <c r="AJ528">
        <v>511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f>ROW(Source!A210)</f>
        <v>210</v>
      </c>
      <c r="B529">
        <v>85740160</v>
      </c>
      <c r="C529">
        <v>85740146</v>
      </c>
      <c r="D529">
        <v>85199158</v>
      </c>
      <c r="E529">
        <v>1</v>
      </c>
      <c r="F529">
        <v>1</v>
      </c>
      <c r="G529">
        <v>1081</v>
      </c>
      <c r="H529">
        <v>3</v>
      </c>
      <c r="I529" t="s">
        <v>503</v>
      </c>
      <c r="J529" t="s">
        <v>504</v>
      </c>
      <c r="K529" t="s">
        <v>505</v>
      </c>
      <c r="L529">
        <v>1339</v>
      </c>
      <c r="N529">
        <v>1007</v>
      </c>
      <c r="O529" t="s">
        <v>506</v>
      </c>
      <c r="P529" t="s">
        <v>506</v>
      </c>
      <c r="Q529">
        <v>1</v>
      </c>
      <c r="X529">
        <v>4.3999999999999997E-2</v>
      </c>
      <c r="Y529">
        <v>5.82</v>
      </c>
      <c r="Z529">
        <v>0</v>
      </c>
      <c r="AA529">
        <v>0</v>
      </c>
      <c r="AB529">
        <v>0</v>
      </c>
      <c r="AC529">
        <v>0</v>
      </c>
      <c r="AD529">
        <v>1</v>
      </c>
      <c r="AE529">
        <v>0</v>
      </c>
      <c r="AF529" t="s">
        <v>35</v>
      </c>
      <c r="AG529">
        <v>4.3999999999999997E-2</v>
      </c>
      <c r="AH529">
        <v>2</v>
      </c>
      <c r="AI529">
        <v>85740152</v>
      </c>
      <c r="AJ529">
        <v>512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">
      <c r="A530">
        <f>ROW(Source!A210)</f>
        <v>210</v>
      </c>
      <c r="B530">
        <v>85740161</v>
      </c>
      <c r="C530">
        <v>85740146</v>
      </c>
      <c r="D530">
        <v>85179476</v>
      </c>
      <c r="E530">
        <v>1081</v>
      </c>
      <c r="F530">
        <v>1</v>
      </c>
      <c r="G530">
        <v>1081</v>
      </c>
      <c r="H530">
        <v>3</v>
      </c>
      <c r="I530" t="s">
        <v>634</v>
      </c>
      <c r="J530" t="s">
        <v>3</v>
      </c>
      <c r="K530" t="s">
        <v>635</v>
      </c>
      <c r="L530">
        <v>1354</v>
      </c>
      <c r="N530">
        <v>1010</v>
      </c>
      <c r="O530" t="s">
        <v>99</v>
      </c>
      <c r="P530" t="s">
        <v>99</v>
      </c>
      <c r="Q530">
        <v>1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 t="s">
        <v>35</v>
      </c>
      <c r="AG530">
        <v>1</v>
      </c>
      <c r="AH530">
        <v>3</v>
      </c>
      <c r="AI530">
        <v>-1</v>
      </c>
      <c r="AJ530" t="s">
        <v>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f>ROW(Source!A215)</f>
        <v>215</v>
      </c>
      <c r="B531">
        <v>85740091</v>
      </c>
      <c r="C531">
        <v>85740074</v>
      </c>
      <c r="D531">
        <v>85164021</v>
      </c>
      <c r="E531">
        <v>1081</v>
      </c>
      <c r="F531">
        <v>1</v>
      </c>
      <c r="G531">
        <v>1081</v>
      </c>
      <c r="H531">
        <v>1</v>
      </c>
      <c r="I531" t="s">
        <v>472</v>
      </c>
      <c r="J531" t="s">
        <v>3</v>
      </c>
      <c r="K531" t="s">
        <v>473</v>
      </c>
      <c r="L531">
        <v>1191</v>
      </c>
      <c r="N531">
        <v>1013</v>
      </c>
      <c r="O531" t="s">
        <v>474</v>
      </c>
      <c r="P531" t="s">
        <v>474</v>
      </c>
      <c r="Q531">
        <v>1</v>
      </c>
      <c r="X531">
        <v>1730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  <c r="AE531">
        <v>1</v>
      </c>
      <c r="AF531" t="s">
        <v>3</v>
      </c>
      <c r="AG531">
        <v>1730</v>
      </c>
      <c r="AH531">
        <v>2</v>
      </c>
      <c r="AI531">
        <v>85740075</v>
      </c>
      <c r="AJ531">
        <v>515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f>ROW(Source!A215)</f>
        <v>215</v>
      </c>
      <c r="B532">
        <v>85740092</v>
      </c>
      <c r="C532">
        <v>85740074</v>
      </c>
      <c r="D532">
        <v>85229527</v>
      </c>
      <c r="E532">
        <v>1</v>
      </c>
      <c r="F532">
        <v>1</v>
      </c>
      <c r="G532">
        <v>1081</v>
      </c>
      <c r="H532">
        <v>2</v>
      </c>
      <c r="I532" t="s">
        <v>546</v>
      </c>
      <c r="J532" t="s">
        <v>547</v>
      </c>
      <c r="K532" t="s">
        <v>548</v>
      </c>
      <c r="L532">
        <v>1368</v>
      </c>
      <c r="N532">
        <v>1011</v>
      </c>
      <c r="O532" t="s">
        <v>478</v>
      </c>
      <c r="P532" t="s">
        <v>478</v>
      </c>
      <c r="Q532">
        <v>1</v>
      </c>
      <c r="X532">
        <v>13.5</v>
      </c>
      <c r="Y532">
        <v>0</v>
      </c>
      <c r="Z532">
        <v>48.07</v>
      </c>
      <c r="AA532">
        <v>12.62</v>
      </c>
      <c r="AB532">
        <v>0</v>
      </c>
      <c r="AC532">
        <v>0</v>
      </c>
      <c r="AD532">
        <v>1</v>
      </c>
      <c r="AE532">
        <v>0</v>
      </c>
      <c r="AF532" t="s">
        <v>3</v>
      </c>
      <c r="AG532">
        <v>13.5</v>
      </c>
      <c r="AH532">
        <v>2</v>
      </c>
      <c r="AI532">
        <v>85740076</v>
      </c>
      <c r="AJ532">
        <v>516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">
      <c r="A533">
        <f>ROW(Source!A215)</f>
        <v>215</v>
      </c>
      <c r="B533">
        <v>85740093</v>
      </c>
      <c r="C533">
        <v>85740074</v>
      </c>
      <c r="D533">
        <v>85229564</v>
      </c>
      <c r="E533">
        <v>1</v>
      </c>
      <c r="F533">
        <v>1</v>
      </c>
      <c r="G533">
        <v>1081</v>
      </c>
      <c r="H533">
        <v>2</v>
      </c>
      <c r="I533" t="s">
        <v>549</v>
      </c>
      <c r="J533" t="s">
        <v>550</v>
      </c>
      <c r="K533" t="s">
        <v>551</v>
      </c>
      <c r="L533">
        <v>1368</v>
      </c>
      <c r="N533">
        <v>1011</v>
      </c>
      <c r="O533" t="s">
        <v>478</v>
      </c>
      <c r="P533" t="s">
        <v>478</v>
      </c>
      <c r="Q533">
        <v>1</v>
      </c>
      <c r="X533">
        <v>110</v>
      </c>
      <c r="Y533">
        <v>0</v>
      </c>
      <c r="Z533">
        <v>5.79</v>
      </c>
      <c r="AA533">
        <v>0</v>
      </c>
      <c r="AB533">
        <v>0</v>
      </c>
      <c r="AC533">
        <v>0</v>
      </c>
      <c r="AD533">
        <v>1</v>
      </c>
      <c r="AE533">
        <v>0</v>
      </c>
      <c r="AF533" t="s">
        <v>3</v>
      </c>
      <c r="AG533">
        <v>110</v>
      </c>
      <c r="AH533">
        <v>2</v>
      </c>
      <c r="AI533">
        <v>85740077</v>
      </c>
      <c r="AJ533">
        <v>517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">
      <c r="A534">
        <f>ROW(Source!A215)</f>
        <v>215</v>
      </c>
      <c r="B534">
        <v>85740094</v>
      </c>
      <c r="C534">
        <v>85740074</v>
      </c>
      <c r="D534">
        <v>85229633</v>
      </c>
      <c r="E534">
        <v>1</v>
      </c>
      <c r="F534">
        <v>1</v>
      </c>
      <c r="G534">
        <v>1081</v>
      </c>
      <c r="H534">
        <v>2</v>
      </c>
      <c r="I534" t="s">
        <v>475</v>
      </c>
      <c r="J534" t="s">
        <v>476</v>
      </c>
      <c r="K534" t="s">
        <v>477</v>
      </c>
      <c r="L534">
        <v>1368</v>
      </c>
      <c r="N534">
        <v>1011</v>
      </c>
      <c r="O534" t="s">
        <v>478</v>
      </c>
      <c r="P534" t="s">
        <v>478</v>
      </c>
      <c r="Q534">
        <v>1</v>
      </c>
      <c r="X534">
        <v>114</v>
      </c>
      <c r="Y534">
        <v>0</v>
      </c>
      <c r="Z534">
        <v>7.11</v>
      </c>
      <c r="AA534">
        <v>0</v>
      </c>
      <c r="AB534">
        <v>0</v>
      </c>
      <c r="AC534">
        <v>0</v>
      </c>
      <c r="AD534">
        <v>1</v>
      </c>
      <c r="AE534">
        <v>0</v>
      </c>
      <c r="AF534" t="s">
        <v>3</v>
      </c>
      <c r="AG534">
        <v>114</v>
      </c>
      <c r="AH534">
        <v>2</v>
      </c>
      <c r="AI534">
        <v>85740078</v>
      </c>
      <c r="AJ534">
        <v>518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">
      <c r="A535">
        <f>ROW(Source!A215)</f>
        <v>215</v>
      </c>
      <c r="B535">
        <v>85740095</v>
      </c>
      <c r="C535">
        <v>85740074</v>
      </c>
      <c r="D535">
        <v>85229932</v>
      </c>
      <c r="E535">
        <v>1</v>
      </c>
      <c r="F535">
        <v>1</v>
      </c>
      <c r="G535">
        <v>1081</v>
      </c>
      <c r="H535">
        <v>2</v>
      </c>
      <c r="I535" t="s">
        <v>482</v>
      </c>
      <c r="J535" t="s">
        <v>483</v>
      </c>
      <c r="K535" t="s">
        <v>484</v>
      </c>
      <c r="L535">
        <v>1368</v>
      </c>
      <c r="N535">
        <v>1011</v>
      </c>
      <c r="O535" t="s">
        <v>478</v>
      </c>
      <c r="P535" t="s">
        <v>478</v>
      </c>
      <c r="Q535">
        <v>1</v>
      </c>
      <c r="X535">
        <v>5.36</v>
      </c>
      <c r="Y535">
        <v>0</v>
      </c>
      <c r="Z535">
        <v>83.1</v>
      </c>
      <c r="AA535">
        <v>12.62</v>
      </c>
      <c r="AB535">
        <v>0</v>
      </c>
      <c r="AC535">
        <v>0</v>
      </c>
      <c r="AD535">
        <v>1</v>
      </c>
      <c r="AE535">
        <v>0</v>
      </c>
      <c r="AF535" t="s">
        <v>3</v>
      </c>
      <c r="AG535">
        <v>5.36</v>
      </c>
      <c r="AH535">
        <v>2</v>
      </c>
      <c r="AI535">
        <v>85740079</v>
      </c>
      <c r="AJ535">
        <v>519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">
      <c r="A536">
        <f>ROW(Source!A215)</f>
        <v>215</v>
      </c>
      <c r="B536">
        <v>85740096</v>
      </c>
      <c r="C536">
        <v>85740074</v>
      </c>
      <c r="D536">
        <v>85229250</v>
      </c>
      <c r="E536">
        <v>1</v>
      </c>
      <c r="F536">
        <v>1</v>
      </c>
      <c r="G536">
        <v>1081</v>
      </c>
      <c r="H536">
        <v>2</v>
      </c>
      <c r="I536" t="s">
        <v>552</v>
      </c>
      <c r="J536" t="s">
        <v>553</v>
      </c>
      <c r="K536" t="s">
        <v>554</v>
      </c>
      <c r="L536">
        <v>1368</v>
      </c>
      <c r="N536">
        <v>1011</v>
      </c>
      <c r="O536" t="s">
        <v>478</v>
      </c>
      <c r="P536" t="s">
        <v>478</v>
      </c>
      <c r="Q536">
        <v>1</v>
      </c>
      <c r="X536">
        <v>4</v>
      </c>
      <c r="Y536">
        <v>0</v>
      </c>
      <c r="Z536">
        <v>3.18</v>
      </c>
      <c r="AA536">
        <v>0</v>
      </c>
      <c r="AB536">
        <v>0</v>
      </c>
      <c r="AC536">
        <v>0</v>
      </c>
      <c r="AD536">
        <v>1</v>
      </c>
      <c r="AE536">
        <v>0</v>
      </c>
      <c r="AF536" t="s">
        <v>3</v>
      </c>
      <c r="AG536">
        <v>4</v>
      </c>
      <c r="AH536">
        <v>2</v>
      </c>
      <c r="AI536">
        <v>85740080</v>
      </c>
      <c r="AJ536">
        <v>520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">
      <c r="A537">
        <f>ROW(Source!A215)</f>
        <v>215</v>
      </c>
      <c r="B537">
        <v>85740097</v>
      </c>
      <c r="C537">
        <v>85740074</v>
      </c>
      <c r="D537">
        <v>85198960</v>
      </c>
      <c r="E537">
        <v>1</v>
      </c>
      <c r="F537">
        <v>1</v>
      </c>
      <c r="G537">
        <v>1081</v>
      </c>
      <c r="H537">
        <v>3</v>
      </c>
      <c r="I537" t="s">
        <v>513</v>
      </c>
      <c r="J537" t="s">
        <v>514</v>
      </c>
      <c r="K537" t="s">
        <v>515</v>
      </c>
      <c r="L537">
        <v>1339</v>
      </c>
      <c r="N537">
        <v>1007</v>
      </c>
      <c r="O537" t="s">
        <v>506</v>
      </c>
      <c r="P537" t="s">
        <v>506</v>
      </c>
      <c r="Q537">
        <v>1</v>
      </c>
      <c r="X537">
        <v>30</v>
      </c>
      <c r="Y537">
        <v>7.07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 t="s">
        <v>3</v>
      </c>
      <c r="AG537">
        <v>30</v>
      </c>
      <c r="AH537">
        <v>2</v>
      </c>
      <c r="AI537">
        <v>85740081</v>
      </c>
      <c r="AJ537">
        <v>521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">
      <c r="A538">
        <f>ROW(Source!A215)</f>
        <v>215</v>
      </c>
      <c r="B538">
        <v>85740098</v>
      </c>
      <c r="C538">
        <v>85740074</v>
      </c>
      <c r="D538">
        <v>85200023</v>
      </c>
      <c r="E538">
        <v>1</v>
      </c>
      <c r="F538">
        <v>1</v>
      </c>
      <c r="G538">
        <v>1081</v>
      </c>
      <c r="H538">
        <v>3</v>
      </c>
      <c r="I538" t="s">
        <v>555</v>
      </c>
      <c r="J538" t="s">
        <v>556</v>
      </c>
      <c r="K538" t="s">
        <v>557</v>
      </c>
      <c r="L538">
        <v>1348</v>
      </c>
      <c r="N538">
        <v>1009</v>
      </c>
      <c r="O538" t="s">
        <v>266</v>
      </c>
      <c r="P538" t="s">
        <v>266</v>
      </c>
      <c r="Q538">
        <v>1000</v>
      </c>
      <c r="X538">
        <v>2.3599999999999999E-2</v>
      </c>
      <c r="Y538">
        <v>7185.82</v>
      </c>
      <c r="Z538">
        <v>0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3</v>
      </c>
      <c r="AG538">
        <v>2.3599999999999999E-2</v>
      </c>
      <c r="AH538">
        <v>2</v>
      </c>
      <c r="AI538">
        <v>85740082</v>
      </c>
      <c r="AJ538">
        <v>522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">
      <c r="A539">
        <f>ROW(Source!A215)</f>
        <v>215</v>
      </c>
      <c r="B539">
        <v>85740099</v>
      </c>
      <c r="C539">
        <v>85740074</v>
      </c>
      <c r="D539">
        <v>85200098</v>
      </c>
      <c r="E539">
        <v>1</v>
      </c>
      <c r="F539">
        <v>1</v>
      </c>
      <c r="G539">
        <v>1081</v>
      </c>
      <c r="H539">
        <v>3</v>
      </c>
      <c r="I539" t="s">
        <v>540</v>
      </c>
      <c r="J539" t="s">
        <v>541</v>
      </c>
      <c r="K539" t="s">
        <v>542</v>
      </c>
      <c r="L539">
        <v>1346</v>
      </c>
      <c r="N539">
        <v>1009</v>
      </c>
      <c r="O539" t="s">
        <v>502</v>
      </c>
      <c r="P539" t="s">
        <v>502</v>
      </c>
      <c r="Q539">
        <v>1</v>
      </c>
      <c r="X539">
        <v>11.6</v>
      </c>
      <c r="Y539">
        <v>21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 t="s">
        <v>3</v>
      </c>
      <c r="AG539">
        <v>11.6</v>
      </c>
      <c r="AH539">
        <v>2</v>
      </c>
      <c r="AI539">
        <v>85740083</v>
      </c>
      <c r="AJ539">
        <v>523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">
      <c r="A540">
        <f>ROW(Source!A215)</f>
        <v>215</v>
      </c>
      <c r="B540">
        <v>85740100</v>
      </c>
      <c r="C540">
        <v>85740074</v>
      </c>
      <c r="D540">
        <v>85200296</v>
      </c>
      <c r="E540">
        <v>1</v>
      </c>
      <c r="F540">
        <v>1</v>
      </c>
      <c r="G540">
        <v>1081</v>
      </c>
      <c r="H540">
        <v>3</v>
      </c>
      <c r="I540" t="s">
        <v>558</v>
      </c>
      <c r="J540" t="s">
        <v>559</v>
      </c>
      <c r="K540" t="s">
        <v>560</v>
      </c>
      <c r="L540">
        <v>1355</v>
      </c>
      <c r="N540">
        <v>1010</v>
      </c>
      <c r="O540" t="s">
        <v>240</v>
      </c>
      <c r="P540" t="s">
        <v>240</v>
      </c>
      <c r="Q540">
        <v>100</v>
      </c>
      <c r="X540">
        <v>3.6</v>
      </c>
      <c r="Y540">
        <v>496.79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 t="s">
        <v>3</v>
      </c>
      <c r="AG540">
        <v>3.6</v>
      </c>
      <c r="AH540">
        <v>2</v>
      </c>
      <c r="AI540">
        <v>85740084</v>
      </c>
      <c r="AJ540">
        <v>524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">
      <c r="A541">
        <f>ROW(Source!A215)</f>
        <v>215</v>
      </c>
      <c r="B541">
        <v>85740101</v>
      </c>
      <c r="C541">
        <v>85740074</v>
      </c>
      <c r="D541">
        <v>85200297</v>
      </c>
      <c r="E541">
        <v>1</v>
      </c>
      <c r="F541">
        <v>1</v>
      </c>
      <c r="G541">
        <v>1081</v>
      </c>
      <c r="H541">
        <v>3</v>
      </c>
      <c r="I541" t="s">
        <v>561</v>
      </c>
      <c r="J541" t="s">
        <v>562</v>
      </c>
      <c r="K541" t="s">
        <v>563</v>
      </c>
      <c r="L541">
        <v>1355</v>
      </c>
      <c r="N541">
        <v>1010</v>
      </c>
      <c r="O541" t="s">
        <v>240</v>
      </c>
      <c r="P541" t="s">
        <v>240</v>
      </c>
      <c r="Q541">
        <v>100</v>
      </c>
      <c r="X541">
        <v>3.6</v>
      </c>
      <c r="Y541">
        <v>243.75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 t="s">
        <v>3</v>
      </c>
      <c r="AG541">
        <v>3.6</v>
      </c>
      <c r="AH541">
        <v>2</v>
      </c>
      <c r="AI541">
        <v>85740085</v>
      </c>
      <c r="AJ541">
        <v>525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">
      <c r="A542">
        <f>ROW(Source!A215)</f>
        <v>215</v>
      </c>
      <c r="B542">
        <v>85740102</v>
      </c>
      <c r="C542">
        <v>85740074</v>
      </c>
      <c r="D542">
        <v>85198892</v>
      </c>
      <c r="E542">
        <v>1</v>
      </c>
      <c r="F542">
        <v>1</v>
      </c>
      <c r="G542">
        <v>1081</v>
      </c>
      <c r="H542">
        <v>3</v>
      </c>
      <c r="I542" t="s">
        <v>543</v>
      </c>
      <c r="J542" t="s">
        <v>544</v>
      </c>
      <c r="K542" t="s">
        <v>545</v>
      </c>
      <c r="L542">
        <v>1339</v>
      </c>
      <c r="N542">
        <v>1007</v>
      </c>
      <c r="O542" t="s">
        <v>506</v>
      </c>
      <c r="P542" t="s">
        <v>506</v>
      </c>
      <c r="Q542">
        <v>1</v>
      </c>
      <c r="X542">
        <v>9</v>
      </c>
      <c r="Y542">
        <v>53.42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 t="s">
        <v>3</v>
      </c>
      <c r="AG542">
        <v>9</v>
      </c>
      <c r="AH542">
        <v>2</v>
      </c>
      <c r="AI542">
        <v>85740086</v>
      </c>
      <c r="AJ542">
        <v>526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">
      <c r="A543">
        <f>ROW(Source!A215)</f>
        <v>215</v>
      </c>
      <c r="B543">
        <v>85740103</v>
      </c>
      <c r="C543">
        <v>85740074</v>
      </c>
      <c r="D543">
        <v>85199158</v>
      </c>
      <c r="E543">
        <v>1</v>
      </c>
      <c r="F543">
        <v>1</v>
      </c>
      <c r="G543">
        <v>1081</v>
      </c>
      <c r="H543">
        <v>3</v>
      </c>
      <c r="I543" t="s">
        <v>503</v>
      </c>
      <c r="J543" t="s">
        <v>504</v>
      </c>
      <c r="K543" t="s">
        <v>505</v>
      </c>
      <c r="L543">
        <v>1339</v>
      </c>
      <c r="N543">
        <v>1007</v>
      </c>
      <c r="O543" t="s">
        <v>506</v>
      </c>
      <c r="P543" t="s">
        <v>506</v>
      </c>
      <c r="Q543">
        <v>1</v>
      </c>
      <c r="X543">
        <v>11.6</v>
      </c>
      <c r="Y543">
        <v>5.82</v>
      </c>
      <c r="Z543">
        <v>0</v>
      </c>
      <c r="AA543">
        <v>0</v>
      </c>
      <c r="AB543">
        <v>0</v>
      </c>
      <c r="AC543">
        <v>0</v>
      </c>
      <c r="AD543">
        <v>1</v>
      </c>
      <c r="AE543">
        <v>0</v>
      </c>
      <c r="AF543" t="s">
        <v>3</v>
      </c>
      <c r="AG543">
        <v>11.6</v>
      </c>
      <c r="AH543">
        <v>2</v>
      </c>
      <c r="AI543">
        <v>85740087</v>
      </c>
      <c r="AJ543">
        <v>527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">
      <c r="A544">
        <f>ROW(Source!A215)</f>
        <v>215</v>
      </c>
      <c r="B544">
        <v>85740104</v>
      </c>
      <c r="C544">
        <v>85740074</v>
      </c>
      <c r="D544">
        <v>85221547</v>
      </c>
      <c r="E544">
        <v>1</v>
      </c>
      <c r="F544">
        <v>1</v>
      </c>
      <c r="G544">
        <v>1081</v>
      </c>
      <c r="H544">
        <v>3</v>
      </c>
      <c r="I544" t="s">
        <v>564</v>
      </c>
      <c r="J544" t="s">
        <v>565</v>
      </c>
      <c r="K544" t="s">
        <v>566</v>
      </c>
      <c r="L544">
        <v>1354</v>
      </c>
      <c r="N544">
        <v>1010</v>
      </c>
      <c r="O544" t="s">
        <v>99</v>
      </c>
      <c r="P544" t="s">
        <v>99</v>
      </c>
      <c r="Q544">
        <v>1</v>
      </c>
      <c r="X544">
        <v>360</v>
      </c>
      <c r="Y544">
        <v>14.28</v>
      </c>
      <c r="Z544">
        <v>0</v>
      </c>
      <c r="AA544">
        <v>0</v>
      </c>
      <c r="AB544">
        <v>0</v>
      </c>
      <c r="AC544">
        <v>0</v>
      </c>
      <c r="AD544">
        <v>1</v>
      </c>
      <c r="AE544">
        <v>0</v>
      </c>
      <c r="AF544" t="s">
        <v>3</v>
      </c>
      <c r="AG544">
        <v>360</v>
      </c>
      <c r="AH544">
        <v>2</v>
      </c>
      <c r="AI544">
        <v>85740090</v>
      </c>
      <c r="AJ544">
        <v>531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">
      <c r="A545">
        <f>ROW(Source!A215)</f>
        <v>215</v>
      </c>
      <c r="B545">
        <v>85740105</v>
      </c>
      <c r="C545">
        <v>85740074</v>
      </c>
      <c r="D545">
        <v>85156862</v>
      </c>
      <c r="E545">
        <v>1081</v>
      </c>
      <c r="F545">
        <v>1</v>
      </c>
      <c r="G545">
        <v>1081</v>
      </c>
      <c r="H545">
        <v>3</v>
      </c>
      <c r="I545" t="s">
        <v>640</v>
      </c>
      <c r="J545" t="s">
        <v>3</v>
      </c>
      <c r="K545" t="s">
        <v>642</v>
      </c>
      <c r="L545">
        <v>1301</v>
      </c>
      <c r="N545">
        <v>1003</v>
      </c>
      <c r="O545" t="s">
        <v>179</v>
      </c>
      <c r="P545" t="s">
        <v>179</v>
      </c>
      <c r="Q545">
        <v>1</v>
      </c>
      <c r="X545">
        <v>1000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 t="s">
        <v>3</v>
      </c>
      <c r="AG545">
        <v>1000</v>
      </c>
      <c r="AH545">
        <v>3</v>
      </c>
      <c r="AI545">
        <v>-1</v>
      </c>
      <c r="AJ545" t="s">
        <v>3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">
      <c r="A546">
        <f>ROW(Source!A216)</f>
        <v>216</v>
      </c>
      <c r="B546">
        <v>85740091</v>
      </c>
      <c r="C546">
        <v>85740074</v>
      </c>
      <c r="D546">
        <v>85164021</v>
      </c>
      <c r="E546">
        <v>1081</v>
      </c>
      <c r="F546">
        <v>1</v>
      </c>
      <c r="G546">
        <v>1081</v>
      </c>
      <c r="H546">
        <v>1</v>
      </c>
      <c r="I546" t="s">
        <v>472</v>
      </c>
      <c r="J546" t="s">
        <v>3</v>
      </c>
      <c r="K546" t="s">
        <v>473</v>
      </c>
      <c r="L546">
        <v>1191</v>
      </c>
      <c r="N546">
        <v>1013</v>
      </c>
      <c r="O546" t="s">
        <v>474</v>
      </c>
      <c r="P546" t="s">
        <v>474</v>
      </c>
      <c r="Q546">
        <v>1</v>
      </c>
      <c r="X546">
        <v>1730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  <c r="AE546">
        <v>1</v>
      </c>
      <c r="AF546" t="s">
        <v>3</v>
      </c>
      <c r="AG546">
        <v>1730</v>
      </c>
      <c r="AH546">
        <v>2</v>
      </c>
      <c r="AI546">
        <v>85740075</v>
      </c>
      <c r="AJ546">
        <v>532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">
      <c r="A547">
        <f>ROW(Source!A216)</f>
        <v>216</v>
      </c>
      <c r="B547">
        <v>85740092</v>
      </c>
      <c r="C547">
        <v>85740074</v>
      </c>
      <c r="D547">
        <v>85229527</v>
      </c>
      <c r="E547">
        <v>1</v>
      </c>
      <c r="F547">
        <v>1</v>
      </c>
      <c r="G547">
        <v>1081</v>
      </c>
      <c r="H547">
        <v>2</v>
      </c>
      <c r="I547" t="s">
        <v>546</v>
      </c>
      <c r="J547" t="s">
        <v>547</v>
      </c>
      <c r="K547" t="s">
        <v>548</v>
      </c>
      <c r="L547">
        <v>1368</v>
      </c>
      <c r="N547">
        <v>1011</v>
      </c>
      <c r="O547" t="s">
        <v>478</v>
      </c>
      <c r="P547" t="s">
        <v>478</v>
      </c>
      <c r="Q547">
        <v>1</v>
      </c>
      <c r="X547">
        <v>13.5</v>
      </c>
      <c r="Y547">
        <v>0</v>
      </c>
      <c r="Z547">
        <v>48.07</v>
      </c>
      <c r="AA547">
        <v>12.62</v>
      </c>
      <c r="AB547">
        <v>0</v>
      </c>
      <c r="AC547">
        <v>0</v>
      </c>
      <c r="AD547">
        <v>1</v>
      </c>
      <c r="AE547">
        <v>0</v>
      </c>
      <c r="AF547" t="s">
        <v>3</v>
      </c>
      <c r="AG547">
        <v>13.5</v>
      </c>
      <c r="AH547">
        <v>2</v>
      </c>
      <c r="AI547">
        <v>85740076</v>
      </c>
      <c r="AJ547">
        <v>533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">
      <c r="A548">
        <f>ROW(Source!A216)</f>
        <v>216</v>
      </c>
      <c r="B548">
        <v>85740093</v>
      </c>
      <c r="C548">
        <v>85740074</v>
      </c>
      <c r="D548">
        <v>85229564</v>
      </c>
      <c r="E548">
        <v>1</v>
      </c>
      <c r="F548">
        <v>1</v>
      </c>
      <c r="G548">
        <v>1081</v>
      </c>
      <c r="H548">
        <v>2</v>
      </c>
      <c r="I548" t="s">
        <v>549</v>
      </c>
      <c r="J548" t="s">
        <v>550</v>
      </c>
      <c r="K548" t="s">
        <v>551</v>
      </c>
      <c r="L548">
        <v>1368</v>
      </c>
      <c r="N548">
        <v>1011</v>
      </c>
      <c r="O548" t="s">
        <v>478</v>
      </c>
      <c r="P548" t="s">
        <v>478</v>
      </c>
      <c r="Q548">
        <v>1</v>
      </c>
      <c r="X548">
        <v>110</v>
      </c>
      <c r="Y548">
        <v>0</v>
      </c>
      <c r="Z548">
        <v>5.79</v>
      </c>
      <c r="AA548">
        <v>0</v>
      </c>
      <c r="AB548">
        <v>0</v>
      </c>
      <c r="AC548">
        <v>0</v>
      </c>
      <c r="AD548">
        <v>1</v>
      </c>
      <c r="AE548">
        <v>0</v>
      </c>
      <c r="AF548" t="s">
        <v>3</v>
      </c>
      <c r="AG548">
        <v>110</v>
      </c>
      <c r="AH548">
        <v>2</v>
      </c>
      <c r="AI548">
        <v>85740077</v>
      </c>
      <c r="AJ548">
        <v>534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">
      <c r="A549">
        <f>ROW(Source!A216)</f>
        <v>216</v>
      </c>
      <c r="B549">
        <v>85740094</v>
      </c>
      <c r="C549">
        <v>85740074</v>
      </c>
      <c r="D549">
        <v>85229633</v>
      </c>
      <c r="E549">
        <v>1</v>
      </c>
      <c r="F549">
        <v>1</v>
      </c>
      <c r="G549">
        <v>1081</v>
      </c>
      <c r="H549">
        <v>2</v>
      </c>
      <c r="I549" t="s">
        <v>475</v>
      </c>
      <c r="J549" t="s">
        <v>476</v>
      </c>
      <c r="K549" t="s">
        <v>477</v>
      </c>
      <c r="L549">
        <v>1368</v>
      </c>
      <c r="N549">
        <v>1011</v>
      </c>
      <c r="O549" t="s">
        <v>478</v>
      </c>
      <c r="P549" t="s">
        <v>478</v>
      </c>
      <c r="Q549">
        <v>1</v>
      </c>
      <c r="X549">
        <v>114</v>
      </c>
      <c r="Y549">
        <v>0</v>
      </c>
      <c r="Z549">
        <v>7.11</v>
      </c>
      <c r="AA549">
        <v>0</v>
      </c>
      <c r="AB549">
        <v>0</v>
      </c>
      <c r="AC549">
        <v>0</v>
      </c>
      <c r="AD549">
        <v>1</v>
      </c>
      <c r="AE549">
        <v>0</v>
      </c>
      <c r="AF549" t="s">
        <v>3</v>
      </c>
      <c r="AG549">
        <v>114</v>
      </c>
      <c r="AH549">
        <v>2</v>
      </c>
      <c r="AI549">
        <v>85740078</v>
      </c>
      <c r="AJ549">
        <v>535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">
      <c r="A550">
        <f>ROW(Source!A216)</f>
        <v>216</v>
      </c>
      <c r="B550">
        <v>85740095</v>
      </c>
      <c r="C550">
        <v>85740074</v>
      </c>
      <c r="D550">
        <v>85229932</v>
      </c>
      <c r="E550">
        <v>1</v>
      </c>
      <c r="F550">
        <v>1</v>
      </c>
      <c r="G550">
        <v>1081</v>
      </c>
      <c r="H550">
        <v>2</v>
      </c>
      <c r="I550" t="s">
        <v>482</v>
      </c>
      <c r="J550" t="s">
        <v>483</v>
      </c>
      <c r="K550" t="s">
        <v>484</v>
      </c>
      <c r="L550">
        <v>1368</v>
      </c>
      <c r="N550">
        <v>1011</v>
      </c>
      <c r="O550" t="s">
        <v>478</v>
      </c>
      <c r="P550" t="s">
        <v>478</v>
      </c>
      <c r="Q550">
        <v>1</v>
      </c>
      <c r="X550">
        <v>5.36</v>
      </c>
      <c r="Y550">
        <v>0</v>
      </c>
      <c r="Z550">
        <v>83.1</v>
      </c>
      <c r="AA550">
        <v>12.62</v>
      </c>
      <c r="AB550">
        <v>0</v>
      </c>
      <c r="AC550">
        <v>0</v>
      </c>
      <c r="AD550">
        <v>1</v>
      </c>
      <c r="AE550">
        <v>0</v>
      </c>
      <c r="AF550" t="s">
        <v>3</v>
      </c>
      <c r="AG550">
        <v>5.36</v>
      </c>
      <c r="AH550">
        <v>2</v>
      </c>
      <c r="AI550">
        <v>85740079</v>
      </c>
      <c r="AJ550">
        <v>536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">
      <c r="A551">
        <f>ROW(Source!A216)</f>
        <v>216</v>
      </c>
      <c r="B551">
        <v>85740096</v>
      </c>
      <c r="C551">
        <v>85740074</v>
      </c>
      <c r="D551">
        <v>85229250</v>
      </c>
      <c r="E551">
        <v>1</v>
      </c>
      <c r="F551">
        <v>1</v>
      </c>
      <c r="G551">
        <v>1081</v>
      </c>
      <c r="H551">
        <v>2</v>
      </c>
      <c r="I551" t="s">
        <v>552</v>
      </c>
      <c r="J551" t="s">
        <v>553</v>
      </c>
      <c r="K551" t="s">
        <v>554</v>
      </c>
      <c r="L551">
        <v>1368</v>
      </c>
      <c r="N551">
        <v>1011</v>
      </c>
      <c r="O551" t="s">
        <v>478</v>
      </c>
      <c r="P551" t="s">
        <v>478</v>
      </c>
      <c r="Q551">
        <v>1</v>
      </c>
      <c r="X551">
        <v>4</v>
      </c>
      <c r="Y551">
        <v>0</v>
      </c>
      <c r="Z551">
        <v>3.18</v>
      </c>
      <c r="AA551">
        <v>0</v>
      </c>
      <c r="AB551">
        <v>0</v>
      </c>
      <c r="AC551">
        <v>0</v>
      </c>
      <c r="AD551">
        <v>1</v>
      </c>
      <c r="AE551">
        <v>0</v>
      </c>
      <c r="AF551" t="s">
        <v>3</v>
      </c>
      <c r="AG551">
        <v>4</v>
      </c>
      <c r="AH551">
        <v>2</v>
      </c>
      <c r="AI551">
        <v>85740080</v>
      </c>
      <c r="AJ551">
        <v>537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">
      <c r="A552">
        <f>ROW(Source!A216)</f>
        <v>216</v>
      </c>
      <c r="B552">
        <v>85740097</v>
      </c>
      <c r="C552">
        <v>85740074</v>
      </c>
      <c r="D552">
        <v>85198960</v>
      </c>
      <c r="E552">
        <v>1</v>
      </c>
      <c r="F552">
        <v>1</v>
      </c>
      <c r="G552">
        <v>1081</v>
      </c>
      <c r="H552">
        <v>3</v>
      </c>
      <c r="I552" t="s">
        <v>513</v>
      </c>
      <c r="J552" t="s">
        <v>514</v>
      </c>
      <c r="K552" t="s">
        <v>515</v>
      </c>
      <c r="L552">
        <v>1339</v>
      </c>
      <c r="N552">
        <v>1007</v>
      </c>
      <c r="O552" t="s">
        <v>506</v>
      </c>
      <c r="P552" t="s">
        <v>506</v>
      </c>
      <c r="Q552">
        <v>1</v>
      </c>
      <c r="X552">
        <v>30</v>
      </c>
      <c r="Y552">
        <v>7.07</v>
      </c>
      <c r="Z552">
        <v>0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3</v>
      </c>
      <c r="AG552">
        <v>30</v>
      </c>
      <c r="AH552">
        <v>2</v>
      </c>
      <c r="AI552">
        <v>85740081</v>
      </c>
      <c r="AJ552">
        <v>538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">
      <c r="A553">
        <f>ROW(Source!A216)</f>
        <v>216</v>
      </c>
      <c r="B553">
        <v>85740098</v>
      </c>
      <c r="C553">
        <v>85740074</v>
      </c>
      <c r="D553">
        <v>85200023</v>
      </c>
      <c r="E553">
        <v>1</v>
      </c>
      <c r="F553">
        <v>1</v>
      </c>
      <c r="G553">
        <v>1081</v>
      </c>
      <c r="H553">
        <v>3</v>
      </c>
      <c r="I553" t="s">
        <v>555</v>
      </c>
      <c r="J553" t="s">
        <v>556</v>
      </c>
      <c r="K553" t="s">
        <v>557</v>
      </c>
      <c r="L553">
        <v>1348</v>
      </c>
      <c r="N553">
        <v>1009</v>
      </c>
      <c r="O553" t="s">
        <v>266</v>
      </c>
      <c r="P553" t="s">
        <v>266</v>
      </c>
      <c r="Q553">
        <v>1000</v>
      </c>
      <c r="X553">
        <v>2.3599999999999999E-2</v>
      </c>
      <c r="Y553">
        <v>7185.82</v>
      </c>
      <c r="Z553">
        <v>0</v>
      </c>
      <c r="AA553">
        <v>0</v>
      </c>
      <c r="AB553">
        <v>0</v>
      </c>
      <c r="AC553">
        <v>0</v>
      </c>
      <c r="AD553">
        <v>1</v>
      </c>
      <c r="AE553">
        <v>0</v>
      </c>
      <c r="AF553" t="s">
        <v>3</v>
      </c>
      <c r="AG553">
        <v>2.3599999999999999E-2</v>
      </c>
      <c r="AH553">
        <v>2</v>
      </c>
      <c r="AI553">
        <v>85740082</v>
      </c>
      <c r="AJ553">
        <v>539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">
      <c r="A554">
        <f>ROW(Source!A216)</f>
        <v>216</v>
      </c>
      <c r="B554">
        <v>85740099</v>
      </c>
      <c r="C554">
        <v>85740074</v>
      </c>
      <c r="D554">
        <v>85200098</v>
      </c>
      <c r="E554">
        <v>1</v>
      </c>
      <c r="F554">
        <v>1</v>
      </c>
      <c r="G554">
        <v>1081</v>
      </c>
      <c r="H554">
        <v>3</v>
      </c>
      <c r="I554" t="s">
        <v>540</v>
      </c>
      <c r="J554" t="s">
        <v>541</v>
      </c>
      <c r="K554" t="s">
        <v>542</v>
      </c>
      <c r="L554">
        <v>1346</v>
      </c>
      <c r="N554">
        <v>1009</v>
      </c>
      <c r="O554" t="s">
        <v>502</v>
      </c>
      <c r="P554" t="s">
        <v>502</v>
      </c>
      <c r="Q554">
        <v>1</v>
      </c>
      <c r="X554">
        <v>11.6</v>
      </c>
      <c r="Y554">
        <v>21</v>
      </c>
      <c r="Z554">
        <v>0</v>
      </c>
      <c r="AA554">
        <v>0</v>
      </c>
      <c r="AB554">
        <v>0</v>
      </c>
      <c r="AC554">
        <v>0</v>
      </c>
      <c r="AD554">
        <v>1</v>
      </c>
      <c r="AE554">
        <v>0</v>
      </c>
      <c r="AF554" t="s">
        <v>3</v>
      </c>
      <c r="AG554">
        <v>11.6</v>
      </c>
      <c r="AH554">
        <v>2</v>
      </c>
      <c r="AI554">
        <v>85740083</v>
      </c>
      <c r="AJ554">
        <v>540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">
      <c r="A555">
        <f>ROW(Source!A216)</f>
        <v>216</v>
      </c>
      <c r="B555">
        <v>85740100</v>
      </c>
      <c r="C555">
        <v>85740074</v>
      </c>
      <c r="D555">
        <v>85200296</v>
      </c>
      <c r="E555">
        <v>1</v>
      </c>
      <c r="F555">
        <v>1</v>
      </c>
      <c r="G555">
        <v>1081</v>
      </c>
      <c r="H555">
        <v>3</v>
      </c>
      <c r="I555" t="s">
        <v>558</v>
      </c>
      <c r="J555" t="s">
        <v>559</v>
      </c>
      <c r="K555" t="s">
        <v>560</v>
      </c>
      <c r="L555">
        <v>1355</v>
      </c>
      <c r="N555">
        <v>1010</v>
      </c>
      <c r="O555" t="s">
        <v>240</v>
      </c>
      <c r="P555" t="s">
        <v>240</v>
      </c>
      <c r="Q555">
        <v>100</v>
      </c>
      <c r="X555">
        <v>3.6</v>
      </c>
      <c r="Y555">
        <v>496.79</v>
      </c>
      <c r="Z555">
        <v>0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3</v>
      </c>
      <c r="AG555">
        <v>3.6</v>
      </c>
      <c r="AH555">
        <v>2</v>
      </c>
      <c r="AI555">
        <v>85740084</v>
      </c>
      <c r="AJ555">
        <v>541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">
      <c r="A556">
        <f>ROW(Source!A216)</f>
        <v>216</v>
      </c>
      <c r="B556">
        <v>85740101</v>
      </c>
      <c r="C556">
        <v>85740074</v>
      </c>
      <c r="D556">
        <v>85200297</v>
      </c>
      <c r="E556">
        <v>1</v>
      </c>
      <c r="F556">
        <v>1</v>
      </c>
      <c r="G556">
        <v>1081</v>
      </c>
      <c r="H556">
        <v>3</v>
      </c>
      <c r="I556" t="s">
        <v>561</v>
      </c>
      <c r="J556" t="s">
        <v>562</v>
      </c>
      <c r="K556" t="s">
        <v>563</v>
      </c>
      <c r="L556">
        <v>1355</v>
      </c>
      <c r="N556">
        <v>1010</v>
      </c>
      <c r="O556" t="s">
        <v>240</v>
      </c>
      <c r="P556" t="s">
        <v>240</v>
      </c>
      <c r="Q556">
        <v>100</v>
      </c>
      <c r="X556">
        <v>3.6</v>
      </c>
      <c r="Y556">
        <v>243.75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 t="s">
        <v>3</v>
      </c>
      <c r="AG556">
        <v>3.6</v>
      </c>
      <c r="AH556">
        <v>2</v>
      </c>
      <c r="AI556">
        <v>85740085</v>
      </c>
      <c r="AJ556">
        <v>542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">
      <c r="A557">
        <f>ROW(Source!A216)</f>
        <v>216</v>
      </c>
      <c r="B557">
        <v>85740102</v>
      </c>
      <c r="C557">
        <v>85740074</v>
      </c>
      <c r="D557">
        <v>85198892</v>
      </c>
      <c r="E557">
        <v>1</v>
      </c>
      <c r="F557">
        <v>1</v>
      </c>
      <c r="G557">
        <v>1081</v>
      </c>
      <c r="H557">
        <v>3</v>
      </c>
      <c r="I557" t="s">
        <v>543</v>
      </c>
      <c r="J557" t="s">
        <v>544</v>
      </c>
      <c r="K557" t="s">
        <v>545</v>
      </c>
      <c r="L557">
        <v>1339</v>
      </c>
      <c r="N557">
        <v>1007</v>
      </c>
      <c r="O557" t="s">
        <v>506</v>
      </c>
      <c r="P557" t="s">
        <v>506</v>
      </c>
      <c r="Q557">
        <v>1</v>
      </c>
      <c r="X557">
        <v>9</v>
      </c>
      <c r="Y557">
        <v>53.42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 t="s">
        <v>3</v>
      </c>
      <c r="AG557">
        <v>9</v>
      </c>
      <c r="AH557">
        <v>2</v>
      </c>
      <c r="AI557">
        <v>85740086</v>
      </c>
      <c r="AJ557">
        <v>543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">
      <c r="A558">
        <f>ROW(Source!A216)</f>
        <v>216</v>
      </c>
      <c r="B558">
        <v>85740103</v>
      </c>
      <c r="C558">
        <v>85740074</v>
      </c>
      <c r="D558">
        <v>85199158</v>
      </c>
      <c r="E558">
        <v>1</v>
      </c>
      <c r="F558">
        <v>1</v>
      </c>
      <c r="G558">
        <v>1081</v>
      </c>
      <c r="H558">
        <v>3</v>
      </c>
      <c r="I558" t="s">
        <v>503</v>
      </c>
      <c r="J558" t="s">
        <v>504</v>
      </c>
      <c r="K558" t="s">
        <v>505</v>
      </c>
      <c r="L558">
        <v>1339</v>
      </c>
      <c r="N558">
        <v>1007</v>
      </c>
      <c r="O558" t="s">
        <v>506</v>
      </c>
      <c r="P558" t="s">
        <v>506</v>
      </c>
      <c r="Q558">
        <v>1</v>
      </c>
      <c r="X558">
        <v>11.6</v>
      </c>
      <c r="Y558">
        <v>5.82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 t="s">
        <v>3</v>
      </c>
      <c r="AG558">
        <v>11.6</v>
      </c>
      <c r="AH558">
        <v>2</v>
      </c>
      <c r="AI558">
        <v>85740087</v>
      </c>
      <c r="AJ558">
        <v>544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">
      <c r="A559">
        <f>ROW(Source!A216)</f>
        <v>216</v>
      </c>
      <c r="B559">
        <v>85740104</v>
      </c>
      <c r="C559">
        <v>85740074</v>
      </c>
      <c r="D559">
        <v>85221547</v>
      </c>
      <c r="E559">
        <v>1</v>
      </c>
      <c r="F559">
        <v>1</v>
      </c>
      <c r="G559">
        <v>1081</v>
      </c>
      <c r="H559">
        <v>3</v>
      </c>
      <c r="I559" t="s">
        <v>564</v>
      </c>
      <c r="J559" t="s">
        <v>565</v>
      </c>
      <c r="K559" t="s">
        <v>566</v>
      </c>
      <c r="L559">
        <v>1354</v>
      </c>
      <c r="N559">
        <v>1010</v>
      </c>
      <c r="O559" t="s">
        <v>99</v>
      </c>
      <c r="P559" t="s">
        <v>99</v>
      </c>
      <c r="Q559">
        <v>1</v>
      </c>
      <c r="X559">
        <v>360</v>
      </c>
      <c r="Y559">
        <v>14.28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0</v>
      </c>
      <c r="AF559" t="s">
        <v>3</v>
      </c>
      <c r="AG559">
        <v>360</v>
      </c>
      <c r="AH559">
        <v>2</v>
      </c>
      <c r="AI559">
        <v>85740090</v>
      </c>
      <c r="AJ559">
        <v>548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">
      <c r="A560">
        <f>ROW(Source!A216)</f>
        <v>216</v>
      </c>
      <c r="B560">
        <v>85740105</v>
      </c>
      <c r="C560">
        <v>85740074</v>
      </c>
      <c r="D560">
        <v>85156862</v>
      </c>
      <c r="E560">
        <v>1081</v>
      </c>
      <c r="F560">
        <v>1</v>
      </c>
      <c r="G560">
        <v>1081</v>
      </c>
      <c r="H560">
        <v>3</v>
      </c>
      <c r="I560" t="s">
        <v>640</v>
      </c>
      <c r="J560" t="s">
        <v>3</v>
      </c>
      <c r="K560" t="s">
        <v>642</v>
      </c>
      <c r="L560">
        <v>1301</v>
      </c>
      <c r="N560">
        <v>1003</v>
      </c>
      <c r="O560" t="s">
        <v>179</v>
      </c>
      <c r="P560" t="s">
        <v>179</v>
      </c>
      <c r="Q560">
        <v>1</v>
      </c>
      <c r="X560">
        <v>1000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3</v>
      </c>
      <c r="AG560">
        <v>1000</v>
      </c>
      <c r="AH560">
        <v>3</v>
      </c>
      <c r="AI560">
        <v>-1</v>
      </c>
      <c r="AJ560" t="s">
        <v>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">
      <c r="A561">
        <f>ROW(Source!A223)</f>
        <v>223</v>
      </c>
      <c r="B561">
        <v>85740125</v>
      </c>
      <c r="C561">
        <v>85740108</v>
      </c>
      <c r="D561">
        <v>85164021</v>
      </c>
      <c r="E561">
        <v>1081</v>
      </c>
      <c r="F561">
        <v>1</v>
      </c>
      <c r="G561">
        <v>1081</v>
      </c>
      <c r="H561">
        <v>1</v>
      </c>
      <c r="I561" t="s">
        <v>472</v>
      </c>
      <c r="J561" t="s">
        <v>3</v>
      </c>
      <c r="K561" t="s">
        <v>473</v>
      </c>
      <c r="L561">
        <v>1191</v>
      </c>
      <c r="N561">
        <v>1013</v>
      </c>
      <c r="O561" t="s">
        <v>474</v>
      </c>
      <c r="P561" t="s">
        <v>474</v>
      </c>
      <c r="Q561">
        <v>1</v>
      </c>
      <c r="X561">
        <v>139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  <c r="AE561">
        <v>1</v>
      </c>
      <c r="AF561" t="s">
        <v>36</v>
      </c>
      <c r="AG561">
        <v>166.79999999999998</v>
      </c>
      <c r="AH561">
        <v>2</v>
      </c>
      <c r="AI561">
        <v>85740109</v>
      </c>
      <c r="AJ561">
        <v>549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">
      <c r="A562">
        <f>ROW(Source!A223)</f>
        <v>223</v>
      </c>
      <c r="B562">
        <v>85740126</v>
      </c>
      <c r="C562">
        <v>85740108</v>
      </c>
      <c r="D562">
        <v>85229527</v>
      </c>
      <c r="E562">
        <v>1</v>
      </c>
      <c r="F562">
        <v>1</v>
      </c>
      <c r="G562">
        <v>1081</v>
      </c>
      <c r="H562">
        <v>2</v>
      </c>
      <c r="I562" t="s">
        <v>546</v>
      </c>
      <c r="J562" t="s">
        <v>547</v>
      </c>
      <c r="K562" t="s">
        <v>548</v>
      </c>
      <c r="L562">
        <v>1368</v>
      </c>
      <c r="N562">
        <v>1011</v>
      </c>
      <c r="O562" t="s">
        <v>478</v>
      </c>
      <c r="P562" t="s">
        <v>478</v>
      </c>
      <c r="Q562">
        <v>1</v>
      </c>
      <c r="X562">
        <v>7.5</v>
      </c>
      <c r="Y562">
        <v>0</v>
      </c>
      <c r="Z562">
        <v>48.07</v>
      </c>
      <c r="AA562">
        <v>12.62</v>
      </c>
      <c r="AB562">
        <v>0</v>
      </c>
      <c r="AC562">
        <v>0</v>
      </c>
      <c r="AD562">
        <v>1</v>
      </c>
      <c r="AE562">
        <v>0</v>
      </c>
      <c r="AF562" t="s">
        <v>36</v>
      </c>
      <c r="AG562">
        <v>9</v>
      </c>
      <c r="AH562">
        <v>2</v>
      </c>
      <c r="AI562">
        <v>85740110</v>
      </c>
      <c r="AJ562">
        <v>550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">
      <c r="A563">
        <f>ROW(Source!A223)</f>
        <v>223</v>
      </c>
      <c r="B563">
        <v>85740127</v>
      </c>
      <c r="C563">
        <v>85740108</v>
      </c>
      <c r="D563">
        <v>85229564</v>
      </c>
      <c r="E563">
        <v>1</v>
      </c>
      <c r="F563">
        <v>1</v>
      </c>
      <c r="G563">
        <v>1081</v>
      </c>
      <c r="H563">
        <v>2</v>
      </c>
      <c r="I563" t="s">
        <v>549</v>
      </c>
      <c r="J563" t="s">
        <v>550</v>
      </c>
      <c r="K563" t="s">
        <v>551</v>
      </c>
      <c r="L563">
        <v>1368</v>
      </c>
      <c r="N563">
        <v>1011</v>
      </c>
      <c r="O563" t="s">
        <v>478</v>
      </c>
      <c r="P563" t="s">
        <v>478</v>
      </c>
      <c r="Q563">
        <v>1</v>
      </c>
      <c r="X563">
        <v>7</v>
      </c>
      <c r="Y563">
        <v>0</v>
      </c>
      <c r="Z563">
        <v>5.79</v>
      </c>
      <c r="AA563">
        <v>0</v>
      </c>
      <c r="AB563">
        <v>0</v>
      </c>
      <c r="AC563">
        <v>0</v>
      </c>
      <c r="AD563">
        <v>1</v>
      </c>
      <c r="AE563">
        <v>0</v>
      </c>
      <c r="AF563" t="s">
        <v>36</v>
      </c>
      <c r="AG563">
        <v>8.4</v>
      </c>
      <c r="AH563">
        <v>2</v>
      </c>
      <c r="AI563">
        <v>85740111</v>
      </c>
      <c r="AJ563">
        <v>551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">
      <c r="A564">
        <f>ROW(Source!A223)</f>
        <v>223</v>
      </c>
      <c r="B564">
        <v>85740128</v>
      </c>
      <c r="C564">
        <v>85740108</v>
      </c>
      <c r="D564">
        <v>85229633</v>
      </c>
      <c r="E564">
        <v>1</v>
      </c>
      <c r="F564">
        <v>1</v>
      </c>
      <c r="G564">
        <v>1081</v>
      </c>
      <c r="H564">
        <v>2</v>
      </c>
      <c r="I564" t="s">
        <v>475</v>
      </c>
      <c r="J564" t="s">
        <v>476</v>
      </c>
      <c r="K564" t="s">
        <v>477</v>
      </c>
      <c r="L564">
        <v>1368</v>
      </c>
      <c r="N564">
        <v>1011</v>
      </c>
      <c r="O564" t="s">
        <v>478</v>
      </c>
      <c r="P564" t="s">
        <v>478</v>
      </c>
      <c r="Q564">
        <v>1</v>
      </c>
      <c r="X564">
        <v>9.32</v>
      </c>
      <c r="Y564">
        <v>0</v>
      </c>
      <c r="Z564">
        <v>7.11</v>
      </c>
      <c r="AA564">
        <v>0</v>
      </c>
      <c r="AB564">
        <v>0</v>
      </c>
      <c r="AC564">
        <v>0</v>
      </c>
      <c r="AD564">
        <v>1</v>
      </c>
      <c r="AE564">
        <v>0</v>
      </c>
      <c r="AF564" t="s">
        <v>36</v>
      </c>
      <c r="AG564">
        <v>11.183999999999999</v>
      </c>
      <c r="AH564">
        <v>2</v>
      </c>
      <c r="AI564">
        <v>85740112</v>
      </c>
      <c r="AJ564">
        <v>552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">
      <c r="A565">
        <f>ROW(Source!A223)</f>
        <v>223</v>
      </c>
      <c r="B565">
        <v>85740129</v>
      </c>
      <c r="C565">
        <v>85740108</v>
      </c>
      <c r="D565">
        <v>85229932</v>
      </c>
      <c r="E565">
        <v>1</v>
      </c>
      <c r="F565">
        <v>1</v>
      </c>
      <c r="G565">
        <v>1081</v>
      </c>
      <c r="H565">
        <v>2</v>
      </c>
      <c r="I565" t="s">
        <v>482</v>
      </c>
      <c r="J565" t="s">
        <v>483</v>
      </c>
      <c r="K565" t="s">
        <v>484</v>
      </c>
      <c r="L565">
        <v>1368</v>
      </c>
      <c r="N565">
        <v>1011</v>
      </c>
      <c r="O565" t="s">
        <v>478</v>
      </c>
      <c r="P565" t="s">
        <v>478</v>
      </c>
      <c r="Q565">
        <v>1</v>
      </c>
      <c r="X565">
        <v>0.54</v>
      </c>
      <c r="Y565">
        <v>0</v>
      </c>
      <c r="Z565">
        <v>83.1</v>
      </c>
      <c r="AA565">
        <v>12.62</v>
      </c>
      <c r="AB565">
        <v>0</v>
      </c>
      <c r="AC565">
        <v>0</v>
      </c>
      <c r="AD565">
        <v>1</v>
      </c>
      <c r="AE565">
        <v>0</v>
      </c>
      <c r="AF565" t="s">
        <v>36</v>
      </c>
      <c r="AG565">
        <v>0.64800000000000002</v>
      </c>
      <c r="AH565">
        <v>2</v>
      </c>
      <c r="AI565">
        <v>85740113</v>
      </c>
      <c r="AJ565">
        <v>553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">
      <c r="A566">
        <f>ROW(Source!A223)</f>
        <v>223</v>
      </c>
      <c r="B566">
        <v>85740130</v>
      </c>
      <c r="C566">
        <v>85740108</v>
      </c>
      <c r="D566">
        <v>85229250</v>
      </c>
      <c r="E566">
        <v>1</v>
      </c>
      <c r="F566">
        <v>1</v>
      </c>
      <c r="G566">
        <v>1081</v>
      </c>
      <c r="H566">
        <v>2</v>
      </c>
      <c r="I566" t="s">
        <v>552</v>
      </c>
      <c r="J566" t="s">
        <v>553</v>
      </c>
      <c r="K566" t="s">
        <v>554</v>
      </c>
      <c r="L566">
        <v>1368</v>
      </c>
      <c r="N566">
        <v>1011</v>
      </c>
      <c r="O566" t="s">
        <v>478</v>
      </c>
      <c r="P566" t="s">
        <v>478</v>
      </c>
      <c r="Q566">
        <v>1</v>
      </c>
      <c r="X566">
        <v>0.4</v>
      </c>
      <c r="Y566">
        <v>0</v>
      </c>
      <c r="Z566">
        <v>3.18</v>
      </c>
      <c r="AA566">
        <v>0</v>
      </c>
      <c r="AB566">
        <v>0</v>
      </c>
      <c r="AC566">
        <v>0</v>
      </c>
      <c r="AD566">
        <v>1</v>
      </c>
      <c r="AE566">
        <v>0</v>
      </c>
      <c r="AF566" t="s">
        <v>36</v>
      </c>
      <c r="AG566">
        <v>0.48</v>
      </c>
      <c r="AH566">
        <v>2</v>
      </c>
      <c r="AI566">
        <v>85740114</v>
      </c>
      <c r="AJ566">
        <v>554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">
      <c r="A567">
        <f>ROW(Source!A223)</f>
        <v>223</v>
      </c>
      <c r="B567">
        <v>85740131</v>
      </c>
      <c r="C567">
        <v>85740108</v>
      </c>
      <c r="D567">
        <v>85198960</v>
      </c>
      <c r="E567">
        <v>1</v>
      </c>
      <c r="F567">
        <v>1</v>
      </c>
      <c r="G567">
        <v>1081</v>
      </c>
      <c r="H567">
        <v>3</v>
      </c>
      <c r="I567" t="s">
        <v>513</v>
      </c>
      <c r="J567" t="s">
        <v>514</v>
      </c>
      <c r="K567" t="s">
        <v>515</v>
      </c>
      <c r="L567">
        <v>1339</v>
      </c>
      <c r="N567">
        <v>1007</v>
      </c>
      <c r="O567" t="s">
        <v>506</v>
      </c>
      <c r="P567" t="s">
        <v>506</v>
      </c>
      <c r="Q567">
        <v>1</v>
      </c>
      <c r="X567">
        <v>3</v>
      </c>
      <c r="Y567">
        <v>7.07</v>
      </c>
      <c r="Z567">
        <v>0</v>
      </c>
      <c r="AA567">
        <v>0</v>
      </c>
      <c r="AB567">
        <v>0</v>
      </c>
      <c r="AC567">
        <v>0</v>
      </c>
      <c r="AD567">
        <v>1</v>
      </c>
      <c r="AE567">
        <v>0</v>
      </c>
      <c r="AF567" t="s">
        <v>35</v>
      </c>
      <c r="AG567">
        <v>3</v>
      </c>
      <c r="AH567">
        <v>2</v>
      </c>
      <c r="AI567">
        <v>85740115</v>
      </c>
      <c r="AJ567">
        <v>555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">
      <c r="A568">
        <f>ROW(Source!A223)</f>
        <v>223</v>
      </c>
      <c r="B568">
        <v>85740132</v>
      </c>
      <c r="C568">
        <v>85740108</v>
      </c>
      <c r="D568">
        <v>85200023</v>
      </c>
      <c r="E568">
        <v>1</v>
      </c>
      <c r="F568">
        <v>1</v>
      </c>
      <c r="G568">
        <v>1081</v>
      </c>
      <c r="H568">
        <v>3</v>
      </c>
      <c r="I568" t="s">
        <v>555</v>
      </c>
      <c r="J568" t="s">
        <v>556</v>
      </c>
      <c r="K568" t="s">
        <v>557</v>
      </c>
      <c r="L568">
        <v>1348</v>
      </c>
      <c r="N568">
        <v>1009</v>
      </c>
      <c r="O568" t="s">
        <v>266</v>
      </c>
      <c r="P568" t="s">
        <v>266</v>
      </c>
      <c r="Q568">
        <v>1000</v>
      </c>
      <c r="X568">
        <v>1.56E-3</v>
      </c>
      <c r="Y568">
        <v>7185.82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 t="s">
        <v>35</v>
      </c>
      <c r="AG568">
        <v>1.56E-3</v>
      </c>
      <c r="AH568">
        <v>2</v>
      </c>
      <c r="AI568">
        <v>85740116</v>
      </c>
      <c r="AJ568">
        <v>556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">
      <c r="A569">
        <f>ROW(Source!A223)</f>
        <v>223</v>
      </c>
      <c r="B569">
        <v>85740133</v>
      </c>
      <c r="C569">
        <v>85740108</v>
      </c>
      <c r="D569">
        <v>85200098</v>
      </c>
      <c r="E569">
        <v>1</v>
      </c>
      <c r="F569">
        <v>1</v>
      </c>
      <c r="G569">
        <v>1081</v>
      </c>
      <c r="H569">
        <v>3</v>
      </c>
      <c r="I569" t="s">
        <v>540</v>
      </c>
      <c r="J569" t="s">
        <v>541</v>
      </c>
      <c r="K569" t="s">
        <v>542</v>
      </c>
      <c r="L569">
        <v>1346</v>
      </c>
      <c r="N569">
        <v>1009</v>
      </c>
      <c r="O569" t="s">
        <v>502</v>
      </c>
      <c r="P569" t="s">
        <v>502</v>
      </c>
      <c r="Q569">
        <v>1</v>
      </c>
      <c r="X569">
        <v>0.76</v>
      </c>
      <c r="Y569">
        <v>21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 t="s">
        <v>35</v>
      </c>
      <c r="AG569">
        <v>0.76</v>
      </c>
      <c r="AH569">
        <v>2</v>
      </c>
      <c r="AI569">
        <v>85740117</v>
      </c>
      <c r="AJ569">
        <v>557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">
      <c r="A570">
        <f>ROW(Source!A223)</f>
        <v>223</v>
      </c>
      <c r="B570">
        <v>85740134</v>
      </c>
      <c r="C570">
        <v>85740108</v>
      </c>
      <c r="D570">
        <v>85200296</v>
      </c>
      <c r="E570">
        <v>1</v>
      </c>
      <c r="F570">
        <v>1</v>
      </c>
      <c r="G570">
        <v>1081</v>
      </c>
      <c r="H570">
        <v>3</v>
      </c>
      <c r="I570" t="s">
        <v>558</v>
      </c>
      <c r="J570" t="s">
        <v>559</v>
      </c>
      <c r="K570" t="s">
        <v>560</v>
      </c>
      <c r="L570">
        <v>1355</v>
      </c>
      <c r="N570">
        <v>1010</v>
      </c>
      <c r="O570" t="s">
        <v>240</v>
      </c>
      <c r="P570" t="s">
        <v>240</v>
      </c>
      <c r="Q570">
        <v>100</v>
      </c>
      <c r="X570">
        <v>0.36</v>
      </c>
      <c r="Y570">
        <v>496.79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 t="s">
        <v>35</v>
      </c>
      <c r="AG570">
        <v>0.36</v>
      </c>
      <c r="AH570">
        <v>2</v>
      </c>
      <c r="AI570">
        <v>85740118</v>
      </c>
      <c r="AJ570">
        <v>558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">
      <c r="A571">
        <f>ROW(Source!A223)</f>
        <v>223</v>
      </c>
      <c r="B571">
        <v>85740135</v>
      </c>
      <c r="C571">
        <v>85740108</v>
      </c>
      <c r="D571">
        <v>85200297</v>
      </c>
      <c r="E571">
        <v>1</v>
      </c>
      <c r="F571">
        <v>1</v>
      </c>
      <c r="G571">
        <v>1081</v>
      </c>
      <c r="H571">
        <v>3</v>
      </c>
      <c r="I571" t="s">
        <v>561</v>
      </c>
      <c r="J571" t="s">
        <v>562</v>
      </c>
      <c r="K571" t="s">
        <v>563</v>
      </c>
      <c r="L571">
        <v>1355</v>
      </c>
      <c r="N571">
        <v>1010</v>
      </c>
      <c r="O571" t="s">
        <v>240</v>
      </c>
      <c r="P571" t="s">
        <v>240</v>
      </c>
      <c r="Q571">
        <v>100</v>
      </c>
      <c r="X571">
        <v>0.36</v>
      </c>
      <c r="Y571">
        <v>243.75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 t="s">
        <v>35</v>
      </c>
      <c r="AG571">
        <v>0.36</v>
      </c>
      <c r="AH571">
        <v>2</v>
      </c>
      <c r="AI571">
        <v>85740119</v>
      </c>
      <c r="AJ571">
        <v>559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">
      <c r="A572">
        <f>ROW(Source!A223)</f>
        <v>223</v>
      </c>
      <c r="B572">
        <v>85740136</v>
      </c>
      <c r="C572">
        <v>85740108</v>
      </c>
      <c r="D572">
        <v>85198892</v>
      </c>
      <c r="E572">
        <v>1</v>
      </c>
      <c r="F572">
        <v>1</v>
      </c>
      <c r="G572">
        <v>1081</v>
      </c>
      <c r="H572">
        <v>3</v>
      </c>
      <c r="I572" t="s">
        <v>543</v>
      </c>
      <c r="J572" t="s">
        <v>544</v>
      </c>
      <c r="K572" t="s">
        <v>545</v>
      </c>
      <c r="L572">
        <v>1339</v>
      </c>
      <c r="N572">
        <v>1007</v>
      </c>
      <c r="O572" t="s">
        <v>506</v>
      </c>
      <c r="P572" t="s">
        <v>506</v>
      </c>
      <c r="Q572">
        <v>1</v>
      </c>
      <c r="X572">
        <v>0.59</v>
      </c>
      <c r="Y572">
        <v>53.42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0</v>
      </c>
      <c r="AF572" t="s">
        <v>35</v>
      </c>
      <c r="AG572">
        <v>0.59</v>
      </c>
      <c r="AH572">
        <v>2</v>
      </c>
      <c r="AI572">
        <v>85740120</v>
      </c>
      <c r="AJ572">
        <v>560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">
      <c r="A573">
        <f>ROW(Source!A223)</f>
        <v>223</v>
      </c>
      <c r="B573">
        <v>85740137</v>
      </c>
      <c r="C573">
        <v>85740108</v>
      </c>
      <c r="D573">
        <v>85199158</v>
      </c>
      <c r="E573">
        <v>1</v>
      </c>
      <c r="F573">
        <v>1</v>
      </c>
      <c r="G573">
        <v>1081</v>
      </c>
      <c r="H573">
        <v>3</v>
      </c>
      <c r="I573" t="s">
        <v>503</v>
      </c>
      <c r="J573" t="s">
        <v>504</v>
      </c>
      <c r="K573" t="s">
        <v>505</v>
      </c>
      <c r="L573">
        <v>1339</v>
      </c>
      <c r="N573">
        <v>1007</v>
      </c>
      <c r="O573" t="s">
        <v>506</v>
      </c>
      <c r="P573" t="s">
        <v>506</v>
      </c>
      <c r="Q573">
        <v>1</v>
      </c>
      <c r="X573">
        <v>0.76</v>
      </c>
      <c r="Y573">
        <v>5.82</v>
      </c>
      <c r="Z573">
        <v>0</v>
      </c>
      <c r="AA573">
        <v>0</v>
      </c>
      <c r="AB573">
        <v>0</v>
      </c>
      <c r="AC573">
        <v>0</v>
      </c>
      <c r="AD573">
        <v>1</v>
      </c>
      <c r="AE573">
        <v>0</v>
      </c>
      <c r="AF573" t="s">
        <v>35</v>
      </c>
      <c r="AG573">
        <v>0.76</v>
      </c>
      <c r="AH573">
        <v>2</v>
      </c>
      <c r="AI573">
        <v>85740121</v>
      </c>
      <c r="AJ573">
        <v>561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">
      <c r="A574">
        <f>ROW(Source!A223)</f>
        <v>223</v>
      </c>
      <c r="B574">
        <v>85740138</v>
      </c>
      <c r="C574">
        <v>85740108</v>
      </c>
      <c r="D574">
        <v>85221547</v>
      </c>
      <c r="E574">
        <v>1</v>
      </c>
      <c r="F574">
        <v>1</v>
      </c>
      <c r="G574">
        <v>1081</v>
      </c>
      <c r="H574">
        <v>3</v>
      </c>
      <c r="I574" t="s">
        <v>564</v>
      </c>
      <c r="J574" t="s">
        <v>565</v>
      </c>
      <c r="K574" t="s">
        <v>566</v>
      </c>
      <c r="L574">
        <v>1354</v>
      </c>
      <c r="N574">
        <v>1010</v>
      </c>
      <c r="O574" t="s">
        <v>99</v>
      </c>
      <c r="P574" t="s">
        <v>99</v>
      </c>
      <c r="Q574">
        <v>1</v>
      </c>
      <c r="X574">
        <v>36</v>
      </c>
      <c r="Y574">
        <v>14.28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 t="s">
        <v>35</v>
      </c>
      <c r="AG574">
        <v>36</v>
      </c>
      <c r="AH574">
        <v>2</v>
      </c>
      <c r="AI574">
        <v>85740124</v>
      </c>
      <c r="AJ574">
        <v>565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">
      <c r="A575">
        <f>ROW(Source!A223)</f>
        <v>223</v>
      </c>
      <c r="B575">
        <v>85740139</v>
      </c>
      <c r="C575">
        <v>85740108</v>
      </c>
      <c r="D575">
        <v>85156862</v>
      </c>
      <c r="E575">
        <v>1081</v>
      </c>
      <c r="F575">
        <v>1</v>
      </c>
      <c r="G575">
        <v>1081</v>
      </c>
      <c r="H575">
        <v>3</v>
      </c>
      <c r="I575" t="s">
        <v>640</v>
      </c>
      <c r="J575" t="s">
        <v>3</v>
      </c>
      <c r="K575" t="s">
        <v>641</v>
      </c>
      <c r="L575">
        <v>1301</v>
      </c>
      <c r="N575">
        <v>1003</v>
      </c>
      <c r="O575" t="s">
        <v>179</v>
      </c>
      <c r="P575" t="s">
        <v>179</v>
      </c>
      <c r="Q575">
        <v>1</v>
      </c>
      <c r="X575">
        <v>100.5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35</v>
      </c>
      <c r="AG575">
        <v>100.5</v>
      </c>
      <c r="AH575">
        <v>3</v>
      </c>
      <c r="AI575">
        <v>-1</v>
      </c>
      <c r="AJ575" t="s">
        <v>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">
      <c r="A576">
        <f>ROW(Source!A224)</f>
        <v>224</v>
      </c>
      <c r="B576">
        <v>85740125</v>
      </c>
      <c r="C576">
        <v>85740108</v>
      </c>
      <c r="D576">
        <v>85164021</v>
      </c>
      <c r="E576">
        <v>1081</v>
      </c>
      <c r="F576">
        <v>1</v>
      </c>
      <c r="G576">
        <v>1081</v>
      </c>
      <c r="H576">
        <v>1</v>
      </c>
      <c r="I576" t="s">
        <v>472</v>
      </c>
      <c r="J576" t="s">
        <v>3</v>
      </c>
      <c r="K576" t="s">
        <v>473</v>
      </c>
      <c r="L576">
        <v>1191</v>
      </c>
      <c r="N576">
        <v>1013</v>
      </c>
      <c r="O576" t="s">
        <v>474</v>
      </c>
      <c r="P576" t="s">
        <v>474</v>
      </c>
      <c r="Q576">
        <v>1</v>
      </c>
      <c r="X576">
        <v>139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1</v>
      </c>
      <c r="AF576" t="s">
        <v>36</v>
      </c>
      <c r="AG576">
        <v>166.79999999999998</v>
      </c>
      <c r="AH576">
        <v>2</v>
      </c>
      <c r="AI576">
        <v>85740109</v>
      </c>
      <c r="AJ576">
        <v>566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">
      <c r="A577">
        <f>ROW(Source!A224)</f>
        <v>224</v>
      </c>
      <c r="B577">
        <v>85740126</v>
      </c>
      <c r="C577">
        <v>85740108</v>
      </c>
      <c r="D577">
        <v>85229527</v>
      </c>
      <c r="E577">
        <v>1</v>
      </c>
      <c r="F577">
        <v>1</v>
      </c>
      <c r="G577">
        <v>1081</v>
      </c>
      <c r="H577">
        <v>2</v>
      </c>
      <c r="I577" t="s">
        <v>546</v>
      </c>
      <c r="J577" t="s">
        <v>547</v>
      </c>
      <c r="K577" t="s">
        <v>548</v>
      </c>
      <c r="L577">
        <v>1368</v>
      </c>
      <c r="N577">
        <v>1011</v>
      </c>
      <c r="O577" t="s">
        <v>478</v>
      </c>
      <c r="P577" t="s">
        <v>478</v>
      </c>
      <c r="Q577">
        <v>1</v>
      </c>
      <c r="X577">
        <v>7.5</v>
      </c>
      <c r="Y577">
        <v>0</v>
      </c>
      <c r="Z577">
        <v>48.07</v>
      </c>
      <c r="AA577">
        <v>12.62</v>
      </c>
      <c r="AB577">
        <v>0</v>
      </c>
      <c r="AC577">
        <v>0</v>
      </c>
      <c r="AD577">
        <v>1</v>
      </c>
      <c r="AE577">
        <v>0</v>
      </c>
      <c r="AF577" t="s">
        <v>36</v>
      </c>
      <c r="AG577">
        <v>9</v>
      </c>
      <c r="AH577">
        <v>2</v>
      </c>
      <c r="AI577">
        <v>85740110</v>
      </c>
      <c r="AJ577">
        <v>567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">
      <c r="A578">
        <f>ROW(Source!A224)</f>
        <v>224</v>
      </c>
      <c r="B578">
        <v>85740127</v>
      </c>
      <c r="C578">
        <v>85740108</v>
      </c>
      <c r="D578">
        <v>85229564</v>
      </c>
      <c r="E578">
        <v>1</v>
      </c>
      <c r="F578">
        <v>1</v>
      </c>
      <c r="G578">
        <v>1081</v>
      </c>
      <c r="H578">
        <v>2</v>
      </c>
      <c r="I578" t="s">
        <v>549</v>
      </c>
      <c r="J578" t="s">
        <v>550</v>
      </c>
      <c r="K578" t="s">
        <v>551</v>
      </c>
      <c r="L578">
        <v>1368</v>
      </c>
      <c r="N578">
        <v>1011</v>
      </c>
      <c r="O578" t="s">
        <v>478</v>
      </c>
      <c r="P578" t="s">
        <v>478</v>
      </c>
      <c r="Q578">
        <v>1</v>
      </c>
      <c r="X578">
        <v>7</v>
      </c>
      <c r="Y578">
        <v>0</v>
      </c>
      <c r="Z578">
        <v>5.79</v>
      </c>
      <c r="AA578">
        <v>0</v>
      </c>
      <c r="AB578">
        <v>0</v>
      </c>
      <c r="AC578">
        <v>0</v>
      </c>
      <c r="AD578">
        <v>1</v>
      </c>
      <c r="AE578">
        <v>0</v>
      </c>
      <c r="AF578" t="s">
        <v>36</v>
      </c>
      <c r="AG578">
        <v>8.4</v>
      </c>
      <c r="AH578">
        <v>2</v>
      </c>
      <c r="AI578">
        <v>85740111</v>
      </c>
      <c r="AJ578">
        <v>568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">
      <c r="A579">
        <f>ROW(Source!A224)</f>
        <v>224</v>
      </c>
      <c r="B579">
        <v>85740128</v>
      </c>
      <c r="C579">
        <v>85740108</v>
      </c>
      <c r="D579">
        <v>85229633</v>
      </c>
      <c r="E579">
        <v>1</v>
      </c>
      <c r="F579">
        <v>1</v>
      </c>
      <c r="G579">
        <v>1081</v>
      </c>
      <c r="H579">
        <v>2</v>
      </c>
      <c r="I579" t="s">
        <v>475</v>
      </c>
      <c r="J579" t="s">
        <v>476</v>
      </c>
      <c r="K579" t="s">
        <v>477</v>
      </c>
      <c r="L579">
        <v>1368</v>
      </c>
      <c r="N579">
        <v>1011</v>
      </c>
      <c r="O579" t="s">
        <v>478</v>
      </c>
      <c r="P579" t="s">
        <v>478</v>
      </c>
      <c r="Q579">
        <v>1</v>
      </c>
      <c r="X579">
        <v>9.32</v>
      </c>
      <c r="Y579">
        <v>0</v>
      </c>
      <c r="Z579">
        <v>7.11</v>
      </c>
      <c r="AA579">
        <v>0</v>
      </c>
      <c r="AB579">
        <v>0</v>
      </c>
      <c r="AC579">
        <v>0</v>
      </c>
      <c r="AD579">
        <v>1</v>
      </c>
      <c r="AE579">
        <v>0</v>
      </c>
      <c r="AF579" t="s">
        <v>36</v>
      </c>
      <c r="AG579">
        <v>11.183999999999999</v>
      </c>
      <c r="AH579">
        <v>2</v>
      </c>
      <c r="AI579">
        <v>85740112</v>
      </c>
      <c r="AJ579">
        <v>569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">
      <c r="A580">
        <f>ROW(Source!A224)</f>
        <v>224</v>
      </c>
      <c r="B580">
        <v>85740129</v>
      </c>
      <c r="C580">
        <v>85740108</v>
      </c>
      <c r="D580">
        <v>85229932</v>
      </c>
      <c r="E580">
        <v>1</v>
      </c>
      <c r="F580">
        <v>1</v>
      </c>
      <c r="G580">
        <v>1081</v>
      </c>
      <c r="H580">
        <v>2</v>
      </c>
      <c r="I580" t="s">
        <v>482</v>
      </c>
      <c r="J580" t="s">
        <v>483</v>
      </c>
      <c r="K580" t="s">
        <v>484</v>
      </c>
      <c r="L580">
        <v>1368</v>
      </c>
      <c r="N580">
        <v>1011</v>
      </c>
      <c r="O580" t="s">
        <v>478</v>
      </c>
      <c r="P580" t="s">
        <v>478</v>
      </c>
      <c r="Q580">
        <v>1</v>
      </c>
      <c r="X580">
        <v>0.54</v>
      </c>
      <c r="Y580">
        <v>0</v>
      </c>
      <c r="Z580">
        <v>83.1</v>
      </c>
      <c r="AA580">
        <v>12.62</v>
      </c>
      <c r="AB580">
        <v>0</v>
      </c>
      <c r="AC580">
        <v>0</v>
      </c>
      <c r="AD580">
        <v>1</v>
      </c>
      <c r="AE580">
        <v>0</v>
      </c>
      <c r="AF580" t="s">
        <v>36</v>
      </c>
      <c r="AG580">
        <v>0.64800000000000002</v>
      </c>
      <c r="AH580">
        <v>2</v>
      </c>
      <c r="AI580">
        <v>85740113</v>
      </c>
      <c r="AJ580">
        <v>570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">
      <c r="A581">
        <f>ROW(Source!A224)</f>
        <v>224</v>
      </c>
      <c r="B581">
        <v>85740130</v>
      </c>
      <c r="C581">
        <v>85740108</v>
      </c>
      <c r="D581">
        <v>85229250</v>
      </c>
      <c r="E581">
        <v>1</v>
      </c>
      <c r="F581">
        <v>1</v>
      </c>
      <c r="G581">
        <v>1081</v>
      </c>
      <c r="H581">
        <v>2</v>
      </c>
      <c r="I581" t="s">
        <v>552</v>
      </c>
      <c r="J581" t="s">
        <v>553</v>
      </c>
      <c r="K581" t="s">
        <v>554</v>
      </c>
      <c r="L581">
        <v>1368</v>
      </c>
      <c r="N581">
        <v>1011</v>
      </c>
      <c r="O581" t="s">
        <v>478</v>
      </c>
      <c r="P581" t="s">
        <v>478</v>
      </c>
      <c r="Q581">
        <v>1</v>
      </c>
      <c r="X581">
        <v>0.4</v>
      </c>
      <c r="Y581">
        <v>0</v>
      </c>
      <c r="Z581">
        <v>3.18</v>
      </c>
      <c r="AA581">
        <v>0</v>
      </c>
      <c r="AB581">
        <v>0</v>
      </c>
      <c r="AC581">
        <v>0</v>
      </c>
      <c r="AD581">
        <v>1</v>
      </c>
      <c r="AE581">
        <v>0</v>
      </c>
      <c r="AF581" t="s">
        <v>36</v>
      </c>
      <c r="AG581">
        <v>0.48</v>
      </c>
      <c r="AH581">
        <v>2</v>
      </c>
      <c r="AI581">
        <v>85740114</v>
      </c>
      <c r="AJ581">
        <v>571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">
      <c r="A582">
        <f>ROW(Source!A224)</f>
        <v>224</v>
      </c>
      <c r="B582">
        <v>85740131</v>
      </c>
      <c r="C582">
        <v>85740108</v>
      </c>
      <c r="D582">
        <v>85198960</v>
      </c>
      <c r="E582">
        <v>1</v>
      </c>
      <c r="F582">
        <v>1</v>
      </c>
      <c r="G582">
        <v>1081</v>
      </c>
      <c r="H582">
        <v>3</v>
      </c>
      <c r="I582" t="s">
        <v>513</v>
      </c>
      <c r="J582" t="s">
        <v>514</v>
      </c>
      <c r="K582" t="s">
        <v>515</v>
      </c>
      <c r="L582">
        <v>1339</v>
      </c>
      <c r="N582">
        <v>1007</v>
      </c>
      <c r="O582" t="s">
        <v>506</v>
      </c>
      <c r="P582" t="s">
        <v>506</v>
      </c>
      <c r="Q582">
        <v>1</v>
      </c>
      <c r="X582">
        <v>3</v>
      </c>
      <c r="Y582">
        <v>7.07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0</v>
      </c>
      <c r="AF582" t="s">
        <v>35</v>
      </c>
      <c r="AG582">
        <v>3</v>
      </c>
      <c r="AH582">
        <v>2</v>
      </c>
      <c r="AI582">
        <v>85740115</v>
      </c>
      <c r="AJ582">
        <v>572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">
      <c r="A583">
        <f>ROW(Source!A224)</f>
        <v>224</v>
      </c>
      <c r="B583">
        <v>85740132</v>
      </c>
      <c r="C583">
        <v>85740108</v>
      </c>
      <c r="D583">
        <v>85200023</v>
      </c>
      <c r="E583">
        <v>1</v>
      </c>
      <c r="F583">
        <v>1</v>
      </c>
      <c r="G583">
        <v>1081</v>
      </c>
      <c r="H583">
        <v>3</v>
      </c>
      <c r="I583" t="s">
        <v>555</v>
      </c>
      <c r="J583" t="s">
        <v>556</v>
      </c>
      <c r="K583" t="s">
        <v>557</v>
      </c>
      <c r="L583">
        <v>1348</v>
      </c>
      <c r="N583">
        <v>1009</v>
      </c>
      <c r="O583" t="s">
        <v>266</v>
      </c>
      <c r="P583" t="s">
        <v>266</v>
      </c>
      <c r="Q583">
        <v>1000</v>
      </c>
      <c r="X583">
        <v>1.56E-3</v>
      </c>
      <c r="Y583">
        <v>7185.82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 t="s">
        <v>35</v>
      </c>
      <c r="AG583">
        <v>1.56E-3</v>
      </c>
      <c r="AH583">
        <v>2</v>
      </c>
      <c r="AI583">
        <v>85740116</v>
      </c>
      <c r="AJ583">
        <v>573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">
      <c r="A584">
        <f>ROW(Source!A224)</f>
        <v>224</v>
      </c>
      <c r="B584">
        <v>85740133</v>
      </c>
      <c r="C584">
        <v>85740108</v>
      </c>
      <c r="D584">
        <v>85200098</v>
      </c>
      <c r="E584">
        <v>1</v>
      </c>
      <c r="F584">
        <v>1</v>
      </c>
      <c r="G584">
        <v>1081</v>
      </c>
      <c r="H584">
        <v>3</v>
      </c>
      <c r="I584" t="s">
        <v>540</v>
      </c>
      <c r="J584" t="s">
        <v>541</v>
      </c>
      <c r="K584" t="s">
        <v>542</v>
      </c>
      <c r="L584">
        <v>1346</v>
      </c>
      <c r="N584">
        <v>1009</v>
      </c>
      <c r="O584" t="s">
        <v>502</v>
      </c>
      <c r="P584" t="s">
        <v>502</v>
      </c>
      <c r="Q584">
        <v>1</v>
      </c>
      <c r="X584">
        <v>0.76</v>
      </c>
      <c r="Y584">
        <v>21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0</v>
      </c>
      <c r="AF584" t="s">
        <v>35</v>
      </c>
      <c r="AG584">
        <v>0.76</v>
      </c>
      <c r="AH584">
        <v>2</v>
      </c>
      <c r="AI584">
        <v>85740117</v>
      </c>
      <c r="AJ584">
        <v>574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">
      <c r="A585">
        <f>ROW(Source!A224)</f>
        <v>224</v>
      </c>
      <c r="B585">
        <v>85740134</v>
      </c>
      <c r="C585">
        <v>85740108</v>
      </c>
      <c r="D585">
        <v>85200296</v>
      </c>
      <c r="E585">
        <v>1</v>
      </c>
      <c r="F585">
        <v>1</v>
      </c>
      <c r="G585">
        <v>1081</v>
      </c>
      <c r="H585">
        <v>3</v>
      </c>
      <c r="I585" t="s">
        <v>558</v>
      </c>
      <c r="J585" t="s">
        <v>559</v>
      </c>
      <c r="K585" t="s">
        <v>560</v>
      </c>
      <c r="L585">
        <v>1355</v>
      </c>
      <c r="N585">
        <v>1010</v>
      </c>
      <c r="O585" t="s">
        <v>240</v>
      </c>
      <c r="P585" t="s">
        <v>240</v>
      </c>
      <c r="Q585">
        <v>100</v>
      </c>
      <c r="X585">
        <v>0.36</v>
      </c>
      <c r="Y585">
        <v>496.79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 t="s">
        <v>35</v>
      </c>
      <c r="AG585">
        <v>0.36</v>
      </c>
      <c r="AH585">
        <v>2</v>
      </c>
      <c r="AI585">
        <v>85740118</v>
      </c>
      <c r="AJ585">
        <v>575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">
      <c r="A586">
        <f>ROW(Source!A224)</f>
        <v>224</v>
      </c>
      <c r="B586">
        <v>85740135</v>
      </c>
      <c r="C586">
        <v>85740108</v>
      </c>
      <c r="D586">
        <v>85200297</v>
      </c>
      <c r="E586">
        <v>1</v>
      </c>
      <c r="F586">
        <v>1</v>
      </c>
      <c r="G586">
        <v>1081</v>
      </c>
      <c r="H586">
        <v>3</v>
      </c>
      <c r="I586" t="s">
        <v>561</v>
      </c>
      <c r="J586" t="s">
        <v>562</v>
      </c>
      <c r="K586" t="s">
        <v>563</v>
      </c>
      <c r="L586">
        <v>1355</v>
      </c>
      <c r="N586">
        <v>1010</v>
      </c>
      <c r="O586" t="s">
        <v>240</v>
      </c>
      <c r="P586" t="s">
        <v>240</v>
      </c>
      <c r="Q586">
        <v>100</v>
      </c>
      <c r="X586">
        <v>0.36</v>
      </c>
      <c r="Y586">
        <v>243.75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0</v>
      </c>
      <c r="AF586" t="s">
        <v>35</v>
      </c>
      <c r="AG586">
        <v>0.36</v>
      </c>
      <c r="AH586">
        <v>2</v>
      </c>
      <c r="AI586">
        <v>85740119</v>
      </c>
      <c r="AJ586">
        <v>576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">
      <c r="A587">
        <f>ROW(Source!A224)</f>
        <v>224</v>
      </c>
      <c r="B587">
        <v>85740136</v>
      </c>
      <c r="C587">
        <v>85740108</v>
      </c>
      <c r="D587">
        <v>85198892</v>
      </c>
      <c r="E587">
        <v>1</v>
      </c>
      <c r="F587">
        <v>1</v>
      </c>
      <c r="G587">
        <v>1081</v>
      </c>
      <c r="H587">
        <v>3</v>
      </c>
      <c r="I587" t="s">
        <v>543</v>
      </c>
      <c r="J587" t="s">
        <v>544</v>
      </c>
      <c r="K587" t="s">
        <v>545</v>
      </c>
      <c r="L587">
        <v>1339</v>
      </c>
      <c r="N587">
        <v>1007</v>
      </c>
      <c r="O587" t="s">
        <v>506</v>
      </c>
      <c r="P587" t="s">
        <v>506</v>
      </c>
      <c r="Q587">
        <v>1</v>
      </c>
      <c r="X587">
        <v>0.59</v>
      </c>
      <c r="Y587">
        <v>53.42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 t="s">
        <v>35</v>
      </c>
      <c r="AG587">
        <v>0.59</v>
      </c>
      <c r="AH587">
        <v>2</v>
      </c>
      <c r="AI587">
        <v>85740120</v>
      </c>
      <c r="AJ587">
        <v>577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">
      <c r="A588">
        <f>ROW(Source!A224)</f>
        <v>224</v>
      </c>
      <c r="B588">
        <v>85740137</v>
      </c>
      <c r="C588">
        <v>85740108</v>
      </c>
      <c r="D588">
        <v>85199158</v>
      </c>
      <c r="E588">
        <v>1</v>
      </c>
      <c r="F588">
        <v>1</v>
      </c>
      <c r="G588">
        <v>1081</v>
      </c>
      <c r="H588">
        <v>3</v>
      </c>
      <c r="I588" t="s">
        <v>503</v>
      </c>
      <c r="J588" t="s">
        <v>504</v>
      </c>
      <c r="K588" t="s">
        <v>505</v>
      </c>
      <c r="L588">
        <v>1339</v>
      </c>
      <c r="N588">
        <v>1007</v>
      </c>
      <c r="O588" t="s">
        <v>506</v>
      </c>
      <c r="P588" t="s">
        <v>506</v>
      </c>
      <c r="Q588">
        <v>1</v>
      </c>
      <c r="X588">
        <v>0.76</v>
      </c>
      <c r="Y588">
        <v>5.82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 t="s">
        <v>35</v>
      </c>
      <c r="AG588">
        <v>0.76</v>
      </c>
      <c r="AH588">
        <v>2</v>
      </c>
      <c r="AI588">
        <v>85740121</v>
      </c>
      <c r="AJ588">
        <v>578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">
      <c r="A589">
        <f>ROW(Source!A224)</f>
        <v>224</v>
      </c>
      <c r="B589">
        <v>85740138</v>
      </c>
      <c r="C589">
        <v>85740108</v>
      </c>
      <c r="D589">
        <v>85221547</v>
      </c>
      <c r="E589">
        <v>1</v>
      </c>
      <c r="F589">
        <v>1</v>
      </c>
      <c r="G589">
        <v>1081</v>
      </c>
      <c r="H589">
        <v>3</v>
      </c>
      <c r="I589" t="s">
        <v>564</v>
      </c>
      <c r="J589" t="s">
        <v>565</v>
      </c>
      <c r="K589" t="s">
        <v>566</v>
      </c>
      <c r="L589">
        <v>1354</v>
      </c>
      <c r="N589">
        <v>1010</v>
      </c>
      <c r="O589" t="s">
        <v>99</v>
      </c>
      <c r="P589" t="s">
        <v>99</v>
      </c>
      <c r="Q589">
        <v>1</v>
      </c>
      <c r="X589">
        <v>36</v>
      </c>
      <c r="Y589">
        <v>14.28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 t="s">
        <v>35</v>
      </c>
      <c r="AG589">
        <v>36</v>
      </c>
      <c r="AH589">
        <v>2</v>
      </c>
      <c r="AI589">
        <v>85740124</v>
      </c>
      <c r="AJ589">
        <v>582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">
      <c r="A590">
        <f>ROW(Source!A224)</f>
        <v>224</v>
      </c>
      <c r="B590">
        <v>85740139</v>
      </c>
      <c r="C590">
        <v>85740108</v>
      </c>
      <c r="D590">
        <v>85156862</v>
      </c>
      <c r="E590">
        <v>1081</v>
      </c>
      <c r="F590">
        <v>1</v>
      </c>
      <c r="G590">
        <v>1081</v>
      </c>
      <c r="H590">
        <v>3</v>
      </c>
      <c r="I590" t="s">
        <v>640</v>
      </c>
      <c r="J590" t="s">
        <v>3</v>
      </c>
      <c r="K590" t="s">
        <v>641</v>
      </c>
      <c r="L590">
        <v>1301</v>
      </c>
      <c r="N590">
        <v>1003</v>
      </c>
      <c r="O590" t="s">
        <v>179</v>
      </c>
      <c r="P590" t="s">
        <v>179</v>
      </c>
      <c r="Q590">
        <v>1</v>
      </c>
      <c r="X590">
        <v>100.5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 t="s">
        <v>35</v>
      </c>
      <c r="AG590">
        <v>100.5</v>
      </c>
      <c r="AH590">
        <v>3</v>
      </c>
      <c r="AI590">
        <v>-1</v>
      </c>
      <c r="AJ590" t="s">
        <v>3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">
      <c r="A591">
        <f>ROW(Source!A231)</f>
        <v>231</v>
      </c>
      <c r="B591">
        <v>85740165</v>
      </c>
      <c r="C591">
        <v>85740046</v>
      </c>
      <c r="D591">
        <v>85164021</v>
      </c>
      <c r="E591">
        <v>1081</v>
      </c>
      <c r="F591">
        <v>1</v>
      </c>
      <c r="G591">
        <v>1081</v>
      </c>
      <c r="H591">
        <v>1</v>
      </c>
      <c r="I591" t="s">
        <v>472</v>
      </c>
      <c r="J591" t="s">
        <v>3</v>
      </c>
      <c r="K591" t="s">
        <v>473</v>
      </c>
      <c r="L591">
        <v>1191</v>
      </c>
      <c r="N591">
        <v>1013</v>
      </c>
      <c r="O591" t="s">
        <v>474</v>
      </c>
      <c r="P591" t="s">
        <v>474</v>
      </c>
      <c r="Q591">
        <v>1</v>
      </c>
      <c r="X591">
        <v>112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  <c r="AE591">
        <v>1</v>
      </c>
      <c r="AF591" t="s">
        <v>36</v>
      </c>
      <c r="AG591">
        <v>134.4</v>
      </c>
      <c r="AH591">
        <v>2</v>
      </c>
      <c r="AI591">
        <v>85740165</v>
      </c>
      <c r="AJ591">
        <v>583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">
      <c r="A592">
        <f>ROW(Source!A231)</f>
        <v>231</v>
      </c>
      <c r="B592">
        <v>85740166</v>
      </c>
      <c r="C592">
        <v>85740046</v>
      </c>
      <c r="D592">
        <v>85199635</v>
      </c>
      <c r="E592">
        <v>1</v>
      </c>
      <c r="F592">
        <v>1</v>
      </c>
      <c r="G592">
        <v>1081</v>
      </c>
      <c r="H592">
        <v>3</v>
      </c>
      <c r="I592" t="s">
        <v>618</v>
      </c>
      <c r="J592" t="s">
        <v>619</v>
      </c>
      <c r="K592" t="s">
        <v>620</v>
      </c>
      <c r="L592">
        <v>1348</v>
      </c>
      <c r="N592">
        <v>1009</v>
      </c>
      <c r="O592" t="s">
        <v>266</v>
      </c>
      <c r="P592" t="s">
        <v>266</v>
      </c>
      <c r="Q592">
        <v>1000</v>
      </c>
      <c r="X592">
        <v>9.4E-2</v>
      </c>
      <c r="Y592">
        <v>7512.16</v>
      </c>
      <c r="Z592">
        <v>0</v>
      </c>
      <c r="AA592">
        <v>0</v>
      </c>
      <c r="AB592">
        <v>0</v>
      </c>
      <c r="AC592">
        <v>0</v>
      </c>
      <c r="AD592">
        <v>1</v>
      </c>
      <c r="AE592">
        <v>0</v>
      </c>
      <c r="AF592" t="s">
        <v>35</v>
      </c>
      <c r="AG592">
        <v>9.4E-2</v>
      </c>
      <c r="AH592">
        <v>2</v>
      </c>
      <c r="AI592">
        <v>85740166</v>
      </c>
      <c r="AJ592">
        <v>584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">
      <c r="A593">
        <f>ROW(Source!A231)</f>
        <v>231</v>
      </c>
      <c r="B593">
        <v>85740167</v>
      </c>
      <c r="C593">
        <v>85740046</v>
      </c>
      <c r="D593">
        <v>85200112</v>
      </c>
      <c r="E593">
        <v>1</v>
      </c>
      <c r="F593">
        <v>1</v>
      </c>
      <c r="G593">
        <v>1081</v>
      </c>
      <c r="H593">
        <v>3</v>
      </c>
      <c r="I593" t="s">
        <v>621</v>
      </c>
      <c r="J593" t="s">
        <v>622</v>
      </c>
      <c r="K593" t="s">
        <v>623</v>
      </c>
      <c r="L593">
        <v>1348</v>
      </c>
      <c r="N593">
        <v>1009</v>
      </c>
      <c r="O593" t="s">
        <v>266</v>
      </c>
      <c r="P593" t="s">
        <v>266</v>
      </c>
      <c r="Q593">
        <v>1000</v>
      </c>
      <c r="X593">
        <v>2.4E-2</v>
      </c>
      <c r="Y593">
        <v>20481.349999999999</v>
      </c>
      <c r="Z593">
        <v>0</v>
      </c>
      <c r="AA593">
        <v>0</v>
      </c>
      <c r="AB593">
        <v>0</v>
      </c>
      <c r="AC593">
        <v>0</v>
      </c>
      <c r="AD593">
        <v>1</v>
      </c>
      <c r="AE593">
        <v>0</v>
      </c>
      <c r="AF593" t="s">
        <v>35</v>
      </c>
      <c r="AG593">
        <v>2.4E-2</v>
      </c>
      <c r="AH593">
        <v>2</v>
      </c>
      <c r="AI593">
        <v>85740167</v>
      </c>
      <c r="AJ593">
        <v>585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">
      <c r="A594">
        <f>ROW(Source!A231)</f>
        <v>231</v>
      </c>
      <c r="B594">
        <v>85740168</v>
      </c>
      <c r="C594">
        <v>85740046</v>
      </c>
      <c r="D594">
        <v>85198911</v>
      </c>
      <c r="E594">
        <v>1</v>
      </c>
      <c r="F594">
        <v>1</v>
      </c>
      <c r="G594">
        <v>1081</v>
      </c>
      <c r="H594">
        <v>3</v>
      </c>
      <c r="I594" t="s">
        <v>615</v>
      </c>
      <c r="J594" t="s">
        <v>616</v>
      </c>
      <c r="K594" t="s">
        <v>617</v>
      </c>
      <c r="L594">
        <v>1348</v>
      </c>
      <c r="N594">
        <v>1009</v>
      </c>
      <c r="O594" t="s">
        <v>266</v>
      </c>
      <c r="P594" t="s">
        <v>266</v>
      </c>
      <c r="Q594">
        <v>1000</v>
      </c>
      <c r="X594">
        <v>7.1999999999999995E-2</v>
      </c>
      <c r="Y594">
        <v>17868.28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0</v>
      </c>
      <c r="AF594" t="s">
        <v>35</v>
      </c>
      <c r="AG594">
        <v>7.1999999999999995E-2</v>
      </c>
      <c r="AH594">
        <v>2</v>
      </c>
      <c r="AI594">
        <v>85740168</v>
      </c>
      <c r="AJ594">
        <v>586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">
      <c r="A595">
        <f>ROW(Source!A232)</f>
        <v>232</v>
      </c>
      <c r="B595">
        <v>85740165</v>
      </c>
      <c r="C595">
        <v>85740046</v>
      </c>
      <c r="D595">
        <v>85164021</v>
      </c>
      <c r="E595">
        <v>1081</v>
      </c>
      <c r="F595">
        <v>1</v>
      </c>
      <c r="G595">
        <v>1081</v>
      </c>
      <c r="H595">
        <v>1</v>
      </c>
      <c r="I595" t="s">
        <v>472</v>
      </c>
      <c r="J595" t="s">
        <v>3</v>
      </c>
      <c r="K595" t="s">
        <v>473</v>
      </c>
      <c r="L595">
        <v>1191</v>
      </c>
      <c r="N595">
        <v>1013</v>
      </c>
      <c r="O595" t="s">
        <v>474</v>
      </c>
      <c r="P595" t="s">
        <v>474</v>
      </c>
      <c r="Q595">
        <v>1</v>
      </c>
      <c r="X595">
        <v>112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1</v>
      </c>
      <c r="AF595" t="s">
        <v>36</v>
      </c>
      <c r="AG595">
        <v>134.4</v>
      </c>
      <c r="AH595">
        <v>2</v>
      </c>
      <c r="AI595">
        <v>85740165</v>
      </c>
      <c r="AJ595">
        <v>587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">
      <c r="A596">
        <f>ROW(Source!A232)</f>
        <v>232</v>
      </c>
      <c r="B596">
        <v>85740166</v>
      </c>
      <c r="C596">
        <v>85740046</v>
      </c>
      <c r="D596">
        <v>85199635</v>
      </c>
      <c r="E596">
        <v>1</v>
      </c>
      <c r="F596">
        <v>1</v>
      </c>
      <c r="G596">
        <v>1081</v>
      </c>
      <c r="H596">
        <v>3</v>
      </c>
      <c r="I596" t="s">
        <v>618</v>
      </c>
      <c r="J596" t="s">
        <v>619</v>
      </c>
      <c r="K596" t="s">
        <v>620</v>
      </c>
      <c r="L596">
        <v>1348</v>
      </c>
      <c r="N596">
        <v>1009</v>
      </c>
      <c r="O596" t="s">
        <v>266</v>
      </c>
      <c r="P596" t="s">
        <v>266</v>
      </c>
      <c r="Q596">
        <v>1000</v>
      </c>
      <c r="X596">
        <v>9.4E-2</v>
      </c>
      <c r="Y596">
        <v>7512.16</v>
      </c>
      <c r="Z596">
        <v>0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35</v>
      </c>
      <c r="AG596">
        <v>9.4E-2</v>
      </c>
      <c r="AH596">
        <v>2</v>
      </c>
      <c r="AI596">
        <v>85740166</v>
      </c>
      <c r="AJ596">
        <v>588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">
      <c r="A597">
        <f>ROW(Source!A232)</f>
        <v>232</v>
      </c>
      <c r="B597">
        <v>85740167</v>
      </c>
      <c r="C597">
        <v>85740046</v>
      </c>
      <c r="D597">
        <v>85200112</v>
      </c>
      <c r="E597">
        <v>1</v>
      </c>
      <c r="F597">
        <v>1</v>
      </c>
      <c r="G597">
        <v>1081</v>
      </c>
      <c r="H597">
        <v>3</v>
      </c>
      <c r="I597" t="s">
        <v>621</v>
      </c>
      <c r="J597" t="s">
        <v>622</v>
      </c>
      <c r="K597" t="s">
        <v>623</v>
      </c>
      <c r="L597">
        <v>1348</v>
      </c>
      <c r="N597">
        <v>1009</v>
      </c>
      <c r="O597" t="s">
        <v>266</v>
      </c>
      <c r="P597" t="s">
        <v>266</v>
      </c>
      <c r="Q597">
        <v>1000</v>
      </c>
      <c r="X597">
        <v>2.4E-2</v>
      </c>
      <c r="Y597">
        <v>20481.349999999999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 t="s">
        <v>35</v>
      </c>
      <c r="AG597">
        <v>2.4E-2</v>
      </c>
      <c r="AH597">
        <v>2</v>
      </c>
      <c r="AI597">
        <v>85740167</v>
      </c>
      <c r="AJ597">
        <v>589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">
      <c r="A598">
        <f>ROW(Source!A232)</f>
        <v>232</v>
      </c>
      <c r="B598">
        <v>85740168</v>
      </c>
      <c r="C598">
        <v>85740046</v>
      </c>
      <c r="D598">
        <v>85198911</v>
      </c>
      <c r="E598">
        <v>1</v>
      </c>
      <c r="F598">
        <v>1</v>
      </c>
      <c r="G598">
        <v>1081</v>
      </c>
      <c r="H598">
        <v>3</v>
      </c>
      <c r="I598" t="s">
        <v>615</v>
      </c>
      <c r="J598" t="s">
        <v>616</v>
      </c>
      <c r="K598" t="s">
        <v>617</v>
      </c>
      <c r="L598">
        <v>1348</v>
      </c>
      <c r="N598">
        <v>1009</v>
      </c>
      <c r="O598" t="s">
        <v>266</v>
      </c>
      <c r="P598" t="s">
        <v>266</v>
      </c>
      <c r="Q598">
        <v>1000</v>
      </c>
      <c r="X598">
        <v>7.1999999999999995E-2</v>
      </c>
      <c r="Y598">
        <v>17868.28</v>
      </c>
      <c r="Z598">
        <v>0</v>
      </c>
      <c r="AA598">
        <v>0</v>
      </c>
      <c r="AB598">
        <v>0</v>
      </c>
      <c r="AC598">
        <v>0</v>
      </c>
      <c r="AD598">
        <v>1</v>
      </c>
      <c r="AE598">
        <v>0</v>
      </c>
      <c r="AF598" t="s">
        <v>35</v>
      </c>
      <c r="AG598">
        <v>7.1999999999999995E-2</v>
      </c>
      <c r="AH598">
        <v>2</v>
      </c>
      <c r="AI598">
        <v>85740168</v>
      </c>
      <c r="AJ598">
        <v>590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">
      <c r="A599">
        <f>ROW(Source!A233)</f>
        <v>233</v>
      </c>
      <c r="B599">
        <v>85740169</v>
      </c>
      <c r="C599">
        <v>85740047</v>
      </c>
      <c r="D599">
        <v>85164021</v>
      </c>
      <c r="E599">
        <v>1081</v>
      </c>
      <c r="F599">
        <v>1</v>
      </c>
      <c r="G599">
        <v>1081</v>
      </c>
      <c r="H599">
        <v>1</v>
      </c>
      <c r="I599" t="s">
        <v>472</v>
      </c>
      <c r="J599" t="s">
        <v>3</v>
      </c>
      <c r="K599" t="s">
        <v>473</v>
      </c>
      <c r="L599">
        <v>1191</v>
      </c>
      <c r="N599">
        <v>1013</v>
      </c>
      <c r="O599" t="s">
        <v>474</v>
      </c>
      <c r="P599" t="s">
        <v>474</v>
      </c>
      <c r="Q599">
        <v>1</v>
      </c>
      <c r="X599">
        <v>4.0999999999999996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1</v>
      </c>
      <c r="AF599" t="s">
        <v>36</v>
      </c>
      <c r="AG599">
        <v>4.919999999999999</v>
      </c>
      <c r="AH599">
        <v>2</v>
      </c>
      <c r="AI599">
        <v>85740169</v>
      </c>
      <c r="AJ599">
        <v>591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">
      <c r="A600">
        <f>ROW(Source!A233)</f>
        <v>233</v>
      </c>
      <c r="B600">
        <v>85740170</v>
      </c>
      <c r="C600">
        <v>85740047</v>
      </c>
      <c r="D600">
        <v>85229932</v>
      </c>
      <c r="E600">
        <v>1</v>
      </c>
      <c r="F600">
        <v>1</v>
      </c>
      <c r="G600">
        <v>1081</v>
      </c>
      <c r="H600">
        <v>2</v>
      </c>
      <c r="I600" t="s">
        <v>482</v>
      </c>
      <c r="J600" t="s">
        <v>483</v>
      </c>
      <c r="K600" t="s">
        <v>484</v>
      </c>
      <c r="L600">
        <v>1368</v>
      </c>
      <c r="N600">
        <v>1011</v>
      </c>
      <c r="O600" t="s">
        <v>478</v>
      </c>
      <c r="P600" t="s">
        <v>478</v>
      </c>
      <c r="Q600">
        <v>1</v>
      </c>
      <c r="X600">
        <v>0.03</v>
      </c>
      <c r="Y600">
        <v>0</v>
      </c>
      <c r="Z600">
        <v>83.1</v>
      </c>
      <c r="AA600">
        <v>12.62</v>
      </c>
      <c r="AB600">
        <v>0</v>
      </c>
      <c r="AC600">
        <v>0</v>
      </c>
      <c r="AD600">
        <v>1</v>
      </c>
      <c r="AE600">
        <v>0</v>
      </c>
      <c r="AF600" t="s">
        <v>36</v>
      </c>
      <c r="AG600">
        <v>3.5999999999999997E-2</v>
      </c>
      <c r="AH600">
        <v>2</v>
      </c>
      <c r="AI600">
        <v>85740170</v>
      </c>
      <c r="AJ600">
        <v>592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">
      <c r="A601">
        <f>ROW(Source!A233)</f>
        <v>233</v>
      </c>
      <c r="B601">
        <v>85740171</v>
      </c>
      <c r="C601">
        <v>85740047</v>
      </c>
      <c r="D601">
        <v>85199562</v>
      </c>
      <c r="E601">
        <v>1</v>
      </c>
      <c r="F601">
        <v>1</v>
      </c>
      <c r="G601">
        <v>1081</v>
      </c>
      <c r="H601">
        <v>3</v>
      </c>
      <c r="I601" t="s">
        <v>537</v>
      </c>
      <c r="J601" t="s">
        <v>538</v>
      </c>
      <c r="K601" t="s">
        <v>539</v>
      </c>
      <c r="L601">
        <v>1348</v>
      </c>
      <c r="N601">
        <v>1009</v>
      </c>
      <c r="O601" t="s">
        <v>266</v>
      </c>
      <c r="P601" t="s">
        <v>266</v>
      </c>
      <c r="Q601">
        <v>1000</v>
      </c>
      <c r="X601">
        <v>1.7000000000000001E-4</v>
      </c>
      <c r="Y601">
        <v>23114.43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 t="s">
        <v>35</v>
      </c>
      <c r="AG601">
        <v>1.7000000000000001E-4</v>
      </c>
      <c r="AH601">
        <v>2</v>
      </c>
      <c r="AI601">
        <v>85740171</v>
      </c>
      <c r="AJ601">
        <v>593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">
      <c r="A602">
        <f>ROW(Source!A233)</f>
        <v>233</v>
      </c>
      <c r="B602">
        <v>85740172</v>
      </c>
      <c r="C602">
        <v>85740047</v>
      </c>
      <c r="D602">
        <v>85156727</v>
      </c>
      <c r="E602">
        <v>1081</v>
      </c>
      <c r="F602">
        <v>1</v>
      </c>
      <c r="G602">
        <v>1081</v>
      </c>
      <c r="H602">
        <v>3</v>
      </c>
      <c r="I602" t="s">
        <v>630</v>
      </c>
      <c r="J602" t="s">
        <v>3</v>
      </c>
      <c r="K602" t="s">
        <v>631</v>
      </c>
      <c r="L602">
        <v>1346</v>
      </c>
      <c r="N602">
        <v>1009</v>
      </c>
      <c r="O602" t="s">
        <v>502</v>
      </c>
      <c r="P602" t="s">
        <v>502</v>
      </c>
      <c r="Q602">
        <v>1</v>
      </c>
      <c r="X602">
        <v>7.1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 t="s">
        <v>35</v>
      </c>
      <c r="AG602">
        <v>7.1</v>
      </c>
      <c r="AH602">
        <v>3</v>
      </c>
      <c r="AI602">
        <v>-1</v>
      </c>
      <c r="AJ602" t="s">
        <v>3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">
      <c r="A603">
        <f>ROW(Source!A233)</f>
        <v>233</v>
      </c>
      <c r="B603">
        <v>85740173</v>
      </c>
      <c r="C603">
        <v>85740047</v>
      </c>
      <c r="D603">
        <v>85179477</v>
      </c>
      <c r="E603">
        <v>1081</v>
      </c>
      <c r="F603">
        <v>1</v>
      </c>
      <c r="G603">
        <v>1081</v>
      </c>
      <c r="H603">
        <v>3</v>
      </c>
      <c r="I603" t="s">
        <v>634</v>
      </c>
      <c r="J603" t="s">
        <v>3</v>
      </c>
      <c r="K603" t="s">
        <v>635</v>
      </c>
      <c r="L603">
        <v>1354</v>
      </c>
      <c r="N603">
        <v>1010</v>
      </c>
      <c r="O603" t="s">
        <v>99</v>
      </c>
      <c r="P603" t="s">
        <v>99</v>
      </c>
      <c r="Q603">
        <v>1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 t="s">
        <v>35</v>
      </c>
      <c r="AG603">
        <v>1</v>
      </c>
      <c r="AH603">
        <v>3</v>
      </c>
      <c r="AI603">
        <v>-1</v>
      </c>
      <c r="AJ603" t="s">
        <v>3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">
      <c r="A604">
        <f>ROW(Source!A234)</f>
        <v>234</v>
      </c>
      <c r="B604">
        <v>85740169</v>
      </c>
      <c r="C604">
        <v>85740047</v>
      </c>
      <c r="D604">
        <v>85164021</v>
      </c>
      <c r="E604">
        <v>1081</v>
      </c>
      <c r="F604">
        <v>1</v>
      </c>
      <c r="G604">
        <v>1081</v>
      </c>
      <c r="H604">
        <v>1</v>
      </c>
      <c r="I604" t="s">
        <v>472</v>
      </c>
      <c r="J604" t="s">
        <v>3</v>
      </c>
      <c r="K604" t="s">
        <v>473</v>
      </c>
      <c r="L604">
        <v>1191</v>
      </c>
      <c r="N604">
        <v>1013</v>
      </c>
      <c r="O604" t="s">
        <v>474</v>
      </c>
      <c r="P604" t="s">
        <v>474</v>
      </c>
      <c r="Q604">
        <v>1</v>
      </c>
      <c r="X604">
        <v>4.0999999999999996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1</v>
      </c>
      <c r="AF604" t="s">
        <v>36</v>
      </c>
      <c r="AG604">
        <v>4.919999999999999</v>
      </c>
      <c r="AH604">
        <v>2</v>
      </c>
      <c r="AI604">
        <v>85740169</v>
      </c>
      <c r="AJ604">
        <v>595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">
      <c r="A605">
        <f>ROW(Source!A234)</f>
        <v>234</v>
      </c>
      <c r="B605">
        <v>85740170</v>
      </c>
      <c r="C605">
        <v>85740047</v>
      </c>
      <c r="D605">
        <v>85229932</v>
      </c>
      <c r="E605">
        <v>1</v>
      </c>
      <c r="F605">
        <v>1</v>
      </c>
      <c r="G605">
        <v>1081</v>
      </c>
      <c r="H605">
        <v>2</v>
      </c>
      <c r="I605" t="s">
        <v>482</v>
      </c>
      <c r="J605" t="s">
        <v>483</v>
      </c>
      <c r="K605" t="s">
        <v>484</v>
      </c>
      <c r="L605">
        <v>1368</v>
      </c>
      <c r="N605">
        <v>1011</v>
      </c>
      <c r="O605" t="s">
        <v>478</v>
      </c>
      <c r="P605" t="s">
        <v>478</v>
      </c>
      <c r="Q605">
        <v>1</v>
      </c>
      <c r="X605">
        <v>0.03</v>
      </c>
      <c r="Y605">
        <v>0</v>
      </c>
      <c r="Z605">
        <v>83.1</v>
      </c>
      <c r="AA605">
        <v>12.62</v>
      </c>
      <c r="AB605">
        <v>0</v>
      </c>
      <c r="AC605">
        <v>0</v>
      </c>
      <c r="AD605">
        <v>1</v>
      </c>
      <c r="AE605">
        <v>0</v>
      </c>
      <c r="AF605" t="s">
        <v>36</v>
      </c>
      <c r="AG605">
        <v>3.5999999999999997E-2</v>
      </c>
      <c r="AH605">
        <v>2</v>
      </c>
      <c r="AI605">
        <v>85740170</v>
      </c>
      <c r="AJ605">
        <v>596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">
      <c r="A606">
        <f>ROW(Source!A234)</f>
        <v>234</v>
      </c>
      <c r="B606">
        <v>85740171</v>
      </c>
      <c r="C606">
        <v>85740047</v>
      </c>
      <c r="D606">
        <v>85199562</v>
      </c>
      <c r="E606">
        <v>1</v>
      </c>
      <c r="F606">
        <v>1</v>
      </c>
      <c r="G606">
        <v>1081</v>
      </c>
      <c r="H606">
        <v>3</v>
      </c>
      <c r="I606" t="s">
        <v>537</v>
      </c>
      <c r="J606" t="s">
        <v>538</v>
      </c>
      <c r="K606" t="s">
        <v>539</v>
      </c>
      <c r="L606">
        <v>1348</v>
      </c>
      <c r="N606">
        <v>1009</v>
      </c>
      <c r="O606" t="s">
        <v>266</v>
      </c>
      <c r="P606" t="s">
        <v>266</v>
      </c>
      <c r="Q606">
        <v>1000</v>
      </c>
      <c r="X606">
        <v>1.7000000000000001E-4</v>
      </c>
      <c r="Y606">
        <v>23114.43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 t="s">
        <v>35</v>
      </c>
      <c r="AG606">
        <v>1.7000000000000001E-4</v>
      </c>
      <c r="AH606">
        <v>2</v>
      </c>
      <c r="AI606">
        <v>85740171</v>
      </c>
      <c r="AJ606">
        <v>597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">
      <c r="A607">
        <f>ROW(Source!A234)</f>
        <v>234</v>
      </c>
      <c r="B607">
        <v>85740172</v>
      </c>
      <c r="C607">
        <v>85740047</v>
      </c>
      <c r="D607">
        <v>85156727</v>
      </c>
      <c r="E607">
        <v>1081</v>
      </c>
      <c r="F607">
        <v>1</v>
      </c>
      <c r="G607">
        <v>1081</v>
      </c>
      <c r="H607">
        <v>3</v>
      </c>
      <c r="I607" t="s">
        <v>630</v>
      </c>
      <c r="J607" t="s">
        <v>3</v>
      </c>
      <c r="K607" t="s">
        <v>631</v>
      </c>
      <c r="L607">
        <v>1346</v>
      </c>
      <c r="N607">
        <v>1009</v>
      </c>
      <c r="O607" t="s">
        <v>502</v>
      </c>
      <c r="P607" t="s">
        <v>502</v>
      </c>
      <c r="Q607">
        <v>1</v>
      </c>
      <c r="X607">
        <v>7.1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 t="s">
        <v>35</v>
      </c>
      <c r="AG607">
        <v>7.1</v>
      </c>
      <c r="AH607">
        <v>3</v>
      </c>
      <c r="AI607">
        <v>-1</v>
      </c>
      <c r="AJ607" t="s">
        <v>3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">
      <c r="A608">
        <f>ROW(Source!A234)</f>
        <v>234</v>
      </c>
      <c r="B608">
        <v>85740173</v>
      </c>
      <c r="C608">
        <v>85740047</v>
      </c>
      <c r="D608">
        <v>85179477</v>
      </c>
      <c r="E608">
        <v>1081</v>
      </c>
      <c r="F608">
        <v>1</v>
      </c>
      <c r="G608">
        <v>1081</v>
      </c>
      <c r="H608">
        <v>3</v>
      </c>
      <c r="I608" t="s">
        <v>634</v>
      </c>
      <c r="J608" t="s">
        <v>3</v>
      </c>
      <c r="K608" t="s">
        <v>635</v>
      </c>
      <c r="L608">
        <v>1354</v>
      </c>
      <c r="N608">
        <v>1010</v>
      </c>
      <c r="O608" t="s">
        <v>99</v>
      </c>
      <c r="P608" t="s">
        <v>99</v>
      </c>
      <c r="Q608">
        <v>1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35</v>
      </c>
      <c r="AG608">
        <v>1</v>
      </c>
      <c r="AH608">
        <v>3</v>
      </c>
      <c r="AI608">
        <v>-1</v>
      </c>
      <c r="AJ608" t="s">
        <v>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">
      <c r="A609">
        <f>ROW(Source!A237)</f>
        <v>237</v>
      </c>
      <c r="B609">
        <v>85740185</v>
      </c>
      <c r="C609">
        <v>85740176</v>
      </c>
      <c r="D609">
        <v>85164021</v>
      </c>
      <c r="E609">
        <v>1081</v>
      </c>
      <c r="F609">
        <v>1</v>
      </c>
      <c r="G609">
        <v>1081</v>
      </c>
      <c r="H609">
        <v>1</v>
      </c>
      <c r="I609" t="s">
        <v>472</v>
      </c>
      <c r="J609" t="s">
        <v>3</v>
      </c>
      <c r="K609" t="s">
        <v>473</v>
      </c>
      <c r="L609">
        <v>1191</v>
      </c>
      <c r="N609">
        <v>1013</v>
      </c>
      <c r="O609" t="s">
        <v>474</v>
      </c>
      <c r="P609" t="s">
        <v>474</v>
      </c>
      <c r="Q609">
        <v>1</v>
      </c>
      <c r="X609">
        <v>5.4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  <c r="AE609">
        <v>1</v>
      </c>
      <c r="AF609" t="s">
        <v>36</v>
      </c>
      <c r="AG609">
        <v>6.48</v>
      </c>
      <c r="AH609">
        <v>2</v>
      </c>
      <c r="AI609">
        <v>85740177</v>
      </c>
      <c r="AJ609">
        <v>599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">
      <c r="A610">
        <f>ROW(Source!A237)</f>
        <v>237</v>
      </c>
      <c r="B610">
        <v>85740186</v>
      </c>
      <c r="C610">
        <v>85740176</v>
      </c>
      <c r="D610">
        <v>85229633</v>
      </c>
      <c r="E610">
        <v>1</v>
      </c>
      <c r="F610">
        <v>1</v>
      </c>
      <c r="G610">
        <v>1081</v>
      </c>
      <c r="H610">
        <v>2</v>
      </c>
      <c r="I610" t="s">
        <v>475</v>
      </c>
      <c r="J610" t="s">
        <v>476</v>
      </c>
      <c r="K610" t="s">
        <v>477</v>
      </c>
      <c r="L610">
        <v>1368</v>
      </c>
      <c r="N610">
        <v>1011</v>
      </c>
      <c r="O610" t="s">
        <v>478</v>
      </c>
      <c r="P610" t="s">
        <v>478</v>
      </c>
      <c r="Q610">
        <v>1</v>
      </c>
      <c r="X610">
        <v>0.9</v>
      </c>
      <c r="Y610">
        <v>0</v>
      </c>
      <c r="Z610">
        <v>7.11</v>
      </c>
      <c r="AA610">
        <v>0</v>
      </c>
      <c r="AB610">
        <v>0</v>
      </c>
      <c r="AC610">
        <v>0</v>
      </c>
      <c r="AD610">
        <v>1</v>
      </c>
      <c r="AE610">
        <v>0</v>
      </c>
      <c r="AF610" t="s">
        <v>36</v>
      </c>
      <c r="AG610">
        <v>1.08</v>
      </c>
      <c r="AH610">
        <v>2</v>
      </c>
      <c r="AI610">
        <v>85740178</v>
      </c>
      <c r="AJ610">
        <v>600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">
      <c r="A611">
        <f>ROW(Source!A237)</f>
        <v>237</v>
      </c>
      <c r="B611">
        <v>85740187</v>
      </c>
      <c r="C611">
        <v>85740176</v>
      </c>
      <c r="D611">
        <v>85229932</v>
      </c>
      <c r="E611">
        <v>1</v>
      </c>
      <c r="F611">
        <v>1</v>
      </c>
      <c r="G611">
        <v>1081</v>
      </c>
      <c r="H611">
        <v>2</v>
      </c>
      <c r="I611" t="s">
        <v>482</v>
      </c>
      <c r="J611" t="s">
        <v>483</v>
      </c>
      <c r="K611" t="s">
        <v>484</v>
      </c>
      <c r="L611">
        <v>1368</v>
      </c>
      <c r="N611">
        <v>1011</v>
      </c>
      <c r="O611" t="s">
        <v>478</v>
      </c>
      <c r="P611" t="s">
        <v>478</v>
      </c>
      <c r="Q611">
        <v>1</v>
      </c>
      <c r="X611">
        <v>0.02</v>
      </c>
      <c r="Y611">
        <v>0</v>
      </c>
      <c r="Z611">
        <v>83.1</v>
      </c>
      <c r="AA611">
        <v>12.62</v>
      </c>
      <c r="AB611">
        <v>0</v>
      </c>
      <c r="AC611">
        <v>0</v>
      </c>
      <c r="AD611">
        <v>1</v>
      </c>
      <c r="AE611">
        <v>0</v>
      </c>
      <c r="AF611" t="s">
        <v>36</v>
      </c>
      <c r="AG611">
        <v>2.4E-2</v>
      </c>
      <c r="AH611">
        <v>2</v>
      </c>
      <c r="AI611">
        <v>85740179</v>
      </c>
      <c r="AJ611">
        <v>601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">
      <c r="A612">
        <f>ROW(Source!A237)</f>
        <v>237</v>
      </c>
      <c r="B612">
        <v>85740188</v>
      </c>
      <c r="C612">
        <v>85740176</v>
      </c>
      <c r="D612">
        <v>85200111</v>
      </c>
      <c r="E612">
        <v>1</v>
      </c>
      <c r="F612">
        <v>1</v>
      </c>
      <c r="G612">
        <v>1081</v>
      </c>
      <c r="H612">
        <v>3</v>
      </c>
      <c r="I612" t="s">
        <v>492</v>
      </c>
      <c r="J612" t="s">
        <v>493</v>
      </c>
      <c r="K612" t="s">
        <v>494</v>
      </c>
      <c r="L612">
        <v>1348</v>
      </c>
      <c r="N612">
        <v>1009</v>
      </c>
      <c r="O612" t="s">
        <v>266</v>
      </c>
      <c r="P612" t="s">
        <v>266</v>
      </c>
      <c r="Q612">
        <v>1000</v>
      </c>
      <c r="X612">
        <v>4.4000000000000002E-4</v>
      </c>
      <c r="Y612">
        <v>9112.49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0</v>
      </c>
      <c r="AF612" t="s">
        <v>35</v>
      </c>
      <c r="AG612">
        <v>4.4000000000000002E-4</v>
      </c>
      <c r="AH612">
        <v>2</v>
      </c>
      <c r="AI612">
        <v>85740180</v>
      </c>
      <c r="AJ612">
        <v>602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">
      <c r="A613">
        <f>ROW(Source!A237)</f>
        <v>237</v>
      </c>
      <c r="B613">
        <v>85740189</v>
      </c>
      <c r="C613">
        <v>85740176</v>
      </c>
      <c r="D613">
        <v>85200784</v>
      </c>
      <c r="E613">
        <v>1</v>
      </c>
      <c r="F613">
        <v>1</v>
      </c>
      <c r="G613">
        <v>1081</v>
      </c>
      <c r="H613">
        <v>3</v>
      </c>
      <c r="I613" t="s">
        <v>499</v>
      </c>
      <c r="J613" t="s">
        <v>500</v>
      </c>
      <c r="K613" t="s">
        <v>501</v>
      </c>
      <c r="L613">
        <v>1346</v>
      </c>
      <c r="N613">
        <v>1009</v>
      </c>
      <c r="O613" t="s">
        <v>502</v>
      </c>
      <c r="P613" t="s">
        <v>502</v>
      </c>
      <c r="Q613">
        <v>1</v>
      </c>
      <c r="X613">
        <v>1.0999999999999999E-2</v>
      </c>
      <c r="Y613">
        <v>6.25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 t="s">
        <v>35</v>
      </c>
      <c r="AG613">
        <v>1.0999999999999999E-2</v>
      </c>
      <c r="AH613">
        <v>2</v>
      </c>
      <c r="AI613">
        <v>85740181</v>
      </c>
      <c r="AJ613">
        <v>603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">
      <c r="A614">
        <f>ROW(Source!A237)</f>
        <v>237</v>
      </c>
      <c r="B614">
        <v>85740190</v>
      </c>
      <c r="C614">
        <v>85740176</v>
      </c>
      <c r="D614">
        <v>85199158</v>
      </c>
      <c r="E614">
        <v>1</v>
      </c>
      <c r="F614">
        <v>1</v>
      </c>
      <c r="G614">
        <v>1081</v>
      </c>
      <c r="H614">
        <v>3</v>
      </c>
      <c r="I614" t="s">
        <v>503</v>
      </c>
      <c r="J614" t="s">
        <v>504</v>
      </c>
      <c r="K614" t="s">
        <v>505</v>
      </c>
      <c r="L614">
        <v>1339</v>
      </c>
      <c r="N614">
        <v>1007</v>
      </c>
      <c r="O614" t="s">
        <v>506</v>
      </c>
      <c r="P614" t="s">
        <v>506</v>
      </c>
      <c r="Q614">
        <v>1</v>
      </c>
      <c r="X614">
        <v>4.3999999999999997E-2</v>
      </c>
      <c r="Y614">
        <v>5.82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35</v>
      </c>
      <c r="AG614">
        <v>4.3999999999999997E-2</v>
      </c>
      <c r="AH614">
        <v>2</v>
      </c>
      <c r="AI614">
        <v>85740182</v>
      </c>
      <c r="AJ614">
        <v>604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">
      <c r="A615">
        <f>ROW(Source!A237)</f>
        <v>237</v>
      </c>
      <c r="B615">
        <v>85740191</v>
      </c>
      <c r="C615">
        <v>85740176</v>
      </c>
      <c r="D615">
        <v>85179476</v>
      </c>
      <c r="E615">
        <v>1081</v>
      </c>
      <c r="F615">
        <v>1</v>
      </c>
      <c r="G615">
        <v>1081</v>
      </c>
      <c r="H615">
        <v>3</v>
      </c>
      <c r="I615" t="s">
        <v>634</v>
      </c>
      <c r="J615" t="s">
        <v>3</v>
      </c>
      <c r="K615" t="s">
        <v>635</v>
      </c>
      <c r="L615">
        <v>1354</v>
      </c>
      <c r="N615">
        <v>1010</v>
      </c>
      <c r="O615" t="s">
        <v>99</v>
      </c>
      <c r="P615" t="s">
        <v>99</v>
      </c>
      <c r="Q615">
        <v>1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35</v>
      </c>
      <c r="AG615">
        <v>1</v>
      </c>
      <c r="AH615">
        <v>3</v>
      </c>
      <c r="AI615">
        <v>-1</v>
      </c>
      <c r="AJ615" t="s">
        <v>3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">
      <c r="A616">
        <f>ROW(Source!A238)</f>
        <v>238</v>
      </c>
      <c r="B616">
        <v>85740185</v>
      </c>
      <c r="C616">
        <v>85740176</v>
      </c>
      <c r="D616">
        <v>85164021</v>
      </c>
      <c r="E616">
        <v>1081</v>
      </c>
      <c r="F616">
        <v>1</v>
      </c>
      <c r="G616">
        <v>1081</v>
      </c>
      <c r="H616">
        <v>1</v>
      </c>
      <c r="I616" t="s">
        <v>472</v>
      </c>
      <c r="J616" t="s">
        <v>3</v>
      </c>
      <c r="K616" t="s">
        <v>473</v>
      </c>
      <c r="L616">
        <v>1191</v>
      </c>
      <c r="N616">
        <v>1013</v>
      </c>
      <c r="O616" t="s">
        <v>474</v>
      </c>
      <c r="P616" t="s">
        <v>474</v>
      </c>
      <c r="Q616">
        <v>1</v>
      </c>
      <c r="X616">
        <v>5.4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1</v>
      </c>
      <c r="AF616" t="s">
        <v>36</v>
      </c>
      <c r="AG616">
        <v>6.48</v>
      </c>
      <c r="AH616">
        <v>2</v>
      </c>
      <c r="AI616">
        <v>85740177</v>
      </c>
      <c r="AJ616">
        <v>606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">
      <c r="A617">
        <f>ROW(Source!A238)</f>
        <v>238</v>
      </c>
      <c r="B617">
        <v>85740186</v>
      </c>
      <c r="C617">
        <v>85740176</v>
      </c>
      <c r="D617">
        <v>85229633</v>
      </c>
      <c r="E617">
        <v>1</v>
      </c>
      <c r="F617">
        <v>1</v>
      </c>
      <c r="G617">
        <v>1081</v>
      </c>
      <c r="H617">
        <v>2</v>
      </c>
      <c r="I617" t="s">
        <v>475</v>
      </c>
      <c r="J617" t="s">
        <v>476</v>
      </c>
      <c r="K617" t="s">
        <v>477</v>
      </c>
      <c r="L617">
        <v>1368</v>
      </c>
      <c r="N617">
        <v>1011</v>
      </c>
      <c r="O617" t="s">
        <v>478</v>
      </c>
      <c r="P617" t="s">
        <v>478</v>
      </c>
      <c r="Q617">
        <v>1</v>
      </c>
      <c r="X617">
        <v>0.9</v>
      </c>
      <c r="Y617">
        <v>0</v>
      </c>
      <c r="Z617">
        <v>7.11</v>
      </c>
      <c r="AA617">
        <v>0</v>
      </c>
      <c r="AB617">
        <v>0</v>
      </c>
      <c r="AC617">
        <v>0</v>
      </c>
      <c r="AD617">
        <v>1</v>
      </c>
      <c r="AE617">
        <v>0</v>
      </c>
      <c r="AF617" t="s">
        <v>36</v>
      </c>
      <c r="AG617">
        <v>1.08</v>
      </c>
      <c r="AH617">
        <v>2</v>
      </c>
      <c r="AI617">
        <v>85740178</v>
      </c>
      <c r="AJ617">
        <v>607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">
      <c r="A618">
        <f>ROW(Source!A238)</f>
        <v>238</v>
      </c>
      <c r="B618">
        <v>85740187</v>
      </c>
      <c r="C618">
        <v>85740176</v>
      </c>
      <c r="D618">
        <v>85229932</v>
      </c>
      <c r="E618">
        <v>1</v>
      </c>
      <c r="F618">
        <v>1</v>
      </c>
      <c r="G618">
        <v>1081</v>
      </c>
      <c r="H618">
        <v>2</v>
      </c>
      <c r="I618" t="s">
        <v>482</v>
      </c>
      <c r="J618" t="s">
        <v>483</v>
      </c>
      <c r="K618" t="s">
        <v>484</v>
      </c>
      <c r="L618">
        <v>1368</v>
      </c>
      <c r="N618">
        <v>1011</v>
      </c>
      <c r="O618" t="s">
        <v>478</v>
      </c>
      <c r="P618" t="s">
        <v>478</v>
      </c>
      <c r="Q618">
        <v>1</v>
      </c>
      <c r="X618">
        <v>0.02</v>
      </c>
      <c r="Y618">
        <v>0</v>
      </c>
      <c r="Z618">
        <v>83.1</v>
      </c>
      <c r="AA618">
        <v>12.62</v>
      </c>
      <c r="AB618">
        <v>0</v>
      </c>
      <c r="AC618">
        <v>0</v>
      </c>
      <c r="AD618">
        <v>1</v>
      </c>
      <c r="AE618">
        <v>0</v>
      </c>
      <c r="AF618" t="s">
        <v>36</v>
      </c>
      <c r="AG618">
        <v>2.4E-2</v>
      </c>
      <c r="AH618">
        <v>2</v>
      </c>
      <c r="AI618">
        <v>85740179</v>
      </c>
      <c r="AJ618">
        <v>608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">
      <c r="A619">
        <f>ROW(Source!A238)</f>
        <v>238</v>
      </c>
      <c r="B619">
        <v>85740188</v>
      </c>
      <c r="C619">
        <v>85740176</v>
      </c>
      <c r="D619">
        <v>85200111</v>
      </c>
      <c r="E619">
        <v>1</v>
      </c>
      <c r="F619">
        <v>1</v>
      </c>
      <c r="G619">
        <v>1081</v>
      </c>
      <c r="H619">
        <v>3</v>
      </c>
      <c r="I619" t="s">
        <v>492</v>
      </c>
      <c r="J619" t="s">
        <v>493</v>
      </c>
      <c r="K619" t="s">
        <v>494</v>
      </c>
      <c r="L619">
        <v>1348</v>
      </c>
      <c r="N619">
        <v>1009</v>
      </c>
      <c r="O619" t="s">
        <v>266</v>
      </c>
      <c r="P619" t="s">
        <v>266</v>
      </c>
      <c r="Q619">
        <v>1000</v>
      </c>
      <c r="X619">
        <v>4.4000000000000002E-4</v>
      </c>
      <c r="Y619">
        <v>9112.49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 t="s">
        <v>35</v>
      </c>
      <c r="AG619">
        <v>4.4000000000000002E-4</v>
      </c>
      <c r="AH619">
        <v>2</v>
      </c>
      <c r="AI619">
        <v>85740180</v>
      </c>
      <c r="AJ619">
        <v>609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">
      <c r="A620">
        <f>ROW(Source!A238)</f>
        <v>238</v>
      </c>
      <c r="B620">
        <v>85740189</v>
      </c>
      <c r="C620">
        <v>85740176</v>
      </c>
      <c r="D620">
        <v>85200784</v>
      </c>
      <c r="E620">
        <v>1</v>
      </c>
      <c r="F620">
        <v>1</v>
      </c>
      <c r="G620">
        <v>1081</v>
      </c>
      <c r="H620">
        <v>3</v>
      </c>
      <c r="I620" t="s">
        <v>499</v>
      </c>
      <c r="J620" t="s">
        <v>500</v>
      </c>
      <c r="K620" t="s">
        <v>501</v>
      </c>
      <c r="L620">
        <v>1346</v>
      </c>
      <c r="N620">
        <v>1009</v>
      </c>
      <c r="O620" t="s">
        <v>502</v>
      </c>
      <c r="P620" t="s">
        <v>502</v>
      </c>
      <c r="Q620">
        <v>1</v>
      </c>
      <c r="X620">
        <v>1.0999999999999999E-2</v>
      </c>
      <c r="Y620">
        <v>6.25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 t="s">
        <v>35</v>
      </c>
      <c r="AG620">
        <v>1.0999999999999999E-2</v>
      </c>
      <c r="AH620">
        <v>2</v>
      </c>
      <c r="AI620">
        <v>85740181</v>
      </c>
      <c r="AJ620">
        <v>610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">
      <c r="A621">
        <f>ROW(Source!A238)</f>
        <v>238</v>
      </c>
      <c r="B621">
        <v>85740190</v>
      </c>
      <c r="C621">
        <v>85740176</v>
      </c>
      <c r="D621">
        <v>85199158</v>
      </c>
      <c r="E621">
        <v>1</v>
      </c>
      <c r="F621">
        <v>1</v>
      </c>
      <c r="G621">
        <v>1081</v>
      </c>
      <c r="H621">
        <v>3</v>
      </c>
      <c r="I621" t="s">
        <v>503</v>
      </c>
      <c r="J621" t="s">
        <v>504</v>
      </c>
      <c r="K621" t="s">
        <v>505</v>
      </c>
      <c r="L621">
        <v>1339</v>
      </c>
      <c r="N621">
        <v>1007</v>
      </c>
      <c r="O621" t="s">
        <v>506</v>
      </c>
      <c r="P621" t="s">
        <v>506</v>
      </c>
      <c r="Q621">
        <v>1</v>
      </c>
      <c r="X621">
        <v>4.3999999999999997E-2</v>
      </c>
      <c r="Y621">
        <v>5.82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 t="s">
        <v>35</v>
      </c>
      <c r="AG621">
        <v>4.3999999999999997E-2</v>
      </c>
      <c r="AH621">
        <v>2</v>
      </c>
      <c r="AI621">
        <v>85740182</v>
      </c>
      <c r="AJ621">
        <v>611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">
      <c r="A622">
        <f>ROW(Source!A238)</f>
        <v>238</v>
      </c>
      <c r="B622">
        <v>85740191</v>
      </c>
      <c r="C622">
        <v>85740176</v>
      </c>
      <c r="D622">
        <v>85179476</v>
      </c>
      <c r="E622">
        <v>1081</v>
      </c>
      <c r="F622">
        <v>1</v>
      </c>
      <c r="G622">
        <v>1081</v>
      </c>
      <c r="H622">
        <v>3</v>
      </c>
      <c r="I622" t="s">
        <v>634</v>
      </c>
      <c r="J622" t="s">
        <v>3</v>
      </c>
      <c r="K622" t="s">
        <v>635</v>
      </c>
      <c r="L622">
        <v>1354</v>
      </c>
      <c r="N622">
        <v>1010</v>
      </c>
      <c r="O622" t="s">
        <v>99</v>
      </c>
      <c r="P622" t="s">
        <v>99</v>
      </c>
      <c r="Q622">
        <v>1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35</v>
      </c>
      <c r="AG622">
        <v>1</v>
      </c>
      <c r="AH622">
        <v>3</v>
      </c>
      <c r="AI622">
        <v>-1</v>
      </c>
      <c r="AJ622" t="s">
        <v>3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">
      <c r="A623">
        <f>ROW(Source!A241)</f>
        <v>241</v>
      </c>
      <c r="B623">
        <v>85740197</v>
      </c>
      <c r="C623">
        <v>85740194</v>
      </c>
      <c r="D623">
        <v>85164021</v>
      </c>
      <c r="E623">
        <v>1081</v>
      </c>
      <c r="F623">
        <v>1</v>
      </c>
      <c r="G623">
        <v>1081</v>
      </c>
      <c r="H623">
        <v>1</v>
      </c>
      <c r="I623" t="s">
        <v>472</v>
      </c>
      <c r="J623" t="s">
        <v>3</v>
      </c>
      <c r="K623" t="s">
        <v>473</v>
      </c>
      <c r="L623">
        <v>1191</v>
      </c>
      <c r="N623">
        <v>1013</v>
      </c>
      <c r="O623" t="s">
        <v>474</v>
      </c>
      <c r="P623" t="s">
        <v>474</v>
      </c>
      <c r="Q623">
        <v>1</v>
      </c>
      <c r="X623">
        <v>0.3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1</v>
      </c>
      <c r="AF623" t="s">
        <v>36</v>
      </c>
      <c r="AG623">
        <v>0.36</v>
      </c>
      <c r="AH623">
        <v>2</v>
      </c>
      <c r="AI623">
        <v>85740197</v>
      </c>
      <c r="AJ623">
        <v>613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">
      <c r="A624">
        <f>ROW(Source!A241)</f>
        <v>241</v>
      </c>
      <c r="B624">
        <v>85740198</v>
      </c>
      <c r="C624">
        <v>85740194</v>
      </c>
      <c r="D624">
        <v>85219690</v>
      </c>
      <c r="E624">
        <v>1</v>
      </c>
      <c r="F624">
        <v>1</v>
      </c>
      <c r="G624">
        <v>1081</v>
      </c>
      <c r="H624">
        <v>3</v>
      </c>
      <c r="I624" t="s">
        <v>609</v>
      </c>
      <c r="J624" t="s">
        <v>610</v>
      </c>
      <c r="K624" t="s">
        <v>611</v>
      </c>
      <c r="L624">
        <v>1346</v>
      </c>
      <c r="N624">
        <v>1009</v>
      </c>
      <c r="O624" t="s">
        <v>502</v>
      </c>
      <c r="P624" t="s">
        <v>502</v>
      </c>
      <c r="Q624">
        <v>1</v>
      </c>
      <c r="X624">
        <v>4.2000000000000003E-2</v>
      </c>
      <c r="Y624">
        <v>19.28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 t="s">
        <v>35</v>
      </c>
      <c r="AG624">
        <v>4.2000000000000003E-2</v>
      </c>
      <c r="AH624">
        <v>2</v>
      </c>
      <c r="AI624">
        <v>85740198</v>
      </c>
      <c r="AJ624">
        <v>614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">
      <c r="A625">
        <f>ROW(Source!A241)</f>
        <v>241</v>
      </c>
      <c r="B625">
        <v>85740199</v>
      </c>
      <c r="C625">
        <v>85740194</v>
      </c>
      <c r="D625">
        <v>85180653</v>
      </c>
      <c r="E625">
        <v>1081</v>
      </c>
      <c r="F625">
        <v>1</v>
      </c>
      <c r="G625">
        <v>1081</v>
      </c>
      <c r="H625">
        <v>3</v>
      </c>
      <c r="I625" t="s">
        <v>661</v>
      </c>
      <c r="J625" t="s">
        <v>3</v>
      </c>
      <c r="K625" t="s">
        <v>662</v>
      </c>
      <c r="L625">
        <v>1354</v>
      </c>
      <c r="N625">
        <v>1010</v>
      </c>
      <c r="O625" t="s">
        <v>99</v>
      </c>
      <c r="P625" t="s">
        <v>99</v>
      </c>
      <c r="Q625">
        <v>1</v>
      </c>
      <c r="X625">
        <v>1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 t="s">
        <v>35</v>
      </c>
      <c r="AG625">
        <v>1</v>
      </c>
      <c r="AH625">
        <v>3</v>
      </c>
      <c r="AI625">
        <v>-1</v>
      </c>
      <c r="AJ625" t="s">
        <v>3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">
      <c r="A626">
        <f>ROW(Source!A241)</f>
        <v>241</v>
      </c>
      <c r="B626">
        <v>85740200</v>
      </c>
      <c r="C626">
        <v>85740194</v>
      </c>
      <c r="D626">
        <v>85164007</v>
      </c>
      <c r="E626">
        <v>1081</v>
      </c>
      <c r="F626">
        <v>1</v>
      </c>
      <c r="G626">
        <v>1081</v>
      </c>
      <c r="H626">
        <v>3</v>
      </c>
      <c r="I626" t="s">
        <v>624</v>
      </c>
      <c r="J626" t="s">
        <v>3</v>
      </c>
      <c r="K626" t="s">
        <v>625</v>
      </c>
      <c r="L626">
        <v>1348</v>
      </c>
      <c r="N626">
        <v>1009</v>
      </c>
      <c r="O626" t="s">
        <v>266</v>
      </c>
      <c r="P626" t="s">
        <v>266</v>
      </c>
      <c r="Q626">
        <v>1000</v>
      </c>
      <c r="X626">
        <v>1.5E-3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  <c r="AE626">
        <v>0</v>
      </c>
      <c r="AF626" t="s">
        <v>35</v>
      </c>
      <c r="AG626">
        <v>1.5E-3</v>
      </c>
      <c r="AH626">
        <v>2</v>
      </c>
      <c r="AI626">
        <v>85740200</v>
      </c>
      <c r="AJ626">
        <v>615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">
      <c r="A627">
        <f>ROW(Source!A242)</f>
        <v>242</v>
      </c>
      <c r="B627">
        <v>85740197</v>
      </c>
      <c r="C627">
        <v>85740194</v>
      </c>
      <c r="D627">
        <v>85164021</v>
      </c>
      <c r="E627">
        <v>1081</v>
      </c>
      <c r="F627">
        <v>1</v>
      </c>
      <c r="G627">
        <v>1081</v>
      </c>
      <c r="H627">
        <v>1</v>
      </c>
      <c r="I627" t="s">
        <v>472</v>
      </c>
      <c r="J627" t="s">
        <v>3</v>
      </c>
      <c r="K627" t="s">
        <v>473</v>
      </c>
      <c r="L627">
        <v>1191</v>
      </c>
      <c r="N627">
        <v>1013</v>
      </c>
      <c r="O627" t="s">
        <v>474</v>
      </c>
      <c r="P627" t="s">
        <v>474</v>
      </c>
      <c r="Q627">
        <v>1</v>
      </c>
      <c r="X627">
        <v>0.3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1</v>
      </c>
      <c r="AF627" t="s">
        <v>36</v>
      </c>
      <c r="AG627">
        <v>0.36</v>
      </c>
      <c r="AH627">
        <v>2</v>
      </c>
      <c r="AI627">
        <v>85740197</v>
      </c>
      <c r="AJ627">
        <v>617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">
      <c r="A628">
        <f>ROW(Source!A242)</f>
        <v>242</v>
      </c>
      <c r="B628">
        <v>85740198</v>
      </c>
      <c r="C628">
        <v>85740194</v>
      </c>
      <c r="D628">
        <v>85219690</v>
      </c>
      <c r="E628">
        <v>1</v>
      </c>
      <c r="F628">
        <v>1</v>
      </c>
      <c r="G628">
        <v>1081</v>
      </c>
      <c r="H628">
        <v>3</v>
      </c>
      <c r="I628" t="s">
        <v>609</v>
      </c>
      <c r="J628" t="s">
        <v>610</v>
      </c>
      <c r="K628" t="s">
        <v>611</v>
      </c>
      <c r="L628">
        <v>1346</v>
      </c>
      <c r="N628">
        <v>1009</v>
      </c>
      <c r="O628" t="s">
        <v>502</v>
      </c>
      <c r="P628" t="s">
        <v>502</v>
      </c>
      <c r="Q628">
        <v>1</v>
      </c>
      <c r="X628">
        <v>4.2000000000000003E-2</v>
      </c>
      <c r="Y628">
        <v>19.28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 t="s">
        <v>35</v>
      </c>
      <c r="AG628">
        <v>4.2000000000000003E-2</v>
      </c>
      <c r="AH628">
        <v>2</v>
      </c>
      <c r="AI628">
        <v>85740198</v>
      </c>
      <c r="AJ628">
        <v>618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">
      <c r="A629">
        <f>ROW(Source!A242)</f>
        <v>242</v>
      </c>
      <c r="B629">
        <v>85740199</v>
      </c>
      <c r="C629">
        <v>85740194</v>
      </c>
      <c r="D629">
        <v>85180653</v>
      </c>
      <c r="E629">
        <v>1081</v>
      </c>
      <c r="F629">
        <v>1</v>
      </c>
      <c r="G629">
        <v>1081</v>
      </c>
      <c r="H629">
        <v>3</v>
      </c>
      <c r="I629" t="s">
        <v>661</v>
      </c>
      <c r="J629" t="s">
        <v>3</v>
      </c>
      <c r="K629" t="s">
        <v>662</v>
      </c>
      <c r="L629">
        <v>1354</v>
      </c>
      <c r="N629">
        <v>1010</v>
      </c>
      <c r="O629" t="s">
        <v>99</v>
      </c>
      <c r="P629" t="s">
        <v>99</v>
      </c>
      <c r="Q629">
        <v>1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 t="s">
        <v>35</v>
      </c>
      <c r="AG629">
        <v>1</v>
      </c>
      <c r="AH629">
        <v>3</v>
      </c>
      <c r="AI629">
        <v>-1</v>
      </c>
      <c r="AJ629" t="s">
        <v>3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">
      <c r="A630">
        <f>ROW(Source!A242)</f>
        <v>242</v>
      </c>
      <c r="B630">
        <v>85740200</v>
      </c>
      <c r="C630">
        <v>85740194</v>
      </c>
      <c r="D630">
        <v>85164007</v>
      </c>
      <c r="E630">
        <v>1081</v>
      </c>
      <c r="F630">
        <v>1</v>
      </c>
      <c r="G630">
        <v>1081</v>
      </c>
      <c r="H630">
        <v>3</v>
      </c>
      <c r="I630" t="s">
        <v>624</v>
      </c>
      <c r="J630" t="s">
        <v>3</v>
      </c>
      <c r="K630" t="s">
        <v>625</v>
      </c>
      <c r="L630">
        <v>1348</v>
      </c>
      <c r="N630">
        <v>1009</v>
      </c>
      <c r="O630" t="s">
        <v>266</v>
      </c>
      <c r="P630" t="s">
        <v>266</v>
      </c>
      <c r="Q630">
        <v>1000</v>
      </c>
      <c r="X630">
        <v>1.5E-3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 t="s">
        <v>35</v>
      </c>
      <c r="AG630">
        <v>1.5E-3</v>
      </c>
      <c r="AH630">
        <v>2</v>
      </c>
      <c r="AI630">
        <v>85740200</v>
      </c>
      <c r="AJ630">
        <v>619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">
      <c r="A631">
        <f>ROW(Source!A249)</f>
        <v>249</v>
      </c>
      <c r="B631">
        <v>85740217</v>
      </c>
      <c r="C631">
        <v>85740209</v>
      </c>
      <c r="D631">
        <v>85164021</v>
      </c>
      <c r="E631">
        <v>1081</v>
      </c>
      <c r="F631">
        <v>1</v>
      </c>
      <c r="G631">
        <v>1081</v>
      </c>
      <c r="H631">
        <v>1</v>
      </c>
      <c r="I631" t="s">
        <v>472</v>
      </c>
      <c r="J631" t="s">
        <v>3</v>
      </c>
      <c r="K631" t="s">
        <v>473</v>
      </c>
      <c r="L631">
        <v>1191</v>
      </c>
      <c r="N631">
        <v>1013</v>
      </c>
      <c r="O631" t="s">
        <v>474</v>
      </c>
      <c r="P631" t="s">
        <v>474</v>
      </c>
      <c r="Q631">
        <v>1</v>
      </c>
      <c r="X631">
        <v>5.31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1</v>
      </c>
      <c r="AF631" t="s">
        <v>260</v>
      </c>
      <c r="AG631">
        <v>14.655599999999996</v>
      </c>
      <c r="AH631">
        <v>2</v>
      </c>
      <c r="AI631">
        <v>85740210</v>
      </c>
      <c r="AJ631">
        <v>621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">
      <c r="A632">
        <f>ROW(Source!A249)</f>
        <v>249</v>
      </c>
      <c r="B632">
        <v>85740218</v>
      </c>
      <c r="C632">
        <v>85740209</v>
      </c>
      <c r="D632">
        <v>85229532</v>
      </c>
      <c r="E632">
        <v>1</v>
      </c>
      <c r="F632">
        <v>1</v>
      </c>
      <c r="G632">
        <v>1081</v>
      </c>
      <c r="H632">
        <v>2</v>
      </c>
      <c r="I632" t="s">
        <v>567</v>
      </c>
      <c r="J632" t="s">
        <v>568</v>
      </c>
      <c r="K632" t="s">
        <v>569</v>
      </c>
      <c r="L632">
        <v>1368</v>
      </c>
      <c r="N632">
        <v>1011</v>
      </c>
      <c r="O632" t="s">
        <v>478</v>
      </c>
      <c r="P632" t="s">
        <v>478</v>
      </c>
      <c r="Q632">
        <v>1</v>
      </c>
      <c r="X632">
        <v>1.1200000000000001</v>
      </c>
      <c r="Y632">
        <v>0</v>
      </c>
      <c r="Z632">
        <v>10.4</v>
      </c>
      <c r="AA632">
        <v>0</v>
      </c>
      <c r="AB632">
        <v>0</v>
      </c>
      <c r="AC632">
        <v>0</v>
      </c>
      <c r="AD632">
        <v>1</v>
      </c>
      <c r="AE632">
        <v>0</v>
      </c>
      <c r="AF632" t="s">
        <v>259</v>
      </c>
      <c r="AG632">
        <v>3.3600000000000003</v>
      </c>
      <c r="AH632">
        <v>2</v>
      </c>
      <c r="AI632">
        <v>85740211</v>
      </c>
      <c r="AJ632">
        <v>622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">
      <c r="A633">
        <f>ROW(Source!A249)</f>
        <v>249</v>
      </c>
      <c r="B633">
        <v>85740219</v>
      </c>
      <c r="C633">
        <v>85740209</v>
      </c>
      <c r="D633">
        <v>85229932</v>
      </c>
      <c r="E633">
        <v>1</v>
      </c>
      <c r="F633">
        <v>1</v>
      </c>
      <c r="G633">
        <v>1081</v>
      </c>
      <c r="H633">
        <v>2</v>
      </c>
      <c r="I633" t="s">
        <v>482</v>
      </c>
      <c r="J633" t="s">
        <v>483</v>
      </c>
      <c r="K633" t="s">
        <v>484</v>
      </c>
      <c r="L633">
        <v>1368</v>
      </c>
      <c r="N633">
        <v>1011</v>
      </c>
      <c r="O633" t="s">
        <v>478</v>
      </c>
      <c r="P633" t="s">
        <v>478</v>
      </c>
      <c r="Q633">
        <v>1</v>
      </c>
      <c r="X633">
        <v>0.01</v>
      </c>
      <c r="Y633">
        <v>0</v>
      </c>
      <c r="Z633">
        <v>83.1</v>
      </c>
      <c r="AA633">
        <v>12.62</v>
      </c>
      <c r="AB633">
        <v>0</v>
      </c>
      <c r="AC633">
        <v>0</v>
      </c>
      <c r="AD633">
        <v>1</v>
      </c>
      <c r="AE633">
        <v>0</v>
      </c>
      <c r="AF633" t="s">
        <v>259</v>
      </c>
      <c r="AG633">
        <v>0.03</v>
      </c>
      <c r="AH633">
        <v>2</v>
      </c>
      <c r="AI633">
        <v>85740212</v>
      </c>
      <c r="AJ633">
        <v>623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">
      <c r="A634">
        <f>ROW(Source!A249)</f>
        <v>249</v>
      </c>
      <c r="B634">
        <v>85740220</v>
      </c>
      <c r="C634">
        <v>85740209</v>
      </c>
      <c r="D634">
        <v>85229236</v>
      </c>
      <c r="E634">
        <v>1</v>
      </c>
      <c r="F634">
        <v>1</v>
      </c>
      <c r="G634">
        <v>1081</v>
      </c>
      <c r="H634">
        <v>2</v>
      </c>
      <c r="I634" t="s">
        <v>570</v>
      </c>
      <c r="J634" t="s">
        <v>571</v>
      </c>
      <c r="K634" t="s">
        <v>572</v>
      </c>
      <c r="L634">
        <v>1368</v>
      </c>
      <c r="N634">
        <v>1011</v>
      </c>
      <c r="O634" t="s">
        <v>478</v>
      </c>
      <c r="P634" t="s">
        <v>478</v>
      </c>
      <c r="Q634">
        <v>1</v>
      </c>
      <c r="X634">
        <v>0.01</v>
      </c>
      <c r="Y634">
        <v>0</v>
      </c>
      <c r="Z634">
        <v>114.83</v>
      </c>
      <c r="AA634">
        <v>12.62</v>
      </c>
      <c r="AB634">
        <v>0</v>
      </c>
      <c r="AC634">
        <v>0</v>
      </c>
      <c r="AD634">
        <v>1</v>
      </c>
      <c r="AE634">
        <v>0</v>
      </c>
      <c r="AF634" t="s">
        <v>259</v>
      </c>
      <c r="AG634">
        <v>0.03</v>
      </c>
      <c r="AH634">
        <v>2</v>
      </c>
      <c r="AI634">
        <v>85740213</v>
      </c>
      <c r="AJ634">
        <v>624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">
      <c r="A635">
        <f>ROW(Source!A249)</f>
        <v>249</v>
      </c>
      <c r="B635">
        <v>85740221</v>
      </c>
      <c r="C635">
        <v>85740209</v>
      </c>
      <c r="D635">
        <v>85229248</v>
      </c>
      <c r="E635">
        <v>1</v>
      </c>
      <c r="F635">
        <v>1</v>
      </c>
      <c r="G635">
        <v>1081</v>
      </c>
      <c r="H635">
        <v>2</v>
      </c>
      <c r="I635" t="s">
        <v>573</v>
      </c>
      <c r="J635" t="s">
        <v>574</v>
      </c>
      <c r="K635" t="s">
        <v>575</v>
      </c>
      <c r="L635">
        <v>1368</v>
      </c>
      <c r="N635">
        <v>1011</v>
      </c>
      <c r="O635" t="s">
        <v>478</v>
      </c>
      <c r="P635" t="s">
        <v>478</v>
      </c>
      <c r="Q635">
        <v>1</v>
      </c>
      <c r="X635">
        <v>0.01</v>
      </c>
      <c r="Y635">
        <v>0</v>
      </c>
      <c r="Z635">
        <v>0.77</v>
      </c>
      <c r="AA635">
        <v>0</v>
      </c>
      <c r="AB635">
        <v>0</v>
      </c>
      <c r="AC635">
        <v>0</v>
      </c>
      <c r="AD635">
        <v>1</v>
      </c>
      <c r="AE635">
        <v>0</v>
      </c>
      <c r="AF635" t="s">
        <v>259</v>
      </c>
      <c r="AG635">
        <v>0.03</v>
      </c>
      <c r="AH635">
        <v>2</v>
      </c>
      <c r="AI635">
        <v>85740214</v>
      </c>
      <c r="AJ635">
        <v>625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">
      <c r="A636">
        <f>ROW(Source!A249)</f>
        <v>249</v>
      </c>
      <c r="B636">
        <v>85740222</v>
      </c>
      <c r="C636">
        <v>85740209</v>
      </c>
      <c r="D636">
        <v>85199235</v>
      </c>
      <c r="E636">
        <v>1</v>
      </c>
      <c r="F636">
        <v>1</v>
      </c>
      <c r="G636">
        <v>1081</v>
      </c>
      <c r="H636">
        <v>3</v>
      </c>
      <c r="I636" t="s">
        <v>576</v>
      </c>
      <c r="J636" t="s">
        <v>577</v>
      </c>
      <c r="K636" t="s">
        <v>578</v>
      </c>
      <c r="L636">
        <v>1348</v>
      </c>
      <c r="N636">
        <v>1009</v>
      </c>
      <c r="O636" t="s">
        <v>266</v>
      </c>
      <c r="P636" t="s">
        <v>266</v>
      </c>
      <c r="Q636">
        <v>1000</v>
      </c>
      <c r="X636">
        <v>1.5E-3</v>
      </c>
      <c r="Y636">
        <v>6290.61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 t="s">
        <v>258</v>
      </c>
      <c r="AG636">
        <v>3.0000000000000001E-3</v>
      </c>
      <c r="AH636">
        <v>2</v>
      </c>
      <c r="AI636">
        <v>85740216</v>
      </c>
      <c r="AJ636">
        <v>627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">
      <c r="A637">
        <f>ROW(Source!A249)</f>
        <v>249</v>
      </c>
      <c r="B637">
        <v>85740223</v>
      </c>
      <c r="C637">
        <v>85740209</v>
      </c>
      <c r="D637">
        <v>85168866</v>
      </c>
      <c r="E637">
        <v>1081</v>
      </c>
      <c r="F637">
        <v>1</v>
      </c>
      <c r="G637">
        <v>1081</v>
      </c>
      <c r="H637">
        <v>3</v>
      </c>
      <c r="I637" t="s">
        <v>645</v>
      </c>
      <c r="J637" t="s">
        <v>3</v>
      </c>
      <c r="K637" t="s">
        <v>646</v>
      </c>
      <c r="L637">
        <v>1348</v>
      </c>
      <c r="N637">
        <v>1009</v>
      </c>
      <c r="O637" t="s">
        <v>266</v>
      </c>
      <c r="P637" t="s">
        <v>266</v>
      </c>
      <c r="Q637">
        <v>1000</v>
      </c>
      <c r="X637">
        <v>8.9999999999999993E-3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 t="s">
        <v>258</v>
      </c>
      <c r="AG637">
        <v>1.7999999999999999E-2</v>
      </c>
      <c r="AH637">
        <v>3</v>
      </c>
      <c r="AI637">
        <v>-1</v>
      </c>
      <c r="AJ637" t="s">
        <v>3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">
      <c r="A638">
        <f>ROW(Source!A250)</f>
        <v>250</v>
      </c>
      <c r="B638">
        <v>85740217</v>
      </c>
      <c r="C638">
        <v>85740209</v>
      </c>
      <c r="D638">
        <v>85164021</v>
      </c>
      <c r="E638">
        <v>1081</v>
      </c>
      <c r="F638">
        <v>1</v>
      </c>
      <c r="G638">
        <v>1081</v>
      </c>
      <c r="H638">
        <v>1</v>
      </c>
      <c r="I638" t="s">
        <v>472</v>
      </c>
      <c r="J638" t="s">
        <v>3</v>
      </c>
      <c r="K638" t="s">
        <v>473</v>
      </c>
      <c r="L638">
        <v>1191</v>
      </c>
      <c r="N638">
        <v>1013</v>
      </c>
      <c r="O638" t="s">
        <v>474</v>
      </c>
      <c r="P638" t="s">
        <v>474</v>
      </c>
      <c r="Q638">
        <v>1</v>
      </c>
      <c r="X638">
        <v>5.31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  <c r="AE638">
        <v>1</v>
      </c>
      <c r="AF638" t="s">
        <v>260</v>
      </c>
      <c r="AG638">
        <v>14.655599999999996</v>
      </c>
      <c r="AH638">
        <v>2</v>
      </c>
      <c r="AI638">
        <v>85740210</v>
      </c>
      <c r="AJ638">
        <v>628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">
      <c r="A639">
        <f>ROW(Source!A250)</f>
        <v>250</v>
      </c>
      <c r="B639">
        <v>85740218</v>
      </c>
      <c r="C639">
        <v>85740209</v>
      </c>
      <c r="D639">
        <v>85229532</v>
      </c>
      <c r="E639">
        <v>1</v>
      </c>
      <c r="F639">
        <v>1</v>
      </c>
      <c r="G639">
        <v>1081</v>
      </c>
      <c r="H639">
        <v>2</v>
      </c>
      <c r="I639" t="s">
        <v>567</v>
      </c>
      <c r="J639" t="s">
        <v>568</v>
      </c>
      <c r="K639" t="s">
        <v>569</v>
      </c>
      <c r="L639">
        <v>1368</v>
      </c>
      <c r="N639">
        <v>1011</v>
      </c>
      <c r="O639" t="s">
        <v>478</v>
      </c>
      <c r="P639" t="s">
        <v>478</v>
      </c>
      <c r="Q639">
        <v>1</v>
      </c>
      <c r="X639">
        <v>1.1200000000000001</v>
      </c>
      <c r="Y639">
        <v>0</v>
      </c>
      <c r="Z639">
        <v>10.4</v>
      </c>
      <c r="AA639">
        <v>0</v>
      </c>
      <c r="AB639">
        <v>0</v>
      </c>
      <c r="AC639">
        <v>0</v>
      </c>
      <c r="AD639">
        <v>1</v>
      </c>
      <c r="AE639">
        <v>0</v>
      </c>
      <c r="AF639" t="s">
        <v>259</v>
      </c>
      <c r="AG639">
        <v>3.3600000000000003</v>
      </c>
      <c r="AH639">
        <v>2</v>
      </c>
      <c r="AI639">
        <v>85740211</v>
      </c>
      <c r="AJ639">
        <v>629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">
      <c r="A640">
        <f>ROW(Source!A250)</f>
        <v>250</v>
      </c>
      <c r="B640">
        <v>85740219</v>
      </c>
      <c r="C640">
        <v>85740209</v>
      </c>
      <c r="D640">
        <v>85229932</v>
      </c>
      <c r="E640">
        <v>1</v>
      </c>
      <c r="F640">
        <v>1</v>
      </c>
      <c r="G640">
        <v>1081</v>
      </c>
      <c r="H640">
        <v>2</v>
      </c>
      <c r="I640" t="s">
        <v>482</v>
      </c>
      <c r="J640" t="s">
        <v>483</v>
      </c>
      <c r="K640" t="s">
        <v>484</v>
      </c>
      <c r="L640">
        <v>1368</v>
      </c>
      <c r="N640">
        <v>1011</v>
      </c>
      <c r="O640" t="s">
        <v>478</v>
      </c>
      <c r="P640" t="s">
        <v>478</v>
      </c>
      <c r="Q640">
        <v>1</v>
      </c>
      <c r="X640">
        <v>0.01</v>
      </c>
      <c r="Y640">
        <v>0</v>
      </c>
      <c r="Z640">
        <v>83.1</v>
      </c>
      <c r="AA640">
        <v>12.62</v>
      </c>
      <c r="AB640">
        <v>0</v>
      </c>
      <c r="AC640">
        <v>0</v>
      </c>
      <c r="AD640">
        <v>1</v>
      </c>
      <c r="AE640">
        <v>0</v>
      </c>
      <c r="AF640" t="s">
        <v>259</v>
      </c>
      <c r="AG640">
        <v>0.03</v>
      </c>
      <c r="AH640">
        <v>2</v>
      </c>
      <c r="AI640">
        <v>85740212</v>
      </c>
      <c r="AJ640">
        <v>630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">
      <c r="A641">
        <f>ROW(Source!A250)</f>
        <v>250</v>
      </c>
      <c r="B641">
        <v>85740220</v>
      </c>
      <c r="C641">
        <v>85740209</v>
      </c>
      <c r="D641">
        <v>85229236</v>
      </c>
      <c r="E641">
        <v>1</v>
      </c>
      <c r="F641">
        <v>1</v>
      </c>
      <c r="G641">
        <v>1081</v>
      </c>
      <c r="H641">
        <v>2</v>
      </c>
      <c r="I641" t="s">
        <v>570</v>
      </c>
      <c r="J641" t="s">
        <v>571</v>
      </c>
      <c r="K641" t="s">
        <v>572</v>
      </c>
      <c r="L641">
        <v>1368</v>
      </c>
      <c r="N641">
        <v>1011</v>
      </c>
      <c r="O641" t="s">
        <v>478</v>
      </c>
      <c r="P641" t="s">
        <v>478</v>
      </c>
      <c r="Q641">
        <v>1</v>
      </c>
      <c r="X641">
        <v>0.01</v>
      </c>
      <c r="Y641">
        <v>0</v>
      </c>
      <c r="Z641">
        <v>114.83</v>
      </c>
      <c r="AA641">
        <v>12.62</v>
      </c>
      <c r="AB641">
        <v>0</v>
      </c>
      <c r="AC641">
        <v>0</v>
      </c>
      <c r="AD641">
        <v>1</v>
      </c>
      <c r="AE641">
        <v>0</v>
      </c>
      <c r="AF641" t="s">
        <v>259</v>
      </c>
      <c r="AG641">
        <v>0.03</v>
      </c>
      <c r="AH641">
        <v>2</v>
      </c>
      <c r="AI641">
        <v>85740213</v>
      </c>
      <c r="AJ641">
        <v>631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">
      <c r="A642">
        <f>ROW(Source!A250)</f>
        <v>250</v>
      </c>
      <c r="B642">
        <v>85740221</v>
      </c>
      <c r="C642">
        <v>85740209</v>
      </c>
      <c r="D642">
        <v>85229248</v>
      </c>
      <c r="E642">
        <v>1</v>
      </c>
      <c r="F642">
        <v>1</v>
      </c>
      <c r="G642">
        <v>1081</v>
      </c>
      <c r="H642">
        <v>2</v>
      </c>
      <c r="I642" t="s">
        <v>573</v>
      </c>
      <c r="J642" t="s">
        <v>574</v>
      </c>
      <c r="K642" t="s">
        <v>575</v>
      </c>
      <c r="L642">
        <v>1368</v>
      </c>
      <c r="N642">
        <v>1011</v>
      </c>
      <c r="O642" t="s">
        <v>478</v>
      </c>
      <c r="P642" t="s">
        <v>478</v>
      </c>
      <c r="Q642">
        <v>1</v>
      </c>
      <c r="X642">
        <v>0.01</v>
      </c>
      <c r="Y642">
        <v>0</v>
      </c>
      <c r="Z642">
        <v>0.77</v>
      </c>
      <c r="AA642">
        <v>0</v>
      </c>
      <c r="AB642">
        <v>0</v>
      </c>
      <c r="AC642">
        <v>0</v>
      </c>
      <c r="AD642">
        <v>1</v>
      </c>
      <c r="AE642">
        <v>0</v>
      </c>
      <c r="AF642" t="s">
        <v>259</v>
      </c>
      <c r="AG642">
        <v>0.03</v>
      </c>
      <c r="AH642">
        <v>2</v>
      </c>
      <c r="AI642">
        <v>85740214</v>
      </c>
      <c r="AJ642">
        <v>632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">
      <c r="A643">
        <f>ROW(Source!A250)</f>
        <v>250</v>
      </c>
      <c r="B643">
        <v>85740222</v>
      </c>
      <c r="C643">
        <v>85740209</v>
      </c>
      <c r="D643">
        <v>85199235</v>
      </c>
      <c r="E643">
        <v>1</v>
      </c>
      <c r="F643">
        <v>1</v>
      </c>
      <c r="G643">
        <v>1081</v>
      </c>
      <c r="H643">
        <v>3</v>
      </c>
      <c r="I643" t="s">
        <v>576</v>
      </c>
      <c r="J643" t="s">
        <v>577</v>
      </c>
      <c r="K643" t="s">
        <v>578</v>
      </c>
      <c r="L643">
        <v>1348</v>
      </c>
      <c r="N643">
        <v>1009</v>
      </c>
      <c r="O643" t="s">
        <v>266</v>
      </c>
      <c r="P643" t="s">
        <v>266</v>
      </c>
      <c r="Q643">
        <v>1000</v>
      </c>
      <c r="X643">
        <v>1.5E-3</v>
      </c>
      <c r="Y643">
        <v>6290.61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0</v>
      </c>
      <c r="AF643" t="s">
        <v>258</v>
      </c>
      <c r="AG643">
        <v>3.0000000000000001E-3</v>
      </c>
      <c r="AH643">
        <v>2</v>
      </c>
      <c r="AI643">
        <v>85740216</v>
      </c>
      <c r="AJ643">
        <v>634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">
      <c r="A644">
        <f>ROW(Source!A250)</f>
        <v>250</v>
      </c>
      <c r="B644">
        <v>85740223</v>
      </c>
      <c r="C644">
        <v>85740209</v>
      </c>
      <c r="D644">
        <v>85168866</v>
      </c>
      <c r="E644">
        <v>1081</v>
      </c>
      <c r="F644">
        <v>1</v>
      </c>
      <c r="G644">
        <v>1081</v>
      </c>
      <c r="H644">
        <v>3</v>
      </c>
      <c r="I644" t="s">
        <v>645</v>
      </c>
      <c r="J644" t="s">
        <v>3</v>
      </c>
      <c r="K644" t="s">
        <v>646</v>
      </c>
      <c r="L644">
        <v>1348</v>
      </c>
      <c r="N644">
        <v>1009</v>
      </c>
      <c r="O644" t="s">
        <v>266</v>
      </c>
      <c r="P644" t="s">
        <v>266</v>
      </c>
      <c r="Q644">
        <v>1000</v>
      </c>
      <c r="X644">
        <v>8.9999999999999993E-3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 t="s">
        <v>258</v>
      </c>
      <c r="AG644">
        <v>1.7999999999999999E-2</v>
      </c>
      <c r="AH644">
        <v>3</v>
      </c>
      <c r="AI644">
        <v>-1</v>
      </c>
      <c r="AJ644" t="s">
        <v>3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">
      <c r="A645">
        <f>ROW(Source!A253)</f>
        <v>253</v>
      </c>
      <c r="B645">
        <v>85740231</v>
      </c>
      <c r="C645">
        <v>85740225</v>
      </c>
      <c r="D645">
        <v>85164021</v>
      </c>
      <c r="E645">
        <v>1081</v>
      </c>
      <c r="F645">
        <v>1</v>
      </c>
      <c r="G645">
        <v>1081</v>
      </c>
      <c r="H645">
        <v>1</v>
      </c>
      <c r="I645" t="s">
        <v>472</v>
      </c>
      <c r="J645" t="s">
        <v>3</v>
      </c>
      <c r="K645" t="s">
        <v>473</v>
      </c>
      <c r="L645">
        <v>1191</v>
      </c>
      <c r="N645">
        <v>1013</v>
      </c>
      <c r="O645" t="s">
        <v>474</v>
      </c>
      <c r="P645" t="s">
        <v>474</v>
      </c>
      <c r="Q645">
        <v>1</v>
      </c>
      <c r="X645">
        <v>2.13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1</v>
      </c>
      <c r="AF645" t="s">
        <v>79</v>
      </c>
      <c r="AG645">
        <v>2.9393999999999996</v>
      </c>
      <c r="AH645">
        <v>2</v>
      </c>
      <c r="AI645">
        <v>85740226</v>
      </c>
      <c r="AJ645">
        <v>635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">
      <c r="A646">
        <f>ROW(Source!A253)</f>
        <v>253</v>
      </c>
      <c r="B646">
        <v>85740232</v>
      </c>
      <c r="C646">
        <v>85740225</v>
      </c>
      <c r="D646">
        <v>85229932</v>
      </c>
      <c r="E646">
        <v>1</v>
      </c>
      <c r="F646">
        <v>1</v>
      </c>
      <c r="G646">
        <v>1081</v>
      </c>
      <c r="H646">
        <v>2</v>
      </c>
      <c r="I646" t="s">
        <v>482</v>
      </c>
      <c r="J646" t="s">
        <v>483</v>
      </c>
      <c r="K646" t="s">
        <v>484</v>
      </c>
      <c r="L646">
        <v>1368</v>
      </c>
      <c r="N646">
        <v>1011</v>
      </c>
      <c r="O646" t="s">
        <v>478</v>
      </c>
      <c r="P646" t="s">
        <v>478</v>
      </c>
      <c r="Q646">
        <v>1</v>
      </c>
      <c r="X646">
        <v>0.01</v>
      </c>
      <c r="Y646">
        <v>0</v>
      </c>
      <c r="Z646">
        <v>83.1</v>
      </c>
      <c r="AA646">
        <v>12.62</v>
      </c>
      <c r="AB646">
        <v>0</v>
      </c>
      <c r="AC646">
        <v>0</v>
      </c>
      <c r="AD646">
        <v>1</v>
      </c>
      <c r="AE646">
        <v>0</v>
      </c>
      <c r="AF646" t="s">
        <v>78</v>
      </c>
      <c r="AG646">
        <v>1.4999999999999999E-2</v>
      </c>
      <c r="AH646">
        <v>2</v>
      </c>
      <c r="AI646">
        <v>85740227</v>
      </c>
      <c r="AJ646">
        <v>636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">
      <c r="A647">
        <f>ROW(Source!A253)</f>
        <v>253</v>
      </c>
      <c r="B647">
        <v>85740233</v>
      </c>
      <c r="C647">
        <v>85740225</v>
      </c>
      <c r="D647">
        <v>85229236</v>
      </c>
      <c r="E647">
        <v>1</v>
      </c>
      <c r="F647">
        <v>1</v>
      </c>
      <c r="G647">
        <v>1081</v>
      </c>
      <c r="H647">
        <v>2</v>
      </c>
      <c r="I647" t="s">
        <v>570</v>
      </c>
      <c r="J647" t="s">
        <v>571</v>
      </c>
      <c r="K647" t="s">
        <v>572</v>
      </c>
      <c r="L647">
        <v>1368</v>
      </c>
      <c r="N647">
        <v>1011</v>
      </c>
      <c r="O647" t="s">
        <v>478</v>
      </c>
      <c r="P647" t="s">
        <v>478</v>
      </c>
      <c r="Q647">
        <v>1</v>
      </c>
      <c r="X647">
        <v>0.01</v>
      </c>
      <c r="Y647">
        <v>0</v>
      </c>
      <c r="Z647">
        <v>114.83</v>
      </c>
      <c r="AA647">
        <v>12.62</v>
      </c>
      <c r="AB647">
        <v>0</v>
      </c>
      <c r="AC647">
        <v>0</v>
      </c>
      <c r="AD647">
        <v>1</v>
      </c>
      <c r="AE647">
        <v>0</v>
      </c>
      <c r="AF647" t="s">
        <v>78</v>
      </c>
      <c r="AG647">
        <v>1.4999999999999999E-2</v>
      </c>
      <c r="AH647">
        <v>2</v>
      </c>
      <c r="AI647">
        <v>85740228</v>
      </c>
      <c r="AJ647">
        <v>637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">
      <c r="A648">
        <f>ROW(Source!A253)</f>
        <v>253</v>
      </c>
      <c r="B648">
        <v>85740234</v>
      </c>
      <c r="C648">
        <v>85740225</v>
      </c>
      <c r="D648">
        <v>85200033</v>
      </c>
      <c r="E648">
        <v>1</v>
      </c>
      <c r="F648">
        <v>1</v>
      </c>
      <c r="G648">
        <v>1081</v>
      </c>
      <c r="H648">
        <v>3</v>
      </c>
      <c r="I648" t="s">
        <v>531</v>
      </c>
      <c r="J648" t="s">
        <v>532</v>
      </c>
      <c r="K648" t="s">
        <v>533</v>
      </c>
      <c r="L648">
        <v>1346</v>
      </c>
      <c r="N648">
        <v>1009</v>
      </c>
      <c r="O648" t="s">
        <v>502</v>
      </c>
      <c r="P648" t="s">
        <v>502</v>
      </c>
      <c r="Q648">
        <v>1</v>
      </c>
      <c r="X648">
        <v>9</v>
      </c>
      <c r="Y648">
        <v>29.89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 t="s">
        <v>77</v>
      </c>
      <c r="AG648">
        <v>9</v>
      </c>
      <c r="AH648">
        <v>2</v>
      </c>
      <c r="AI648">
        <v>85740229</v>
      </c>
      <c r="AJ648">
        <v>638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">
      <c r="A649">
        <f>ROW(Source!A253)</f>
        <v>253</v>
      </c>
      <c r="B649">
        <v>85740235</v>
      </c>
      <c r="C649">
        <v>85740225</v>
      </c>
      <c r="D649">
        <v>85199558</v>
      </c>
      <c r="E649">
        <v>1</v>
      </c>
      <c r="F649">
        <v>1</v>
      </c>
      <c r="G649">
        <v>1081</v>
      </c>
      <c r="H649">
        <v>3</v>
      </c>
      <c r="I649" t="s">
        <v>579</v>
      </c>
      <c r="J649" t="s">
        <v>580</v>
      </c>
      <c r="K649" t="s">
        <v>581</v>
      </c>
      <c r="L649">
        <v>1348</v>
      </c>
      <c r="N649">
        <v>1009</v>
      </c>
      <c r="O649" t="s">
        <v>266</v>
      </c>
      <c r="P649" t="s">
        <v>266</v>
      </c>
      <c r="Q649">
        <v>1000</v>
      </c>
      <c r="X649">
        <v>1.48E-3</v>
      </c>
      <c r="Y649">
        <v>12521.99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 t="s">
        <v>77</v>
      </c>
      <c r="AG649">
        <v>1.48E-3</v>
      </c>
      <c r="AH649">
        <v>2</v>
      </c>
      <c r="AI649">
        <v>85740230</v>
      </c>
      <c r="AJ649">
        <v>639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">
      <c r="A650">
        <f>ROW(Source!A254)</f>
        <v>254</v>
      </c>
      <c r="B650">
        <v>85740231</v>
      </c>
      <c r="C650">
        <v>85740225</v>
      </c>
      <c r="D650">
        <v>85164021</v>
      </c>
      <c r="E650">
        <v>1081</v>
      </c>
      <c r="F650">
        <v>1</v>
      </c>
      <c r="G650">
        <v>1081</v>
      </c>
      <c r="H650">
        <v>1</v>
      </c>
      <c r="I650" t="s">
        <v>472</v>
      </c>
      <c r="J650" t="s">
        <v>3</v>
      </c>
      <c r="K650" t="s">
        <v>473</v>
      </c>
      <c r="L650">
        <v>1191</v>
      </c>
      <c r="N650">
        <v>1013</v>
      </c>
      <c r="O650" t="s">
        <v>474</v>
      </c>
      <c r="P650" t="s">
        <v>474</v>
      </c>
      <c r="Q650">
        <v>1</v>
      </c>
      <c r="X650">
        <v>2.13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1</v>
      </c>
      <c r="AF650" t="s">
        <v>79</v>
      </c>
      <c r="AG650">
        <v>2.9393999999999996</v>
      </c>
      <c r="AH650">
        <v>2</v>
      </c>
      <c r="AI650">
        <v>85740226</v>
      </c>
      <c r="AJ650">
        <v>640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">
      <c r="A651">
        <f>ROW(Source!A254)</f>
        <v>254</v>
      </c>
      <c r="B651">
        <v>85740232</v>
      </c>
      <c r="C651">
        <v>85740225</v>
      </c>
      <c r="D651">
        <v>85229932</v>
      </c>
      <c r="E651">
        <v>1</v>
      </c>
      <c r="F651">
        <v>1</v>
      </c>
      <c r="G651">
        <v>1081</v>
      </c>
      <c r="H651">
        <v>2</v>
      </c>
      <c r="I651" t="s">
        <v>482</v>
      </c>
      <c r="J651" t="s">
        <v>483</v>
      </c>
      <c r="K651" t="s">
        <v>484</v>
      </c>
      <c r="L651">
        <v>1368</v>
      </c>
      <c r="N651">
        <v>1011</v>
      </c>
      <c r="O651" t="s">
        <v>478</v>
      </c>
      <c r="P651" t="s">
        <v>478</v>
      </c>
      <c r="Q651">
        <v>1</v>
      </c>
      <c r="X651">
        <v>0.01</v>
      </c>
      <c r="Y651">
        <v>0</v>
      </c>
      <c r="Z651">
        <v>83.1</v>
      </c>
      <c r="AA651">
        <v>12.62</v>
      </c>
      <c r="AB651">
        <v>0</v>
      </c>
      <c r="AC651">
        <v>0</v>
      </c>
      <c r="AD651">
        <v>1</v>
      </c>
      <c r="AE651">
        <v>0</v>
      </c>
      <c r="AF651" t="s">
        <v>78</v>
      </c>
      <c r="AG651">
        <v>1.4999999999999999E-2</v>
      </c>
      <c r="AH651">
        <v>2</v>
      </c>
      <c r="AI651">
        <v>85740227</v>
      </c>
      <c r="AJ651">
        <v>641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">
      <c r="A652">
        <f>ROW(Source!A254)</f>
        <v>254</v>
      </c>
      <c r="B652">
        <v>85740233</v>
      </c>
      <c r="C652">
        <v>85740225</v>
      </c>
      <c r="D652">
        <v>85229236</v>
      </c>
      <c r="E652">
        <v>1</v>
      </c>
      <c r="F652">
        <v>1</v>
      </c>
      <c r="G652">
        <v>1081</v>
      </c>
      <c r="H652">
        <v>2</v>
      </c>
      <c r="I652" t="s">
        <v>570</v>
      </c>
      <c r="J652" t="s">
        <v>571</v>
      </c>
      <c r="K652" t="s">
        <v>572</v>
      </c>
      <c r="L652">
        <v>1368</v>
      </c>
      <c r="N652">
        <v>1011</v>
      </c>
      <c r="O652" t="s">
        <v>478</v>
      </c>
      <c r="P652" t="s">
        <v>478</v>
      </c>
      <c r="Q652">
        <v>1</v>
      </c>
      <c r="X652">
        <v>0.01</v>
      </c>
      <c r="Y652">
        <v>0</v>
      </c>
      <c r="Z652">
        <v>114.83</v>
      </c>
      <c r="AA652">
        <v>12.62</v>
      </c>
      <c r="AB652">
        <v>0</v>
      </c>
      <c r="AC652">
        <v>0</v>
      </c>
      <c r="AD652">
        <v>1</v>
      </c>
      <c r="AE652">
        <v>0</v>
      </c>
      <c r="AF652" t="s">
        <v>78</v>
      </c>
      <c r="AG652">
        <v>1.4999999999999999E-2</v>
      </c>
      <c r="AH652">
        <v>2</v>
      </c>
      <c r="AI652">
        <v>85740228</v>
      </c>
      <c r="AJ652">
        <v>642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">
      <c r="A653">
        <f>ROW(Source!A254)</f>
        <v>254</v>
      </c>
      <c r="B653">
        <v>85740234</v>
      </c>
      <c r="C653">
        <v>85740225</v>
      </c>
      <c r="D653">
        <v>85200033</v>
      </c>
      <c r="E653">
        <v>1</v>
      </c>
      <c r="F653">
        <v>1</v>
      </c>
      <c r="G653">
        <v>1081</v>
      </c>
      <c r="H653">
        <v>3</v>
      </c>
      <c r="I653" t="s">
        <v>531</v>
      </c>
      <c r="J653" t="s">
        <v>532</v>
      </c>
      <c r="K653" t="s">
        <v>533</v>
      </c>
      <c r="L653">
        <v>1346</v>
      </c>
      <c r="N653">
        <v>1009</v>
      </c>
      <c r="O653" t="s">
        <v>502</v>
      </c>
      <c r="P653" t="s">
        <v>502</v>
      </c>
      <c r="Q653">
        <v>1</v>
      </c>
      <c r="X653">
        <v>9</v>
      </c>
      <c r="Y653">
        <v>29.89</v>
      </c>
      <c r="Z653">
        <v>0</v>
      </c>
      <c r="AA653">
        <v>0</v>
      </c>
      <c r="AB653">
        <v>0</v>
      </c>
      <c r="AC653">
        <v>0</v>
      </c>
      <c r="AD653">
        <v>1</v>
      </c>
      <c r="AE653">
        <v>0</v>
      </c>
      <c r="AF653" t="s">
        <v>77</v>
      </c>
      <c r="AG653">
        <v>9</v>
      </c>
      <c r="AH653">
        <v>2</v>
      </c>
      <c r="AI653">
        <v>85740229</v>
      </c>
      <c r="AJ653">
        <v>643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">
      <c r="A654">
        <f>ROW(Source!A254)</f>
        <v>254</v>
      </c>
      <c r="B654">
        <v>85740235</v>
      </c>
      <c r="C654">
        <v>85740225</v>
      </c>
      <c r="D654">
        <v>85199558</v>
      </c>
      <c r="E654">
        <v>1</v>
      </c>
      <c r="F654">
        <v>1</v>
      </c>
      <c r="G654">
        <v>1081</v>
      </c>
      <c r="H654">
        <v>3</v>
      </c>
      <c r="I654" t="s">
        <v>579</v>
      </c>
      <c r="J654" t="s">
        <v>580</v>
      </c>
      <c r="K654" t="s">
        <v>581</v>
      </c>
      <c r="L654">
        <v>1348</v>
      </c>
      <c r="N654">
        <v>1009</v>
      </c>
      <c r="O654" t="s">
        <v>266</v>
      </c>
      <c r="P654" t="s">
        <v>266</v>
      </c>
      <c r="Q654">
        <v>1000</v>
      </c>
      <c r="X654">
        <v>1.48E-3</v>
      </c>
      <c r="Y654">
        <v>12521.99</v>
      </c>
      <c r="Z654">
        <v>0</v>
      </c>
      <c r="AA654">
        <v>0</v>
      </c>
      <c r="AB654">
        <v>0</v>
      </c>
      <c r="AC654">
        <v>0</v>
      </c>
      <c r="AD654">
        <v>1</v>
      </c>
      <c r="AE654">
        <v>0</v>
      </c>
      <c r="AF654" t="s">
        <v>77</v>
      </c>
      <c r="AG654">
        <v>1.48E-3</v>
      </c>
      <c r="AH654">
        <v>2</v>
      </c>
      <c r="AI654">
        <v>85740230</v>
      </c>
      <c r="AJ654">
        <v>644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0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663</v>
      </c>
      <c r="E1" t="s">
        <v>663</v>
      </c>
      <c r="F1" t="s">
        <v>663</v>
      </c>
      <c r="G1" t="s">
        <v>663</v>
      </c>
      <c r="H1" t="s">
        <v>3</v>
      </c>
      <c r="I1" t="s">
        <v>663</v>
      </c>
      <c r="J1" t="s">
        <v>663</v>
      </c>
      <c r="K1" t="s">
        <v>3</v>
      </c>
      <c r="L1" t="s">
        <v>3</v>
      </c>
      <c r="M1" t="s">
        <v>3</v>
      </c>
      <c r="N1" t="s">
        <v>663</v>
      </c>
      <c r="O1" t="s">
        <v>663</v>
      </c>
      <c r="P1" t="s">
        <v>3</v>
      </c>
      <c r="Q1" t="s">
        <v>3</v>
      </c>
      <c r="R1" t="s">
        <v>3</v>
      </c>
      <c r="S1" t="s">
        <v>664</v>
      </c>
      <c r="T1" t="s">
        <v>665</v>
      </c>
      <c r="U1" t="s">
        <v>666</v>
      </c>
    </row>
    <row r="2" spans="1:21" x14ac:dyDescent="0.2">
      <c r="A2">
        <v>28</v>
      </c>
      <c r="B2">
        <v>1</v>
      </c>
      <c r="C2" t="s">
        <v>3</v>
      </c>
      <c r="D2" t="s">
        <v>35</v>
      </c>
      <c r="E2" t="s">
        <v>36</v>
      </c>
      <c r="F2" t="s">
        <v>36</v>
      </c>
      <c r="G2" t="s">
        <v>36</v>
      </c>
      <c r="H2" t="s">
        <v>3</v>
      </c>
      <c r="I2" t="s">
        <v>36</v>
      </c>
      <c r="J2" t="s">
        <v>36</v>
      </c>
      <c r="K2" t="s">
        <v>3</v>
      </c>
      <c r="L2" t="s">
        <v>3</v>
      </c>
      <c r="M2" t="s">
        <v>3</v>
      </c>
      <c r="N2" t="s">
        <v>35</v>
      </c>
      <c r="O2" t="s">
        <v>36</v>
      </c>
      <c r="P2" t="s">
        <v>3</v>
      </c>
      <c r="Q2" t="s">
        <v>3</v>
      </c>
      <c r="R2" t="s">
        <v>3</v>
      </c>
      <c r="S2" t="s">
        <v>667</v>
      </c>
      <c r="T2" t="s">
        <v>668</v>
      </c>
      <c r="U2" t="s">
        <v>669</v>
      </c>
    </row>
    <row r="3" spans="1:21" x14ac:dyDescent="0.2">
      <c r="A3">
        <v>29</v>
      </c>
      <c r="B3">
        <v>1</v>
      </c>
      <c r="C3" t="s">
        <v>3</v>
      </c>
      <c r="D3" t="s">
        <v>663</v>
      </c>
      <c r="E3" t="s">
        <v>663</v>
      </c>
      <c r="F3" t="s">
        <v>663</v>
      </c>
      <c r="G3" t="s">
        <v>663</v>
      </c>
      <c r="H3" t="s">
        <v>3</v>
      </c>
      <c r="I3" t="s">
        <v>663</v>
      </c>
      <c r="J3" t="s">
        <v>663</v>
      </c>
      <c r="K3" t="s">
        <v>3</v>
      </c>
      <c r="L3" t="s">
        <v>3</v>
      </c>
      <c r="M3" t="s">
        <v>3</v>
      </c>
      <c r="N3" t="s">
        <v>663</v>
      </c>
      <c r="O3" t="s">
        <v>663</v>
      </c>
      <c r="P3" t="s">
        <v>3</v>
      </c>
      <c r="Q3" t="s">
        <v>3</v>
      </c>
      <c r="R3" t="s">
        <v>3</v>
      </c>
      <c r="S3" t="s">
        <v>664</v>
      </c>
      <c r="T3" t="s">
        <v>665</v>
      </c>
      <c r="U3" t="s">
        <v>666</v>
      </c>
    </row>
    <row r="4" spans="1:21" x14ac:dyDescent="0.2">
      <c r="A4">
        <v>29</v>
      </c>
      <c r="B4">
        <v>1</v>
      </c>
      <c r="C4" t="s">
        <v>3</v>
      </c>
      <c r="D4" t="s">
        <v>35</v>
      </c>
      <c r="E4" t="s">
        <v>36</v>
      </c>
      <c r="F4" t="s">
        <v>36</v>
      </c>
      <c r="G4" t="s">
        <v>36</v>
      </c>
      <c r="H4" t="s">
        <v>3</v>
      </c>
      <c r="I4" t="s">
        <v>36</v>
      </c>
      <c r="J4" t="s">
        <v>36</v>
      </c>
      <c r="K4" t="s">
        <v>3</v>
      </c>
      <c r="L4" t="s">
        <v>3</v>
      </c>
      <c r="M4" t="s">
        <v>3</v>
      </c>
      <c r="N4" t="s">
        <v>35</v>
      </c>
      <c r="O4" t="s">
        <v>36</v>
      </c>
      <c r="P4" t="s">
        <v>3</v>
      </c>
      <c r="Q4" t="s">
        <v>3</v>
      </c>
      <c r="R4" t="s">
        <v>3</v>
      </c>
      <c r="S4" t="s">
        <v>667</v>
      </c>
      <c r="T4" t="s">
        <v>668</v>
      </c>
      <c r="U4" t="s">
        <v>669</v>
      </c>
    </row>
    <row r="5" spans="1:21" x14ac:dyDescent="0.2">
      <c r="A5">
        <v>30</v>
      </c>
      <c r="B5">
        <v>1</v>
      </c>
      <c r="C5" t="s">
        <v>3</v>
      </c>
      <c r="D5" t="s">
        <v>35</v>
      </c>
      <c r="E5" t="s">
        <v>36</v>
      </c>
      <c r="F5" t="s">
        <v>36</v>
      </c>
      <c r="G5" t="s">
        <v>36</v>
      </c>
      <c r="H5" t="s">
        <v>3</v>
      </c>
      <c r="I5" t="s">
        <v>36</v>
      </c>
      <c r="J5" t="s">
        <v>36</v>
      </c>
      <c r="K5" t="s">
        <v>3</v>
      </c>
      <c r="L5" t="s">
        <v>3</v>
      </c>
      <c r="M5" t="s">
        <v>3</v>
      </c>
      <c r="N5" t="s">
        <v>35</v>
      </c>
      <c r="O5" t="s">
        <v>36</v>
      </c>
      <c r="P5" t="s">
        <v>3</v>
      </c>
      <c r="Q5" t="s">
        <v>3</v>
      </c>
      <c r="R5" t="s">
        <v>3</v>
      </c>
      <c r="S5" t="s">
        <v>667</v>
      </c>
      <c r="T5" t="s">
        <v>668</v>
      </c>
      <c r="U5" t="s">
        <v>669</v>
      </c>
    </row>
    <row r="6" spans="1:21" x14ac:dyDescent="0.2">
      <c r="A6">
        <v>31</v>
      </c>
      <c r="B6">
        <v>1</v>
      </c>
      <c r="C6" t="s">
        <v>3</v>
      </c>
      <c r="D6" t="s">
        <v>35</v>
      </c>
      <c r="E6" t="s">
        <v>36</v>
      </c>
      <c r="F6" t="s">
        <v>36</v>
      </c>
      <c r="G6" t="s">
        <v>36</v>
      </c>
      <c r="H6" t="s">
        <v>3</v>
      </c>
      <c r="I6" t="s">
        <v>36</v>
      </c>
      <c r="J6" t="s">
        <v>36</v>
      </c>
      <c r="K6" t="s">
        <v>3</v>
      </c>
      <c r="L6" t="s">
        <v>3</v>
      </c>
      <c r="M6" t="s">
        <v>3</v>
      </c>
      <c r="N6" t="s">
        <v>35</v>
      </c>
      <c r="O6" t="s">
        <v>36</v>
      </c>
      <c r="P6" t="s">
        <v>3</v>
      </c>
      <c r="Q6" t="s">
        <v>3</v>
      </c>
      <c r="R6" t="s">
        <v>3</v>
      </c>
      <c r="S6" t="s">
        <v>667</v>
      </c>
      <c r="T6" t="s">
        <v>668</v>
      </c>
      <c r="U6" t="s">
        <v>669</v>
      </c>
    </row>
    <row r="7" spans="1:21" x14ac:dyDescent="0.2">
      <c r="A7">
        <v>32</v>
      </c>
      <c r="B7">
        <v>1</v>
      </c>
      <c r="C7" t="s">
        <v>3</v>
      </c>
      <c r="D7" t="s">
        <v>35</v>
      </c>
      <c r="E7" t="s">
        <v>36</v>
      </c>
      <c r="F7" t="s">
        <v>36</v>
      </c>
      <c r="G7" t="s">
        <v>36</v>
      </c>
      <c r="H7" t="s">
        <v>3</v>
      </c>
      <c r="I7" t="s">
        <v>36</v>
      </c>
      <c r="J7" t="s">
        <v>36</v>
      </c>
      <c r="K7" t="s">
        <v>3</v>
      </c>
      <c r="L7" t="s">
        <v>3</v>
      </c>
      <c r="M7" t="s">
        <v>3</v>
      </c>
      <c r="N7" t="s">
        <v>35</v>
      </c>
      <c r="O7" t="s">
        <v>36</v>
      </c>
      <c r="P7" t="s">
        <v>3</v>
      </c>
      <c r="Q7" t="s">
        <v>3</v>
      </c>
      <c r="R7" t="s">
        <v>3</v>
      </c>
      <c r="S7" t="s">
        <v>667</v>
      </c>
      <c r="T7" t="s">
        <v>668</v>
      </c>
      <c r="U7" t="s">
        <v>669</v>
      </c>
    </row>
    <row r="8" spans="1:21" x14ac:dyDescent="0.2">
      <c r="A8">
        <v>33</v>
      </c>
      <c r="B8">
        <v>1</v>
      </c>
      <c r="C8" t="s">
        <v>3</v>
      </c>
      <c r="D8" t="s">
        <v>35</v>
      </c>
      <c r="E8" t="s">
        <v>36</v>
      </c>
      <c r="F8" t="s">
        <v>36</v>
      </c>
      <c r="G8" t="s">
        <v>36</v>
      </c>
      <c r="H8" t="s">
        <v>3</v>
      </c>
      <c r="I8" t="s">
        <v>36</v>
      </c>
      <c r="J8" t="s">
        <v>36</v>
      </c>
      <c r="K8" t="s">
        <v>3</v>
      </c>
      <c r="L8" t="s">
        <v>3</v>
      </c>
      <c r="M8" t="s">
        <v>3</v>
      </c>
      <c r="N8" t="s">
        <v>35</v>
      </c>
      <c r="O8" t="s">
        <v>36</v>
      </c>
      <c r="P8" t="s">
        <v>3</v>
      </c>
      <c r="Q8" t="s">
        <v>3</v>
      </c>
      <c r="R8" t="s">
        <v>3</v>
      </c>
      <c r="S8" t="s">
        <v>667</v>
      </c>
      <c r="T8" t="s">
        <v>668</v>
      </c>
      <c r="U8" t="s">
        <v>669</v>
      </c>
    </row>
    <row r="9" spans="1:21" x14ac:dyDescent="0.2">
      <c r="A9">
        <v>36</v>
      </c>
      <c r="B9">
        <v>1</v>
      </c>
      <c r="C9" t="s">
        <v>3</v>
      </c>
      <c r="D9" t="s">
        <v>35</v>
      </c>
      <c r="E9" t="s">
        <v>36</v>
      </c>
      <c r="F9" t="s">
        <v>36</v>
      </c>
      <c r="G9" t="s">
        <v>36</v>
      </c>
      <c r="H9" t="s">
        <v>3</v>
      </c>
      <c r="I9" t="s">
        <v>36</v>
      </c>
      <c r="J9" t="s">
        <v>36</v>
      </c>
      <c r="K9" t="s">
        <v>3</v>
      </c>
      <c r="L9" t="s">
        <v>3</v>
      </c>
      <c r="M9" t="s">
        <v>3</v>
      </c>
      <c r="N9" t="s">
        <v>35</v>
      </c>
      <c r="O9" t="s">
        <v>36</v>
      </c>
      <c r="P9" t="s">
        <v>3</v>
      </c>
      <c r="Q9" t="s">
        <v>3</v>
      </c>
      <c r="R9" t="s">
        <v>3</v>
      </c>
      <c r="S9" t="s">
        <v>667</v>
      </c>
      <c r="T9" t="s">
        <v>668</v>
      </c>
      <c r="U9" t="s">
        <v>669</v>
      </c>
    </row>
    <row r="10" spans="1:21" x14ac:dyDescent="0.2">
      <c r="A10">
        <v>37</v>
      </c>
      <c r="B10">
        <v>1</v>
      </c>
      <c r="C10" t="s">
        <v>3</v>
      </c>
      <c r="D10" t="s">
        <v>35</v>
      </c>
      <c r="E10" t="s">
        <v>36</v>
      </c>
      <c r="F10" t="s">
        <v>36</v>
      </c>
      <c r="G10" t="s">
        <v>36</v>
      </c>
      <c r="H10" t="s">
        <v>3</v>
      </c>
      <c r="I10" t="s">
        <v>36</v>
      </c>
      <c r="J10" t="s">
        <v>36</v>
      </c>
      <c r="K10" t="s">
        <v>3</v>
      </c>
      <c r="L10" t="s">
        <v>3</v>
      </c>
      <c r="M10" t="s">
        <v>3</v>
      </c>
      <c r="N10" t="s">
        <v>35</v>
      </c>
      <c r="O10" t="s">
        <v>36</v>
      </c>
      <c r="P10" t="s">
        <v>3</v>
      </c>
      <c r="Q10" t="s">
        <v>3</v>
      </c>
      <c r="R10" t="s">
        <v>3</v>
      </c>
      <c r="S10" t="s">
        <v>667</v>
      </c>
      <c r="T10" t="s">
        <v>668</v>
      </c>
      <c r="U10" t="s">
        <v>669</v>
      </c>
    </row>
    <row r="11" spans="1:21" x14ac:dyDescent="0.2">
      <c r="A11">
        <v>38</v>
      </c>
      <c r="B11">
        <v>1</v>
      </c>
      <c r="C11" t="s">
        <v>3</v>
      </c>
      <c r="D11" t="s">
        <v>35</v>
      </c>
      <c r="E11" t="s">
        <v>36</v>
      </c>
      <c r="F11" t="s">
        <v>36</v>
      </c>
      <c r="G11" t="s">
        <v>36</v>
      </c>
      <c r="H11" t="s">
        <v>3</v>
      </c>
      <c r="I11" t="s">
        <v>36</v>
      </c>
      <c r="J11" t="s">
        <v>36</v>
      </c>
      <c r="K11" t="s">
        <v>3</v>
      </c>
      <c r="L11" t="s">
        <v>3</v>
      </c>
      <c r="M11" t="s">
        <v>3</v>
      </c>
      <c r="N11" t="s">
        <v>35</v>
      </c>
      <c r="O11" t="s">
        <v>36</v>
      </c>
      <c r="P11" t="s">
        <v>3</v>
      </c>
      <c r="Q11" t="s">
        <v>3</v>
      </c>
      <c r="R11" t="s">
        <v>3</v>
      </c>
      <c r="S11" t="s">
        <v>667</v>
      </c>
      <c r="T11" t="s">
        <v>668</v>
      </c>
      <c r="U11" t="s">
        <v>669</v>
      </c>
    </row>
    <row r="12" spans="1:21" x14ac:dyDescent="0.2">
      <c r="A12">
        <v>39</v>
      </c>
      <c r="B12">
        <v>1</v>
      </c>
      <c r="C12" t="s">
        <v>3</v>
      </c>
      <c r="D12" t="s">
        <v>35</v>
      </c>
      <c r="E12" t="s">
        <v>36</v>
      </c>
      <c r="F12" t="s">
        <v>36</v>
      </c>
      <c r="G12" t="s">
        <v>36</v>
      </c>
      <c r="H12" t="s">
        <v>3</v>
      </c>
      <c r="I12" t="s">
        <v>36</v>
      </c>
      <c r="J12" t="s">
        <v>36</v>
      </c>
      <c r="K12" t="s">
        <v>3</v>
      </c>
      <c r="L12" t="s">
        <v>3</v>
      </c>
      <c r="M12" t="s">
        <v>3</v>
      </c>
      <c r="N12" t="s">
        <v>35</v>
      </c>
      <c r="O12" t="s">
        <v>36</v>
      </c>
      <c r="P12" t="s">
        <v>3</v>
      </c>
      <c r="Q12" t="s">
        <v>3</v>
      </c>
      <c r="R12" t="s">
        <v>3</v>
      </c>
      <c r="S12" t="s">
        <v>667</v>
      </c>
      <c r="T12" t="s">
        <v>668</v>
      </c>
      <c r="U12" t="s">
        <v>669</v>
      </c>
    </row>
    <row r="13" spans="1:21" x14ac:dyDescent="0.2">
      <c r="A13">
        <v>40</v>
      </c>
      <c r="B13">
        <v>1</v>
      </c>
      <c r="C13" t="s">
        <v>3</v>
      </c>
      <c r="D13" t="s">
        <v>35</v>
      </c>
      <c r="E13" t="s">
        <v>36</v>
      </c>
      <c r="F13" t="s">
        <v>36</v>
      </c>
      <c r="G13" t="s">
        <v>36</v>
      </c>
      <c r="H13" t="s">
        <v>3</v>
      </c>
      <c r="I13" t="s">
        <v>36</v>
      </c>
      <c r="J13" t="s">
        <v>36</v>
      </c>
      <c r="K13" t="s">
        <v>3</v>
      </c>
      <c r="L13" t="s">
        <v>3</v>
      </c>
      <c r="M13" t="s">
        <v>3</v>
      </c>
      <c r="N13" t="s">
        <v>35</v>
      </c>
      <c r="O13" t="s">
        <v>36</v>
      </c>
      <c r="P13" t="s">
        <v>3</v>
      </c>
      <c r="Q13" t="s">
        <v>3</v>
      </c>
      <c r="R13" t="s">
        <v>3</v>
      </c>
      <c r="S13" t="s">
        <v>667</v>
      </c>
      <c r="T13" t="s">
        <v>668</v>
      </c>
      <c r="U13" t="s">
        <v>669</v>
      </c>
    </row>
    <row r="14" spans="1:21" x14ac:dyDescent="0.2">
      <c r="A14">
        <v>41</v>
      </c>
      <c r="B14">
        <v>1</v>
      </c>
      <c r="C14" t="s">
        <v>3</v>
      </c>
      <c r="D14" t="s">
        <v>35</v>
      </c>
      <c r="E14" t="s">
        <v>36</v>
      </c>
      <c r="F14" t="s">
        <v>36</v>
      </c>
      <c r="G14" t="s">
        <v>36</v>
      </c>
      <c r="H14" t="s">
        <v>3</v>
      </c>
      <c r="I14" t="s">
        <v>36</v>
      </c>
      <c r="J14" t="s">
        <v>36</v>
      </c>
      <c r="K14" t="s">
        <v>3</v>
      </c>
      <c r="L14" t="s">
        <v>3</v>
      </c>
      <c r="M14" t="s">
        <v>3</v>
      </c>
      <c r="N14" t="s">
        <v>35</v>
      </c>
      <c r="O14" t="s">
        <v>36</v>
      </c>
      <c r="P14" t="s">
        <v>3</v>
      </c>
      <c r="Q14" t="s">
        <v>3</v>
      </c>
      <c r="R14" t="s">
        <v>3</v>
      </c>
      <c r="S14" t="s">
        <v>667</v>
      </c>
      <c r="T14" t="s">
        <v>668</v>
      </c>
      <c r="U14" t="s">
        <v>669</v>
      </c>
    </row>
    <row r="15" spans="1:21" x14ac:dyDescent="0.2">
      <c r="A15">
        <v>42</v>
      </c>
      <c r="B15">
        <v>1</v>
      </c>
      <c r="C15" t="s">
        <v>3</v>
      </c>
      <c r="D15" t="s">
        <v>35</v>
      </c>
      <c r="E15" t="s">
        <v>36</v>
      </c>
      <c r="F15" t="s">
        <v>36</v>
      </c>
      <c r="G15" t="s">
        <v>36</v>
      </c>
      <c r="H15" t="s">
        <v>3</v>
      </c>
      <c r="I15" t="s">
        <v>36</v>
      </c>
      <c r="J15" t="s">
        <v>36</v>
      </c>
      <c r="K15" t="s">
        <v>3</v>
      </c>
      <c r="L15" t="s">
        <v>3</v>
      </c>
      <c r="M15" t="s">
        <v>3</v>
      </c>
      <c r="N15" t="s">
        <v>35</v>
      </c>
      <c r="O15" t="s">
        <v>36</v>
      </c>
      <c r="P15" t="s">
        <v>3</v>
      </c>
      <c r="Q15" t="s">
        <v>3</v>
      </c>
      <c r="R15" t="s">
        <v>3</v>
      </c>
      <c r="S15" t="s">
        <v>667</v>
      </c>
      <c r="T15" t="s">
        <v>668</v>
      </c>
      <c r="U15" t="s">
        <v>669</v>
      </c>
    </row>
    <row r="16" spans="1:21" x14ac:dyDescent="0.2">
      <c r="A16">
        <v>43</v>
      </c>
      <c r="B16">
        <v>1</v>
      </c>
      <c r="C16" t="s">
        <v>3</v>
      </c>
      <c r="D16" t="s">
        <v>35</v>
      </c>
      <c r="E16" t="s">
        <v>36</v>
      </c>
      <c r="F16" t="s">
        <v>36</v>
      </c>
      <c r="G16" t="s">
        <v>36</v>
      </c>
      <c r="H16" t="s">
        <v>3</v>
      </c>
      <c r="I16" t="s">
        <v>36</v>
      </c>
      <c r="J16" t="s">
        <v>36</v>
      </c>
      <c r="K16" t="s">
        <v>3</v>
      </c>
      <c r="L16" t="s">
        <v>3</v>
      </c>
      <c r="M16" t="s">
        <v>3</v>
      </c>
      <c r="N16" t="s">
        <v>35</v>
      </c>
      <c r="O16" t="s">
        <v>36</v>
      </c>
      <c r="P16" t="s">
        <v>3</v>
      </c>
      <c r="Q16" t="s">
        <v>3</v>
      </c>
      <c r="R16" t="s">
        <v>3</v>
      </c>
      <c r="S16" t="s">
        <v>667</v>
      </c>
      <c r="T16" t="s">
        <v>668</v>
      </c>
      <c r="U16" t="s">
        <v>669</v>
      </c>
    </row>
    <row r="17" spans="1:21" x14ac:dyDescent="0.2">
      <c r="A17">
        <v>44</v>
      </c>
      <c r="B17">
        <v>1</v>
      </c>
      <c r="C17" t="s">
        <v>3</v>
      </c>
      <c r="D17" t="s">
        <v>35</v>
      </c>
      <c r="E17" t="s">
        <v>670</v>
      </c>
      <c r="F17" t="s">
        <v>670</v>
      </c>
      <c r="G17" t="s">
        <v>671</v>
      </c>
      <c r="H17" t="s">
        <v>3</v>
      </c>
      <c r="I17" t="s">
        <v>671</v>
      </c>
      <c r="J17" t="s">
        <v>670</v>
      </c>
      <c r="K17" t="s">
        <v>3</v>
      </c>
      <c r="L17" t="s">
        <v>3</v>
      </c>
      <c r="M17" t="s">
        <v>3</v>
      </c>
      <c r="N17" t="s">
        <v>35</v>
      </c>
      <c r="O17" t="s">
        <v>670</v>
      </c>
      <c r="P17" t="s">
        <v>3</v>
      </c>
      <c r="Q17" t="s">
        <v>3</v>
      </c>
      <c r="R17" t="s">
        <v>3</v>
      </c>
      <c r="S17" t="s">
        <v>672</v>
      </c>
      <c r="T17" t="s">
        <v>673</v>
      </c>
      <c r="U17" t="s">
        <v>674</v>
      </c>
    </row>
    <row r="18" spans="1:21" x14ac:dyDescent="0.2">
      <c r="A18">
        <v>44</v>
      </c>
      <c r="B18">
        <v>1</v>
      </c>
      <c r="C18" t="s">
        <v>3</v>
      </c>
      <c r="D18" t="s">
        <v>35</v>
      </c>
      <c r="E18" t="s">
        <v>36</v>
      </c>
      <c r="F18" t="s">
        <v>36</v>
      </c>
      <c r="G18" t="s">
        <v>36</v>
      </c>
      <c r="H18" t="s">
        <v>3</v>
      </c>
      <c r="I18" t="s">
        <v>36</v>
      </c>
      <c r="J18" t="s">
        <v>36</v>
      </c>
      <c r="K18" t="s">
        <v>3</v>
      </c>
      <c r="L18" t="s">
        <v>3</v>
      </c>
      <c r="M18" t="s">
        <v>3</v>
      </c>
      <c r="N18" t="s">
        <v>35</v>
      </c>
      <c r="O18" t="s">
        <v>36</v>
      </c>
      <c r="P18" t="s">
        <v>3</v>
      </c>
      <c r="Q18" t="s">
        <v>3</v>
      </c>
      <c r="R18" t="s">
        <v>3</v>
      </c>
      <c r="S18" t="s">
        <v>667</v>
      </c>
      <c r="T18" t="s">
        <v>668</v>
      </c>
      <c r="U18" t="s">
        <v>669</v>
      </c>
    </row>
    <row r="19" spans="1:21" x14ac:dyDescent="0.2">
      <c r="A19">
        <v>45</v>
      </c>
      <c r="B19">
        <v>1</v>
      </c>
      <c r="C19" t="s">
        <v>3</v>
      </c>
      <c r="D19" t="s">
        <v>35</v>
      </c>
      <c r="E19" t="s">
        <v>670</v>
      </c>
      <c r="F19" t="s">
        <v>670</v>
      </c>
      <c r="G19" t="s">
        <v>671</v>
      </c>
      <c r="H19" t="s">
        <v>3</v>
      </c>
      <c r="I19" t="s">
        <v>671</v>
      </c>
      <c r="J19" t="s">
        <v>670</v>
      </c>
      <c r="K19" t="s">
        <v>3</v>
      </c>
      <c r="L19" t="s">
        <v>3</v>
      </c>
      <c r="M19" t="s">
        <v>3</v>
      </c>
      <c r="N19" t="s">
        <v>35</v>
      </c>
      <c r="O19" t="s">
        <v>670</v>
      </c>
      <c r="P19" t="s">
        <v>3</v>
      </c>
      <c r="Q19" t="s">
        <v>3</v>
      </c>
      <c r="R19" t="s">
        <v>3</v>
      </c>
      <c r="S19" t="s">
        <v>672</v>
      </c>
      <c r="T19" t="s">
        <v>673</v>
      </c>
      <c r="U19" t="s">
        <v>674</v>
      </c>
    </row>
    <row r="20" spans="1:21" x14ac:dyDescent="0.2">
      <c r="A20">
        <v>45</v>
      </c>
      <c r="B20">
        <v>1</v>
      </c>
      <c r="C20" t="s">
        <v>3</v>
      </c>
      <c r="D20" t="s">
        <v>35</v>
      </c>
      <c r="E20" t="s">
        <v>36</v>
      </c>
      <c r="F20" t="s">
        <v>36</v>
      </c>
      <c r="G20" t="s">
        <v>36</v>
      </c>
      <c r="H20" t="s">
        <v>3</v>
      </c>
      <c r="I20" t="s">
        <v>36</v>
      </c>
      <c r="J20" t="s">
        <v>36</v>
      </c>
      <c r="K20" t="s">
        <v>3</v>
      </c>
      <c r="L20" t="s">
        <v>3</v>
      </c>
      <c r="M20" t="s">
        <v>3</v>
      </c>
      <c r="N20" t="s">
        <v>35</v>
      </c>
      <c r="O20" t="s">
        <v>36</v>
      </c>
      <c r="P20" t="s">
        <v>3</v>
      </c>
      <c r="Q20" t="s">
        <v>3</v>
      </c>
      <c r="R20" t="s">
        <v>3</v>
      </c>
      <c r="S20" t="s">
        <v>667</v>
      </c>
      <c r="T20" t="s">
        <v>668</v>
      </c>
      <c r="U20" t="s">
        <v>669</v>
      </c>
    </row>
    <row r="21" spans="1:21" x14ac:dyDescent="0.2">
      <c r="A21">
        <v>48</v>
      </c>
      <c r="B21">
        <v>1</v>
      </c>
      <c r="C21" t="s">
        <v>3</v>
      </c>
      <c r="D21" t="s">
        <v>35</v>
      </c>
      <c r="E21" t="s">
        <v>36</v>
      </c>
      <c r="F21" t="s">
        <v>36</v>
      </c>
      <c r="G21" t="s">
        <v>36</v>
      </c>
      <c r="H21" t="s">
        <v>3</v>
      </c>
      <c r="I21" t="s">
        <v>36</v>
      </c>
      <c r="J21" t="s">
        <v>36</v>
      </c>
      <c r="K21" t="s">
        <v>3</v>
      </c>
      <c r="L21" t="s">
        <v>3</v>
      </c>
      <c r="M21" t="s">
        <v>3</v>
      </c>
      <c r="N21" t="s">
        <v>35</v>
      </c>
      <c r="O21" t="s">
        <v>36</v>
      </c>
      <c r="P21" t="s">
        <v>3</v>
      </c>
      <c r="Q21" t="s">
        <v>3</v>
      </c>
      <c r="R21" t="s">
        <v>3</v>
      </c>
      <c r="S21" t="s">
        <v>667</v>
      </c>
      <c r="T21" t="s">
        <v>668</v>
      </c>
      <c r="U21" t="s">
        <v>669</v>
      </c>
    </row>
    <row r="22" spans="1:21" x14ac:dyDescent="0.2">
      <c r="A22">
        <v>49</v>
      </c>
      <c r="B22">
        <v>1</v>
      </c>
      <c r="C22" t="s">
        <v>3</v>
      </c>
      <c r="D22" t="s">
        <v>35</v>
      </c>
      <c r="E22" t="s">
        <v>36</v>
      </c>
      <c r="F22" t="s">
        <v>36</v>
      </c>
      <c r="G22" t="s">
        <v>36</v>
      </c>
      <c r="H22" t="s">
        <v>3</v>
      </c>
      <c r="I22" t="s">
        <v>36</v>
      </c>
      <c r="J22" t="s">
        <v>36</v>
      </c>
      <c r="K22" t="s">
        <v>3</v>
      </c>
      <c r="L22" t="s">
        <v>3</v>
      </c>
      <c r="M22" t="s">
        <v>3</v>
      </c>
      <c r="N22" t="s">
        <v>35</v>
      </c>
      <c r="O22" t="s">
        <v>36</v>
      </c>
      <c r="P22" t="s">
        <v>3</v>
      </c>
      <c r="Q22" t="s">
        <v>3</v>
      </c>
      <c r="R22" t="s">
        <v>3</v>
      </c>
      <c r="S22" t="s">
        <v>667</v>
      </c>
      <c r="T22" t="s">
        <v>668</v>
      </c>
      <c r="U22" t="s">
        <v>669</v>
      </c>
    </row>
    <row r="23" spans="1:21" x14ac:dyDescent="0.2">
      <c r="A23">
        <v>52</v>
      </c>
      <c r="B23">
        <v>1</v>
      </c>
      <c r="C23" t="s">
        <v>3</v>
      </c>
      <c r="D23" t="s">
        <v>35</v>
      </c>
      <c r="E23" t="s">
        <v>36</v>
      </c>
      <c r="F23" t="s">
        <v>36</v>
      </c>
      <c r="G23" t="s">
        <v>36</v>
      </c>
      <c r="H23" t="s">
        <v>3</v>
      </c>
      <c r="I23" t="s">
        <v>36</v>
      </c>
      <c r="J23" t="s">
        <v>36</v>
      </c>
      <c r="K23" t="s">
        <v>3</v>
      </c>
      <c r="L23" t="s">
        <v>3</v>
      </c>
      <c r="M23" t="s">
        <v>3</v>
      </c>
      <c r="N23" t="s">
        <v>35</v>
      </c>
      <c r="O23" t="s">
        <v>36</v>
      </c>
      <c r="P23" t="s">
        <v>3</v>
      </c>
      <c r="Q23" t="s">
        <v>3</v>
      </c>
      <c r="R23" t="s">
        <v>3</v>
      </c>
      <c r="S23" t="s">
        <v>667</v>
      </c>
      <c r="T23" t="s">
        <v>668</v>
      </c>
      <c r="U23" t="s">
        <v>669</v>
      </c>
    </row>
    <row r="24" spans="1:21" x14ac:dyDescent="0.2">
      <c r="A24">
        <v>53</v>
      </c>
      <c r="B24">
        <v>1</v>
      </c>
      <c r="C24" t="s">
        <v>3</v>
      </c>
      <c r="D24" t="s">
        <v>35</v>
      </c>
      <c r="E24" t="s">
        <v>36</v>
      </c>
      <c r="F24" t="s">
        <v>36</v>
      </c>
      <c r="G24" t="s">
        <v>36</v>
      </c>
      <c r="H24" t="s">
        <v>3</v>
      </c>
      <c r="I24" t="s">
        <v>36</v>
      </c>
      <c r="J24" t="s">
        <v>36</v>
      </c>
      <c r="K24" t="s">
        <v>3</v>
      </c>
      <c r="L24" t="s">
        <v>3</v>
      </c>
      <c r="M24" t="s">
        <v>3</v>
      </c>
      <c r="N24" t="s">
        <v>35</v>
      </c>
      <c r="O24" t="s">
        <v>36</v>
      </c>
      <c r="P24" t="s">
        <v>3</v>
      </c>
      <c r="Q24" t="s">
        <v>3</v>
      </c>
      <c r="R24" t="s">
        <v>3</v>
      </c>
      <c r="S24" t="s">
        <v>667</v>
      </c>
      <c r="T24" t="s">
        <v>668</v>
      </c>
      <c r="U24" t="s">
        <v>669</v>
      </c>
    </row>
    <row r="25" spans="1:21" x14ac:dyDescent="0.2">
      <c r="A25">
        <v>56</v>
      </c>
      <c r="B25">
        <v>1</v>
      </c>
      <c r="C25" t="s">
        <v>3</v>
      </c>
      <c r="D25" t="s">
        <v>35</v>
      </c>
      <c r="E25" t="s">
        <v>36</v>
      </c>
      <c r="F25" t="s">
        <v>36</v>
      </c>
      <c r="G25" t="s">
        <v>36</v>
      </c>
      <c r="H25" t="s">
        <v>3</v>
      </c>
      <c r="I25" t="s">
        <v>36</v>
      </c>
      <c r="J25" t="s">
        <v>36</v>
      </c>
      <c r="K25" t="s">
        <v>3</v>
      </c>
      <c r="L25" t="s">
        <v>3</v>
      </c>
      <c r="M25" t="s">
        <v>3</v>
      </c>
      <c r="N25" t="s">
        <v>35</v>
      </c>
      <c r="O25" t="s">
        <v>36</v>
      </c>
      <c r="P25" t="s">
        <v>3</v>
      </c>
      <c r="Q25" t="s">
        <v>3</v>
      </c>
      <c r="R25" t="s">
        <v>3</v>
      </c>
      <c r="S25" t="s">
        <v>667</v>
      </c>
      <c r="T25" t="s">
        <v>668</v>
      </c>
      <c r="U25" t="s">
        <v>669</v>
      </c>
    </row>
    <row r="26" spans="1:21" x14ac:dyDescent="0.2">
      <c r="A26">
        <v>57</v>
      </c>
      <c r="B26">
        <v>1</v>
      </c>
      <c r="C26" t="s">
        <v>3</v>
      </c>
      <c r="D26" t="s">
        <v>35</v>
      </c>
      <c r="E26" t="s">
        <v>36</v>
      </c>
      <c r="F26" t="s">
        <v>36</v>
      </c>
      <c r="G26" t="s">
        <v>36</v>
      </c>
      <c r="H26" t="s">
        <v>3</v>
      </c>
      <c r="I26" t="s">
        <v>36</v>
      </c>
      <c r="J26" t="s">
        <v>36</v>
      </c>
      <c r="K26" t="s">
        <v>3</v>
      </c>
      <c r="L26" t="s">
        <v>3</v>
      </c>
      <c r="M26" t="s">
        <v>3</v>
      </c>
      <c r="N26" t="s">
        <v>35</v>
      </c>
      <c r="O26" t="s">
        <v>36</v>
      </c>
      <c r="P26" t="s">
        <v>3</v>
      </c>
      <c r="Q26" t="s">
        <v>3</v>
      </c>
      <c r="R26" t="s">
        <v>3</v>
      </c>
      <c r="S26" t="s">
        <v>667</v>
      </c>
      <c r="T26" t="s">
        <v>668</v>
      </c>
      <c r="U26" t="s">
        <v>669</v>
      </c>
    </row>
    <row r="27" spans="1:21" x14ac:dyDescent="0.2">
      <c r="A27">
        <v>62</v>
      </c>
      <c r="B27">
        <v>1</v>
      </c>
      <c r="C27" t="s">
        <v>3</v>
      </c>
      <c r="D27" t="s">
        <v>35</v>
      </c>
      <c r="E27" t="s">
        <v>36</v>
      </c>
      <c r="F27" t="s">
        <v>36</v>
      </c>
      <c r="G27" t="s">
        <v>36</v>
      </c>
      <c r="H27" t="s">
        <v>3</v>
      </c>
      <c r="I27" t="s">
        <v>36</v>
      </c>
      <c r="J27" t="s">
        <v>36</v>
      </c>
      <c r="K27" t="s">
        <v>3</v>
      </c>
      <c r="L27" t="s">
        <v>3</v>
      </c>
      <c r="M27" t="s">
        <v>3</v>
      </c>
      <c r="N27" t="s">
        <v>35</v>
      </c>
      <c r="O27" t="s">
        <v>36</v>
      </c>
      <c r="P27" t="s">
        <v>3</v>
      </c>
      <c r="Q27" t="s">
        <v>3</v>
      </c>
      <c r="R27" t="s">
        <v>3</v>
      </c>
      <c r="S27" t="s">
        <v>667</v>
      </c>
      <c r="T27" t="s">
        <v>668</v>
      </c>
      <c r="U27" t="s">
        <v>669</v>
      </c>
    </row>
    <row r="28" spans="1:21" x14ac:dyDescent="0.2">
      <c r="A28">
        <v>63</v>
      </c>
      <c r="B28">
        <v>1</v>
      </c>
      <c r="C28" t="s">
        <v>3</v>
      </c>
      <c r="D28" t="s">
        <v>35</v>
      </c>
      <c r="E28" t="s">
        <v>36</v>
      </c>
      <c r="F28" t="s">
        <v>36</v>
      </c>
      <c r="G28" t="s">
        <v>36</v>
      </c>
      <c r="H28" t="s">
        <v>3</v>
      </c>
      <c r="I28" t="s">
        <v>36</v>
      </c>
      <c r="J28" t="s">
        <v>36</v>
      </c>
      <c r="K28" t="s">
        <v>3</v>
      </c>
      <c r="L28" t="s">
        <v>3</v>
      </c>
      <c r="M28" t="s">
        <v>3</v>
      </c>
      <c r="N28" t="s">
        <v>35</v>
      </c>
      <c r="O28" t="s">
        <v>36</v>
      </c>
      <c r="P28" t="s">
        <v>3</v>
      </c>
      <c r="Q28" t="s">
        <v>3</v>
      </c>
      <c r="R28" t="s">
        <v>3</v>
      </c>
      <c r="S28" t="s">
        <v>667</v>
      </c>
      <c r="T28" t="s">
        <v>668</v>
      </c>
      <c r="U28" t="s">
        <v>669</v>
      </c>
    </row>
    <row r="29" spans="1:21" x14ac:dyDescent="0.2">
      <c r="A29">
        <v>66</v>
      </c>
      <c r="B29">
        <v>1</v>
      </c>
      <c r="C29" t="s">
        <v>3</v>
      </c>
      <c r="D29" t="s">
        <v>35</v>
      </c>
      <c r="E29" t="s">
        <v>36</v>
      </c>
      <c r="F29" t="s">
        <v>36</v>
      </c>
      <c r="G29" t="s">
        <v>36</v>
      </c>
      <c r="H29" t="s">
        <v>3</v>
      </c>
      <c r="I29" t="s">
        <v>36</v>
      </c>
      <c r="J29" t="s">
        <v>36</v>
      </c>
      <c r="K29" t="s">
        <v>3</v>
      </c>
      <c r="L29" t="s">
        <v>3</v>
      </c>
      <c r="M29" t="s">
        <v>3</v>
      </c>
      <c r="N29" t="s">
        <v>35</v>
      </c>
      <c r="O29" t="s">
        <v>36</v>
      </c>
      <c r="P29" t="s">
        <v>3</v>
      </c>
      <c r="Q29" t="s">
        <v>3</v>
      </c>
      <c r="R29" t="s">
        <v>3</v>
      </c>
      <c r="S29" t="s">
        <v>667</v>
      </c>
      <c r="T29" t="s">
        <v>668</v>
      </c>
      <c r="U29" t="s">
        <v>669</v>
      </c>
    </row>
    <row r="30" spans="1:21" x14ac:dyDescent="0.2">
      <c r="A30">
        <v>67</v>
      </c>
      <c r="B30">
        <v>1</v>
      </c>
      <c r="C30" t="s">
        <v>3</v>
      </c>
      <c r="D30" t="s">
        <v>35</v>
      </c>
      <c r="E30" t="s">
        <v>36</v>
      </c>
      <c r="F30" t="s">
        <v>36</v>
      </c>
      <c r="G30" t="s">
        <v>36</v>
      </c>
      <c r="H30" t="s">
        <v>3</v>
      </c>
      <c r="I30" t="s">
        <v>36</v>
      </c>
      <c r="J30" t="s">
        <v>36</v>
      </c>
      <c r="K30" t="s">
        <v>3</v>
      </c>
      <c r="L30" t="s">
        <v>3</v>
      </c>
      <c r="M30" t="s">
        <v>3</v>
      </c>
      <c r="N30" t="s">
        <v>35</v>
      </c>
      <c r="O30" t="s">
        <v>36</v>
      </c>
      <c r="P30" t="s">
        <v>3</v>
      </c>
      <c r="Q30" t="s">
        <v>3</v>
      </c>
      <c r="R30" t="s">
        <v>3</v>
      </c>
      <c r="S30" t="s">
        <v>667</v>
      </c>
      <c r="T30" t="s">
        <v>668</v>
      </c>
      <c r="U30" t="s">
        <v>669</v>
      </c>
    </row>
    <row r="31" spans="1:21" x14ac:dyDescent="0.2">
      <c r="A31">
        <v>72</v>
      </c>
      <c r="B31">
        <v>1</v>
      </c>
      <c r="C31" t="s">
        <v>3</v>
      </c>
      <c r="D31" t="s">
        <v>35</v>
      </c>
      <c r="E31" t="s">
        <v>36</v>
      </c>
      <c r="F31" t="s">
        <v>36</v>
      </c>
      <c r="G31" t="s">
        <v>36</v>
      </c>
      <c r="H31" t="s">
        <v>3</v>
      </c>
      <c r="I31" t="s">
        <v>36</v>
      </c>
      <c r="J31" t="s">
        <v>36</v>
      </c>
      <c r="K31" t="s">
        <v>3</v>
      </c>
      <c r="L31" t="s">
        <v>3</v>
      </c>
      <c r="M31" t="s">
        <v>3</v>
      </c>
      <c r="N31" t="s">
        <v>35</v>
      </c>
      <c r="O31" t="s">
        <v>36</v>
      </c>
      <c r="P31" t="s">
        <v>3</v>
      </c>
      <c r="Q31" t="s">
        <v>3</v>
      </c>
      <c r="R31" t="s">
        <v>3</v>
      </c>
      <c r="S31" t="s">
        <v>667</v>
      </c>
      <c r="T31" t="s">
        <v>668</v>
      </c>
      <c r="U31" t="s">
        <v>669</v>
      </c>
    </row>
    <row r="32" spans="1:21" x14ac:dyDescent="0.2">
      <c r="A32">
        <v>73</v>
      </c>
      <c r="B32">
        <v>1</v>
      </c>
      <c r="C32" t="s">
        <v>3</v>
      </c>
      <c r="D32" t="s">
        <v>35</v>
      </c>
      <c r="E32" t="s">
        <v>36</v>
      </c>
      <c r="F32" t="s">
        <v>36</v>
      </c>
      <c r="G32" t="s">
        <v>36</v>
      </c>
      <c r="H32" t="s">
        <v>3</v>
      </c>
      <c r="I32" t="s">
        <v>36</v>
      </c>
      <c r="J32" t="s">
        <v>36</v>
      </c>
      <c r="K32" t="s">
        <v>3</v>
      </c>
      <c r="L32" t="s">
        <v>3</v>
      </c>
      <c r="M32" t="s">
        <v>3</v>
      </c>
      <c r="N32" t="s">
        <v>35</v>
      </c>
      <c r="O32" t="s">
        <v>36</v>
      </c>
      <c r="P32" t="s">
        <v>3</v>
      </c>
      <c r="Q32" t="s">
        <v>3</v>
      </c>
      <c r="R32" t="s">
        <v>3</v>
      </c>
      <c r="S32" t="s">
        <v>667</v>
      </c>
      <c r="T32" t="s">
        <v>668</v>
      </c>
      <c r="U32" t="s">
        <v>669</v>
      </c>
    </row>
    <row r="33" spans="1:21" x14ac:dyDescent="0.2">
      <c r="A33">
        <v>78</v>
      </c>
      <c r="B33">
        <v>1</v>
      </c>
      <c r="C33" t="s">
        <v>3</v>
      </c>
      <c r="D33" t="s">
        <v>35</v>
      </c>
      <c r="E33" t="s">
        <v>36</v>
      </c>
      <c r="F33" t="s">
        <v>36</v>
      </c>
      <c r="G33" t="s">
        <v>36</v>
      </c>
      <c r="H33" t="s">
        <v>3</v>
      </c>
      <c r="I33" t="s">
        <v>36</v>
      </c>
      <c r="J33" t="s">
        <v>36</v>
      </c>
      <c r="K33" t="s">
        <v>3</v>
      </c>
      <c r="L33" t="s">
        <v>3</v>
      </c>
      <c r="M33" t="s">
        <v>3</v>
      </c>
      <c r="N33" t="s">
        <v>35</v>
      </c>
      <c r="O33" t="s">
        <v>36</v>
      </c>
      <c r="P33" t="s">
        <v>3</v>
      </c>
      <c r="Q33" t="s">
        <v>3</v>
      </c>
      <c r="R33" t="s">
        <v>3</v>
      </c>
      <c r="S33" t="s">
        <v>667</v>
      </c>
      <c r="T33" t="s">
        <v>668</v>
      </c>
      <c r="U33" t="s">
        <v>669</v>
      </c>
    </row>
    <row r="34" spans="1:21" x14ac:dyDescent="0.2">
      <c r="A34">
        <v>79</v>
      </c>
      <c r="B34">
        <v>1</v>
      </c>
      <c r="C34" t="s">
        <v>3</v>
      </c>
      <c r="D34" t="s">
        <v>35</v>
      </c>
      <c r="E34" t="s">
        <v>36</v>
      </c>
      <c r="F34" t="s">
        <v>36</v>
      </c>
      <c r="G34" t="s">
        <v>36</v>
      </c>
      <c r="H34" t="s">
        <v>3</v>
      </c>
      <c r="I34" t="s">
        <v>36</v>
      </c>
      <c r="J34" t="s">
        <v>36</v>
      </c>
      <c r="K34" t="s">
        <v>3</v>
      </c>
      <c r="L34" t="s">
        <v>3</v>
      </c>
      <c r="M34" t="s">
        <v>3</v>
      </c>
      <c r="N34" t="s">
        <v>35</v>
      </c>
      <c r="O34" t="s">
        <v>36</v>
      </c>
      <c r="P34" t="s">
        <v>3</v>
      </c>
      <c r="Q34" t="s">
        <v>3</v>
      </c>
      <c r="R34" t="s">
        <v>3</v>
      </c>
      <c r="S34" t="s">
        <v>667</v>
      </c>
      <c r="T34" t="s">
        <v>668</v>
      </c>
      <c r="U34" t="s">
        <v>669</v>
      </c>
    </row>
    <row r="35" spans="1:21" x14ac:dyDescent="0.2">
      <c r="A35">
        <v>82</v>
      </c>
      <c r="B35">
        <v>1</v>
      </c>
      <c r="C35" t="s">
        <v>3</v>
      </c>
      <c r="D35" t="s">
        <v>35</v>
      </c>
      <c r="E35" t="s">
        <v>36</v>
      </c>
      <c r="F35" t="s">
        <v>36</v>
      </c>
      <c r="G35" t="s">
        <v>36</v>
      </c>
      <c r="H35" t="s">
        <v>3</v>
      </c>
      <c r="I35" t="s">
        <v>36</v>
      </c>
      <c r="J35" t="s">
        <v>36</v>
      </c>
      <c r="K35" t="s">
        <v>3</v>
      </c>
      <c r="L35" t="s">
        <v>3</v>
      </c>
      <c r="M35" t="s">
        <v>3</v>
      </c>
      <c r="N35" t="s">
        <v>35</v>
      </c>
      <c r="O35" t="s">
        <v>36</v>
      </c>
      <c r="P35" t="s">
        <v>3</v>
      </c>
      <c r="Q35" t="s">
        <v>3</v>
      </c>
      <c r="R35" t="s">
        <v>3</v>
      </c>
      <c r="S35" t="s">
        <v>667</v>
      </c>
      <c r="T35" t="s">
        <v>668</v>
      </c>
      <c r="U35" t="s">
        <v>669</v>
      </c>
    </row>
    <row r="36" spans="1:21" x14ac:dyDescent="0.2">
      <c r="A36">
        <v>83</v>
      </c>
      <c r="B36">
        <v>1</v>
      </c>
      <c r="C36" t="s">
        <v>3</v>
      </c>
      <c r="D36" t="s">
        <v>35</v>
      </c>
      <c r="E36" t="s">
        <v>36</v>
      </c>
      <c r="F36" t="s">
        <v>36</v>
      </c>
      <c r="G36" t="s">
        <v>36</v>
      </c>
      <c r="H36" t="s">
        <v>3</v>
      </c>
      <c r="I36" t="s">
        <v>36</v>
      </c>
      <c r="J36" t="s">
        <v>36</v>
      </c>
      <c r="K36" t="s">
        <v>3</v>
      </c>
      <c r="L36" t="s">
        <v>3</v>
      </c>
      <c r="M36" t="s">
        <v>3</v>
      </c>
      <c r="N36" t="s">
        <v>35</v>
      </c>
      <c r="O36" t="s">
        <v>36</v>
      </c>
      <c r="P36" t="s">
        <v>3</v>
      </c>
      <c r="Q36" t="s">
        <v>3</v>
      </c>
      <c r="R36" t="s">
        <v>3</v>
      </c>
      <c r="S36" t="s">
        <v>667</v>
      </c>
      <c r="T36" t="s">
        <v>668</v>
      </c>
      <c r="U36" t="s">
        <v>669</v>
      </c>
    </row>
    <row r="37" spans="1:21" x14ac:dyDescent="0.2">
      <c r="A37">
        <v>88</v>
      </c>
      <c r="B37">
        <v>1</v>
      </c>
      <c r="C37" t="s">
        <v>3</v>
      </c>
      <c r="D37" t="s">
        <v>35</v>
      </c>
      <c r="E37" t="s">
        <v>36</v>
      </c>
      <c r="F37" t="s">
        <v>36</v>
      </c>
      <c r="G37" t="s">
        <v>36</v>
      </c>
      <c r="H37" t="s">
        <v>3</v>
      </c>
      <c r="I37" t="s">
        <v>36</v>
      </c>
      <c r="J37" t="s">
        <v>36</v>
      </c>
      <c r="K37" t="s">
        <v>3</v>
      </c>
      <c r="L37" t="s">
        <v>3</v>
      </c>
      <c r="M37" t="s">
        <v>3</v>
      </c>
      <c r="N37" t="s">
        <v>35</v>
      </c>
      <c r="O37" t="s">
        <v>36</v>
      </c>
      <c r="P37" t="s">
        <v>3</v>
      </c>
      <c r="Q37" t="s">
        <v>3</v>
      </c>
      <c r="R37" t="s">
        <v>3</v>
      </c>
      <c r="S37" t="s">
        <v>667</v>
      </c>
      <c r="T37" t="s">
        <v>668</v>
      </c>
      <c r="U37" t="s">
        <v>669</v>
      </c>
    </row>
    <row r="38" spans="1:21" x14ac:dyDescent="0.2">
      <c r="A38">
        <v>89</v>
      </c>
      <c r="B38">
        <v>1</v>
      </c>
      <c r="C38" t="s">
        <v>3</v>
      </c>
      <c r="D38" t="s">
        <v>35</v>
      </c>
      <c r="E38" t="s">
        <v>36</v>
      </c>
      <c r="F38" t="s">
        <v>36</v>
      </c>
      <c r="G38" t="s">
        <v>36</v>
      </c>
      <c r="H38" t="s">
        <v>3</v>
      </c>
      <c r="I38" t="s">
        <v>36</v>
      </c>
      <c r="J38" t="s">
        <v>36</v>
      </c>
      <c r="K38" t="s">
        <v>3</v>
      </c>
      <c r="L38" t="s">
        <v>3</v>
      </c>
      <c r="M38" t="s">
        <v>3</v>
      </c>
      <c r="N38" t="s">
        <v>35</v>
      </c>
      <c r="O38" t="s">
        <v>36</v>
      </c>
      <c r="P38" t="s">
        <v>3</v>
      </c>
      <c r="Q38" t="s">
        <v>3</v>
      </c>
      <c r="R38" t="s">
        <v>3</v>
      </c>
      <c r="S38" t="s">
        <v>667</v>
      </c>
      <c r="T38" t="s">
        <v>668</v>
      </c>
      <c r="U38" t="s">
        <v>669</v>
      </c>
    </row>
    <row r="39" spans="1:21" x14ac:dyDescent="0.2">
      <c r="A39">
        <v>92</v>
      </c>
      <c r="B39">
        <v>1</v>
      </c>
      <c r="C39" t="s">
        <v>3</v>
      </c>
      <c r="D39" t="s">
        <v>35</v>
      </c>
      <c r="E39" t="s">
        <v>36</v>
      </c>
      <c r="F39" t="s">
        <v>36</v>
      </c>
      <c r="G39" t="s">
        <v>36</v>
      </c>
      <c r="H39" t="s">
        <v>3</v>
      </c>
      <c r="I39" t="s">
        <v>36</v>
      </c>
      <c r="J39" t="s">
        <v>36</v>
      </c>
      <c r="K39" t="s">
        <v>3</v>
      </c>
      <c r="L39" t="s">
        <v>3</v>
      </c>
      <c r="M39" t="s">
        <v>3</v>
      </c>
      <c r="N39" t="s">
        <v>35</v>
      </c>
      <c r="O39" t="s">
        <v>36</v>
      </c>
      <c r="P39" t="s">
        <v>3</v>
      </c>
      <c r="Q39" t="s">
        <v>3</v>
      </c>
      <c r="R39" t="s">
        <v>3</v>
      </c>
      <c r="S39" t="s">
        <v>667</v>
      </c>
      <c r="T39" t="s">
        <v>668</v>
      </c>
      <c r="U39" t="s">
        <v>669</v>
      </c>
    </row>
    <row r="40" spans="1:21" x14ac:dyDescent="0.2">
      <c r="A40">
        <v>93</v>
      </c>
      <c r="B40">
        <v>1</v>
      </c>
      <c r="C40" t="s">
        <v>3</v>
      </c>
      <c r="D40" t="s">
        <v>35</v>
      </c>
      <c r="E40" t="s">
        <v>36</v>
      </c>
      <c r="F40" t="s">
        <v>36</v>
      </c>
      <c r="G40" t="s">
        <v>36</v>
      </c>
      <c r="H40" t="s">
        <v>3</v>
      </c>
      <c r="I40" t="s">
        <v>36</v>
      </c>
      <c r="J40" t="s">
        <v>36</v>
      </c>
      <c r="K40" t="s">
        <v>3</v>
      </c>
      <c r="L40" t="s">
        <v>3</v>
      </c>
      <c r="M40" t="s">
        <v>3</v>
      </c>
      <c r="N40" t="s">
        <v>35</v>
      </c>
      <c r="O40" t="s">
        <v>36</v>
      </c>
      <c r="P40" t="s">
        <v>3</v>
      </c>
      <c r="Q40" t="s">
        <v>3</v>
      </c>
      <c r="R40" t="s">
        <v>3</v>
      </c>
      <c r="S40" t="s">
        <v>667</v>
      </c>
      <c r="T40" t="s">
        <v>668</v>
      </c>
      <c r="U40" t="s">
        <v>669</v>
      </c>
    </row>
    <row r="41" spans="1:21" x14ac:dyDescent="0.2">
      <c r="A41">
        <v>98</v>
      </c>
      <c r="B41">
        <v>1</v>
      </c>
      <c r="C41" t="s">
        <v>3</v>
      </c>
      <c r="D41" t="s">
        <v>35</v>
      </c>
      <c r="E41" t="s">
        <v>36</v>
      </c>
      <c r="F41" t="s">
        <v>36</v>
      </c>
      <c r="G41" t="s">
        <v>36</v>
      </c>
      <c r="H41" t="s">
        <v>3</v>
      </c>
      <c r="I41" t="s">
        <v>36</v>
      </c>
      <c r="J41" t="s">
        <v>36</v>
      </c>
      <c r="K41" t="s">
        <v>3</v>
      </c>
      <c r="L41" t="s">
        <v>3</v>
      </c>
      <c r="M41" t="s">
        <v>3</v>
      </c>
      <c r="N41" t="s">
        <v>35</v>
      </c>
      <c r="O41" t="s">
        <v>36</v>
      </c>
      <c r="P41" t="s">
        <v>3</v>
      </c>
      <c r="Q41" t="s">
        <v>3</v>
      </c>
      <c r="R41" t="s">
        <v>3</v>
      </c>
      <c r="S41" t="s">
        <v>667</v>
      </c>
      <c r="T41" t="s">
        <v>668</v>
      </c>
      <c r="U41" t="s">
        <v>669</v>
      </c>
    </row>
    <row r="42" spans="1:21" x14ac:dyDescent="0.2">
      <c r="A42">
        <v>99</v>
      </c>
      <c r="B42">
        <v>1</v>
      </c>
      <c r="C42" t="s">
        <v>3</v>
      </c>
      <c r="D42" t="s">
        <v>35</v>
      </c>
      <c r="E42" t="s">
        <v>36</v>
      </c>
      <c r="F42" t="s">
        <v>36</v>
      </c>
      <c r="G42" t="s">
        <v>36</v>
      </c>
      <c r="H42" t="s">
        <v>3</v>
      </c>
      <c r="I42" t="s">
        <v>36</v>
      </c>
      <c r="J42" t="s">
        <v>36</v>
      </c>
      <c r="K42" t="s">
        <v>3</v>
      </c>
      <c r="L42" t="s">
        <v>3</v>
      </c>
      <c r="M42" t="s">
        <v>3</v>
      </c>
      <c r="N42" t="s">
        <v>35</v>
      </c>
      <c r="O42" t="s">
        <v>36</v>
      </c>
      <c r="P42" t="s">
        <v>3</v>
      </c>
      <c r="Q42" t="s">
        <v>3</v>
      </c>
      <c r="R42" t="s">
        <v>3</v>
      </c>
      <c r="S42" t="s">
        <v>667</v>
      </c>
      <c r="T42" t="s">
        <v>668</v>
      </c>
      <c r="U42" t="s">
        <v>669</v>
      </c>
    </row>
    <row r="43" spans="1:21" x14ac:dyDescent="0.2">
      <c r="A43">
        <v>108</v>
      </c>
      <c r="B43">
        <v>1</v>
      </c>
      <c r="C43" t="s">
        <v>3</v>
      </c>
      <c r="D43" t="s">
        <v>35</v>
      </c>
      <c r="E43" t="s">
        <v>36</v>
      </c>
      <c r="F43" t="s">
        <v>36</v>
      </c>
      <c r="G43" t="s">
        <v>36</v>
      </c>
      <c r="H43" t="s">
        <v>3</v>
      </c>
      <c r="I43" t="s">
        <v>36</v>
      </c>
      <c r="J43" t="s">
        <v>36</v>
      </c>
      <c r="K43" t="s">
        <v>3</v>
      </c>
      <c r="L43" t="s">
        <v>3</v>
      </c>
      <c r="M43" t="s">
        <v>3</v>
      </c>
      <c r="N43" t="s">
        <v>35</v>
      </c>
      <c r="O43" t="s">
        <v>36</v>
      </c>
      <c r="P43" t="s">
        <v>3</v>
      </c>
      <c r="Q43" t="s">
        <v>3</v>
      </c>
      <c r="R43" t="s">
        <v>3</v>
      </c>
      <c r="S43" t="s">
        <v>667</v>
      </c>
      <c r="T43" t="s">
        <v>668</v>
      </c>
      <c r="U43" t="s">
        <v>669</v>
      </c>
    </row>
    <row r="44" spans="1:21" x14ac:dyDescent="0.2">
      <c r="A44">
        <v>109</v>
      </c>
      <c r="B44">
        <v>1</v>
      </c>
      <c r="C44" t="s">
        <v>3</v>
      </c>
      <c r="D44" t="s">
        <v>35</v>
      </c>
      <c r="E44" t="s">
        <v>36</v>
      </c>
      <c r="F44" t="s">
        <v>36</v>
      </c>
      <c r="G44" t="s">
        <v>36</v>
      </c>
      <c r="H44" t="s">
        <v>3</v>
      </c>
      <c r="I44" t="s">
        <v>36</v>
      </c>
      <c r="J44" t="s">
        <v>36</v>
      </c>
      <c r="K44" t="s">
        <v>3</v>
      </c>
      <c r="L44" t="s">
        <v>3</v>
      </c>
      <c r="M44" t="s">
        <v>3</v>
      </c>
      <c r="N44" t="s">
        <v>35</v>
      </c>
      <c r="O44" t="s">
        <v>36</v>
      </c>
      <c r="P44" t="s">
        <v>3</v>
      </c>
      <c r="Q44" t="s">
        <v>3</v>
      </c>
      <c r="R44" t="s">
        <v>3</v>
      </c>
      <c r="S44" t="s">
        <v>667</v>
      </c>
      <c r="T44" t="s">
        <v>668</v>
      </c>
      <c r="U44" t="s">
        <v>669</v>
      </c>
    </row>
    <row r="45" spans="1:21" x14ac:dyDescent="0.2">
      <c r="A45">
        <v>122</v>
      </c>
      <c r="B45">
        <v>1</v>
      </c>
      <c r="C45" t="s">
        <v>3</v>
      </c>
      <c r="D45" t="s">
        <v>35</v>
      </c>
      <c r="E45" t="s">
        <v>670</v>
      </c>
      <c r="F45" t="s">
        <v>670</v>
      </c>
      <c r="G45" t="s">
        <v>671</v>
      </c>
      <c r="H45" t="s">
        <v>3</v>
      </c>
      <c r="I45" t="s">
        <v>671</v>
      </c>
      <c r="J45" t="s">
        <v>670</v>
      </c>
      <c r="K45" t="s">
        <v>3</v>
      </c>
      <c r="L45" t="s">
        <v>3</v>
      </c>
      <c r="M45" t="s">
        <v>3</v>
      </c>
      <c r="N45" t="s">
        <v>35</v>
      </c>
      <c r="O45" t="s">
        <v>670</v>
      </c>
      <c r="P45" t="s">
        <v>3</v>
      </c>
      <c r="Q45" t="s">
        <v>3</v>
      </c>
      <c r="R45" t="s">
        <v>3</v>
      </c>
      <c r="S45" t="s">
        <v>672</v>
      </c>
      <c r="T45" t="s">
        <v>673</v>
      </c>
      <c r="U45" t="s">
        <v>674</v>
      </c>
    </row>
    <row r="46" spans="1:21" x14ac:dyDescent="0.2">
      <c r="A46">
        <v>122</v>
      </c>
      <c r="B46">
        <v>1</v>
      </c>
      <c r="C46" t="s">
        <v>3</v>
      </c>
      <c r="D46" t="s">
        <v>35</v>
      </c>
      <c r="E46" t="s">
        <v>36</v>
      </c>
      <c r="F46" t="s">
        <v>36</v>
      </c>
      <c r="G46" t="s">
        <v>36</v>
      </c>
      <c r="H46" t="s">
        <v>3</v>
      </c>
      <c r="I46" t="s">
        <v>36</v>
      </c>
      <c r="J46" t="s">
        <v>36</v>
      </c>
      <c r="K46" t="s">
        <v>3</v>
      </c>
      <c r="L46" t="s">
        <v>3</v>
      </c>
      <c r="M46" t="s">
        <v>3</v>
      </c>
      <c r="N46" t="s">
        <v>35</v>
      </c>
      <c r="O46" t="s">
        <v>36</v>
      </c>
      <c r="P46" t="s">
        <v>3</v>
      </c>
      <c r="Q46" t="s">
        <v>3</v>
      </c>
      <c r="R46" t="s">
        <v>3</v>
      </c>
      <c r="S46" t="s">
        <v>667</v>
      </c>
      <c r="T46" t="s">
        <v>668</v>
      </c>
      <c r="U46" t="s">
        <v>669</v>
      </c>
    </row>
    <row r="47" spans="1:21" x14ac:dyDescent="0.2">
      <c r="A47">
        <v>123</v>
      </c>
      <c r="B47">
        <v>1</v>
      </c>
      <c r="C47" t="s">
        <v>3</v>
      </c>
      <c r="D47" t="s">
        <v>35</v>
      </c>
      <c r="E47" t="s">
        <v>670</v>
      </c>
      <c r="F47" t="s">
        <v>670</v>
      </c>
      <c r="G47" t="s">
        <v>671</v>
      </c>
      <c r="H47" t="s">
        <v>3</v>
      </c>
      <c r="I47" t="s">
        <v>671</v>
      </c>
      <c r="J47" t="s">
        <v>670</v>
      </c>
      <c r="K47" t="s">
        <v>3</v>
      </c>
      <c r="L47" t="s">
        <v>3</v>
      </c>
      <c r="M47" t="s">
        <v>3</v>
      </c>
      <c r="N47" t="s">
        <v>35</v>
      </c>
      <c r="O47" t="s">
        <v>670</v>
      </c>
      <c r="P47" t="s">
        <v>3</v>
      </c>
      <c r="Q47" t="s">
        <v>3</v>
      </c>
      <c r="R47" t="s">
        <v>3</v>
      </c>
      <c r="S47" t="s">
        <v>672</v>
      </c>
      <c r="T47" t="s">
        <v>673</v>
      </c>
      <c r="U47" t="s">
        <v>674</v>
      </c>
    </row>
    <row r="48" spans="1:21" x14ac:dyDescent="0.2">
      <c r="A48">
        <v>123</v>
      </c>
      <c r="B48">
        <v>1</v>
      </c>
      <c r="C48" t="s">
        <v>3</v>
      </c>
      <c r="D48" t="s">
        <v>35</v>
      </c>
      <c r="E48" t="s">
        <v>36</v>
      </c>
      <c r="F48" t="s">
        <v>36</v>
      </c>
      <c r="G48" t="s">
        <v>36</v>
      </c>
      <c r="H48" t="s">
        <v>3</v>
      </c>
      <c r="I48" t="s">
        <v>36</v>
      </c>
      <c r="J48" t="s">
        <v>36</v>
      </c>
      <c r="K48" t="s">
        <v>3</v>
      </c>
      <c r="L48" t="s">
        <v>3</v>
      </c>
      <c r="M48" t="s">
        <v>3</v>
      </c>
      <c r="N48" t="s">
        <v>35</v>
      </c>
      <c r="O48" t="s">
        <v>36</v>
      </c>
      <c r="P48" t="s">
        <v>3</v>
      </c>
      <c r="Q48" t="s">
        <v>3</v>
      </c>
      <c r="R48" t="s">
        <v>3</v>
      </c>
      <c r="S48" t="s">
        <v>667</v>
      </c>
      <c r="T48" t="s">
        <v>668</v>
      </c>
      <c r="U48" t="s">
        <v>669</v>
      </c>
    </row>
    <row r="49" spans="1:21" x14ac:dyDescent="0.2">
      <c r="A49">
        <v>128</v>
      </c>
      <c r="B49">
        <v>1</v>
      </c>
      <c r="C49" t="s">
        <v>3</v>
      </c>
      <c r="D49" t="s">
        <v>675</v>
      </c>
      <c r="E49" t="s">
        <v>675</v>
      </c>
      <c r="F49" t="s">
        <v>675</v>
      </c>
      <c r="G49" t="s">
        <v>675</v>
      </c>
      <c r="H49" t="s">
        <v>3</v>
      </c>
      <c r="I49" t="s">
        <v>675</v>
      </c>
      <c r="J49" t="s">
        <v>675</v>
      </c>
      <c r="K49" t="s">
        <v>3</v>
      </c>
      <c r="L49" t="s">
        <v>3</v>
      </c>
      <c r="M49" t="s">
        <v>3</v>
      </c>
      <c r="N49" t="s">
        <v>675</v>
      </c>
      <c r="O49" t="s">
        <v>675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</row>
    <row r="50" spans="1:21" x14ac:dyDescent="0.2">
      <c r="A50">
        <v>128</v>
      </c>
      <c r="B50">
        <v>1</v>
      </c>
      <c r="C50" t="s">
        <v>3</v>
      </c>
      <c r="D50" t="s">
        <v>35</v>
      </c>
      <c r="E50" t="s">
        <v>670</v>
      </c>
      <c r="F50" t="s">
        <v>670</v>
      </c>
      <c r="G50" t="s">
        <v>671</v>
      </c>
      <c r="H50" t="s">
        <v>3</v>
      </c>
      <c r="I50" t="s">
        <v>671</v>
      </c>
      <c r="J50" t="s">
        <v>670</v>
      </c>
      <c r="K50" t="s">
        <v>3</v>
      </c>
      <c r="L50" t="s">
        <v>3</v>
      </c>
      <c r="M50" t="s">
        <v>3</v>
      </c>
      <c r="N50" t="s">
        <v>35</v>
      </c>
      <c r="O50" t="s">
        <v>670</v>
      </c>
      <c r="P50" t="s">
        <v>3</v>
      </c>
      <c r="Q50" t="s">
        <v>3</v>
      </c>
      <c r="R50" t="s">
        <v>3</v>
      </c>
      <c r="S50" t="s">
        <v>672</v>
      </c>
      <c r="T50" t="s">
        <v>673</v>
      </c>
      <c r="U50" t="s">
        <v>674</v>
      </c>
    </row>
    <row r="51" spans="1:21" x14ac:dyDescent="0.2">
      <c r="A51">
        <v>128</v>
      </c>
      <c r="B51">
        <v>1</v>
      </c>
      <c r="C51" t="s">
        <v>3</v>
      </c>
      <c r="D51" t="s">
        <v>35</v>
      </c>
      <c r="E51" t="s">
        <v>36</v>
      </c>
      <c r="F51" t="s">
        <v>36</v>
      </c>
      <c r="G51" t="s">
        <v>36</v>
      </c>
      <c r="H51" t="s">
        <v>3</v>
      </c>
      <c r="I51" t="s">
        <v>36</v>
      </c>
      <c r="J51" t="s">
        <v>36</v>
      </c>
      <c r="K51" t="s">
        <v>3</v>
      </c>
      <c r="L51" t="s">
        <v>3</v>
      </c>
      <c r="M51" t="s">
        <v>3</v>
      </c>
      <c r="N51" t="s">
        <v>35</v>
      </c>
      <c r="O51" t="s">
        <v>36</v>
      </c>
      <c r="P51" t="s">
        <v>3</v>
      </c>
      <c r="Q51" t="s">
        <v>3</v>
      </c>
      <c r="R51" t="s">
        <v>3</v>
      </c>
      <c r="S51" t="s">
        <v>667</v>
      </c>
      <c r="T51" t="s">
        <v>668</v>
      </c>
      <c r="U51" t="s">
        <v>669</v>
      </c>
    </row>
    <row r="52" spans="1:21" x14ac:dyDescent="0.2">
      <c r="A52">
        <v>129</v>
      </c>
      <c r="B52">
        <v>1</v>
      </c>
      <c r="C52" t="s">
        <v>3</v>
      </c>
      <c r="D52" t="s">
        <v>675</v>
      </c>
      <c r="E52" t="s">
        <v>675</v>
      </c>
      <c r="F52" t="s">
        <v>675</v>
      </c>
      <c r="G52" t="s">
        <v>675</v>
      </c>
      <c r="H52" t="s">
        <v>3</v>
      </c>
      <c r="I52" t="s">
        <v>675</v>
      </c>
      <c r="J52" t="s">
        <v>675</v>
      </c>
      <c r="K52" t="s">
        <v>3</v>
      </c>
      <c r="L52" t="s">
        <v>3</v>
      </c>
      <c r="M52" t="s">
        <v>3</v>
      </c>
      <c r="N52" t="s">
        <v>675</v>
      </c>
      <c r="O52" t="s">
        <v>675</v>
      </c>
      <c r="P52" t="s">
        <v>3</v>
      </c>
      <c r="Q52" t="s">
        <v>3</v>
      </c>
      <c r="R52" t="s">
        <v>3</v>
      </c>
      <c r="S52" t="s">
        <v>3</v>
      </c>
      <c r="T52" t="s">
        <v>3</v>
      </c>
    </row>
    <row r="53" spans="1:21" x14ac:dyDescent="0.2">
      <c r="A53">
        <v>129</v>
      </c>
      <c r="B53">
        <v>1</v>
      </c>
      <c r="C53" t="s">
        <v>3</v>
      </c>
      <c r="D53" t="s">
        <v>35</v>
      </c>
      <c r="E53" t="s">
        <v>670</v>
      </c>
      <c r="F53" t="s">
        <v>670</v>
      </c>
      <c r="G53" t="s">
        <v>671</v>
      </c>
      <c r="H53" t="s">
        <v>3</v>
      </c>
      <c r="I53" t="s">
        <v>671</v>
      </c>
      <c r="J53" t="s">
        <v>670</v>
      </c>
      <c r="K53" t="s">
        <v>3</v>
      </c>
      <c r="L53" t="s">
        <v>3</v>
      </c>
      <c r="M53" t="s">
        <v>3</v>
      </c>
      <c r="N53" t="s">
        <v>35</v>
      </c>
      <c r="O53" t="s">
        <v>670</v>
      </c>
      <c r="P53" t="s">
        <v>3</v>
      </c>
      <c r="Q53" t="s">
        <v>3</v>
      </c>
      <c r="R53" t="s">
        <v>3</v>
      </c>
      <c r="S53" t="s">
        <v>672</v>
      </c>
      <c r="T53" t="s">
        <v>673</v>
      </c>
      <c r="U53" t="s">
        <v>674</v>
      </c>
    </row>
    <row r="54" spans="1:21" x14ac:dyDescent="0.2">
      <c r="A54">
        <v>129</v>
      </c>
      <c r="B54">
        <v>1</v>
      </c>
      <c r="C54" t="s">
        <v>3</v>
      </c>
      <c r="D54" t="s">
        <v>35</v>
      </c>
      <c r="E54" t="s">
        <v>36</v>
      </c>
      <c r="F54" t="s">
        <v>36</v>
      </c>
      <c r="G54" t="s">
        <v>36</v>
      </c>
      <c r="H54" t="s">
        <v>3</v>
      </c>
      <c r="I54" t="s">
        <v>36</v>
      </c>
      <c r="J54" t="s">
        <v>36</v>
      </c>
      <c r="K54" t="s">
        <v>3</v>
      </c>
      <c r="L54" t="s">
        <v>3</v>
      </c>
      <c r="M54" t="s">
        <v>3</v>
      </c>
      <c r="N54" t="s">
        <v>35</v>
      </c>
      <c r="O54" t="s">
        <v>36</v>
      </c>
      <c r="P54" t="s">
        <v>3</v>
      </c>
      <c r="Q54" t="s">
        <v>3</v>
      </c>
      <c r="R54" t="s">
        <v>3</v>
      </c>
      <c r="S54" t="s">
        <v>667</v>
      </c>
      <c r="T54" t="s">
        <v>668</v>
      </c>
      <c r="U54" t="s">
        <v>669</v>
      </c>
    </row>
    <row r="55" spans="1:21" x14ac:dyDescent="0.2">
      <c r="A55">
        <v>132</v>
      </c>
      <c r="B55">
        <v>1</v>
      </c>
      <c r="C55" t="s">
        <v>3</v>
      </c>
      <c r="D55" t="s">
        <v>35</v>
      </c>
      <c r="E55" t="s">
        <v>670</v>
      </c>
      <c r="F55" t="s">
        <v>670</v>
      </c>
      <c r="G55" t="s">
        <v>671</v>
      </c>
      <c r="H55" t="s">
        <v>3</v>
      </c>
      <c r="I55" t="s">
        <v>671</v>
      </c>
      <c r="J55" t="s">
        <v>670</v>
      </c>
      <c r="K55" t="s">
        <v>3</v>
      </c>
      <c r="L55" t="s">
        <v>3</v>
      </c>
      <c r="M55" t="s">
        <v>3</v>
      </c>
      <c r="N55" t="s">
        <v>35</v>
      </c>
      <c r="O55" t="s">
        <v>670</v>
      </c>
      <c r="P55" t="s">
        <v>3</v>
      </c>
      <c r="Q55" t="s">
        <v>3</v>
      </c>
      <c r="R55" t="s">
        <v>3</v>
      </c>
      <c r="S55" t="s">
        <v>672</v>
      </c>
      <c r="T55" t="s">
        <v>673</v>
      </c>
      <c r="U55" t="s">
        <v>674</v>
      </c>
    </row>
    <row r="56" spans="1:21" x14ac:dyDescent="0.2">
      <c r="A56">
        <v>132</v>
      </c>
      <c r="B56">
        <v>1</v>
      </c>
      <c r="C56" t="s">
        <v>3</v>
      </c>
      <c r="D56" t="s">
        <v>35</v>
      </c>
      <c r="E56" t="s">
        <v>36</v>
      </c>
      <c r="F56" t="s">
        <v>36</v>
      </c>
      <c r="G56" t="s">
        <v>36</v>
      </c>
      <c r="H56" t="s">
        <v>3</v>
      </c>
      <c r="I56" t="s">
        <v>36</v>
      </c>
      <c r="J56" t="s">
        <v>36</v>
      </c>
      <c r="K56" t="s">
        <v>3</v>
      </c>
      <c r="L56" t="s">
        <v>3</v>
      </c>
      <c r="M56" t="s">
        <v>3</v>
      </c>
      <c r="N56" t="s">
        <v>35</v>
      </c>
      <c r="O56" t="s">
        <v>36</v>
      </c>
      <c r="P56" t="s">
        <v>3</v>
      </c>
      <c r="Q56" t="s">
        <v>3</v>
      </c>
      <c r="R56" t="s">
        <v>3</v>
      </c>
      <c r="S56" t="s">
        <v>667</v>
      </c>
      <c r="T56" t="s">
        <v>668</v>
      </c>
      <c r="U56" t="s">
        <v>669</v>
      </c>
    </row>
    <row r="57" spans="1:21" x14ac:dyDescent="0.2">
      <c r="A57">
        <v>133</v>
      </c>
      <c r="B57">
        <v>1</v>
      </c>
      <c r="C57" t="s">
        <v>3</v>
      </c>
      <c r="D57" t="s">
        <v>35</v>
      </c>
      <c r="E57" t="s">
        <v>670</v>
      </c>
      <c r="F57" t="s">
        <v>670</v>
      </c>
      <c r="G57" t="s">
        <v>671</v>
      </c>
      <c r="H57" t="s">
        <v>3</v>
      </c>
      <c r="I57" t="s">
        <v>671</v>
      </c>
      <c r="J57" t="s">
        <v>670</v>
      </c>
      <c r="K57" t="s">
        <v>3</v>
      </c>
      <c r="L57" t="s">
        <v>3</v>
      </c>
      <c r="M57" t="s">
        <v>3</v>
      </c>
      <c r="N57" t="s">
        <v>35</v>
      </c>
      <c r="O57" t="s">
        <v>670</v>
      </c>
      <c r="P57" t="s">
        <v>3</v>
      </c>
      <c r="Q57" t="s">
        <v>3</v>
      </c>
      <c r="R57" t="s">
        <v>3</v>
      </c>
      <c r="S57" t="s">
        <v>672</v>
      </c>
      <c r="T57" t="s">
        <v>673</v>
      </c>
      <c r="U57" t="s">
        <v>674</v>
      </c>
    </row>
    <row r="58" spans="1:21" x14ac:dyDescent="0.2">
      <c r="A58">
        <v>133</v>
      </c>
      <c r="B58">
        <v>1</v>
      </c>
      <c r="C58" t="s">
        <v>3</v>
      </c>
      <c r="D58" t="s">
        <v>35</v>
      </c>
      <c r="E58" t="s">
        <v>36</v>
      </c>
      <c r="F58" t="s">
        <v>36</v>
      </c>
      <c r="G58" t="s">
        <v>36</v>
      </c>
      <c r="H58" t="s">
        <v>3</v>
      </c>
      <c r="I58" t="s">
        <v>36</v>
      </c>
      <c r="J58" t="s">
        <v>36</v>
      </c>
      <c r="K58" t="s">
        <v>3</v>
      </c>
      <c r="L58" t="s">
        <v>3</v>
      </c>
      <c r="M58" t="s">
        <v>3</v>
      </c>
      <c r="N58" t="s">
        <v>35</v>
      </c>
      <c r="O58" t="s">
        <v>36</v>
      </c>
      <c r="P58" t="s">
        <v>3</v>
      </c>
      <c r="Q58" t="s">
        <v>3</v>
      </c>
      <c r="R58" t="s">
        <v>3</v>
      </c>
      <c r="S58" t="s">
        <v>667</v>
      </c>
      <c r="T58" t="s">
        <v>668</v>
      </c>
      <c r="U58" t="s">
        <v>669</v>
      </c>
    </row>
    <row r="59" spans="1:21" x14ac:dyDescent="0.2">
      <c r="A59">
        <v>134</v>
      </c>
      <c r="B59">
        <v>1</v>
      </c>
      <c r="C59" t="s">
        <v>3</v>
      </c>
      <c r="D59" t="s">
        <v>35</v>
      </c>
      <c r="E59" t="s">
        <v>36</v>
      </c>
      <c r="F59" t="s">
        <v>36</v>
      </c>
      <c r="G59" t="s">
        <v>36</v>
      </c>
      <c r="H59" t="s">
        <v>3</v>
      </c>
      <c r="I59" t="s">
        <v>36</v>
      </c>
      <c r="J59" t="s">
        <v>36</v>
      </c>
      <c r="K59" t="s">
        <v>3</v>
      </c>
      <c r="L59" t="s">
        <v>3</v>
      </c>
      <c r="M59" t="s">
        <v>3</v>
      </c>
      <c r="N59" t="s">
        <v>35</v>
      </c>
      <c r="O59" t="s">
        <v>36</v>
      </c>
      <c r="P59" t="s">
        <v>3</v>
      </c>
      <c r="Q59" t="s">
        <v>3</v>
      </c>
      <c r="R59" t="s">
        <v>3</v>
      </c>
      <c r="S59" t="s">
        <v>667</v>
      </c>
      <c r="T59" t="s">
        <v>668</v>
      </c>
      <c r="U59" t="s">
        <v>669</v>
      </c>
    </row>
    <row r="60" spans="1:21" x14ac:dyDescent="0.2">
      <c r="A60">
        <v>135</v>
      </c>
      <c r="B60">
        <v>1</v>
      </c>
      <c r="C60" t="s">
        <v>3</v>
      </c>
      <c r="D60" t="s">
        <v>35</v>
      </c>
      <c r="E60" t="s">
        <v>36</v>
      </c>
      <c r="F60" t="s">
        <v>36</v>
      </c>
      <c r="G60" t="s">
        <v>36</v>
      </c>
      <c r="H60" t="s">
        <v>3</v>
      </c>
      <c r="I60" t="s">
        <v>36</v>
      </c>
      <c r="J60" t="s">
        <v>36</v>
      </c>
      <c r="K60" t="s">
        <v>3</v>
      </c>
      <c r="L60" t="s">
        <v>3</v>
      </c>
      <c r="M60" t="s">
        <v>3</v>
      </c>
      <c r="N60" t="s">
        <v>35</v>
      </c>
      <c r="O60" t="s">
        <v>36</v>
      </c>
      <c r="P60" t="s">
        <v>3</v>
      </c>
      <c r="Q60" t="s">
        <v>3</v>
      </c>
      <c r="R60" t="s">
        <v>3</v>
      </c>
      <c r="S60" t="s">
        <v>667</v>
      </c>
      <c r="T60" t="s">
        <v>668</v>
      </c>
      <c r="U60" t="s">
        <v>669</v>
      </c>
    </row>
    <row r="61" spans="1:21" x14ac:dyDescent="0.2">
      <c r="A61">
        <v>173</v>
      </c>
      <c r="B61">
        <v>1</v>
      </c>
      <c r="C61" t="s">
        <v>3</v>
      </c>
      <c r="D61" t="s">
        <v>35</v>
      </c>
      <c r="E61" t="s">
        <v>36</v>
      </c>
      <c r="F61" t="s">
        <v>36</v>
      </c>
      <c r="G61" t="s">
        <v>36</v>
      </c>
      <c r="H61" t="s">
        <v>3</v>
      </c>
      <c r="I61" t="s">
        <v>36</v>
      </c>
      <c r="J61" t="s">
        <v>36</v>
      </c>
      <c r="K61" t="s">
        <v>3</v>
      </c>
      <c r="L61" t="s">
        <v>3</v>
      </c>
      <c r="M61" t="s">
        <v>3</v>
      </c>
      <c r="N61" t="s">
        <v>35</v>
      </c>
      <c r="O61" t="s">
        <v>36</v>
      </c>
      <c r="P61" t="s">
        <v>3</v>
      </c>
      <c r="Q61" t="s">
        <v>3</v>
      </c>
      <c r="R61" t="s">
        <v>3</v>
      </c>
      <c r="S61" t="s">
        <v>667</v>
      </c>
      <c r="T61" t="s">
        <v>668</v>
      </c>
      <c r="U61" t="s">
        <v>669</v>
      </c>
    </row>
    <row r="62" spans="1:21" x14ac:dyDescent="0.2">
      <c r="A62">
        <v>174</v>
      </c>
      <c r="B62">
        <v>1</v>
      </c>
      <c r="C62" t="s">
        <v>3</v>
      </c>
      <c r="D62" t="s">
        <v>35</v>
      </c>
      <c r="E62" t="s">
        <v>36</v>
      </c>
      <c r="F62" t="s">
        <v>36</v>
      </c>
      <c r="G62" t="s">
        <v>36</v>
      </c>
      <c r="H62" t="s">
        <v>3</v>
      </c>
      <c r="I62" t="s">
        <v>36</v>
      </c>
      <c r="J62" t="s">
        <v>36</v>
      </c>
      <c r="K62" t="s">
        <v>3</v>
      </c>
      <c r="L62" t="s">
        <v>3</v>
      </c>
      <c r="M62" t="s">
        <v>3</v>
      </c>
      <c r="N62" t="s">
        <v>35</v>
      </c>
      <c r="O62" t="s">
        <v>36</v>
      </c>
      <c r="P62" t="s">
        <v>3</v>
      </c>
      <c r="Q62" t="s">
        <v>3</v>
      </c>
      <c r="R62" t="s">
        <v>3</v>
      </c>
      <c r="S62" t="s">
        <v>667</v>
      </c>
      <c r="T62" t="s">
        <v>668</v>
      </c>
      <c r="U62" t="s">
        <v>669</v>
      </c>
    </row>
    <row r="63" spans="1:21" x14ac:dyDescent="0.2">
      <c r="A63">
        <v>183</v>
      </c>
      <c r="B63">
        <v>1</v>
      </c>
      <c r="C63" t="s">
        <v>3</v>
      </c>
      <c r="D63" t="s">
        <v>35</v>
      </c>
      <c r="E63" t="s">
        <v>36</v>
      </c>
      <c r="F63" t="s">
        <v>36</v>
      </c>
      <c r="G63" t="s">
        <v>36</v>
      </c>
      <c r="H63" t="s">
        <v>3</v>
      </c>
      <c r="I63" t="s">
        <v>36</v>
      </c>
      <c r="J63" t="s">
        <v>36</v>
      </c>
      <c r="K63" t="s">
        <v>3</v>
      </c>
      <c r="L63" t="s">
        <v>3</v>
      </c>
      <c r="M63" t="s">
        <v>3</v>
      </c>
      <c r="N63" t="s">
        <v>35</v>
      </c>
      <c r="O63" t="s">
        <v>36</v>
      </c>
      <c r="P63" t="s">
        <v>3</v>
      </c>
      <c r="Q63" t="s">
        <v>3</v>
      </c>
      <c r="R63" t="s">
        <v>3</v>
      </c>
      <c r="S63" t="s">
        <v>667</v>
      </c>
      <c r="T63" t="s">
        <v>668</v>
      </c>
      <c r="U63" t="s">
        <v>669</v>
      </c>
    </row>
    <row r="64" spans="1:21" x14ac:dyDescent="0.2">
      <c r="A64">
        <v>184</v>
      </c>
      <c r="B64">
        <v>1</v>
      </c>
      <c r="C64" t="s">
        <v>3</v>
      </c>
      <c r="D64" t="s">
        <v>35</v>
      </c>
      <c r="E64" t="s">
        <v>36</v>
      </c>
      <c r="F64" t="s">
        <v>36</v>
      </c>
      <c r="G64" t="s">
        <v>36</v>
      </c>
      <c r="H64" t="s">
        <v>3</v>
      </c>
      <c r="I64" t="s">
        <v>36</v>
      </c>
      <c r="J64" t="s">
        <v>36</v>
      </c>
      <c r="K64" t="s">
        <v>3</v>
      </c>
      <c r="L64" t="s">
        <v>3</v>
      </c>
      <c r="M64" t="s">
        <v>3</v>
      </c>
      <c r="N64" t="s">
        <v>35</v>
      </c>
      <c r="O64" t="s">
        <v>36</v>
      </c>
      <c r="P64" t="s">
        <v>3</v>
      </c>
      <c r="Q64" t="s">
        <v>3</v>
      </c>
      <c r="R64" t="s">
        <v>3</v>
      </c>
      <c r="S64" t="s">
        <v>667</v>
      </c>
      <c r="T64" t="s">
        <v>668</v>
      </c>
      <c r="U64" t="s">
        <v>669</v>
      </c>
    </row>
    <row r="65" spans="1:21" x14ac:dyDescent="0.2">
      <c r="A65">
        <v>189</v>
      </c>
      <c r="B65">
        <v>1</v>
      </c>
      <c r="C65" t="s">
        <v>3</v>
      </c>
      <c r="D65" t="s">
        <v>35</v>
      </c>
      <c r="E65" t="s">
        <v>36</v>
      </c>
      <c r="F65" t="s">
        <v>36</v>
      </c>
      <c r="G65" t="s">
        <v>36</v>
      </c>
      <c r="H65" t="s">
        <v>3</v>
      </c>
      <c r="I65" t="s">
        <v>36</v>
      </c>
      <c r="J65" t="s">
        <v>36</v>
      </c>
      <c r="K65" t="s">
        <v>3</v>
      </c>
      <c r="L65" t="s">
        <v>3</v>
      </c>
      <c r="M65" t="s">
        <v>3</v>
      </c>
      <c r="N65" t="s">
        <v>35</v>
      </c>
      <c r="O65" t="s">
        <v>36</v>
      </c>
      <c r="P65" t="s">
        <v>3</v>
      </c>
      <c r="Q65" t="s">
        <v>3</v>
      </c>
      <c r="R65" t="s">
        <v>3</v>
      </c>
      <c r="S65" t="s">
        <v>667</v>
      </c>
      <c r="T65" t="s">
        <v>668</v>
      </c>
      <c r="U65" t="s">
        <v>669</v>
      </c>
    </row>
    <row r="66" spans="1:21" x14ac:dyDescent="0.2">
      <c r="A66">
        <v>190</v>
      </c>
      <c r="B66">
        <v>1</v>
      </c>
      <c r="C66" t="s">
        <v>3</v>
      </c>
      <c r="D66" t="s">
        <v>35</v>
      </c>
      <c r="E66" t="s">
        <v>36</v>
      </c>
      <c r="F66" t="s">
        <v>36</v>
      </c>
      <c r="G66" t="s">
        <v>36</v>
      </c>
      <c r="H66" t="s">
        <v>3</v>
      </c>
      <c r="I66" t="s">
        <v>36</v>
      </c>
      <c r="J66" t="s">
        <v>36</v>
      </c>
      <c r="K66" t="s">
        <v>3</v>
      </c>
      <c r="L66" t="s">
        <v>3</v>
      </c>
      <c r="M66" t="s">
        <v>3</v>
      </c>
      <c r="N66" t="s">
        <v>35</v>
      </c>
      <c r="O66" t="s">
        <v>36</v>
      </c>
      <c r="P66" t="s">
        <v>3</v>
      </c>
      <c r="Q66" t="s">
        <v>3</v>
      </c>
      <c r="R66" t="s">
        <v>3</v>
      </c>
      <c r="S66" t="s">
        <v>667</v>
      </c>
      <c r="T66" t="s">
        <v>668</v>
      </c>
      <c r="U66" t="s">
        <v>669</v>
      </c>
    </row>
    <row r="67" spans="1:21" x14ac:dyDescent="0.2">
      <c r="A67">
        <v>193</v>
      </c>
      <c r="B67">
        <v>1</v>
      </c>
      <c r="C67" t="s">
        <v>3</v>
      </c>
      <c r="D67" t="s">
        <v>35</v>
      </c>
      <c r="E67" t="s">
        <v>670</v>
      </c>
      <c r="F67" t="s">
        <v>670</v>
      </c>
      <c r="G67" t="s">
        <v>671</v>
      </c>
      <c r="H67" t="s">
        <v>3</v>
      </c>
      <c r="I67" t="s">
        <v>671</v>
      </c>
      <c r="J67" t="s">
        <v>670</v>
      </c>
      <c r="K67" t="s">
        <v>3</v>
      </c>
      <c r="L67" t="s">
        <v>3</v>
      </c>
      <c r="M67" t="s">
        <v>3</v>
      </c>
      <c r="N67" t="s">
        <v>35</v>
      </c>
      <c r="O67" t="s">
        <v>670</v>
      </c>
      <c r="P67" t="s">
        <v>3</v>
      </c>
      <c r="Q67" t="s">
        <v>3</v>
      </c>
      <c r="R67" t="s">
        <v>3</v>
      </c>
      <c r="S67" t="s">
        <v>672</v>
      </c>
      <c r="T67" t="s">
        <v>673</v>
      </c>
      <c r="U67" t="s">
        <v>674</v>
      </c>
    </row>
    <row r="68" spans="1:21" x14ac:dyDescent="0.2">
      <c r="A68">
        <v>193</v>
      </c>
      <c r="B68">
        <v>1</v>
      </c>
      <c r="C68" t="s">
        <v>3</v>
      </c>
      <c r="D68" t="s">
        <v>35</v>
      </c>
      <c r="E68" t="s">
        <v>36</v>
      </c>
      <c r="F68" t="s">
        <v>36</v>
      </c>
      <c r="G68" t="s">
        <v>36</v>
      </c>
      <c r="H68" t="s">
        <v>3</v>
      </c>
      <c r="I68" t="s">
        <v>36</v>
      </c>
      <c r="J68" t="s">
        <v>36</v>
      </c>
      <c r="K68" t="s">
        <v>3</v>
      </c>
      <c r="L68" t="s">
        <v>3</v>
      </c>
      <c r="M68" t="s">
        <v>3</v>
      </c>
      <c r="N68" t="s">
        <v>35</v>
      </c>
      <c r="O68" t="s">
        <v>36</v>
      </c>
      <c r="P68" t="s">
        <v>3</v>
      </c>
      <c r="Q68" t="s">
        <v>3</v>
      </c>
      <c r="R68" t="s">
        <v>3</v>
      </c>
      <c r="S68" t="s">
        <v>667</v>
      </c>
      <c r="T68" t="s">
        <v>668</v>
      </c>
      <c r="U68" t="s">
        <v>669</v>
      </c>
    </row>
    <row r="69" spans="1:21" x14ac:dyDescent="0.2">
      <c r="A69">
        <v>194</v>
      </c>
      <c r="B69">
        <v>1</v>
      </c>
      <c r="C69" t="s">
        <v>3</v>
      </c>
      <c r="D69" t="s">
        <v>35</v>
      </c>
      <c r="E69" t="s">
        <v>670</v>
      </c>
      <c r="F69" t="s">
        <v>670</v>
      </c>
      <c r="G69" t="s">
        <v>671</v>
      </c>
      <c r="H69" t="s">
        <v>3</v>
      </c>
      <c r="I69" t="s">
        <v>671</v>
      </c>
      <c r="J69" t="s">
        <v>670</v>
      </c>
      <c r="K69" t="s">
        <v>3</v>
      </c>
      <c r="L69" t="s">
        <v>3</v>
      </c>
      <c r="M69" t="s">
        <v>3</v>
      </c>
      <c r="N69" t="s">
        <v>35</v>
      </c>
      <c r="O69" t="s">
        <v>670</v>
      </c>
      <c r="P69" t="s">
        <v>3</v>
      </c>
      <c r="Q69" t="s">
        <v>3</v>
      </c>
      <c r="R69" t="s">
        <v>3</v>
      </c>
      <c r="S69" t="s">
        <v>672</v>
      </c>
      <c r="T69" t="s">
        <v>673</v>
      </c>
      <c r="U69" t="s">
        <v>674</v>
      </c>
    </row>
    <row r="70" spans="1:21" x14ac:dyDescent="0.2">
      <c r="A70">
        <v>194</v>
      </c>
      <c r="B70">
        <v>1</v>
      </c>
      <c r="C70" t="s">
        <v>3</v>
      </c>
      <c r="D70" t="s">
        <v>35</v>
      </c>
      <c r="E70" t="s">
        <v>36</v>
      </c>
      <c r="F70" t="s">
        <v>36</v>
      </c>
      <c r="G70" t="s">
        <v>36</v>
      </c>
      <c r="H70" t="s">
        <v>3</v>
      </c>
      <c r="I70" t="s">
        <v>36</v>
      </c>
      <c r="J70" t="s">
        <v>36</v>
      </c>
      <c r="K70" t="s">
        <v>3</v>
      </c>
      <c r="L70" t="s">
        <v>3</v>
      </c>
      <c r="M70" t="s">
        <v>3</v>
      </c>
      <c r="N70" t="s">
        <v>35</v>
      </c>
      <c r="O70" t="s">
        <v>36</v>
      </c>
      <c r="P70" t="s">
        <v>3</v>
      </c>
      <c r="Q70" t="s">
        <v>3</v>
      </c>
      <c r="R70" t="s">
        <v>3</v>
      </c>
      <c r="S70" t="s">
        <v>667</v>
      </c>
      <c r="T70" t="s">
        <v>668</v>
      </c>
      <c r="U70" t="s">
        <v>669</v>
      </c>
    </row>
    <row r="71" spans="1:21" x14ac:dyDescent="0.2">
      <c r="A71">
        <v>197</v>
      </c>
      <c r="B71">
        <v>1</v>
      </c>
      <c r="C71" t="s">
        <v>3</v>
      </c>
      <c r="D71" t="s">
        <v>35</v>
      </c>
      <c r="E71" t="s">
        <v>670</v>
      </c>
      <c r="F71" t="s">
        <v>670</v>
      </c>
      <c r="G71" t="s">
        <v>671</v>
      </c>
      <c r="H71" t="s">
        <v>3</v>
      </c>
      <c r="I71" t="s">
        <v>671</v>
      </c>
      <c r="J71" t="s">
        <v>670</v>
      </c>
      <c r="K71" t="s">
        <v>3</v>
      </c>
      <c r="L71" t="s">
        <v>3</v>
      </c>
      <c r="M71" t="s">
        <v>3</v>
      </c>
      <c r="N71" t="s">
        <v>35</v>
      </c>
      <c r="O71" t="s">
        <v>670</v>
      </c>
      <c r="P71" t="s">
        <v>3</v>
      </c>
      <c r="Q71" t="s">
        <v>3</v>
      </c>
      <c r="R71" t="s">
        <v>3</v>
      </c>
      <c r="S71" t="s">
        <v>672</v>
      </c>
      <c r="T71" t="s">
        <v>673</v>
      </c>
      <c r="U71" t="s">
        <v>674</v>
      </c>
    </row>
    <row r="72" spans="1:21" x14ac:dyDescent="0.2">
      <c r="A72">
        <v>197</v>
      </c>
      <c r="B72">
        <v>1</v>
      </c>
      <c r="C72" t="s">
        <v>3</v>
      </c>
      <c r="D72" t="s">
        <v>35</v>
      </c>
      <c r="E72" t="s">
        <v>36</v>
      </c>
      <c r="F72" t="s">
        <v>36</v>
      </c>
      <c r="G72" t="s">
        <v>36</v>
      </c>
      <c r="H72" t="s">
        <v>3</v>
      </c>
      <c r="I72" t="s">
        <v>36</v>
      </c>
      <c r="J72" t="s">
        <v>36</v>
      </c>
      <c r="K72" t="s">
        <v>3</v>
      </c>
      <c r="L72" t="s">
        <v>3</v>
      </c>
      <c r="M72" t="s">
        <v>3</v>
      </c>
      <c r="N72" t="s">
        <v>35</v>
      </c>
      <c r="O72" t="s">
        <v>36</v>
      </c>
      <c r="P72" t="s">
        <v>3</v>
      </c>
      <c r="Q72" t="s">
        <v>3</v>
      </c>
      <c r="R72" t="s">
        <v>3</v>
      </c>
      <c r="S72" t="s">
        <v>667</v>
      </c>
      <c r="T72" t="s">
        <v>668</v>
      </c>
      <c r="U72" t="s">
        <v>669</v>
      </c>
    </row>
    <row r="73" spans="1:21" x14ac:dyDescent="0.2">
      <c r="A73">
        <v>198</v>
      </c>
      <c r="B73">
        <v>1</v>
      </c>
      <c r="C73" t="s">
        <v>3</v>
      </c>
      <c r="D73" t="s">
        <v>35</v>
      </c>
      <c r="E73" t="s">
        <v>670</v>
      </c>
      <c r="F73" t="s">
        <v>670</v>
      </c>
      <c r="G73" t="s">
        <v>671</v>
      </c>
      <c r="H73" t="s">
        <v>3</v>
      </c>
      <c r="I73" t="s">
        <v>671</v>
      </c>
      <c r="J73" t="s">
        <v>670</v>
      </c>
      <c r="K73" t="s">
        <v>3</v>
      </c>
      <c r="L73" t="s">
        <v>3</v>
      </c>
      <c r="M73" t="s">
        <v>3</v>
      </c>
      <c r="N73" t="s">
        <v>35</v>
      </c>
      <c r="O73" t="s">
        <v>670</v>
      </c>
      <c r="P73" t="s">
        <v>3</v>
      </c>
      <c r="Q73" t="s">
        <v>3</v>
      </c>
      <c r="R73" t="s">
        <v>3</v>
      </c>
      <c r="S73" t="s">
        <v>672</v>
      </c>
      <c r="T73" t="s">
        <v>673</v>
      </c>
      <c r="U73" t="s">
        <v>674</v>
      </c>
    </row>
    <row r="74" spans="1:21" x14ac:dyDescent="0.2">
      <c r="A74">
        <v>198</v>
      </c>
      <c r="B74">
        <v>1</v>
      </c>
      <c r="C74" t="s">
        <v>3</v>
      </c>
      <c r="D74" t="s">
        <v>35</v>
      </c>
      <c r="E74" t="s">
        <v>36</v>
      </c>
      <c r="F74" t="s">
        <v>36</v>
      </c>
      <c r="G74" t="s">
        <v>36</v>
      </c>
      <c r="H74" t="s">
        <v>3</v>
      </c>
      <c r="I74" t="s">
        <v>36</v>
      </c>
      <c r="J74" t="s">
        <v>36</v>
      </c>
      <c r="K74" t="s">
        <v>3</v>
      </c>
      <c r="L74" t="s">
        <v>3</v>
      </c>
      <c r="M74" t="s">
        <v>3</v>
      </c>
      <c r="N74" t="s">
        <v>35</v>
      </c>
      <c r="O74" t="s">
        <v>36</v>
      </c>
      <c r="P74" t="s">
        <v>3</v>
      </c>
      <c r="Q74" t="s">
        <v>3</v>
      </c>
      <c r="R74" t="s">
        <v>3</v>
      </c>
      <c r="S74" t="s">
        <v>667</v>
      </c>
      <c r="T74" t="s">
        <v>668</v>
      </c>
      <c r="U74" t="s">
        <v>669</v>
      </c>
    </row>
    <row r="75" spans="1:21" x14ac:dyDescent="0.2">
      <c r="A75">
        <v>201</v>
      </c>
      <c r="B75">
        <v>1</v>
      </c>
      <c r="C75" t="s">
        <v>3</v>
      </c>
      <c r="D75" t="s">
        <v>35</v>
      </c>
      <c r="E75" t="s">
        <v>36</v>
      </c>
      <c r="F75" t="s">
        <v>36</v>
      </c>
      <c r="G75" t="s">
        <v>36</v>
      </c>
      <c r="H75" t="s">
        <v>3</v>
      </c>
      <c r="I75" t="s">
        <v>36</v>
      </c>
      <c r="J75" t="s">
        <v>36</v>
      </c>
      <c r="K75" t="s">
        <v>3</v>
      </c>
      <c r="L75" t="s">
        <v>3</v>
      </c>
      <c r="M75" t="s">
        <v>3</v>
      </c>
      <c r="N75" t="s">
        <v>35</v>
      </c>
      <c r="O75" t="s">
        <v>36</v>
      </c>
      <c r="P75" t="s">
        <v>3</v>
      </c>
      <c r="Q75" t="s">
        <v>3</v>
      </c>
      <c r="R75" t="s">
        <v>3</v>
      </c>
      <c r="S75" t="s">
        <v>667</v>
      </c>
      <c r="T75" t="s">
        <v>668</v>
      </c>
      <c r="U75" t="s">
        <v>669</v>
      </c>
    </row>
    <row r="76" spans="1:21" x14ac:dyDescent="0.2">
      <c r="A76">
        <v>202</v>
      </c>
      <c r="B76">
        <v>1</v>
      </c>
      <c r="C76" t="s">
        <v>3</v>
      </c>
      <c r="D76" t="s">
        <v>35</v>
      </c>
      <c r="E76" t="s">
        <v>36</v>
      </c>
      <c r="F76" t="s">
        <v>36</v>
      </c>
      <c r="G76" t="s">
        <v>36</v>
      </c>
      <c r="H76" t="s">
        <v>3</v>
      </c>
      <c r="I76" t="s">
        <v>36</v>
      </c>
      <c r="J76" t="s">
        <v>36</v>
      </c>
      <c r="K76" t="s">
        <v>3</v>
      </c>
      <c r="L76" t="s">
        <v>3</v>
      </c>
      <c r="M76" t="s">
        <v>3</v>
      </c>
      <c r="N76" t="s">
        <v>35</v>
      </c>
      <c r="O76" t="s">
        <v>36</v>
      </c>
      <c r="P76" t="s">
        <v>3</v>
      </c>
      <c r="Q76" t="s">
        <v>3</v>
      </c>
      <c r="R76" t="s">
        <v>3</v>
      </c>
      <c r="S76" t="s">
        <v>667</v>
      </c>
      <c r="T76" t="s">
        <v>668</v>
      </c>
      <c r="U76" t="s">
        <v>669</v>
      </c>
    </row>
    <row r="77" spans="1:21" x14ac:dyDescent="0.2">
      <c r="A77">
        <v>205</v>
      </c>
      <c r="B77">
        <v>1</v>
      </c>
      <c r="C77" t="s">
        <v>3</v>
      </c>
      <c r="D77" t="s">
        <v>35</v>
      </c>
      <c r="E77" t="s">
        <v>36</v>
      </c>
      <c r="F77" t="s">
        <v>36</v>
      </c>
      <c r="G77" t="s">
        <v>36</v>
      </c>
      <c r="H77" t="s">
        <v>3</v>
      </c>
      <c r="I77" t="s">
        <v>36</v>
      </c>
      <c r="J77" t="s">
        <v>36</v>
      </c>
      <c r="K77" t="s">
        <v>3</v>
      </c>
      <c r="L77" t="s">
        <v>3</v>
      </c>
      <c r="M77" t="s">
        <v>3</v>
      </c>
      <c r="N77" t="s">
        <v>35</v>
      </c>
      <c r="O77" t="s">
        <v>36</v>
      </c>
      <c r="P77" t="s">
        <v>3</v>
      </c>
      <c r="Q77" t="s">
        <v>3</v>
      </c>
      <c r="R77" t="s">
        <v>3</v>
      </c>
      <c r="S77" t="s">
        <v>667</v>
      </c>
      <c r="T77" t="s">
        <v>668</v>
      </c>
      <c r="U77" t="s">
        <v>669</v>
      </c>
    </row>
    <row r="78" spans="1:21" x14ac:dyDescent="0.2">
      <c r="A78">
        <v>206</v>
      </c>
      <c r="B78">
        <v>1</v>
      </c>
      <c r="C78" t="s">
        <v>3</v>
      </c>
      <c r="D78" t="s">
        <v>35</v>
      </c>
      <c r="E78" t="s">
        <v>36</v>
      </c>
      <c r="F78" t="s">
        <v>36</v>
      </c>
      <c r="G78" t="s">
        <v>36</v>
      </c>
      <c r="H78" t="s">
        <v>3</v>
      </c>
      <c r="I78" t="s">
        <v>36</v>
      </c>
      <c r="J78" t="s">
        <v>36</v>
      </c>
      <c r="K78" t="s">
        <v>3</v>
      </c>
      <c r="L78" t="s">
        <v>3</v>
      </c>
      <c r="M78" t="s">
        <v>3</v>
      </c>
      <c r="N78" t="s">
        <v>35</v>
      </c>
      <c r="O78" t="s">
        <v>36</v>
      </c>
      <c r="P78" t="s">
        <v>3</v>
      </c>
      <c r="Q78" t="s">
        <v>3</v>
      </c>
      <c r="R78" t="s">
        <v>3</v>
      </c>
      <c r="S78" t="s">
        <v>667</v>
      </c>
      <c r="T78" t="s">
        <v>668</v>
      </c>
      <c r="U78" t="s">
        <v>669</v>
      </c>
    </row>
    <row r="79" spans="1:21" x14ac:dyDescent="0.2">
      <c r="A79">
        <v>209</v>
      </c>
      <c r="B79">
        <v>1</v>
      </c>
      <c r="C79" t="s">
        <v>3</v>
      </c>
      <c r="D79" t="s">
        <v>35</v>
      </c>
      <c r="E79" t="s">
        <v>36</v>
      </c>
      <c r="F79" t="s">
        <v>36</v>
      </c>
      <c r="G79" t="s">
        <v>36</v>
      </c>
      <c r="H79" t="s">
        <v>3</v>
      </c>
      <c r="I79" t="s">
        <v>36</v>
      </c>
      <c r="J79" t="s">
        <v>36</v>
      </c>
      <c r="K79" t="s">
        <v>3</v>
      </c>
      <c r="L79" t="s">
        <v>3</v>
      </c>
      <c r="M79" t="s">
        <v>3</v>
      </c>
      <c r="N79" t="s">
        <v>35</v>
      </c>
      <c r="O79" t="s">
        <v>36</v>
      </c>
      <c r="P79" t="s">
        <v>3</v>
      </c>
      <c r="Q79" t="s">
        <v>3</v>
      </c>
      <c r="R79" t="s">
        <v>3</v>
      </c>
      <c r="S79" t="s">
        <v>667</v>
      </c>
      <c r="T79" t="s">
        <v>668</v>
      </c>
      <c r="U79" t="s">
        <v>669</v>
      </c>
    </row>
    <row r="80" spans="1:21" x14ac:dyDescent="0.2">
      <c r="A80">
        <v>210</v>
      </c>
      <c r="B80">
        <v>1</v>
      </c>
      <c r="C80" t="s">
        <v>3</v>
      </c>
      <c r="D80" t="s">
        <v>35</v>
      </c>
      <c r="E80" t="s">
        <v>36</v>
      </c>
      <c r="F80" t="s">
        <v>36</v>
      </c>
      <c r="G80" t="s">
        <v>36</v>
      </c>
      <c r="H80" t="s">
        <v>3</v>
      </c>
      <c r="I80" t="s">
        <v>36</v>
      </c>
      <c r="J80" t="s">
        <v>36</v>
      </c>
      <c r="K80" t="s">
        <v>3</v>
      </c>
      <c r="L80" t="s">
        <v>3</v>
      </c>
      <c r="M80" t="s">
        <v>3</v>
      </c>
      <c r="N80" t="s">
        <v>35</v>
      </c>
      <c r="O80" t="s">
        <v>36</v>
      </c>
      <c r="P80" t="s">
        <v>3</v>
      </c>
      <c r="Q80" t="s">
        <v>3</v>
      </c>
      <c r="R80" t="s">
        <v>3</v>
      </c>
      <c r="S80" t="s">
        <v>667</v>
      </c>
      <c r="T80" t="s">
        <v>668</v>
      </c>
      <c r="U80" t="s">
        <v>669</v>
      </c>
    </row>
    <row r="81" spans="1:21" x14ac:dyDescent="0.2">
      <c r="A81">
        <v>223</v>
      </c>
      <c r="B81">
        <v>1</v>
      </c>
      <c r="C81" t="s">
        <v>3</v>
      </c>
      <c r="D81" t="s">
        <v>35</v>
      </c>
      <c r="E81" t="s">
        <v>36</v>
      </c>
      <c r="F81" t="s">
        <v>36</v>
      </c>
      <c r="G81" t="s">
        <v>36</v>
      </c>
      <c r="H81" t="s">
        <v>3</v>
      </c>
      <c r="I81" t="s">
        <v>36</v>
      </c>
      <c r="J81" t="s">
        <v>36</v>
      </c>
      <c r="K81" t="s">
        <v>3</v>
      </c>
      <c r="L81" t="s">
        <v>3</v>
      </c>
      <c r="M81" t="s">
        <v>3</v>
      </c>
      <c r="N81" t="s">
        <v>35</v>
      </c>
      <c r="O81" t="s">
        <v>36</v>
      </c>
      <c r="P81" t="s">
        <v>3</v>
      </c>
      <c r="Q81" t="s">
        <v>3</v>
      </c>
      <c r="R81" t="s">
        <v>3</v>
      </c>
      <c r="S81" t="s">
        <v>667</v>
      </c>
      <c r="T81" t="s">
        <v>668</v>
      </c>
      <c r="U81" t="s">
        <v>669</v>
      </c>
    </row>
    <row r="82" spans="1:21" x14ac:dyDescent="0.2">
      <c r="A82">
        <v>224</v>
      </c>
      <c r="B82">
        <v>1</v>
      </c>
      <c r="C82" t="s">
        <v>3</v>
      </c>
      <c r="D82" t="s">
        <v>35</v>
      </c>
      <c r="E82" t="s">
        <v>36</v>
      </c>
      <c r="F82" t="s">
        <v>36</v>
      </c>
      <c r="G82" t="s">
        <v>36</v>
      </c>
      <c r="H82" t="s">
        <v>3</v>
      </c>
      <c r="I82" t="s">
        <v>36</v>
      </c>
      <c r="J82" t="s">
        <v>36</v>
      </c>
      <c r="K82" t="s">
        <v>3</v>
      </c>
      <c r="L82" t="s">
        <v>3</v>
      </c>
      <c r="M82" t="s">
        <v>3</v>
      </c>
      <c r="N82" t="s">
        <v>35</v>
      </c>
      <c r="O82" t="s">
        <v>36</v>
      </c>
      <c r="P82" t="s">
        <v>3</v>
      </c>
      <c r="Q82" t="s">
        <v>3</v>
      </c>
      <c r="R82" t="s">
        <v>3</v>
      </c>
      <c r="S82" t="s">
        <v>667</v>
      </c>
      <c r="T82" t="s">
        <v>668</v>
      </c>
      <c r="U82" t="s">
        <v>669</v>
      </c>
    </row>
    <row r="83" spans="1:21" x14ac:dyDescent="0.2">
      <c r="A83">
        <v>231</v>
      </c>
      <c r="B83">
        <v>1</v>
      </c>
      <c r="C83" t="s">
        <v>3</v>
      </c>
      <c r="D83" t="s">
        <v>35</v>
      </c>
      <c r="E83" t="s">
        <v>36</v>
      </c>
      <c r="F83" t="s">
        <v>36</v>
      </c>
      <c r="G83" t="s">
        <v>36</v>
      </c>
      <c r="H83" t="s">
        <v>3</v>
      </c>
      <c r="I83" t="s">
        <v>36</v>
      </c>
      <c r="J83" t="s">
        <v>36</v>
      </c>
      <c r="K83" t="s">
        <v>3</v>
      </c>
      <c r="L83" t="s">
        <v>3</v>
      </c>
      <c r="M83" t="s">
        <v>3</v>
      </c>
      <c r="N83" t="s">
        <v>35</v>
      </c>
      <c r="O83" t="s">
        <v>36</v>
      </c>
      <c r="P83" t="s">
        <v>3</v>
      </c>
      <c r="Q83" t="s">
        <v>3</v>
      </c>
      <c r="R83" t="s">
        <v>3</v>
      </c>
      <c r="S83" t="s">
        <v>667</v>
      </c>
      <c r="T83" t="s">
        <v>668</v>
      </c>
      <c r="U83" t="s">
        <v>669</v>
      </c>
    </row>
    <row r="84" spans="1:21" x14ac:dyDescent="0.2">
      <c r="A84">
        <v>232</v>
      </c>
      <c r="B84">
        <v>1</v>
      </c>
      <c r="C84" t="s">
        <v>3</v>
      </c>
      <c r="D84" t="s">
        <v>35</v>
      </c>
      <c r="E84" t="s">
        <v>36</v>
      </c>
      <c r="F84" t="s">
        <v>36</v>
      </c>
      <c r="G84" t="s">
        <v>36</v>
      </c>
      <c r="H84" t="s">
        <v>3</v>
      </c>
      <c r="I84" t="s">
        <v>36</v>
      </c>
      <c r="J84" t="s">
        <v>36</v>
      </c>
      <c r="K84" t="s">
        <v>3</v>
      </c>
      <c r="L84" t="s">
        <v>3</v>
      </c>
      <c r="M84" t="s">
        <v>3</v>
      </c>
      <c r="N84" t="s">
        <v>35</v>
      </c>
      <c r="O84" t="s">
        <v>36</v>
      </c>
      <c r="P84" t="s">
        <v>3</v>
      </c>
      <c r="Q84" t="s">
        <v>3</v>
      </c>
      <c r="R84" t="s">
        <v>3</v>
      </c>
      <c r="S84" t="s">
        <v>667</v>
      </c>
      <c r="T84" t="s">
        <v>668</v>
      </c>
      <c r="U84" t="s">
        <v>669</v>
      </c>
    </row>
    <row r="85" spans="1:21" x14ac:dyDescent="0.2">
      <c r="A85">
        <v>233</v>
      </c>
      <c r="B85">
        <v>1</v>
      </c>
      <c r="C85" t="s">
        <v>3</v>
      </c>
      <c r="D85" t="s">
        <v>35</v>
      </c>
      <c r="E85" t="s">
        <v>36</v>
      </c>
      <c r="F85" t="s">
        <v>36</v>
      </c>
      <c r="G85" t="s">
        <v>36</v>
      </c>
      <c r="H85" t="s">
        <v>3</v>
      </c>
      <c r="I85" t="s">
        <v>36</v>
      </c>
      <c r="J85" t="s">
        <v>36</v>
      </c>
      <c r="K85" t="s">
        <v>3</v>
      </c>
      <c r="L85" t="s">
        <v>3</v>
      </c>
      <c r="M85" t="s">
        <v>3</v>
      </c>
      <c r="N85" t="s">
        <v>35</v>
      </c>
      <c r="O85" t="s">
        <v>36</v>
      </c>
      <c r="P85" t="s">
        <v>3</v>
      </c>
      <c r="Q85" t="s">
        <v>3</v>
      </c>
      <c r="R85" t="s">
        <v>3</v>
      </c>
      <c r="S85" t="s">
        <v>667</v>
      </c>
      <c r="T85" t="s">
        <v>668</v>
      </c>
      <c r="U85" t="s">
        <v>669</v>
      </c>
    </row>
    <row r="86" spans="1:21" x14ac:dyDescent="0.2">
      <c r="A86">
        <v>234</v>
      </c>
      <c r="B86">
        <v>1</v>
      </c>
      <c r="C86" t="s">
        <v>3</v>
      </c>
      <c r="D86" t="s">
        <v>35</v>
      </c>
      <c r="E86" t="s">
        <v>36</v>
      </c>
      <c r="F86" t="s">
        <v>36</v>
      </c>
      <c r="G86" t="s">
        <v>36</v>
      </c>
      <c r="H86" t="s">
        <v>3</v>
      </c>
      <c r="I86" t="s">
        <v>36</v>
      </c>
      <c r="J86" t="s">
        <v>36</v>
      </c>
      <c r="K86" t="s">
        <v>3</v>
      </c>
      <c r="L86" t="s">
        <v>3</v>
      </c>
      <c r="M86" t="s">
        <v>3</v>
      </c>
      <c r="N86" t="s">
        <v>35</v>
      </c>
      <c r="O86" t="s">
        <v>36</v>
      </c>
      <c r="P86" t="s">
        <v>3</v>
      </c>
      <c r="Q86" t="s">
        <v>3</v>
      </c>
      <c r="R86" t="s">
        <v>3</v>
      </c>
      <c r="S86" t="s">
        <v>667</v>
      </c>
      <c r="T86" t="s">
        <v>668</v>
      </c>
      <c r="U86" t="s">
        <v>669</v>
      </c>
    </row>
    <row r="87" spans="1:21" x14ac:dyDescent="0.2">
      <c r="A87">
        <v>237</v>
      </c>
      <c r="B87">
        <v>1</v>
      </c>
      <c r="C87" t="s">
        <v>3</v>
      </c>
      <c r="D87" t="s">
        <v>35</v>
      </c>
      <c r="E87" t="s">
        <v>36</v>
      </c>
      <c r="F87" t="s">
        <v>36</v>
      </c>
      <c r="G87" t="s">
        <v>36</v>
      </c>
      <c r="H87" t="s">
        <v>3</v>
      </c>
      <c r="I87" t="s">
        <v>36</v>
      </c>
      <c r="J87" t="s">
        <v>36</v>
      </c>
      <c r="K87" t="s">
        <v>3</v>
      </c>
      <c r="L87" t="s">
        <v>3</v>
      </c>
      <c r="M87" t="s">
        <v>3</v>
      </c>
      <c r="N87" t="s">
        <v>35</v>
      </c>
      <c r="O87" t="s">
        <v>36</v>
      </c>
      <c r="P87" t="s">
        <v>3</v>
      </c>
      <c r="Q87" t="s">
        <v>3</v>
      </c>
      <c r="R87" t="s">
        <v>3</v>
      </c>
      <c r="S87" t="s">
        <v>667</v>
      </c>
      <c r="T87" t="s">
        <v>668</v>
      </c>
      <c r="U87" t="s">
        <v>669</v>
      </c>
    </row>
    <row r="88" spans="1:21" x14ac:dyDescent="0.2">
      <c r="A88">
        <v>238</v>
      </c>
      <c r="B88">
        <v>1</v>
      </c>
      <c r="C88" t="s">
        <v>3</v>
      </c>
      <c r="D88" t="s">
        <v>35</v>
      </c>
      <c r="E88" t="s">
        <v>36</v>
      </c>
      <c r="F88" t="s">
        <v>36</v>
      </c>
      <c r="G88" t="s">
        <v>36</v>
      </c>
      <c r="H88" t="s">
        <v>3</v>
      </c>
      <c r="I88" t="s">
        <v>36</v>
      </c>
      <c r="J88" t="s">
        <v>36</v>
      </c>
      <c r="K88" t="s">
        <v>3</v>
      </c>
      <c r="L88" t="s">
        <v>3</v>
      </c>
      <c r="M88" t="s">
        <v>3</v>
      </c>
      <c r="N88" t="s">
        <v>35</v>
      </c>
      <c r="O88" t="s">
        <v>36</v>
      </c>
      <c r="P88" t="s">
        <v>3</v>
      </c>
      <c r="Q88" t="s">
        <v>3</v>
      </c>
      <c r="R88" t="s">
        <v>3</v>
      </c>
      <c r="S88" t="s">
        <v>667</v>
      </c>
      <c r="T88" t="s">
        <v>668</v>
      </c>
      <c r="U88" t="s">
        <v>669</v>
      </c>
    </row>
    <row r="89" spans="1:21" x14ac:dyDescent="0.2">
      <c r="A89">
        <v>241</v>
      </c>
      <c r="B89">
        <v>1</v>
      </c>
      <c r="C89" t="s">
        <v>3</v>
      </c>
      <c r="D89" t="s">
        <v>35</v>
      </c>
      <c r="E89" t="s">
        <v>36</v>
      </c>
      <c r="F89" t="s">
        <v>36</v>
      </c>
      <c r="G89" t="s">
        <v>36</v>
      </c>
      <c r="H89" t="s">
        <v>3</v>
      </c>
      <c r="I89" t="s">
        <v>36</v>
      </c>
      <c r="J89" t="s">
        <v>36</v>
      </c>
      <c r="K89" t="s">
        <v>3</v>
      </c>
      <c r="L89" t="s">
        <v>3</v>
      </c>
      <c r="M89" t="s">
        <v>3</v>
      </c>
      <c r="N89" t="s">
        <v>35</v>
      </c>
      <c r="O89" t="s">
        <v>36</v>
      </c>
      <c r="P89" t="s">
        <v>3</v>
      </c>
      <c r="Q89" t="s">
        <v>3</v>
      </c>
      <c r="R89" t="s">
        <v>3</v>
      </c>
      <c r="S89" t="s">
        <v>667</v>
      </c>
      <c r="T89" t="s">
        <v>668</v>
      </c>
      <c r="U89" t="s">
        <v>669</v>
      </c>
    </row>
    <row r="90" spans="1:21" x14ac:dyDescent="0.2">
      <c r="A90">
        <v>242</v>
      </c>
      <c r="B90">
        <v>1</v>
      </c>
      <c r="C90" t="s">
        <v>3</v>
      </c>
      <c r="D90" t="s">
        <v>35</v>
      </c>
      <c r="E90" t="s">
        <v>36</v>
      </c>
      <c r="F90" t="s">
        <v>36</v>
      </c>
      <c r="G90" t="s">
        <v>36</v>
      </c>
      <c r="H90" t="s">
        <v>3</v>
      </c>
      <c r="I90" t="s">
        <v>36</v>
      </c>
      <c r="J90" t="s">
        <v>36</v>
      </c>
      <c r="K90" t="s">
        <v>3</v>
      </c>
      <c r="L90" t="s">
        <v>3</v>
      </c>
      <c r="M90" t="s">
        <v>3</v>
      </c>
      <c r="N90" t="s">
        <v>35</v>
      </c>
      <c r="O90" t="s">
        <v>36</v>
      </c>
      <c r="P90" t="s">
        <v>3</v>
      </c>
      <c r="Q90" t="s">
        <v>3</v>
      </c>
      <c r="R90" t="s">
        <v>3</v>
      </c>
      <c r="S90" t="s">
        <v>667</v>
      </c>
      <c r="T90" t="s">
        <v>668</v>
      </c>
      <c r="U90" t="s">
        <v>669</v>
      </c>
    </row>
    <row r="91" spans="1:21" x14ac:dyDescent="0.2">
      <c r="A91">
        <v>249</v>
      </c>
      <c r="B91">
        <v>1</v>
      </c>
      <c r="C91" t="s">
        <v>3</v>
      </c>
      <c r="D91" t="s">
        <v>675</v>
      </c>
      <c r="E91" t="s">
        <v>675</v>
      </c>
      <c r="F91" t="s">
        <v>675</v>
      </c>
      <c r="G91" t="s">
        <v>675</v>
      </c>
      <c r="H91" t="s">
        <v>3</v>
      </c>
      <c r="I91" t="s">
        <v>675</v>
      </c>
      <c r="J91" t="s">
        <v>675</v>
      </c>
      <c r="K91" t="s">
        <v>3</v>
      </c>
      <c r="L91" t="s">
        <v>3</v>
      </c>
      <c r="M91" t="s">
        <v>3</v>
      </c>
      <c r="N91" t="s">
        <v>675</v>
      </c>
      <c r="O91" t="s">
        <v>675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</row>
    <row r="92" spans="1:21" x14ac:dyDescent="0.2">
      <c r="A92">
        <v>249</v>
      </c>
      <c r="B92">
        <v>1</v>
      </c>
      <c r="C92" t="s">
        <v>3</v>
      </c>
      <c r="D92" t="s">
        <v>35</v>
      </c>
      <c r="E92" t="s">
        <v>670</v>
      </c>
      <c r="F92" t="s">
        <v>670</v>
      </c>
      <c r="G92" t="s">
        <v>671</v>
      </c>
      <c r="H92" t="s">
        <v>3</v>
      </c>
      <c r="I92" t="s">
        <v>671</v>
      </c>
      <c r="J92" t="s">
        <v>670</v>
      </c>
      <c r="K92" t="s">
        <v>3</v>
      </c>
      <c r="L92" t="s">
        <v>3</v>
      </c>
      <c r="M92" t="s">
        <v>3</v>
      </c>
      <c r="N92" t="s">
        <v>35</v>
      </c>
      <c r="O92" t="s">
        <v>670</v>
      </c>
      <c r="P92" t="s">
        <v>3</v>
      </c>
      <c r="Q92" t="s">
        <v>3</v>
      </c>
      <c r="R92" t="s">
        <v>3</v>
      </c>
      <c r="S92" t="s">
        <v>672</v>
      </c>
      <c r="T92" t="s">
        <v>673</v>
      </c>
      <c r="U92" t="s">
        <v>674</v>
      </c>
    </row>
    <row r="93" spans="1:21" x14ac:dyDescent="0.2">
      <c r="A93">
        <v>249</v>
      </c>
      <c r="B93">
        <v>1</v>
      </c>
      <c r="C93" t="s">
        <v>3</v>
      </c>
      <c r="D93" t="s">
        <v>35</v>
      </c>
      <c r="E93" t="s">
        <v>36</v>
      </c>
      <c r="F93" t="s">
        <v>36</v>
      </c>
      <c r="G93" t="s">
        <v>36</v>
      </c>
      <c r="H93" t="s">
        <v>3</v>
      </c>
      <c r="I93" t="s">
        <v>36</v>
      </c>
      <c r="J93" t="s">
        <v>36</v>
      </c>
      <c r="K93" t="s">
        <v>3</v>
      </c>
      <c r="L93" t="s">
        <v>3</v>
      </c>
      <c r="M93" t="s">
        <v>3</v>
      </c>
      <c r="N93" t="s">
        <v>35</v>
      </c>
      <c r="O93" t="s">
        <v>36</v>
      </c>
      <c r="P93" t="s">
        <v>3</v>
      </c>
      <c r="Q93" t="s">
        <v>3</v>
      </c>
      <c r="R93" t="s">
        <v>3</v>
      </c>
      <c r="S93" t="s">
        <v>667</v>
      </c>
      <c r="T93" t="s">
        <v>668</v>
      </c>
      <c r="U93" t="s">
        <v>669</v>
      </c>
    </row>
    <row r="94" spans="1:21" x14ac:dyDescent="0.2">
      <c r="A94">
        <v>250</v>
      </c>
      <c r="B94">
        <v>1</v>
      </c>
      <c r="C94" t="s">
        <v>3</v>
      </c>
      <c r="D94" t="s">
        <v>675</v>
      </c>
      <c r="E94" t="s">
        <v>675</v>
      </c>
      <c r="F94" t="s">
        <v>675</v>
      </c>
      <c r="G94" t="s">
        <v>675</v>
      </c>
      <c r="H94" t="s">
        <v>3</v>
      </c>
      <c r="I94" t="s">
        <v>675</v>
      </c>
      <c r="J94" t="s">
        <v>675</v>
      </c>
      <c r="K94" t="s">
        <v>3</v>
      </c>
      <c r="L94" t="s">
        <v>3</v>
      </c>
      <c r="M94" t="s">
        <v>3</v>
      </c>
      <c r="N94" t="s">
        <v>675</v>
      </c>
      <c r="O94" t="s">
        <v>675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</row>
    <row r="95" spans="1:21" x14ac:dyDescent="0.2">
      <c r="A95">
        <v>250</v>
      </c>
      <c r="B95">
        <v>1</v>
      </c>
      <c r="C95" t="s">
        <v>3</v>
      </c>
      <c r="D95" t="s">
        <v>35</v>
      </c>
      <c r="E95" t="s">
        <v>670</v>
      </c>
      <c r="F95" t="s">
        <v>670</v>
      </c>
      <c r="G95" t="s">
        <v>671</v>
      </c>
      <c r="H95" t="s">
        <v>3</v>
      </c>
      <c r="I95" t="s">
        <v>671</v>
      </c>
      <c r="J95" t="s">
        <v>670</v>
      </c>
      <c r="K95" t="s">
        <v>3</v>
      </c>
      <c r="L95" t="s">
        <v>3</v>
      </c>
      <c r="M95" t="s">
        <v>3</v>
      </c>
      <c r="N95" t="s">
        <v>35</v>
      </c>
      <c r="O95" t="s">
        <v>670</v>
      </c>
      <c r="P95" t="s">
        <v>3</v>
      </c>
      <c r="Q95" t="s">
        <v>3</v>
      </c>
      <c r="R95" t="s">
        <v>3</v>
      </c>
      <c r="S95" t="s">
        <v>672</v>
      </c>
      <c r="T95" t="s">
        <v>673</v>
      </c>
      <c r="U95" t="s">
        <v>674</v>
      </c>
    </row>
    <row r="96" spans="1:21" x14ac:dyDescent="0.2">
      <c r="A96">
        <v>250</v>
      </c>
      <c r="B96">
        <v>1</v>
      </c>
      <c r="C96" t="s">
        <v>3</v>
      </c>
      <c r="D96" t="s">
        <v>35</v>
      </c>
      <c r="E96" t="s">
        <v>36</v>
      </c>
      <c r="F96" t="s">
        <v>36</v>
      </c>
      <c r="G96" t="s">
        <v>36</v>
      </c>
      <c r="H96" t="s">
        <v>3</v>
      </c>
      <c r="I96" t="s">
        <v>36</v>
      </c>
      <c r="J96" t="s">
        <v>36</v>
      </c>
      <c r="K96" t="s">
        <v>3</v>
      </c>
      <c r="L96" t="s">
        <v>3</v>
      </c>
      <c r="M96" t="s">
        <v>3</v>
      </c>
      <c r="N96" t="s">
        <v>35</v>
      </c>
      <c r="O96" t="s">
        <v>36</v>
      </c>
      <c r="P96" t="s">
        <v>3</v>
      </c>
      <c r="Q96" t="s">
        <v>3</v>
      </c>
      <c r="R96" t="s">
        <v>3</v>
      </c>
      <c r="S96" t="s">
        <v>667</v>
      </c>
      <c r="T96" t="s">
        <v>668</v>
      </c>
      <c r="U96" t="s">
        <v>669</v>
      </c>
    </row>
    <row r="97" spans="1:21" x14ac:dyDescent="0.2">
      <c r="A97">
        <v>253</v>
      </c>
      <c r="B97">
        <v>1</v>
      </c>
      <c r="C97" t="s">
        <v>3</v>
      </c>
      <c r="D97" t="s">
        <v>35</v>
      </c>
      <c r="E97" t="s">
        <v>670</v>
      </c>
      <c r="F97" t="s">
        <v>670</v>
      </c>
      <c r="G97" t="s">
        <v>671</v>
      </c>
      <c r="H97" t="s">
        <v>3</v>
      </c>
      <c r="I97" t="s">
        <v>671</v>
      </c>
      <c r="J97" t="s">
        <v>670</v>
      </c>
      <c r="K97" t="s">
        <v>3</v>
      </c>
      <c r="L97" t="s">
        <v>3</v>
      </c>
      <c r="M97" t="s">
        <v>3</v>
      </c>
      <c r="N97" t="s">
        <v>35</v>
      </c>
      <c r="O97" t="s">
        <v>670</v>
      </c>
      <c r="P97" t="s">
        <v>3</v>
      </c>
      <c r="Q97" t="s">
        <v>3</v>
      </c>
      <c r="R97" t="s">
        <v>3</v>
      </c>
      <c r="S97" t="s">
        <v>672</v>
      </c>
      <c r="T97" t="s">
        <v>673</v>
      </c>
      <c r="U97" t="s">
        <v>674</v>
      </c>
    </row>
    <row r="98" spans="1:21" x14ac:dyDescent="0.2">
      <c r="A98">
        <v>253</v>
      </c>
      <c r="B98">
        <v>1</v>
      </c>
      <c r="C98" t="s">
        <v>3</v>
      </c>
      <c r="D98" t="s">
        <v>35</v>
      </c>
      <c r="E98" t="s">
        <v>36</v>
      </c>
      <c r="F98" t="s">
        <v>36</v>
      </c>
      <c r="G98" t="s">
        <v>36</v>
      </c>
      <c r="H98" t="s">
        <v>3</v>
      </c>
      <c r="I98" t="s">
        <v>36</v>
      </c>
      <c r="J98" t="s">
        <v>36</v>
      </c>
      <c r="K98" t="s">
        <v>3</v>
      </c>
      <c r="L98" t="s">
        <v>3</v>
      </c>
      <c r="M98" t="s">
        <v>3</v>
      </c>
      <c r="N98" t="s">
        <v>35</v>
      </c>
      <c r="O98" t="s">
        <v>36</v>
      </c>
      <c r="P98" t="s">
        <v>3</v>
      </c>
      <c r="Q98" t="s">
        <v>3</v>
      </c>
      <c r="R98" t="s">
        <v>3</v>
      </c>
      <c r="S98" t="s">
        <v>667</v>
      </c>
      <c r="T98" t="s">
        <v>668</v>
      </c>
      <c r="U98" t="s">
        <v>669</v>
      </c>
    </row>
    <row r="99" spans="1:21" x14ac:dyDescent="0.2">
      <c r="A99">
        <v>254</v>
      </c>
      <c r="B99">
        <v>1</v>
      </c>
      <c r="C99" t="s">
        <v>3</v>
      </c>
      <c r="D99" t="s">
        <v>35</v>
      </c>
      <c r="E99" t="s">
        <v>670</v>
      </c>
      <c r="F99" t="s">
        <v>670</v>
      </c>
      <c r="G99" t="s">
        <v>671</v>
      </c>
      <c r="H99" t="s">
        <v>3</v>
      </c>
      <c r="I99" t="s">
        <v>671</v>
      </c>
      <c r="J99" t="s">
        <v>670</v>
      </c>
      <c r="K99" t="s">
        <v>3</v>
      </c>
      <c r="L99" t="s">
        <v>3</v>
      </c>
      <c r="M99" t="s">
        <v>3</v>
      </c>
      <c r="N99" t="s">
        <v>35</v>
      </c>
      <c r="O99" t="s">
        <v>670</v>
      </c>
      <c r="P99" t="s">
        <v>3</v>
      </c>
      <c r="Q99" t="s">
        <v>3</v>
      </c>
      <c r="R99" t="s">
        <v>3</v>
      </c>
      <c r="S99" t="s">
        <v>672</v>
      </c>
      <c r="T99" t="s">
        <v>673</v>
      </c>
      <c r="U99" t="s">
        <v>674</v>
      </c>
    </row>
    <row r="100" spans="1:21" x14ac:dyDescent="0.2">
      <c r="A100">
        <v>254</v>
      </c>
      <c r="B100">
        <v>1</v>
      </c>
      <c r="C100" t="s">
        <v>3</v>
      </c>
      <c r="D100" t="s">
        <v>35</v>
      </c>
      <c r="E100" t="s">
        <v>36</v>
      </c>
      <c r="F100" t="s">
        <v>36</v>
      </c>
      <c r="G100" t="s">
        <v>36</v>
      </c>
      <c r="H100" t="s">
        <v>3</v>
      </c>
      <c r="I100" t="s">
        <v>36</v>
      </c>
      <c r="J100" t="s">
        <v>36</v>
      </c>
      <c r="K100" t="s">
        <v>3</v>
      </c>
      <c r="L100" t="s">
        <v>3</v>
      </c>
      <c r="M100" t="s">
        <v>3</v>
      </c>
      <c r="N100" t="s">
        <v>35</v>
      </c>
      <c r="O100" t="s">
        <v>36</v>
      </c>
      <c r="P100" t="s">
        <v>3</v>
      </c>
      <c r="Q100" t="s">
        <v>3</v>
      </c>
      <c r="R100" t="s">
        <v>3</v>
      </c>
      <c r="S100" t="s">
        <v>667</v>
      </c>
      <c r="T100" t="s">
        <v>668</v>
      </c>
      <c r="U100" t="s">
        <v>669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74600</v>
      </c>
      <c r="M1">
        <v>10</v>
      </c>
      <c r="N1">
        <v>12</v>
      </c>
      <c r="O1">
        <v>1</v>
      </c>
      <c r="P1">
        <v>0</v>
      </c>
      <c r="Q1">
        <v>1</v>
      </c>
    </row>
    <row r="12" spans="1:103" x14ac:dyDescent="0.2">
      <c r="F12" t="str">
        <f>Source!F12</f>
        <v>Новый объект</v>
      </c>
      <c r="G12" t="str">
        <f>Source!G12</f>
        <v>Спринклерное пожаротушение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02-01-21</vt:lpstr>
      <vt:lpstr>Source</vt:lpstr>
      <vt:lpstr>SourceObSm</vt:lpstr>
      <vt:lpstr>SmtRes</vt:lpstr>
      <vt:lpstr>EtalonRes</vt:lpstr>
      <vt:lpstr>SrcPoprs</vt:lpstr>
      <vt:lpstr>SrcKA</vt:lpstr>
      <vt:lpstr>'02-01-21'!Заголовки_для_печати</vt:lpstr>
      <vt:lpstr>'02-01-21'!Область_печати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Борисова Людмила Александровна</cp:lastModifiedBy>
  <dcterms:created xsi:type="dcterms:W3CDTF">2026-04-23T11:49:26Z</dcterms:created>
  <dcterms:modified xsi:type="dcterms:W3CDTF">2026-07-02T17:09:16Z</dcterms:modified>
</cp:coreProperties>
</file>